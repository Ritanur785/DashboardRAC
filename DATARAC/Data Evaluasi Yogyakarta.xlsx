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updateLinks="always"/>
  <mc:AlternateContent xmlns:mc="http://schemas.openxmlformats.org/markup-compatibility/2006">
    <mc:Choice Requires="x15">
      <x15ac:absPath xmlns:x15ac="http://schemas.microsoft.com/office/spreadsheetml/2010/11/ac" url="https://bri2-my.sharepoint.com/personal/00136153_hq_bri_co_id/Documents/Assurance Team/RAC Team/Moneva Update/"/>
    </mc:Choice>
  </mc:AlternateContent>
  <xr:revisionPtr revIDLastSave="584" documentId="8_{CBB978E0-DA6C-437E-96CC-89A4C9D131CC}" xr6:coauthVersionLast="47" xr6:coauthVersionMax="47" xr10:uidLastSave="{9A10490E-7564-4124-9FEA-1CF619223C47}"/>
  <bookViews>
    <workbookView xWindow="-108" yWindow="-108" windowWidth="23256" windowHeight="12456" firstSheet="1" activeTab="10" xr2:uid="{28B6D053-1D7F-4EEF-8978-633F77751EF4}"/>
  </bookViews>
  <sheets>
    <sheet name="STR" sheetId="5" r:id="rId1"/>
    <sheet name="EDD PEP PPATK" sheetId="1" r:id="rId2"/>
    <sheet name="Pengkinian Data" sheetId="9" r:id="rId3"/>
    <sheet name="Bad Data" sheetId="2" r:id="rId4"/>
    <sheet name="Sosialisasi" sheetId="3" state="hidden" r:id="rId5"/>
    <sheet name="Uji Petik" sheetId="4" r:id="rId6"/>
    <sheet name="Nilai Maturitas" sheetId="6" r:id="rId7"/>
    <sheet name="Penilaian Resiko" sheetId="7" r:id="rId8"/>
    <sheet name="Maturitas Dashboard" sheetId="8" r:id="rId9"/>
    <sheet name="Overview" sheetId="10" r:id="rId10"/>
    <sheet name="Overview tanpa KPI" sheetId="11" r:id="rId11"/>
    <sheet name="Overview KPI" sheetId="12" r:id="rId12"/>
  </sheets>
  <externalReferences>
    <externalReference r:id="rId13"/>
    <externalReference r:id="rId14"/>
    <externalReference r:id="rId15"/>
    <externalReference r:id="rId16"/>
  </externalReferences>
  <definedNames>
    <definedName name="_xlnm._FilterDatabase" localSheetId="3" hidden="1">'Bad Data'!$B$2:$D$2</definedName>
    <definedName name="_xlnm._FilterDatabase" localSheetId="1" hidden="1">'EDD PEP PPATK'!$B$2:$D$2</definedName>
    <definedName name="_xlnm._FilterDatabase" localSheetId="8" hidden="1">'Maturitas Dashboard'!$A$1:$D$1</definedName>
    <definedName name="_xlnm._FilterDatabase" localSheetId="6" hidden="1">'Nilai Maturitas'!$A$1:$D$1</definedName>
    <definedName name="_xlnm._FilterDatabase" localSheetId="2" hidden="1">'Pengkinian Data'!$B$2:$D$2</definedName>
    <definedName name="_xlnm._FilterDatabase" localSheetId="7" hidden="1">'Penilaian Resiko'!$A$1:$D$1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I8" i="12" l="1" a="1"/>
  <c r="I8" i="12" s="1"/>
  <c r="F8" i="12" a="1"/>
  <c r="F8" i="12" s="1"/>
  <c r="C8" i="12" a="1"/>
  <c r="C8" i="12"/>
  <c r="I7" i="11" a="1"/>
  <c r="I7" i="11" s="1"/>
  <c r="F7" i="11" a="1"/>
  <c r="F7" i="11" s="1"/>
  <c r="C7" i="11" a="1"/>
  <c r="C7" i="11"/>
  <c r="I7" i="10" a="1"/>
  <c r="I7" i="10" s="1"/>
  <c r="F7" i="10" a="1"/>
  <c r="F7" i="10" s="1"/>
  <c r="C7" i="10" a="1"/>
  <c r="C7" i="10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" i="9"/>
  <c r="D28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9" i="9"/>
  <c r="D30" i="9"/>
  <c r="D31" i="9"/>
  <c r="D32" i="9"/>
  <c r="D33" i="9"/>
  <c r="D34" i="9"/>
  <c r="D35" i="9"/>
  <c r="C6" i="10"/>
  <c r="E6" i="10" s="1"/>
  <c r="I15" i="12"/>
  <c r="K15" i="12" s="1"/>
  <c r="F15" i="12"/>
  <c r="H15" i="12" s="1"/>
  <c r="C15" i="12"/>
  <c r="E15" i="12" s="1"/>
  <c r="I14" i="12"/>
  <c r="K14" i="12" s="1"/>
  <c r="F14" i="12"/>
  <c r="H14" i="12" s="1"/>
  <c r="C14" i="12"/>
  <c r="E14" i="12" s="1"/>
  <c r="I13" i="12"/>
  <c r="K13" i="12" s="1"/>
  <c r="F13" i="12"/>
  <c r="H13" i="12" s="1"/>
  <c r="C13" i="12"/>
  <c r="E13" i="12" s="1"/>
  <c r="I12" i="12" a="1"/>
  <c r="I12" i="12" s="1"/>
  <c r="K12" i="12" s="1"/>
  <c r="F12" i="12" a="1"/>
  <c r="F12" i="12" s="1"/>
  <c r="H12" i="12" s="1"/>
  <c r="C12" i="12" a="1"/>
  <c r="C12" i="12" s="1"/>
  <c r="E12" i="12" s="1"/>
  <c r="I11" i="12" a="1"/>
  <c r="I11" i="12" s="1"/>
  <c r="K11" i="12" s="1"/>
  <c r="F11" i="12" a="1"/>
  <c r="F11" i="12" s="1"/>
  <c r="H11" i="12" s="1"/>
  <c r="C11" i="12" a="1"/>
  <c r="C11" i="12" s="1"/>
  <c r="E11" i="12" s="1"/>
  <c r="F10" i="12"/>
  <c r="H10" i="12" s="1"/>
  <c r="C10" i="12"/>
  <c r="E10" i="12" s="1"/>
  <c r="I9" i="12" a="1"/>
  <c r="I9" i="12" s="1"/>
  <c r="K9" i="12" s="1"/>
  <c r="F9" i="12" a="1"/>
  <c r="F9" i="12" s="1"/>
  <c r="H9" i="12" s="1"/>
  <c r="C9" i="12" a="1"/>
  <c r="C9" i="12" s="1"/>
  <c r="E9" i="12" s="1"/>
  <c r="C7" i="12"/>
  <c r="E7" i="12" s="1"/>
  <c r="F6" i="12"/>
  <c r="H6" i="12" s="1"/>
  <c r="C6" i="12"/>
  <c r="E6" i="12" s="1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" i="5"/>
  <c r="C12" i="11"/>
  <c r="F12" i="11"/>
  <c r="I12" i="11"/>
  <c r="C13" i="11"/>
  <c r="F13" i="11"/>
  <c r="I13" i="11"/>
  <c r="C14" i="11"/>
  <c r="F14" i="11"/>
  <c r="I14" i="11"/>
  <c r="C5" i="11"/>
  <c r="E5" i="11" s="1"/>
  <c r="F5" i="11"/>
  <c r="C6" i="11"/>
  <c r="E6" i="11" s="1"/>
  <c r="C9" i="11"/>
  <c r="E9" i="11" s="1"/>
  <c r="F9" i="11"/>
  <c r="H9" i="11" s="1"/>
  <c r="K14" i="11"/>
  <c r="H14" i="11"/>
  <c r="E14" i="11"/>
  <c r="K13" i="11"/>
  <c r="H13" i="11"/>
  <c r="E13" i="11"/>
  <c r="K12" i="11"/>
  <c r="H12" i="11"/>
  <c r="E12" i="11"/>
  <c r="I11" i="11" a="1"/>
  <c r="I11" i="11" s="1"/>
  <c r="K11" i="11" s="1"/>
  <c r="F11" i="11" a="1"/>
  <c r="F11" i="11" s="1"/>
  <c r="H11" i="11" s="1"/>
  <c r="C11" i="11" a="1"/>
  <c r="C11" i="11" s="1"/>
  <c r="E11" i="11" s="1"/>
  <c r="I10" i="11" a="1"/>
  <c r="I10" i="11" s="1"/>
  <c r="K10" i="11" s="1"/>
  <c r="F10" i="11" a="1"/>
  <c r="F10" i="11" s="1"/>
  <c r="H10" i="11" s="1"/>
  <c r="C10" i="11" a="1"/>
  <c r="C10" i="11" s="1"/>
  <c r="E10" i="11" s="1"/>
  <c r="I8" i="11" a="1"/>
  <c r="I8" i="11" s="1"/>
  <c r="K8" i="11" s="1"/>
  <c r="F8" i="11" a="1"/>
  <c r="F8" i="11" s="1"/>
  <c r="H8" i="11" s="1"/>
  <c r="C8" i="11" a="1"/>
  <c r="C8" i="11" s="1"/>
  <c r="E8" i="11" s="1"/>
  <c r="H5" i="11"/>
  <c r="V27" i="5"/>
  <c r="V26" i="5"/>
  <c r="V25" i="5"/>
  <c r="V24" i="5"/>
  <c r="V23" i="5"/>
  <c r="V22" i="5"/>
  <c r="V21" i="5"/>
  <c r="V20" i="5"/>
  <c r="V19" i="5"/>
  <c r="V18" i="5"/>
  <c r="V17" i="5"/>
  <c r="V16" i="5"/>
  <c r="V15" i="5"/>
  <c r="V14" i="5"/>
  <c r="V13" i="5"/>
  <c r="V12" i="5"/>
  <c r="V11" i="5"/>
  <c r="V10" i="5"/>
  <c r="V9" i="5"/>
  <c r="V8" i="5"/>
  <c r="V7" i="5"/>
  <c r="V6" i="5"/>
  <c r="V5" i="5"/>
  <c r="V4" i="5"/>
  <c r="V3" i="5"/>
  <c r="V2" i="5"/>
  <c r="C12" i="10"/>
  <c r="F12" i="10"/>
  <c r="I12" i="10"/>
  <c r="C13" i="10"/>
  <c r="F13" i="10"/>
  <c r="I13" i="10"/>
  <c r="C14" i="10"/>
  <c r="F14" i="10"/>
  <c r="I14" i="10"/>
  <c r="C4" i="10"/>
  <c r="F4" i="10"/>
  <c r="I4" i="10"/>
  <c r="C5" i="10"/>
  <c r="F5" i="10"/>
  <c r="H5" i="10" s="1"/>
  <c r="K7" i="10" s="1"/>
  <c r="C9" i="10"/>
  <c r="E9" i="10" s="1"/>
  <c r="F9" i="10"/>
  <c r="H9" i="10" s="1"/>
  <c r="K14" i="10"/>
  <c r="H14" i="10"/>
  <c r="E14" i="10"/>
  <c r="K13" i="10"/>
  <c r="H13" i="10"/>
  <c r="E13" i="10"/>
  <c r="K12" i="10"/>
  <c r="H12" i="10"/>
  <c r="E12" i="10"/>
  <c r="I11" i="10" a="1"/>
  <c r="I11" i="10" s="1"/>
  <c r="K11" i="10" s="1"/>
  <c r="F11" i="10" a="1"/>
  <c r="F11" i="10" s="1"/>
  <c r="H11" i="10" s="1"/>
  <c r="C11" i="10" a="1"/>
  <c r="C11" i="10" s="1"/>
  <c r="E11" i="10" s="1"/>
  <c r="I10" i="10" a="1"/>
  <c r="I10" i="10" s="1"/>
  <c r="K10" i="10" s="1"/>
  <c r="F10" i="10" a="1"/>
  <c r="F10" i="10" s="1"/>
  <c r="H10" i="10" s="1"/>
  <c r="C10" i="10" a="1"/>
  <c r="C10" i="10" s="1"/>
  <c r="E10" i="10" s="1"/>
  <c r="I8" i="10" a="1"/>
  <c r="I8" i="10" s="1"/>
  <c r="K8" i="10" s="1"/>
  <c r="F8" i="10" a="1"/>
  <c r="F8" i="10" s="1"/>
  <c r="H8" i="10" s="1"/>
  <c r="C8" i="10" a="1"/>
  <c r="C8" i="10" s="1"/>
  <c r="E8" i="10" s="1"/>
  <c r="E7" i="10"/>
  <c r="E5" i="10"/>
  <c r="H7" i="10" s="1"/>
  <c r="K4" i="10"/>
  <c r="H4" i="10"/>
  <c r="E4" i="10"/>
  <c r="E24" i="8"/>
  <c r="E13" i="8"/>
  <c r="E2" i="8"/>
  <c r="E24" i="7"/>
  <c r="E13" i="7"/>
  <c r="E2" i="7"/>
  <c r="E24" i="6"/>
  <c r="E13" i="6"/>
  <c r="E2" i="6"/>
  <c r="E3" i="2"/>
  <c r="E14" i="2"/>
  <c r="E14" i="1"/>
  <c r="A2" i="5" a="1"/>
  <c r="Z19" i="5" s="1"/>
  <c r="I10" i="12" l="1"/>
  <c r="K10" i="12" s="1"/>
  <c r="I9" i="10"/>
  <c r="K9" i="10" s="1"/>
  <c r="I9" i="11"/>
  <c r="K9" i="11" s="1"/>
  <c r="I6" i="12"/>
  <c r="K6" i="12" s="1"/>
  <c r="I5" i="11"/>
  <c r="K5" i="11" s="1"/>
  <c r="I5" i="10"/>
  <c r="K5" i="10" s="1"/>
  <c r="E25" i="2"/>
  <c r="F7" i="12"/>
  <c r="H7" i="12" s="1"/>
  <c r="I7" i="12"/>
  <c r="K7" i="12" s="1"/>
  <c r="E14" i="9"/>
  <c r="F6" i="10"/>
  <c r="H6" i="10" s="1"/>
  <c r="F6" i="11"/>
  <c r="H6" i="11" s="1"/>
  <c r="E3" i="9"/>
  <c r="H15" i="10"/>
  <c r="I6" i="11"/>
  <c r="K6" i="11" s="1"/>
  <c r="E25" i="9"/>
  <c r="I6" i="10"/>
  <c r="K6" i="10" s="1"/>
  <c r="Z3" i="5"/>
  <c r="Z4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20" i="5"/>
  <c r="Z21" i="5"/>
  <c r="Z22" i="5"/>
  <c r="Z23" i="5"/>
  <c r="Z24" i="5"/>
  <c r="Z25" i="5"/>
  <c r="Z26" i="5"/>
  <c r="Z27" i="5"/>
  <c r="Z2" i="5"/>
  <c r="I5" i="12" s="1"/>
  <c r="K5" i="12" s="1"/>
  <c r="F5" i="12"/>
  <c r="H5" i="12" s="1"/>
  <c r="E8" i="12"/>
  <c r="I4" i="12"/>
  <c r="K4" i="12" s="1"/>
  <c r="F4" i="12"/>
  <c r="H4" i="12" s="1"/>
  <c r="C4" i="12"/>
  <c r="E4" i="12" s="1"/>
  <c r="H8" i="12"/>
  <c r="K8" i="12"/>
  <c r="C4" i="11"/>
  <c r="E4" i="11" s="1"/>
  <c r="F4" i="11"/>
  <c r="H4" i="11" s="1"/>
  <c r="I4" i="11"/>
  <c r="K4" i="11" s="1"/>
  <c r="E7" i="11"/>
  <c r="H7" i="11"/>
  <c r="K7" i="11"/>
  <c r="E15" i="10"/>
  <c r="E25" i="1"/>
  <c r="E3" i="1"/>
  <c r="A2" i="5"/>
  <c r="K15" i="10" l="1"/>
  <c r="C5" i="12"/>
  <c r="E5" i="12" s="1"/>
  <c r="E16" i="12" s="1"/>
  <c r="H16" i="12"/>
  <c r="K16" i="12"/>
  <c r="K15" i="11"/>
  <c r="H15" i="11"/>
  <c r="E15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<sst xmlns="http://schemas.openxmlformats.org/spreadsheetml/2006/main" count="626" uniqueCount="185">
  <si>
    <t>POSISI</t>
  </si>
  <si>
    <t>NAMA</t>
  </si>
  <si>
    <t>CIF</t>
  </si>
  <si>
    <t>No Rek/ Kartu Kredit</t>
  </si>
  <si>
    <t>RESIKO</t>
  </si>
  <si>
    <t>BRILINK</t>
  </si>
  <si>
    <t>STATUS PEKERJA</t>
  </si>
  <si>
    <t>DIGITAL SAVING</t>
  </si>
  <si>
    <t>SKENARIO</t>
  </si>
  <si>
    <t>SCORING</t>
  </si>
  <si>
    <t>INFO PARAM</t>
  </si>
  <si>
    <t>KATEGORI</t>
  </si>
  <si>
    <t>UNIT KERJA</t>
  </si>
  <si>
    <t>KANTOR CABANG</t>
  </si>
  <si>
    <t>KANTOR KANWIL</t>
  </si>
  <si>
    <t>REKOMENDASI UKER</t>
  </si>
  <si>
    <t>REKOMENDASI UKK</t>
  </si>
  <si>
    <t>STATUS UKER</t>
  </si>
  <si>
    <t>STATUS</t>
  </si>
  <si>
    <t>DISPOSISI</t>
  </si>
  <si>
    <t>INFO LAINNYA</t>
  </si>
  <si>
    <t>Disposisi RAC</t>
  </si>
  <si>
    <t>Tanggal</t>
  </si>
  <si>
    <t>Status TL</t>
  </si>
  <si>
    <t>14/09/2026</t>
  </si>
  <si>
    <t>Dikerjakan Kanpus, oleh Frida Akbar Rani</t>
  </si>
  <si>
    <t>26/08/2026</t>
  </si>
  <si>
    <t>20/08/2026</t>
  </si>
  <si>
    <t>21/08/2026</t>
  </si>
  <si>
    <t>18/08/2026</t>
  </si>
  <si>
    <t>19/08/2026</t>
  </si>
  <si>
    <t>27/08/2026</t>
  </si>
  <si>
    <t>28/08/2026</t>
  </si>
  <si>
    <t>Dikerjakan Kanpus oleh Muhammad Alfarobi</t>
  </si>
  <si>
    <t>No.</t>
  </si>
  <si>
    <t>Unit Kerja</t>
  </si>
  <si>
    <t>PIC RAC</t>
  </si>
  <si>
    <t>%TL PEP Done</t>
  </si>
  <si>
    <t>Average</t>
  </si>
  <si>
    <t>KC Boyolali</t>
  </si>
  <si>
    <t>Asep Kristiono</t>
  </si>
  <si>
    <t>KC Karanganyar</t>
  </si>
  <si>
    <t>KC Klaten</t>
  </si>
  <si>
    <t>KC Solo Baru</t>
  </si>
  <si>
    <t>KC Solo Kartasura</t>
  </si>
  <si>
    <t>KC Solo Slamet Riyadi</t>
  </si>
  <si>
    <t>KC Sragen</t>
  </si>
  <si>
    <t>KC Sukoharjo</t>
  </si>
  <si>
    <t>KC Solo - Sudirman</t>
  </si>
  <si>
    <t>KC Wonogiri</t>
  </si>
  <si>
    <t>KC Yogyakarta Cik Ditiro</t>
  </si>
  <si>
    <t>KC Ajibarang</t>
  </si>
  <si>
    <t>Dian Septianti</t>
  </si>
  <si>
    <t>KC Bantul</t>
  </si>
  <si>
    <t>KC Cilacap</t>
  </si>
  <si>
    <t>KC Purwokerto</t>
  </si>
  <si>
    <t>KC Purworejo</t>
  </si>
  <si>
    <t>KC Sleman</t>
  </si>
  <si>
    <t>KC Wates</t>
  </si>
  <si>
    <t>KC Wonosari</t>
  </si>
  <si>
    <t>KC Yogyakarta Katamso</t>
  </si>
  <si>
    <t>KC Yogyakarta Adisucipto</t>
  </si>
  <si>
    <t>KC Yogyakarta Mlati</t>
  </si>
  <si>
    <t>KC Banjarnegara</t>
  </si>
  <si>
    <t>Waras Suyitno</t>
  </si>
  <si>
    <t>KC Gombong</t>
  </si>
  <si>
    <t>KC Kebumen</t>
  </si>
  <si>
    <t>KC Kutoarjo</t>
  </si>
  <si>
    <t>KC Magelang</t>
  </si>
  <si>
    <t>KC Majenang</t>
  </si>
  <si>
    <t>KC Muntilan</t>
  </si>
  <si>
    <t>KC Parakan</t>
  </si>
  <si>
    <t>KC Purbalingga</t>
  </si>
  <si>
    <t>KC Temanggung</t>
  </si>
  <si>
    <t>KC Wonosobo</t>
  </si>
  <si>
    <t>%Pengkinian Data</t>
  </si>
  <si>
    <t>%Bad Data</t>
  </si>
  <si>
    <t>Materi*</t>
  </si>
  <si>
    <t>Tanggal Rencana Pelaksanaan</t>
  </si>
  <si>
    <t>Tanggal Pelaksanaan*</t>
  </si>
  <si>
    <t>Jumlah Peserta*</t>
  </si>
  <si>
    <t>Jabatan Peserta*</t>
  </si>
  <si>
    <t>Dokumen Evidence**</t>
  </si>
  <si>
    <t>KC Balige</t>
  </si>
  <si>
    <t>KC Binjai</t>
  </si>
  <si>
    <t>KC Gunung Sitoli</t>
  </si>
  <si>
    <t>KC Kabanjahe</t>
  </si>
  <si>
    <t>KC Kisaran</t>
  </si>
  <si>
    <t>KC Kota Pinang</t>
  </si>
  <si>
    <t>KC Lubuk Pakam</t>
  </si>
  <si>
    <t>KC Medan Gatot Subroto</t>
  </si>
  <si>
    <t>KC Medan Iskandar Muda</t>
  </si>
  <si>
    <t>KC Medan Putri Hijau</t>
  </si>
  <si>
    <t>KC Medan Sisingamangaraja</t>
  </si>
  <si>
    <t>KC Medan Thamrin</t>
  </si>
  <si>
    <t>KC Padang Sidempuan</t>
  </si>
  <si>
    <t>KC Panyabungan</t>
  </si>
  <si>
    <t>KC Pematang Siantar</t>
  </si>
  <si>
    <t>KC Perdagangan</t>
  </si>
  <si>
    <t>KC Rantau Prapat</t>
  </si>
  <si>
    <t>KC Sibolga</t>
  </si>
  <si>
    <t>KC Sibuhuan</t>
  </si>
  <si>
    <t>KC Sidikalang</t>
  </si>
  <si>
    <t>KC Stabat</t>
  </si>
  <si>
    <t>KC Tanjung Balai</t>
  </si>
  <si>
    <t>KC Tarutung</t>
  </si>
  <si>
    <t>KC Tebing Tinggi</t>
  </si>
  <si>
    <t>Keterangan:</t>
  </si>
  <si>
    <t>*Diisi jika telah dilaksanakan</t>
  </si>
  <si>
    <t>**https://bbri.id/MonevaRAC</t>
  </si>
  <si>
    <t>Evidence terdiri dari:</t>
  </si>
  <si>
    <t>1. Dokumentasi Foto</t>
  </si>
  <si>
    <t>2. Berita Acara</t>
  </si>
  <si>
    <t>3. Absensi</t>
  </si>
  <si>
    <t>4. Materi Sosisalisasi</t>
  </si>
  <si>
    <t>5. List Pertanyaan</t>
  </si>
  <si>
    <t>Rencana Pelaksanaan</t>
  </si>
  <si>
    <t>-</t>
  </si>
  <si>
    <t>**https://bri2-my.sharepoint.com/:f:/g/personal/00136153_hq_bri_co_id/IgB5O797f-zsTIl0esjTOvBxAb0gTAYXhy8v3l1MKs9tUpY?e=I5ZeQv</t>
  </si>
  <si>
    <t>4.Kertas Kerja</t>
  </si>
  <si>
    <t>5. Laporan Uji Petik</t>
  </si>
  <si>
    <t>Nilai maturitas</t>
  </si>
  <si>
    <t>Rating maturitas</t>
  </si>
  <si>
    <t>BO Boyolali</t>
  </si>
  <si>
    <t>AB</t>
  </si>
  <si>
    <t>BO Karanganyar</t>
  </si>
  <si>
    <t>BO Klaten</t>
  </si>
  <si>
    <t>BO Solo Baru</t>
  </si>
  <si>
    <t>BO Solo Kartasura</t>
  </si>
  <si>
    <t>BO Solo Slamet Riyadi</t>
  </si>
  <si>
    <t>BO Sragen</t>
  </si>
  <si>
    <t>BO Sukoharjo</t>
  </si>
  <si>
    <t>BO Solo Sudirman</t>
  </si>
  <si>
    <t>BO Wonogiri</t>
  </si>
  <si>
    <t>BO Yogya Cik Ditiro</t>
  </si>
  <si>
    <t>BO Ajibarang</t>
  </si>
  <si>
    <t>BO Bantul</t>
  </si>
  <si>
    <t>BO Cilacap</t>
  </si>
  <si>
    <t>BO Purwokerto</t>
  </si>
  <si>
    <t>BO Purworejo</t>
  </si>
  <si>
    <t>BO Sleman</t>
  </si>
  <si>
    <t>BO Wates</t>
  </si>
  <si>
    <t>BO Wonosari</t>
  </si>
  <si>
    <t>BO Yogya Katamso</t>
  </si>
  <si>
    <t>BO Yogyakarta Adisucipto</t>
  </si>
  <si>
    <t>BO Yogyakarta Mlati</t>
  </si>
  <si>
    <t>BO Banjarnegara</t>
  </si>
  <si>
    <t>A</t>
  </si>
  <si>
    <t>BO Gombong</t>
  </si>
  <si>
    <t>BO Kebumen</t>
  </si>
  <si>
    <t>BO Kutoarjo</t>
  </si>
  <si>
    <t>BO Magelang</t>
  </si>
  <si>
    <t>BO Majenang</t>
  </si>
  <si>
    <t>BO Muntilan</t>
  </si>
  <si>
    <t>BO Parakan</t>
  </si>
  <si>
    <t>BO Purbalingga</t>
  </si>
  <si>
    <t>BO Temanggung</t>
  </si>
  <si>
    <t>BO Wonosobo</t>
  </si>
  <si>
    <t>Nilai Risiko</t>
  </si>
  <si>
    <t>Nilai Risiko PIC</t>
  </si>
  <si>
    <t>Rating Risiko PIC</t>
  </si>
  <si>
    <t>Medium</t>
  </si>
  <si>
    <t>Nilai Maturitas</t>
  </si>
  <si>
    <t>Nilai Maturitas PIC</t>
  </si>
  <si>
    <t>Rating Maturitas PIC</t>
  </si>
  <si>
    <t>Sangat Baik</t>
  </si>
  <si>
    <t>No</t>
  </si>
  <si>
    <t>Aspek Penilaian</t>
  </si>
  <si>
    <t>Nilai</t>
  </si>
  <si>
    <t>Bobotan</t>
  </si>
  <si>
    <t>Score</t>
  </si>
  <si>
    <t xml:space="preserve">STR </t>
  </si>
  <si>
    <t>Bad Data</t>
  </si>
  <si>
    <t>Pengkinian Data</t>
  </si>
  <si>
    <t>.</t>
  </si>
  <si>
    <t>Uji Petik</t>
  </si>
  <si>
    <t>Sosialisasi</t>
  </si>
  <si>
    <t>EDD</t>
  </si>
  <si>
    <t>Self Learning Keikutsertaan</t>
  </si>
  <si>
    <t>Self Learning Score</t>
  </si>
  <si>
    <t>Maturitas</t>
  </si>
  <si>
    <t>Maturitas Dashboard</t>
  </si>
  <si>
    <t>Penilaian Resiko</t>
  </si>
  <si>
    <t>Progress</t>
  </si>
  <si>
    <t>Kualitas 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</si>
</sst>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1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1"/>
      <color theme="0"/>
      <name val="Aptos Narrow"/>
      <family val="2"/>
      <scheme val="minor"/>
    </font>
    <font>
      <sz val="10"/>
      <color rgb="FF000000"/>
      <name val="Tahoma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theme="1"/>
      <name val="Aptos Narrow"/>
      <family val="2"/>
      <scheme val="minor"/>
    </font>
    <font>
      <sz val="11"/>
      <color theme="1"/>
      <name val="inter"/>
    </font>
    <font>
      <b/>
      <sz val="11"/>
      <color theme="1"/>
      <name val="inte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61">
    <xf numFmtId="0" fontId="0" fillId="0" borderId="0" xfId="0"/>
    <xf numFmtId="1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1" fontId="4" fillId="0" borderId="0" xfId="0" applyNumberFormat="1" applyFont="1" applyAlignment="1">
      <alignment horizontal="left" vertical="center"/>
    </xf>
    <xf numFmtId="0" fontId="2" fillId="0" borderId="0" xfId="0" applyFont="1"/>
    <xf numFmtId="0" fontId="0" fillId="0" borderId="0" xfId="0" applyAlignment="1">
      <alignment vertical="center"/>
    </xf>
    <xf numFmtId="14" fontId="0" fillId="0" borderId="3" xfId="0" applyNumberFormat="1" applyBorder="1"/>
    <xf numFmtId="0" fontId="0" fillId="0" borderId="3" xfId="0" applyBorder="1"/>
    <xf numFmtId="14" fontId="5" fillId="3" borderId="3" xfId="0" applyNumberFormat="1" applyFont="1" applyFill="1" applyBorder="1"/>
    <xf numFmtId="0" fontId="5" fillId="3" borderId="3" xfId="0" applyFont="1" applyFill="1" applyBorder="1"/>
    <xf numFmtId="0" fontId="0" fillId="4" borderId="3" xfId="0" applyFill="1" applyBorder="1"/>
    <xf numFmtId="14" fontId="0" fillId="4" borderId="3" xfId="0" applyNumberFormat="1" applyFill="1" applyBorder="1"/>
    <xf numFmtId="0" fontId="0" fillId="4" borderId="3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/>
    <xf numFmtId="14" fontId="0" fillId="5" borderId="3" xfId="0" applyNumberFormat="1" applyFill="1" applyBorder="1"/>
    <xf numFmtId="0" fontId="0" fillId="5" borderId="3" xfId="0" applyFill="1" applyBorder="1"/>
    <xf numFmtId="0" fontId="0" fillId="5" borderId="0" xfId="0" applyFill="1"/>
    <xf numFmtId="0" fontId="0" fillId="4" borderId="0" xfId="0" applyFill="1"/>
    <xf numFmtId="0" fontId="7" fillId="0" borderId="3" xfId="0" applyFont="1" applyBorder="1"/>
    <xf numFmtId="0" fontId="7" fillId="0" borderId="0" xfId="0" applyFont="1"/>
    <xf numFmtId="164" fontId="8" fillId="0" borderId="3" xfId="0" applyNumberFormat="1" applyFont="1" applyBorder="1"/>
    <xf numFmtId="0" fontId="1" fillId="2" borderId="3" xfId="0" applyFont="1" applyFill="1" applyBorder="1" applyAlignment="1">
      <alignment horizontal="center"/>
    </xf>
    <xf numFmtId="0" fontId="6" fillId="6" borderId="3" xfId="0" applyFont="1" applyFill="1" applyBorder="1"/>
    <xf numFmtId="0" fontId="6" fillId="0" borderId="3" xfId="0" applyFont="1" applyBorder="1"/>
    <xf numFmtId="0" fontId="1" fillId="2" borderId="4" xfId="0" applyFont="1" applyFill="1" applyBorder="1" applyAlignment="1">
      <alignment horizontal="center"/>
    </xf>
    <xf numFmtId="1" fontId="3" fillId="0" borderId="4" xfId="0" applyNumberFormat="1" applyFont="1" applyBorder="1" applyAlignment="1">
      <alignment horizontal="left" vertical="center"/>
    </xf>
    <xf numFmtId="1" fontId="3" fillId="0" borderId="6" xfId="0" applyNumberFormat="1" applyFont="1" applyBorder="1" applyAlignment="1">
      <alignment horizontal="left" vertical="center"/>
    </xf>
    <xf numFmtId="1" fontId="3" fillId="0" borderId="5" xfId="0" applyNumberFormat="1" applyFont="1" applyBorder="1" applyAlignment="1">
      <alignment horizontal="left" vertical="center"/>
    </xf>
    <xf numFmtId="0" fontId="0" fillId="0" borderId="5" xfId="0" applyBorder="1"/>
    <xf numFmtId="15" fontId="1" fillId="2" borderId="3" xfId="0" applyNumberFormat="1" applyFont="1" applyFill="1" applyBorder="1"/>
    <xf numFmtId="0" fontId="3" fillId="0" borderId="5" xfId="0" applyFont="1" applyBorder="1" applyAlignment="1">
      <alignment vertical="center"/>
    </xf>
    <xf numFmtId="10" fontId="0" fillId="0" borderId="5" xfId="1" applyNumberFormat="1" applyFont="1" applyBorder="1"/>
    <xf numFmtId="0" fontId="10" fillId="7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left" vertical="center"/>
    </xf>
    <xf numFmtId="164" fontId="10" fillId="0" borderId="3" xfId="0" applyNumberFormat="1" applyFont="1" applyBorder="1" applyAlignment="1">
      <alignment horizontal="center"/>
    </xf>
    <xf numFmtId="9" fontId="10" fillId="0" borderId="3" xfId="0" applyNumberFormat="1" applyFont="1" applyBorder="1" applyAlignment="1">
      <alignment horizontal="center"/>
    </xf>
    <xf numFmtId="2" fontId="10" fillId="0" borderId="3" xfId="0" applyNumberFormat="1" applyFont="1" applyBorder="1" applyAlignment="1">
      <alignment horizontal="center"/>
    </xf>
    <xf numFmtId="164" fontId="10" fillId="0" borderId="0" xfId="0" applyNumberFormat="1" applyFont="1" applyAlignment="1">
      <alignment horizontal="center"/>
    </xf>
    <xf numFmtId="0" fontId="10" fillId="4" borderId="7" xfId="0" applyFont="1" applyFill="1" applyBorder="1" applyAlignment="1">
      <alignment horizontal="center"/>
    </xf>
    <xf numFmtId="0" fontId="10" fillId="4" borderId="7" xfId="0" applyFont="1" applyFill="1" applyBorder="1" applyAlignment="1">
      <alignment horizontal="left" vertical="center"/>
    </xf>
    <xf numFmtId="164" fontId="10" fillId="0" borderId="7" xfId="0" applyNumberFormat="1" applyFont="1" applyBorder="1" applyAlignment="1">
      <alignment horizontal="center"/>
    </xf>
    <xf numFmtId="9" fontId="10" fillId="0" borderId="7" xfId="0" applyNumberFormat="1" applyFont="1" applyBorder="1" applyAlignment="1">
      <alignment horizontal="center"/>
    </xf>
    <xf numFmtId="2" fontId="10" fillId="0" borderId="7" xfId="0" applyNumberFormat="1" applyFont="1" applyBorder="1" applyAlignment="1">
      <alignment horizontal="center"/>
    </xf>
    <xf numFmtId="0" fontId="11" fillId="8" borderId="3" xfId="0" applyFont="1" applyFill="1" applyBorder="1" applyAlignment="1">
      <alignment horizontal="center"/>
    </xf>
    <xf numFmtId="10" fontId="11" fillId="8" borderId="3" xfId="0" applyNumberFormat="1" applyFont="1" applyFill="1" applyBorder="1" applyAlignment="1">
      <alignment horizontal="center"/>
    </xf>
    <xf numFmtId="165" fontId="10" fillId="0" borderId="3" xfId="0" applyNumberFormat="1" applyFont="1" applyBorder="1" applyAlignment="1">
      <alignment horizontal="center"/>
    </xf>
    <xf numFmtId="165" fontId="10" fillId="0" borderId="7" xfId="0" applyNumberFormat="1" applyFont="1" applyBorder="1" applyAlignment="1">
      <alignment horizontal="center"/>
    </xf>
    <xf numFmtId="165" fontId="0" fillId="0" borderId="3" xfId="0" applyNumberFormat="1" applyBorder="1"/>
    <xf numFmtId="15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0" fontId="8" fillId="0" borderId="3" xfId="1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2" fontId="8" fillId="0" borderId="3" xfId="1" applyNumberFormat="1" applyFont="1" applyBorder="1" applyAlignment="1">
      <alignment horizontal="center" vertical="center"/>
    </xf>
    <xf numFmtId="0" fontId="11" fillId="8" borderId="5" xfId="0" applyFont="1" applyFill="1" applyBorder="1" applyAlignment="1">
      <alignment horizontal="center"/>
    </xf>
    <xf numFmtId="0" fontId="11" fillId="8" borderId="8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22/11/relationships/FeaturePropertyBag" Target="featurePropertyBag/featurePropertyBag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ri2-my.sharepoint.com/personal/00136153_hq_bri_co_id/Documents/Assurance%20Team/00%20-%20Data%20RAC/Update/Moneva%20Update/Moneva%20Update%2024%20September/PIC.xlsx" TargetMode="External"/><Relationship Id="rId1" Type="http://schemas.openxmlformats.org/officeDocument/2006/relationships/externalLinkPath" Target="PIC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R%20Periode%20Sept%20(Agustus)%202026.xlsx" TargetMode="External"/><Relationship Id="rId2" Type="http://schemas.openxmlformats.org/officeDocument/2006/relationships/externalLinkPath" Target="https://bri2-my.sharepoint.com/personal/00136153_hq_bri_co_id/Documents/Assurance%20Team/00%20-%20Data%20RAC/STR%20Periode%20Sept%20(Agustus)%202026.xlsx" TargetMode="External"/><Relationship Id="rId1" Type="http://schemas.openxmlformats.org/officeDocument/2006/relationships/externalLinkPath" Target="/personal/00136153_hq_bri_co_id/Documents/Assurance%20Team/00%20-%20Data%20RAC/STR%20Periode%20Sept%20(Agustus)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AC%20Team/Moneva/Region%2011%20-%20Yogyakarta/Data%20Evaluasi%20Yogyakarta.xlsx" TargetMode="External"/><Relationship Id="rId2" Type="http://schemas.openxmlformats.org/officeDocument/2006/relationships/externalLinkPath" Target="https://bri2-my.sharepoint.com/personal/00136153_hq_bri_co_id/Documents/Assurance%20Team/RAC%20Team/Moneva/Region%2011%20-%20Yogyakarta/Data%20Evaluasi%20Yogyakarta.xlsx" TargetMode="External"/><Relationship Id="rId1" Type="http://schemas.openxmlformats.org/officeDocument/2006/relationships/externalLinkPath" Target="/personal/00136153_hq_bri_co_id/Documents/Assurance%20Team/RAC%20Team/Moneva/Region%2011%20-%20Yogyakarta/Data%20Evaluasi%20Yogyakarta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TKM/11.%20Penilaian%20Region%2011%20Yogyakarta.xlsx" TargetMode="External"/><Relationship Id="rId2" Type="http://schemas.openxmlformats.org/officeDocument/2006/relationships/externalLinkPath" Target="https://bri2-my.sharepoint.com/personal/00136153_hq_bri_co_id/Documents/Assurance%20Team/00%20-%20Data%20RAC/LTKM/11.%20Penilaian%20Region%2011%20Yogyakarta.xlsx" TargetMode="External"/><Relationship Id="rId1" Type="http://schemas.openxmlformats.org/officeDocument/2006/relationships/externalLinkPath" Target="/personal/00136153_hq_bri_co_id/Documents/Assurance%20Team/00%20-%20Data%20RAC/LTKM/11.%20Penilaian%20Region%2011%20Yogyakar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S3VAU7IC6IHFBY4OURAYB6ELAC">
      <xxl21:absoluteUrl r:id="rId2"/>
    </xxl21:alternateUrls>
    <sheetNames>
      <sheetName val="Sosialisasi"/>
      <sheetName val="Nilai Self Learning"/>
      <sheetName val="Sheet4"/>
      <sheetName val="Kepesertaan Self Learning"/>
      <sheetName val="Pengkinian Data"/>
      <sheetName val="Bad Data"/>
      <sheetName val="PEP"/>
      <sheetName val="Sheet3"/>
      <sheetName val="Sheet2 (3)"/>
      <sheetName val="Sheet2 (2)"/>
      <sheetName val="Sheet1"/>
      <sheetName val="Sheet2"/>
    </sheetNames>
    <sheetDataSet>
      <sheetData sheetId="0">
        <row r="2">
          <cell r="C2" t="str">
            <v>Andi Faisal Putra</v>
          </cell>
          <cell r="D2">
            <v>0</v>
          </cell>
        </row>
        <row r="3">
          <cell r="C3" t="str">
            <v>Andi Faisal Putra</v>
          </cell>
          <cell r="D3">
            <v>0</v>
          </cell>
        </row>
        <row r="4">
          <cell r="C4" t="str">
            <v>Andi Faisal Putra</v>
          </cell>
          <cell r="D4">
            <v>0</v>
          </cell>
        </row>
        <row r="5">
          <cell r="C5" t="str">
            <v>Andi Faisal Putra</v>
          </cell>
          <cell r="D5">
            <v>0</v>
          </cell>
        </row>
        <row r="6">
          <cell r="C6" t="str">
            <v>Andi Faisal Putra</v>
          </cell>
          <cell r="D6">
            <v>1</v>
          </cell>
        </row>
        <row r="7">
          <cell r="C7" t="str">
            <v>Andi Faisal Putra</v>
          </cell>
          <cell r="D7">
            <v>0</v>
          </cell>
        </row>
        <row r="8">
          <cell r="C8" t="str">
            <v>Andi Faisal Putra</v>
          </cell>
          <cell r="D8">
            <v>0</v>
          </cell>
        </row>
        <row r="9">
          <cell r="C9" t="str">
            <v>Andi Faisal Putra</v>
          </cell>
          <cell r="D9">
            <v>0</v>
          </cell>
        </row>
        <row r="10">
          <cell r="C10" t="str">
            <v>Andi Faisal Putra</v>
          </cell>
          <cell r="D10">
            <v>0</v>
          </cell>
        </row>
        <row r="11">
          <cell r="C11" t="str">
            <v>Andi Faisal Putra</v>
          </cell>
          <cell r="D11">
            <v>0</v>
          </cell>
        </row>
        <row r="12">
          <cell r="C12" t="str">
            <v>Andi Perkasa</v>
          </cell>
          <cell r="D12">
            <v>0</v>
          </cell>
        </row>
        <row r="13">
          <cell r="C13" t="str">
            <v>Andi Perkasa</v>
          </cell>
          <cell r="D13">
            <v>1</v>
          </cell>
        </row>
        <row r="14">
          <cell r="C14" t="str">
            <v>Andi Perkasa</v>
          </cell>
          <cell r="D14">
            <v>1</v>
          </cell>
        </row>
        <row r="15">
          <cell r="C15" t="str">
            <v>Andi Perkasa</v>
          </cell>
          <cell r="D15">
            <v>0</v>
          </cell>
        </row>
        <row r="16">
          <cell r="C16" t="str">
            <v>Andi Perkasa</v>
          </cell>
          <cell r="D16">
            <v>0</v>
          </cell>
        </row>
        <row r="17">
          <cell r="C17" t="str">
            <v>Andi Perkasa</v>
          </cell>
          <cell r="D17">
            <v>0</v>
          </cell>
        </row>
        <row r="18">
          <cell r="C18" t="str">
            <v>Andi Perkasa</v>
          </cell>
          <cell r="D18">
            <v>0</v>
          </cell>
        </row>
        <row r="19">
          <cell r="C19" t="str">
            <v>Andi Perkasa</v>
          </cell>
          <cell r="D19">
            <v>0</v>
          </cell>
        </row>
        <row r="20">
          <cell r="C20" t="str">
            <v>Andi Perkasa</v>
          </cell>
          <cell r="D20">
            <v>0</v>
          </cell>
        </row>
        <row r="21">
          <cell r="C21" t="str">
            <v>Janse Paburru</v>
          </cell>
          <cell r="D21">
            <v>0</v>
          </cell>
        </row>
        <row r="22">
          <cell r="C22" t="str">
            <v>Janse Paburru</v>
          </cell>
          <cell r="D22">
            <v>1</v>
          </cell>
        </row>
        <row r="23">
          <cell r="C23" t="str">
            <v>Janse Paburru</v>
          </cell>
          <cell r="D23">
            <v>0</v>
          </cell>
        </row>
        <row r="24">
          <cell r="C24" t="str">
            <v>Janse Paburru</v>
          </cell>
          <cell r="D24">
            <v>0</v>
          </cell>
        </row>
        <row r="25">
          <cell r="C25" t="str">
            <v>Janse Paburru</v>
          </cell>
          <cell r="D25">
            <v>0</v>
          </cell>
        </row>
        <row r="26">
          <cell r="C26" t="str">
            <v>Janse Paburru</v>
          </cell>
          <cell r="D26">
            <v>1</v>
          </cell>
        </row>
        <row r="27">
          <cell r="C27" t="str">
            <v>Janse Paburru</v>
          </cell>
          <cell r="D27">
            <v>1</v>
          </cell>
        </row>
        <row r="28">
          <cell r="C28" t="str">
            <v>Janse Paburru</v>
          </cell>
          <cell r="D28">
            <v>0</v>
          </cell>
        </row>
        <row r="29">
          <cell r="C29" t="str">
            <v>M Sardi Rampo</v>
          </cell>
          <cell r="D29">
            <v>0</v>
          </cell>
        </row>
        <row r="30">
          <cell r="C30" t="str">
            <v>M Sardi Rampo</v>
          </cell>
          <cell r="D30">
            <v>0</v>
          </cell>
        </row>
        <row r="31">
          <cell r="C31" t="str">
            <v>M Sardi Rampo</v>
          </cell>
          <cell r="D31">
            <v>0</v>
          </cell>
        </row>
        <row r="32">
          <cell r="C32" t="str">
            <v>M Sardi Rampo</v>
          </cell>
          <cell r="D32">
            <v>0</v>
          </cell>
        </row>
        <row r="33">
          <cell r="C33" t="str">
            <v>M Sardi Rampo</v>
          </cell>
          <cell r="D33">
            <v>0</v>
          </cell>
        </row>
        <row r="34">
          <cell r="C34" t="str">
            <v>M Sardi Rampo</v>
          </cell>
          <cell r="D34">
            <v>0</v>
          </cell>
        </row>
        <row r="35">
          <cell r="C35" t="str">
            <v>M Sardi Rampo</v>
          </cell>
          <cell r="D35">
            <v>0</v>
          </cell>
        </row>
        <row r="36">
          <cell r="C36" t="str">
            <v>M Sardi Rampo</v>
          </cell>
          <cell r="D36">
            <v>0</v>
          </cell>
        </row>
        <row r="37">
          <cell r="C37" t="str">
            <v>M Sardi Rampo</v>
          </cell>
          <cell r="D37">
            <v>0</v>
          </cell>
        </row>
        <row r="38">
          <cell r="C38" t="str">
            <v>M Sardi Rampo</v>
          </cell>
          <cell r="D38">
            <v>0</v>
          </cell>
        </row>
        <row r="39">
          <cell r="C39"/>
          <cell r="D39">
            <v>0</v>
          </cell>
        </row>
        <row r="40">
          <cell r="C40" t="str">
            <v>Ariyanto B</v>
          </cell>
          <cell r="D40">
            <v>0</v>
          </cell>
        </row>
        <row r="41">
          <cell r="C41" t="str">
            <v>Ariyanto B</v>
          </cell>
          <cell r="D41">
            <v>0</v>
          </cell>
        </row>
        <row r="42">
          <cell r="C42" t="str">
            <v>Ariyanto B</v>
          </cell>
          <cell r="D42">
            <v>1</v>
          </cell>
        </row>
        <row r="43">
          <cell r="C43" t="str">
            <v>Ariyanto B</v>
          </cell>
          <cell r="D43">
            <v>0</v>
          </cell>
        </row>
        <row r="44">
          <cell r="C44" t="str">
            <v>Ariyanto B</v>
          </cell>
          <cell r="D44">
            <v>0</v>
          </cell>
        </row>
        <row r="45">
          <cell r="C45" t="str">
            <v>Ariyanto B</v>
          </cell>
          <cell r="D45">
            <v>1</v>
          </cell>
        </row>
        <row r="46">
          <cell r="C46" t="str">
            <v>Ariyanto B</v>
          </cell>
          <cell r="D46">
            <v>0</v>
          </cell>
        </row>
        <row r="47">
          <cell r="C47" t="str">
            <v>Ryan Fabella Lisa</v>
          </cell>
          <cell r="D47">
            <v>1</v>
          </cell>
        </row>
        <row r="48">
          <cell r="C48" t="str">
            <v>Ryan Fabella Lisa</v>
          </cell>
          <cell r="D48">
            <v>0</v>
          </cell>
        </row>
        <row r="49">
          <cell r="C49" t="str">
            <v>Ryan Fabella Lisa</v>
          </cell>
          <cell r="D49">
            <v>1</v>
          </cell>
        </row>
        <row r="50">
          <cell r="C50" t="str">
            <v>Ryan Fabella Lisa</v>
          </cell>
          <cell r="D50">
            <v>0</v>
          </cell>
        </row>
        <row r="51">
          <cell r="C51" t="str">
            <v>Ryan Fabella Lisa</v>
          </cell>
          <cell r="D51">
            <v>1</v>
          </cell>
        </row>
        <row r="52">
          <cell r="C52" t="str">
            <v>Ryan Fabella Lisa</v>
          </cell>
          <cell r="D52">
            <v>0</v>
          </cell>
        </row>
        <row r="53">
          <cell r="C53" t="str">
            <v>Ryan Fabella Lisa</v>
          </cell>
          <cell r="D53">
            <v>0</v>
          </cell>
        </row>
        <row r="54">
          <cell r="C54"/>
          <cell r="D54">
            <v>0</v>
          </cell>
        </row>
        <row r="55">
          <cell r="C55" t="str">
            <v>Rinaldi Wicaksana</v>
          </cell>
          <cell r="D55">
            <v>1</v>
          </cell>
        </row>
        <row r="56">
          <cell r="C56" t="str">
            <v>Rinaldi Wicaksana</v>
          </cell>
          <cell r="D56">
            <v>0</v>
          </cell>
        </row>
        <row r="57">
          <cell r="C57" t="str">
            <v>Rinaldi Wicaksana</v>
          </cell>
          <cell r="D57">
            <v>0</v>
          </cell>
        </row>
        <row r="58">
          <cell r="C58" t="str">
            <v>Rinaldi Wicaksana</v>
          </cell>
          <cell r="D58">
            <v>0</v>
          </cell>
        </row>
        <row r="59">
          <cell r="C59" t="str">
            <v>Rinaldi Wicaksana</v>
          </cell>
          <cell r="D59">
            <v>1</v>
          </cell>
        </row>
        <row r="60">
          <cell r="C60" t="str">
            <v>Rinaldi Wicaksana</v>
          </cell>
          <cell r="D60">
            <v>0</v>
          </cell>
        </row>
        <row r="61">
          <cell r="C61" t="str">
            <v>Rinaldi Wicaksana</v>
          </cell>
          <cell r="D61">
            <v>0</v>
          </cell>
        </row>
        <row r="62">
          <cell r="C62" t="str">
            <v>Rinaldi Wicaksana</v>
          </cell>
          <cell r="D62">
            <v>0</v>
          </cell>
        </row>
        <row r="63">
          <cell r="C63" t="str">
            <v>Rinaldi Wicaksana</v>
          </cell>
          <cell r="D63">
            <v>0</v>
          </cell>
        </row>
        <row r="64">
          <cell r="C64" t="str">
            <v>Rinaldi Wicaksana</v>
          </cell>
          <cell r="D64">
            <v>0</v>
          </cell>
        </row>
        <row r="65">
          <cell r="C65" t="str">
            <v>Rinaldi Wicaksana</v>
          </cell>
          <cell r="D65">
            <v>0</v>
          </cell>
        </row>
        <row r="66">
          <cell r="C66" t="str">
            <v>Rinaldi Wicaksana</v>
          </cell>
          <cell r="D66">
            <v>0</v>
          </cell>
        </row>
        <row r="67">
          <cell r="C67" t="str">
            <v>Rinaldi Wicaksana</v>
          </cell>
          <cell r="D67">
            <v>0</v>
          </cell>
        </row>
        <row r="68">
          <cell r="C68"/>
          <cell r="D68">
            <v>0</v>
          </cell>
        </row>
        <row r="69">
          <cell r="C69" t="str">
            <v>Imelda Mayestika P.</v>
          </cell>
          <cell r="D69">
            <v>0</v>
          </cell>
        </row>
        <row r="70">
          <cell r="C70" t="str">
            <v>Imelda Mayestika P.</v>
          </cell>
          <cell r="D70">
            <v>0</v>
          </cell>
        </row>
        <row r="71">
          <cell r="C71" t="str">
            <v>Imelda Mayestika P.</v>
          </cell>
          <cell r="D71">
            <v>0</v>
          </cell>
        </row>
        <row r="72">
          <cell r="C72" t="str">
            <v>Imelda Mayestika P.</v>
          </cell>
          <cell r="D72">
            <v>0</v>
          </cell>
        </row>
        <row r="73">
          <cell r="C73" t="str">
            <v>Imelda Mayestika P.</v>
          </cell>
          <cell r="D73">
            <v>0</v>
          </cell>
        </row>
        <row r="74">
          <cell r="C74" t="str">
            <v>Imelda Mayestika P.</v>
          </cell>
          <cell r="D74">
            <v>0</v>
          </cell>
        </row>
        <row r="75">
          <cell r="C75" t="str">
            <v>Imelda Mayestika P.</v>
          </cell>
          <cell r="D75">
            <v>0</v>
          </cell>
        </row>
        <row r="76">
          <cell r="C76" t="str">
            <v>Imelda Mayestika P.</v>
          </cell>
          <cell r="D76">
            <v>0</v>
          </cell>
        </row>
        <row r="77">
          <cell r="C77" t="str">
            <v>Imelda Mayestika P.</v>
          </cell>
          <cell r="D77">
            <v>0</v>
          </cell>
        </row>
        <row r="78">
          <cell r="C78" t="str">
            <v>Imelda Mayestika P.</v>
          </cell>
          <cell r="D78">
            <v>0</v>
          </cell>
        </row>
        <row r="79">
          <cell r="C79" t="str">
            <v>Imelda Mayestika P.</v>
          </cell>
          <cell r="D79">
            <v>0</v>
          </cell>
        </row>
        <row r="80">
          <cell r="C80" t="str">
            <v>Imelda Mayestika P.</v>
          </cell>
          <cell r="D80">
            <v>0</v>
          </cell>
        </row>
        <row r="81">
          <cell r="C81" t="str">
            <v>Imelda Mayestika P.</v>
          </cell>
          <cell r="D81">
            <v>0</v>
          </cell>
        </row>
        <row r="82">
          <cell r="C82" t="str">
            <v>Imelda Mayestika P.</v>
          </cell>
          <cell r="D82">
            <v>0</v>
          </cell>
        </row>
        <row r="83">
          <cell r="C83" t="str">
            <v>Imelda Mayestika P.</v>
          </cell>
          <cell r="D83">
            <v>0</v>
          </cell>
        </row>
        <row r="84">
          <cell r="C84" t="str">
            <v>Imelda Mayestika P.</v>
          </cell>
          <cell r="D84">
            <v>0</v>
          </cell>
        </row>
        <row r="85">
          <cell r="C85" t="str">
            <v>Imelda Mayestika P.</v>
          </cell>
          <cell r="D85">
            <v>0</v>
          </cell>
        </row>
        <row r="86">
          <cell r="C86" t="str">
            <v>Imelda Mayestika P.</v>
          </cell>
          <cell r="D86">
            <v>0</v>
          </cell>
        </row>
        <row r="87">
          <cell r="C87" t="str">
            <v>Imelda Mayestika P.</v>
          </cell>
          <cell r="D87">
            <v>0</v>
          </cell>
        </row>
        <row r="88">
          <cell r="C88" t="str">
            <v>Imelda Mayestika P.</v>
          </cell>
          <cell r="D88">
            <v>0</v>
          </cell>
        </row>
        <row r="89">
          <cell r="C89" t="str">
            <v>Imelda Mayestika P.</v>
          </cell>
          <cell r="D89">
            <v>0</v>
          </cell>
        </row>
        <row r="90">
          <cell r="C90" t="str">
            <v>Imelda Mayestika P.</v>
          </cell>
          <cell r="D90">
            <v>0</v>
          </cell>
        </row>
        <row r="91">
          <cell r="C91" t="str">
            <v>Imelda Mayestika P.</v>
          </cell>
          <cell r="D91">
            <v>0</v>
          </cell>
        </row>
        <row r="92">
          <cell r="C92" t="str">
            <v>Imelda Mayestika P.</v>
          </cell>
          <cell r="D92">
            <v>0</v>
          </cell>
        </row>
        <row r="93">
          <cell r="C93" t="str">
            <v>Imelda Mayestika P.</v>
          </cell>
          <cell r="D93">
            <v>0</v>
          </cell>
        </row>
        <row r="94">
          <cell r="C94" t="str">
            <v>Imelda Mayestika P.</v>
          </cell>
          <cell r="D94">
            <v>0</v>
          </cell>
        </row>
        <row r="95">
          <cell r="C95" t="str">
            <v>Imelda Mayestika P.</v>
          </cell>
          <cell r="D95">
            <v>0</v>
          </cell>
        </row>
        <row r="96">
          <cell r="C96" t="str">
            <v>Imelda Mayestika P.</v>
          </cell>
          <cell r="D96">
            <v>0</v>
          </cell>
        </row>
        <row r="97">
          <cell r="C97" t="str">
            <v>Imelda Mayestika P.</v>
          </cell>
          <cell r="D97">
            <v>0</v>
          </cell>
        </row>
        <row r="98">
          <cell r="C98" t="str">
            <v>Imelda Mayestika P.</v>
          </cell>
          <cell r="D98">
            <v>0</v>
          </cell>
        </row>
        <row r="99">
          <cell r="C99" t="str">
            <v>Imelda Mayestika P.</v>
          </cell>
          <cell r="D99">
            <v>0</v>
          </cell>
        </row>
        <row r="100">
          <cell r="C100" t="str">
            <v>Imelda Mayestika P.</v>
          </cell>
          <cell r="D100">
            <v>0</v>
          </cell>
        </row>
        <row r="101">
          <cell r="C101"/>
          <cell r="D101">
            <v>0</v>
          </cell>
        </row>
        <row r="102">
          <cell r="C102" t="str">
            <v>Dewa Nyoman Wedana</v>
          </cell>
          <cell r="D102">
            <v>0</v>
          </cell>
        </row>
        <row r="103">
          <cell r="C103" t="str">
            <v>Dewa Nyoman Wedana</v>
          </cell>
          <cell r="D103">
            <v>0</v>
          </cell>
        </row>
        <row r="104">
          <cell r="C104" t="str">
            <v>Dewa Nyoman Wedana</v>
          </cell>
          <cell r="D104">
            <v>0</v>
          </cell>
        </row>
        <row r="105">
          <cell r="C105" t="str">
            <v>Dewa Nyoman Wedana</v>
          </cell>
          <cell r="D105">
            <v>0</v>
          </cell>
        </row>
        <row r="106">
          <cell r="C106" t="str">
            <v>Dewa Nyoman Wedana</v>
          </cell>
          <cell r="D106">
            <v>1</v>
          </cell>
        </row>
        <row r="107">
          <cell r="C107" t="str">
            <v>Dewa Nyoman Wedana</v>
          </cell>
          <cell r="D107">
            <v>0</v>
          </cell>
        </row>
        <row r="108">
          <cell r="C108" t="str">
            <v>Dewa Nyoman Wedana</v>
          </cell>
          <cell r="D108">
            <v>1</v>
          </cell>
        </row>
        <row r="109">
          <cell r="C109" t="str">
            <v>Dewa Nyoman Wedana</v>
          </cell>
          <cell r="D109">
            <v>0</v>
          </cell>
        </row>
        <row r="110">
          <cell r="C110" t="str">
            <v>Dewa Nyoman Wedana</v>
          </cell>
          <cell r="D110">
            <v>0</v>
          </cell>
        </row>
        <row r="111">
          <cell r="C111" t="str">
            <v>Dewa Nyoman Wedana</v>
          </cell>
          <cell r="D111">
            <v>0</v>
          </cell>
        </row>
        <row r="112">
          <cell r="C112" t="str">
            <v>Dewa Nyoman Wedana</v>
          </cell>
          <cell r="D112">
            <v>1</v>
          </cell>
        </row>
        <row r="113">
          <cell r="C113" t="str">
            <v>I Made Budiartha</v>
          </cell>
          <cell r="D113">
            <v>0</v>
          </cell>
        </row>
        <row r="114">
          <cell r="C114" t="str">
            <v>I Made Budiartha</v>
          </cell>
          <cell r="D114">
            <v>0</v>
          </cell>
        </row>
        <row r="115">
          <cell r="C115" t="str">
            <v>I Made Budiartha</v>
          </cell>
          <cell r="D115">
            <v>0</v>
          </cell>
        </row>
        <row r="116">
          <cell r="C116" t="str">
            <v>I Made Budiartha</v>
          </cell>
          <cell r="D116">
            <v>0</v>
          </cell>
        </row>
        <row r="117">
          <cell r="C117" t="str">
            <v>I Made Budiartha</v>
          </cell>
          <cell r="D117">
            <v>0</v>
          </cell>
        </row>
        <row r="118">
          <cell r="C118" t="str">
            <v>I Made Budiartha</v>
          </cell>
          <cell r="D118">
            <v>1</v>
          </cell>
        </row>
        <row r="119">
          <cell r="C119" t="str">
            <v>I Made Budiartha</v>
          </cell>
          <cell r="D119">
            <v>0</v>
          </cell>
        </row>
        <row r="120">
          <cell r="C120" t="str">
            <v>I Made Budiartha</v>
          </cell>
          <cell r="D120">
            <v>0</v>
          </cell>
        </row>
        <row r="121">
          <cell r="C121" t="str">
            <v>I Made Budiartha</v>
          </cell>
          <cell r="D121">
            <v>1</v>
          </cell>
        </row>
        <row r="122">
          <cell r="C122" t="str">
            <v>I Made Budiartha</v>
          </cell>
          <cell r="D122">
            <v>0</v>
          </cell>
        </row>
        <row r="123">
          <cell r="C123" t="str">
            <v>I Made Budiartha</v>
          </cell>
          <cell r="D123">
            <v>0</v>
          </cell>
        </row>
        <row r="124">
          <cell r="C124" t="str">
            <v>I Made Budiartha</v>
          </cell>
          <cell r="D124">
            <v>0</v>
          </cell>
        </row>
        <row r="125">
          <cell r="C125" t="str">
            <v>I Made Budiartha</v>
          </cell>
          <cell r="D125">
            <v>1</v>
          </cell>
        </row>
        <row r="126">
          <cell r="C126" t="str">
            <v>Ida Bagus Pidada Manuaba</v>
          </cell>
          <cell r="D126">
            <v>0</v>
          </cell>
        </row>
        <row r="127">
          <cell r="C127" t="str">
            <v>Ida Bagus Pidada Manuaba</v>
          </cell>
          <cell r="D127">
            <v>1</v>
          </cell>
        </row>
        <row r="128">
          <cell r="C128" t="str">
            <v>Ida Bagus Pidada Manuaba</v>
          </cell>
          <cell r="D128">
            <v>0</v>
          </cell>
        </row>
        <row r="129">
          <cell r="C129" t="str">
            <v>Ida Bagus Pidada Manuaba</v>
          </cell>
          <cell r="D129">
            <v>1</v>
          </cell>
        </row>
        <row r="130">
          <cell r="C130" t="str">
            <v>Ida Bagus Pidada Manuaba</v>
          </cell>
          <cell r="D130">
            <v>0</v>
          </cell>
        </row>
        <row r="131">
          <cell r="C131" t="str">
            <v>Ida Bagus Pidada Manuaba</v>
          </cell>
          <cell r="D131">
            <v>0</v>
          </cell>
        </row>
        <row r="132">
          <cell r="C132" t="str">
            <v>Ida Bagus Pidada Manuaba</v>
          </cell>
          <cell r="D132">
            <v>0</v>
          </cell>
        </row>
        <row r="133">
          <cell r="C133" t="str">
            <v>Ida Bagus Pidada Manuaba</v>
          </cell>
          <cell r="D133">
            <v>0</v>
          </cell>
        </row>
        <row r="134">
          <cell r="C134"/>
          <cell r="D134">
            <v>0</v>
          </cell>
        </row>
        <row r="135">
          <cell r="C135" t="str">
            <v>Boby Sukmawijaya</v>
          </cell>
          <cell r="D135">
            <v>0</v>
          </cell>
        </row>
        <row r="136">
          <cell r="C136" t="str">
            <v>Boby Sukmawijaya</v>
          </cell>
          <cell r="D136">
            <v>0</v>
          </cell>
        </row>
        <row r="137">
          <cell r="C137" t="str">
            <v>Boby Sukmawijaya</v>
          </cell>
          <cell r="D137">
            <v>0</v>
          </cell>
        </row>
        <row r="138">
          <cell r="C138" t="str">
            <v>Boby Sukmawijaya</v>
          </cell>
          <cell r="D138">
            <v>0</v>
          </cell>
        </row>
        <row r="139">
          <cell r="C139" t="str">
            <v>Boby Sukmawijaya</v>
          </cell>
          <cell r="D139">
            <v>0</v>
          </cell>
        </row>
        <row r="140">
          <cell r="C140" t="str">
            <v>Boby Sukmawijaya</v>
          </cell>
          <cell r="D140">
            <v>0</v>
          </cell>
        </row>
        <row r="141">
          <cell r="C141" t="str">
            <v>Boby Sukmawijaya</v>
          </cell>
          <cell r="D141">
            <v>0</v>
          </cell>
        </row>
        <row r="142">
          <cell r="C142" t="str">
            <v>Boby Sukmawijaya</v>
          </cell>
          <cell r="D142">
            <v>0</v>
          </cell>
        </row>
        <row r="143">
          <cell r="C143" t="str">
            <v>Boby Sukmawijaya</v>
          </cell>
          <cell r="D143">
            <v>0</v>
          </cell>
        </row>
        <row r="144">
          <cell r="C144" t="str">
            <v>Boby Sukmawijaya</v>
          </cell>
          <cell r="D144">
            <v>0</v>
          </cell>
        </row>
        <row r="145">
          <cell r="C145" t="str">
            <v>Boby Sukmawijaya</v>
          </cell>
          <cell r="D145">
            <v>0</v>
          </cell>
        </row>
        <row r="146">
          <cell r="C146" t="str">
            <v>Boby Sukmawijaya</v>
          </cell>
          <cell r="D146">
            <v>0</v>
          </cell>
        </row>
        <row r="147">
          <cell r="C147" t="str">
            <v>Boby Sukmawijaya</v>
          </cell>
          <cell r="D147">
            <v>0</v>
          </cell>
        </row>
        <row r="148">
          <cell r="C148" t="str">
            <v>Boby Sukmawijaya</v>
          </cell>
          <cell r="D148">
            <v>0</v>
          </cell>
        </row>
        <row r="149">
          <cell r="C149" t="str">
            <v>Boby Sukmawijaya</v>
          </cell>
          <cell r="D149">
            <v>0</v>
          </cell>
        </row>
        <row r="150">
          <cell r="C150" t="str">
            <v>Boby Sukmawijaya</v>
          </cell>
          <cell r="D150">
            <v>0</v>
          </cell>
        </row>
        <row r="151">
          <cell r="C151" t="str">
            <v>Boby Sukmawijaya</v>
          </cell>
          <cell r="D151">
            <v>0</v>
          </cell>
        </row>
        <row r="152">
          <cell r="C152" t="str">
            <v>Boby Sukmawijaya</v>
          </cell>
          <cell r="D152">
            <v>0</v>
          </cell>
        </row>
        <row r="153">
          <cell r="C153" t="str">
            <v>Boby Sukmawijaya</v>
          </cell>
          <cell r="D153">
            <v>0</v>
          </cell>
        </row>
        <row r="154">
          <cell r="C154" t="str">
            <v>Boby Sukmawijaya</v>
          </cell>
          <cell r="D154">
            <v>0</v>
          </cell>
        </row>
        <row r="155">
          <cell r="C155" t="str">
            <v>Boby Sukmawijaya</v>
          </cell>
          <cell r="D155">
            <v>0</v>
          </cell>
        </row>
        <row r="156">
          <cell r="C156" t="str">
            <v>Boby Sukmawijaya</v>
          </cell>
          <cell r="D156">
            <v>0</v>
          </cell>
        </row>
        <row r="157">
          <cell r="C157" t="str">
            <v>Boby Sukmawijaya</v>
          </cell>
          <cell r="D157">
            <v>0</v>
          </cell>
        </row>
        <row r="158">
          <cell r="C158" t="str">
            <v>Boby Sukmawijaya</v>
          </cell>
          <cell r="D158">
            <v>0</v>
          </cell>
        </row>
        <row r="159">
          <cell r="C159" t="str">
            <v>Boby Sukmawijaya</v>
          </cell>
          <cell r="D159">
            <v>0</v>
          </cell>
        </row>
        <row r="160">
          <cell r="C160" t="str">
            <v>Boby Sukmawijaya</v>
          </cell>
          <cell r="D160">
            <v>0</v>
          </cell>
        </row>
        <row r="161">
          <cell r="C161" t="str">
            <v>Boby Sukmawijaya</v>
          </cell>
          <cell r="D161">
            <v>0</v>
          </cell>
        </row>
        <row r="162">
          <cell r="C162" t="str">
            <v>Boby Sukmawijaya</v>
          </cell>
          <cell r="D162">
            <v>0</v>
          </cell>
        </row>
        <row r="163">
          <cell r="C163" t="str">
            <v>Boby Sukmawijaya</v>
          </cell>
          <cell r="D163">
            <v>0</v>
          </cell>
        </row>
        <row r="164">
          <cell r="C164" t="str">
            <v>Boby Sukmawijaya</v>
          </cell>
          <cell r="D164">
            <v>0</v>
          </cell>
        </row>
        <row r="165">
          <cell r="C165" t="str">
            <v>Boby Sukmawijaya</v>
          </cell>
          <cell r="D165">
            <v>0</v>
          </cell>
        </row>
        <row r="166">
          <cell r="C166" t="str">
            <v>Boby Sukmawijaya</v>
          </cell>
          <cell r="D166">
            <v>0</v>
          </cell>
        </row>
        <row r="167">
          <cell r="C167" t="str">
            <v>Boby Sukmawijaya</v>
          </cell>
          <cell r="D167">
            <v>0</v>
          </cell>
        </row>
        <row r="168">
          <cell r="C168" t="str">
            <v>Boby Sukmawijaya</v>
          </cell>
          <cell r="D168">
            <v>0</v>
          </cell>
        </row>
        <row r="169">
          <cell r="C169" t="str">
            <v>Boby Sukmawijaya</v>
          </cell>
          <cell r="D169">
            <v>0</v>
          </cell>
        </row>
        <row r="170">
          <cell r="C170" t="str">
            <v>Boby Sukmawijaya</v>
          </cell>
          <cell r="D170">
            <v>0</v>
          </cell>
        </row>
        <row r="171">
          <cell r="C171" t="str">
            <v>Boby Sukmawijaya</v>
          </cell>
          <cell r="D171">
            <v>0</v>
          </cell>
        </row>
        <row r="172">
          <cell r="C172" t="str">
            <v>Boby Sukmawijaya</v>
          </cell>
          <cell r="D172">
            <v>0</v>
          </cell>
        </row>
        <row r="173">
          <cell r="C173" t="str">
            <v>Boby Sukmawijaya</v>
          </cell>
          <cell r="D173">
            <v>0</v>
          </cell>
        </row>
        <row r="174">
          <cell r="C174" t="str">
            <v>Boby Sukmawijaya</v>
          </cell>
          <cell r="D174">
            <v>0</v>
          </cell>
        </row>
        <row r="175">
          <cell r="C175"/>
          <cell r="D175">
            <v>0</v>
          </cell>
        </row>
        <row r="176">
          <cell r="C176" t="str">
            <v>Ari</v>
          </cell>
          <cell r="D176">
            <v>0</v>
          </cell>
        </row>
        <row r="177">
          <cell r="C177" t="str">
            <v>Ari</v>
          </cell>
          <cell r="D177">
            <v>0</v>
          </cell>
        </row>
        <row r="178">
          <cell r="C178" t="str">
            <v>Ari</v>
          </cell>
          <cell r="D178">
            <v>0</v>
          </cell>
        </row>
        <row r="179">
          <cell r="C179" t="str">
            <v>Ari</v>
          </cell>
          <cell r="D179">
            <v>0</v>
          </cell>
        </row>
        <row r="180">
          <cell r="C180" t="str">
            <v>Ari</v>
          </cell>
          <cell r="D180">
            <v>0</v>
          </cell>
        </row>
        <row r="181">
          <cell r="C181" t="str">
            <v>Ari</v>
          </cell>
          <cell r="D181">
            <v>0</v>
          </cell>
        </row>
        <row r="182">
          <cell r="C182" t="str">
            <v>Ari</v>
          </cell>
          <cell r="D182">
            <v>1</v>
          </cell>
        </row>
        <row r="183">
          <cell r="C183" t="str">
            <v>Ari</v>
          </cell>
          <cell r="D183">
            <v>1</v>
          </cell>
        </row>
        <row r="184">
          <cell r="C184" t="str">
            <v>Ari</v>
          </cell>
          <cell r="D184">
            <v>0</v>
          </cell>
        </row>
        <row r="185">
          <cell r="C185" t="str">
            <v>Ari</v>
          </cell>
          <cell r="D185">
            <v>0</v>
          </cell>
        </row>
        <row r="186">
          <cell r="C186" t="str">
            <v>Helvi</v>
          </cell>
          <cell r="D186">
            <v>0</v>
          </cell>
        </row>
        <row r="187">
          <cell r="C187" t="str">
            <v>Helvi</v>
          </cell>
          <cell r="D187">
            <v>1</v>
          </cell>
        </row>
        <row r="188">
          <cell r="C188" t="str">
            <v>Helvi</v>
          </cell>
          <cell r="D188">
            <v>0</v>
          </cell>
        </row>
        <row r="189">
          <cell r="C189" t="str">
            <v>Helvi</v>
          </cell>
          <cell r="D189">
            <v>0</v>
          </cell>
        </row>
        <row r="190">
          <cell r="C190" t="str">
            <v>Helvi</v>
          </cell>
          <cell r="D190">
            <v>0</v>
          </cell>
        </row>
        <row r="191">
          <cell r="C191" t="str">
            <v>Helvi</v>
          </cell>
          <cell r="D191">
            <v>0</v>
          </cell>
        </row>
        <row r="192">
          <cell r="C192" t="str">
            <v>Helvi</v>
          </cell>
          <cell r="D192">
            <v>0</v>
          </cell>
        </row>
        <row r="193">
          <cell r="C193" t="str">
            <v>Helvi</v>
          </cell>
          <cell r="D193">
            <v>0</v>
          </cell>
        </row>
        <row r="194">
          <cell r="C194" t="str">
            <v>Helvi</v>
          </cell>
          <cell r="D194">
            <v>0</v>
          </cell>
        </row>
        <row r="195">
          <cell r="C195" t="str">
            <v>Helvi</v>
          </cell>
          <cell r="D195">
            <v>0</v>
          </cell>
        </row>
        <row r="196">
          <cell r="C196" t="str">
            <v>Helvi</v>
          </cell>
          <cell r="D196">
            <v>0</v>
          </cell>
        </row>
        <row r="197">
          <cell r="C197"/>
          <cell r="D197">
            <v>0</v>
          </cell>
        </row>
        <row r="198">
          <cell r="C198" t="str">
            <v>Ferdi Setiawan</v>
          </cell>
          <cell r="D198">
            <v>0</v>
          </cell>
        </row>
        <row r="199">
          <cell r="C199" t="str">
            <v>Ferdi Setiawan</v>
          </cell>
          <cell r="D199">
            <v>1</v>
          </cell>
        </row>
        <row r="200">
          <cell r="C200" t="str">
            <v>Ferdi Setiawan</v>
          </cell>
          <cell r="D200">
            <v>0</v>
          </cell>
        </row>
        <row r="201">
          <cell r="C201" t="str">
            <v>Ferdi Setiawan</v>
          </cell>
          <cell r="D201">
            <v>0</v>
          </cell>
        </row>
        <row r="202">
          <cell r="C202" t="str">
            <v>Ferdi Setiawan</v>
          </cell>
          <cell r="D202">
            <v>1</v>
          </cell>
        </row>
        <row r="203">
          <cell r="C203" t="str">
            <v>Ferdi Setiawan</v>
          </cell>
          <cell r="D203">
            <v>1</v>
          </cell>
        </row>
        <row r="204">
          <cell r="C204" t="str">
            <v>Ferdi Setiawan</v>
          </cell>
          <cell r="D204">
            <v>0</v>
          </cell>
        </row>
        <row r="205">
          <cell r="C205" t="str">
            <v>Ferdi Setiawan</v>
          </cell>
          <cell r="D205">
            <v>0</v>
          </cell>
        </row>
        <row r="206">
          <cell r="C206" t="str">
            <v>Ferdi Setiawan</v>
          </cell>
          <cell r="D206">
            <v>1</v>
          </cell>
        </row>
        <row r="207">
          <cell r="C207" t="str">
            <v>Ferdi Setiawan</v>
          </cell>
          <cell r="D207">
            <v>0</v>
          </cell>
        </row>
        <row r="208">
          <cell r="C208" t="str">
            <v>Ferdi Setiawan</v>
          </cell>
          <cell r="D208">
            <v>1</v>
          </cell>
        </row>
        <row r="209">
          <cell r="C209" t="str">
            <v>Ferdi Setiawan</v>
          </cell>
          <cell r="D209">
            <v>1</v>
          </cell>
        </row>
        <row r="210">
          <cell r="C210" t="str">
            <v>Ferdi Setiawan</v>
          </cell>
          <cell r="D210">
            <v>1</v>
          </cell>
        </row>
        <row r="211">
          <cell r="C211" t="str">
            <v>Ferdi Setiawan</v>
          </cell>
          <cell r="D211">
            <v>1</v>
          </cell>
        </row>
        <row r="212">
          <cell r="C212"/>
          <cell r="D212">
            <v>0</v>
          </cell>
        </row>
        <row r="213">
          <cell r="C213" t="str">
            <v>Gesang Jumadi</v>
          </cell>
          <cell r="D213">
            <v>1</v>
          </cell>
        </row>
        <row r="214">
          <cell r="C214" t="str">
            <v>Gesang Jumadi</v>
          </cell>
          <cell r="D214">
            <v>1</v>
          </cell>
        </row>
        <row r="215">
          <cell r="C215" t="str">
            <v>Gesang Jumadi</v>
          </cell>
          <cell r="D215">
            <v>1</v>
          </cell>
        </row>
        <row r="216">
          <cell r="C216" t="str">
            <v>Gesang Jumadi</v>
          </cell>
          <cell r="D216">
            <v>1</v>
          </cell>
        </row>
        <row r="217">
          <cell r="C217" t="str">
            <v>Gesang Jumadi</v>
          </cell>
          <cell r="D217">
            <v>0</v>
          </cell>
        </row>
        <row r="218">
          <cell r="C218" t="str">
            <v>Gesang Jumadi</v>
          </cell>
          <cell r="D218">
            <v>0</v>
          </cell>
        </row>
        <row r="219">
          <cell r="C219" t="str">
            <v>Gesang Jumadi</v>
          </cell>
          <cell r="D219">
            <v>0</v>
          </cell>
        </row>
        <row r="220">
          <cell r="C220" t="str">
            <v>Gesang Jumadi</v>
          </cell>
          <cell r="D220">
            <v>0</v>
          </cell>
        </row>
        <row r="221">
          <cell r="C221" t="str">
            <v>Gesang Jumadi</v>
          </cell>
          <cell r="D221">
            <v>0</v>
          </cell>
        </row>
        <row r="222">
          <cell r="C222" t="str">
            <v>Gesang Jumadi</v>
          </cell>
          <cell r="D222">
            <v>0</v>
          </cell>
        </row>
        <row r="223">
          <cell r="C223" t="str">
            <v>Gesang Jumadi</v>
          </cell>
          <cell r="D223">
            <v>0</v>
          </cell>
        </row>
        <row r="224">
          <cell r="C224" t="str">
            <v>Gesang Jumadi</v>
          </cell>
          <cell r="D224">
            <v>0</v>
          </cell>
        </row>
        <row r="225">
          <cell r="C225" t="str">
            <v>Gesang Jumadi</v>
          </cell>
          <cell r="D225">
            <v>0</v>
          </cell>
        </row>
        <row r="226">
          <cell r="C226" t="str">
            <v>Gesang Jumadi</v>
          </cell>
          <cell r="D226">
            <v>1</v>
          </cell>
        </row>
        <row r="227">
          <cell r="C227" t="str">
            <v>Gesang Jumadi</v>
          </cell>
          <cell r="D227">
            <v>0</v>
          </cell>
        </row>
        <row r="228">
          <cell r="C228" t="str">
            <v>Gumilar Rudimaya</v>
          </cell>
          <cell r="D228">
            <v>1</v>
          </cell>
        </row>
        <row r="229">
          <cell r="C229" t="str">
            <v>Gumilar Rudimaya</v>
          </cell>
          <cell r="D229">
            <v>1</v>
          </cell>
        </row>
        <row r="230">
          <cell r="C230" t="str">
            <v>Gumilar Rudimaya</v>
          </cell>
          <cell r="D230">
            <v>1</v>
          </cell>
        </row>
        <row r="231">
          <cell r="C231" t="str">
            <v>Gumilar Rudimaya</v>
          </cell>
          <cell r="D231">
            <v>1</v>
          </cell>
        </row>
        <row r="232">
          <cell r="C232" t="str">
            <v>Gumilar Rudimaya</v>
          </cell>
          <cell r="D232">
            <v>1</v>
          </cell>
        </row>
        <row r="233">
          <cell r="C233" t="str">
            <v>Gumilar Rudimaya</v>
          </cell>
          <cell r="D233">
            <v>0</v>
          </cell>
        </row>
        <row r="234">
          <cell r="C234" t="str">
            <v>Gumilar Rudimaya</v>
          </cell>
          <cell r="D234">
            <v>1</v>
          </cell>
        </row>
        <row r="235">
          <cell r="C235" t="str">
            <v>Gumilar Rudimaya</v>
          </cell>
          <cell r="D235">
            <v>0</v>
          </cell>
        </row>
        <row r="236">
          <cell r="C236" t="str">
            <v>Gumilar Rudimaya</v>
          </cell>
          <cell r="D236">
            <v>1</v>
          </cell>
        </row>
        <row r="237">
          <cell r="C237" t="str">
            <v>Gumilar Rudimaya</v>
          </cell>
          <cell r="D237">
            <v>1</v>
          </cell>
        </row>
        <row r="238">
          <cell r="C238" t="str">
            <v>Gumilar Rudimaya</v>
          </cell>
          <cell r="D238">
            <v>0</v>
          </cell>
        </row>
        <row r="239">
          <cell r="C239" t="str">
            <v>Gumilar Rudimaya</v>
          </cell>
          <cell r="D239">
            <v>1</v>
          </cell>
        </row>
        <row r="240">
          <cell r="C240" t="str">
            <v>Gumilar Rudimaya</v>
          </cell>
          <cell r="D240">
            <v>1</v>
          </cell>
        </row>
        <row r="241">
          <cell r="C241" t="str">
            <v>Gumilar Rudimaya</v>
          </cell>
          <cell r="D241">
            <v>1</v>
          </cell>
        </row>
        <row r="242">
          <cell r="C242" t="str">
            <v>Gumilar Rudimaya</v>
          </cell>
          <cell r="D242">
            <v>0</v>
          </cell>
        </row>
        <row r="243">
          <cell r="C243"/>
          <cell r="D243">
            <v>0</v>
          </cell>
        </row>
        <row r="244">
          <cell r="C244" t="str">
            <v>Indra Jantana</v>
          </cell>
          <cell r="D244">
            <v>0</v>
          </cell>
        </row>
        <row r="245">
          <cell r="C245" t="str">
            <v>Indra Jantana</v>
          </cell>
          <cell r="D245">
            <v>0</v>
          </cell>
        </row>
        <row r="246">
          <cell r="C246" t="str">
            <v>Indra Jantana</v>
          </cell>
          <cell r="D246">
            <v>0</v>
          </cell>
        </row>
        <row r="247">
          <cell r="C247" t="str">
            <v>Indra Jantana</v>
          </cell>
          <cell r="D247">
            <v>0</v>
          </cell>
        </row>
        <row r="248">
          <cell r="C248" t="str">
            <v>Indra Jantana</v>
          </cell>
          <cell r="D248">
            <v>0</v>
          </cell>
        </row>
        <row r="249">
          <cell r="C249" t="str">
            <v>Indra Jantana</v>
          </cell>
          <cell r="D249">
            <v>0</v>
          </cell>
        </row>
        <row r="250">
          <cell r="C250" t="str">
            <v>Indra Jantana</v>
          </cell>
          <cell r="D250">
            <v>0</v>
          </cell>
        </row>
        <row r="251">
          <cell r="C251" t="str">
            <v>Indra Jantana</v>
          </cell>
          <cell r="D251">
            <v>0</v>
          </cell>
        </row>
        <row r="252">
          <cell r="C252" t="str">
            <v>Indra Jantana</v>
          </cell>
          <cell r="D252">
            <v>0</v>
          </cell>
        </row>
        <row r="253">
          <cell r="C253" t="str">
            <v>Indra Jantana</v>
          </cell>
          <cell r="D253">
            <v>0</v>
          </cell>
        </row>
        <row r="254">
          <cell r="C254" t="str">
            <v>Indra Jantana</v>
          </cell>
          <cell r="D254">
            <v>0</v>
          </cell>
        </row>
        <row r="255">
          <cell r="C255" t="str">
            <v>Indra Jantana</v>
          </cell>
          <cell r="D255">
            <v>0</v>
          </cell>
        </row>
        <row r="256">
          <cell r="C256" t="str">
            <v>Indra Jantana</v>
          </cell>
          <cell r="D256">
            <v>0</v>
          </cell>
        </row>
        <row r="257">
          <cell r="C257" t="str">
            <v>Indra Jantana</v>
          </cell>
          <cell r="D257">
            <v>0</v>
          </cell>
        </row>
        <row r="258">
          <cell r="C258" t="str">
            <v>Indra Jantana</v>
          </cell>
          <cell r="D258">
            <v>1</v>
          </cell>
        </row>
        <row r="259">
          <cell r="C259" t="str">
            <v>Indra Jantana</v>
          </cell>
          <cell r="D259">
            <v>0</v>
          </cell>
        </row>
        <row r="260">
          <cell r="C260" t="str">
            <v>Indra Jantana</v>
          </cell>
          <cell r="D260">
            <v>0</v>
          </cell>
        </row>
        <row r="261">
          <cell r="C261" t="str">
            <v>Indra Jantana</v>
          </cell>
          <cell r="D261">
            <v>0</v>
          </cell>
        </row>
        <row r="262">
          <cell r="C262" t="str">
            <v>Indra Jantana</v>
          </cell>
          <cell r="D262">
            <v>0</v>
          </cell>
        </row>
        <row r="263">
          <cell r="C263" t="str">
            <v>Indra Jantana</v>
          </cell>
          <cell r="D263">
            <v>0</v>
          </cell>
        </row>
        <row r="264">
          <cell r="C264" t="str">
            <v>Indra Jantana</v>
          </cell>
          <cell r="D264">
            <v>0</v>
          </cell>
        </row>
        <row r="265">
          <cell r="C265" t="str">
            <v>Indra Jantana</v>
          </cell>
          <cell r="D265">
            <v>0</v>
          </cell>
        </row>
        <row r="266">
          <cell r="C266" t="str">
            <v>Indra Jantana</v>
          </cell>
          <cell r="D266">
            <v>0</v>
          </cell>
        </row>
        <row r="267">
          <cell r="C267" t="str">
            <v>Indra Jantana</v>
          </cell>
          <cell r="D267">
            <v>0</v>
          </cell>
        </row>
        <row r="268">
          <cell r="C268"/>
          <cell r="D268">
            <v>0</v>
          </cell>
        </row>
        <row r="269">
          <cell r="C269" t="str">
            <v>Yudi Wahyudi</v>
          </cell>
          <cell r="D269">
            <v>0</v>
          </cell>
        </row>
        <row r="270">
          <cell r="C270" t="str">
            <v>Yudi Wahyudi</v>
          </cell>
          <cell r="D270">
            <v>0</v>
          </cell>
        </row>
        <row r="271">
          <cell r="C271" t="str">
            <v>Yudi Wahyudi</v>
          </cell>
          <cell r="D271">
            <v>0</v>
          </cell>
        </row>
        <row r="272">
          <cell r="C272" t="str">
            <v>Yudi Wahyudi</v>
          </cell>
          <cell r="D272">
            <v>0</v>
          </cell>
        </row>
        <row r="273">
          <cell r="C273" t="str">
            <v>Yudi Wahyudi</v>
          </cell>
          <cell r="D273">
            <v>0</v>
          </cell>
        </row>
        <row r="274">
          <cell r="C274" t="str">
            <v>Yudi Wahyudi</v>
          </cell>
          <cell r="D274">
            <v>0</v>
          </cell>
        </row>
        <row r="275">
          <cell r="C275" t="str">
            <v>Yudi Wahyudi</v>
          </cell>
          <cell r="D275">
            <v>0</v>
          </cell>
        </row>
        <row r="276">
          <cell r="C276" t="str">
            <v>Yudi Wahyudi</v>
          </cell>
          <cell r="D276">
            <v>0</v>
          </cell>
        </row>
        <row r="277">
          <cell r="C277" t="str">
            <v>Yudi Wahyudi</v>
          </cell>
          <cell r="D277">
            <v>0</v>
          </cell>
        </row>
        <row r="278">
          <cell r="C278" t="str">
            <v>Yudi Wahyudi</v>
          </cell>
          <cell r="D278">
            <v>0</v>
          </cell>
        </row>
        <row r="279">
          <cell r="C279" t="str">
            <v>Yudi Wahyudi</v>
          </cell>
          <cell r="D279">
            <v>0</v>
          </cell>
        </row>
        <row r="280">
          <cell r="C280" t="str">
            <v>Yudi Wahyudi</v>
          </cell>
          <cell r="D280">
            <v>0</v>
          </cell>
        </row>
        <row r="281">
          <cell r="C281" t="str">
            <v>Yudi Wahyudi</v>
          </cell>
          <cell r="D281">
            <v>0</v>
          </cell>
        </row>
        <row r="282">
          <cell r="C282" t="str">
            <v>Yudi Wahyudi</v>
          </cell>
          <cell r="D282">
            <v>0</v>
          </cell>
        </row>
        <row r="283">
          <cell r="C283" t="str">
            <v>Yudi Wahyudi</v>
          </cell>
          <cell r="D283">
            <v>0</v>
          </cell>
        </row>
        <row r="284">
          <cell r="C284" t="str">
            <v>Yudi Wahyudi</v>
          </cell>
          <cell r="D284">
            <v>0</v>
          </cell>
        </row>
        <row r="285">
          <cell r="C285" t="str">
            <v>Yudi Wahyudi</v>
          </cell>
          <cell r="D285">
            <v>0</v>
          </cell>
        </row>
        <row r="286">
          <cell r="C286" t="str">
            <v>Yudi Wahyudi</v>
          </cell>
          <cell r="D286">
            <v>0</v>
          </cell>
        </row>
        <row r="287">
          <cell r="C287" t="str">
            <v>Yudi Wahyudi</v>
          </cell>
          <cell r="D287">
            <v>0</v>
          </cell>
        </row>
        <row r="288">
          <cell r="C288" t="str">
            <v>Yudi Wahyudi</v>
          </cell>
          <cell r="D288">
            <v>0</v>
          </cell>
        </row>
        <row r="289">
          <cell r="C289" t="str">
            <v>Yudi Wahyudi</v>
          </cell>
          <cell r="D289">
            <v>0</v>
          </cell>
        </row>
        <row r="290">
          <cell r="C290" t="str">
            <v>Yudi Wahyudi</v>
          </cell>
          <cell r="D290">
            <v>0</v>
          </cell>
        </row>
        <row r="291">
          <cell r="C291" t="str">
            <v>Yudi Wahyudi</v>
          </cell>
          <cell r="D291">
            <v>0</v>
          </cell>
        </row>
        <row r="292">
          <cell r="C292" t="str">
            <v>Yudi Wahyudi</v>
          </cell>
          <cell r="D292">
            <v>0</v>
          </cell>
        </row>
        <row r="293">
          <cell r="C293" t="str">
            <v>Yudi Wahyudi</v>
          </cell>
          <cell r="D293">
            <v>0</v>
          </cell>
        </row>
        <row r="294">
          <cell r="C294" t="str">
            <v>Yudi Wahyudi</v>
          </cell>
          <cell r="D294">
            <v>0</v>
          </cell>
        </row>
        <row r="295">
          <cell r="C295"/>
          <cell r="D295">
            <v>0</v>
          </cell>
        </row>
        <row r="296">
          <cell r="C296" t="str">
            <v>Febri Dwi Prabowo</v>
          </cell>
          <cell r="D296">
            <v>0</v>
          </cell>
        </row>
        <row r="297">
          <cell r="C297" t="str">
            <v>Febri Dwi Prabowo</v>
          </cell>
          <cell r="D297">
            <v>0</v>
          </cell>
        </row>
        <row r="298">
          <cell r="C298" t="str">
            <v>Febri Dwi Prabowo</v>
          </cell>
          <cell r="D298">
            <v>0</v>
          </cell>
        </row>
        <row r="299">
          <cell r="C299" t="str">
            <v>Febri Dwi Prabowo</v>
          </cell>
          <cell r="D299">
            <v>0</v>
          </cell>
        </row>
        <row r="300">
          <cell r="C300" t="str">
            <v>Febri Dwi Prabowo</v>
          </cell>
          <cell r="D300">
            <v>0</v>
          </cell>
        </row>
        <row r="301">
          <cell r="C301" t="str">
            <v>Febri Dwi Prabowo</v>
          </cell>
          <cell r="D301">
            <v>1</v>
          </cell>
        </row>
        <row r="302">
          <cell r="C302" t="str">
            <v>Febri Dwi Prabowo</v>
          </cell>
          <cell r="D302">
            <v>1</v>
          </cell>
        </row>
        <row r="303">
          <cell r="C303" t="str">
            <v>Febri Dwi Prabowo</v>
          </cell>
          <cell r="D303">
            <v>0</v>
          </cell>
        </row>
        <row r="304">
          <cell r="C304" t="str">
            <v>Febri Dwi Prabowo</v>
          </cell>
          <cell r="D304">
            <v>0</v>
          </cell>
        </row>
        <row r="305">
          <cell r="C305" t="str">
            <v>Febri Dwi Prabowo</v>
          </cell>
          <cell r="D305">
            <v>0</v>
          </cell>
        </row>
        <row r="306">
          <cell r="C306" t="str">
            <v>Febri Dwi Prabowo</v>
          </cell>
          <cell r="D306">
            <v>0</v>
          </cell>
        </row>
        <row r="307">
          <cell r="C307" t="str">
            <v>Febri Dwi Prabowo</v>
          </cell>
          <cell r="D307">
            <v>0</v>
          </cell>
        </row>
        <row r="308">
          <cell r="C308" t="str">
            <v>Febri Dwi Prabowo</v>
          </cell>
          <cell r="D308">
            <v>0</v>
          </cell>
        </row>
        <row r="309">
          <cell r="C309" t="str">
            <v>Made Windu Kuntara</v>
          </cell>
          <cell r="D309">
            <v>0</v>
          </cell>
        </row>
        <row r="310">
          <cell r="C310" t="str">
            <v>Made Windu Kuntara</v>
          </cell>
          <cell r="D310">
            <v>0</v>
          </cell>
        </row>
        <row r="311">
          <cell r="C311" t="str">
            <v>Made Windu Kuntara</v>
          </cell>
          <cell r="D311">
            <v>0</v>
          </cell>
        </row>
        <row r="312">
          <cell r="C312" t="str">
            <v>Made Windu Kuntara</v>
          </cell>
          <cell r="D312">
            <v>1</v>
          </cell>
        </row>
        <row r="313">
          <cell r="C313" t="str">
            <v>Made Windu Kuntara</v>
          </cell>
          <cell r="D313">
            <v>0</v>
          </cell>
        </row>
        <row r="314">
          <cell r="C314" t="str">
            <v>Made Windu Kuntara</v>
          </cell>
          <cell r="D314">
            <v>1</v>
          </cell>
        </row>
        <row r="315">
          <cell r="C315" t="str">
            <v>Made Windu Kuntara</v>
          </cell>
          <cell r="D315">
            <v>0</v>
          </cell>
        </row>
        <row r="316">
          <cell r="C316" t="str">
            <v>Made Windu Kuntara</v>
          </cell>
          <cell r="D316">
            <v>1</v>
          </cell>
        </row>
        <row r="317">
          <cell r="C317" t="str">
            <v>Made Windu Kuntara</v>
          </cell>
          <cell r="D317">
            <v>0</v>
          </cell>
        </row>
        <row r="318">
          <cell r="C318" t="str">
            <v>Made Windu Kuntara</v>
          </cell>
          <cell r="D318">
            <v>1</v>
          </cell>
        </row>
        <row r="319">
          <cell r="C319" t="str">
            <v>Made Windu Kuntara</v>
          </cell>
          <cell r="D319">
            <v>0</v>
          </cell>
        </row>
        <row r="320">
          <cell r="C320" t="str">
            <v>Made Windu Kuntara</v>
          </cell>
          <cell r="D320">
            <v>1</v>
          </cell>
        </row>
        <row r="321">
          <cell r="C321"/>
          <cell r="D321">
            <v>0</v>
          </cell>
        </row>
        <row r="322">
          <cell r="C322" t="str">
            <v>Jusuf Charles Rumende (PN : 00059432)</v>
          </cell>
          <cell r="D322">
            <v>1</v>
          </cell>
        </row>
        <row r="323">
          <cell r="C323" t="str">
            <v>Jusuf Charles Rumende (PN : 00059432)</v>
          </cell>
          <cell r="D323">
            <v>0</v>
          </cell>
        </row>
        <row r="324">
          <cell r="C324" t="str">
            <v>Jusuf Charles Rumende (PN : 00059432)</v>
          </cell>
          <cell r="D324">
            <v>1</v>
          </cell>
        </row>
        <row r="325">
          <cell r="C325" t="str">
            <v>Jusuf Charles Rumende (PN : 00059432)</v>
          </cell>
          <cell r="D325">
            <v>0</v>
          </cell>
        </row>
        <row r="326">
          <cell r="C326" t="str">
            <v>Jusuf Charles Rumende (PN : 00059432)</v>
          </cell>
          <cell r="D326">
            <v>1</v>
          </cell>
        </row>
        <row r="327">
          <cell r="C327" t="str">
            <v>Jusuf Charles Rumende (PN : 00059432)</v>
          </cell>
          <cell r="D327">
            <v>0</v>
          </cell>
        </row>
        <row r="328">
          <cell r="C328" t="str">
            <v>Jusuf Charles Rumende (PN : 00059432)</v>
          </cell>
          <cell r="D328">
            <v>0</v>
          </cell>
        </row>
        <row r="329">
          <cell r="C329" t="str">
            <v>Jusuf Charles Rumende (PN : 00059432)</v>
          </cell>
          <cell r="D329">
            <v>0</v>
          </cell>
        </row>
        <row r="330">
          <cell r="C330" t="str">
            <v>Jusuf Charles Rumende (PN : 00059432)</v>
          </cell>
          <cell r="D330">
            <v>0</v>
          </cell>
        </row>
        <row r="331">
          <cell r="C331" t="str">
            <v>Jusuf Charles Rumende (PN : 00059432)</v>
          </cell>
          <cell r="D331">
            <v>1</v>
          </cell>
        </row>
        <row r="332">
          <cell r="C332" t="str">
            <v>Jusuf Charles Rumende (PN : 00059432)</v>
          </cell>
          <cell r="D332">
            <v>1</v>
          </cell>
        </row>
        <row r="333">
          <cell r="C333" t="str">
            <v>Jusuf Charles Rumende (PN : 00059432)</v>
          </cell>
          <cell r="D333">
            <v>1</v>
          </cell>
        </row>
        <row r="334">
          <cell r="C334" t="str">
            <v>Jusuf Charles Rumende (PN : 00059432)</v>
          </cell>
          <cell r="D334">
            <v>0</v>
          </cell>
        </row>
        <row r="335">
          <cell r="C335" t="str">
            <v>Jusuf Charles Rumende (PN : 00059432)</v>
          </cell>
          <cell r="D335">
            <v>0</v>
          </cell>
        </row>
        <row r="336">
          <cell r="C336" t="str">
            <v>Jusuf Charles Rumende (PN : 00059432)</v>
          </cell>
          <cell r="D336">
            <v>0</v>
          </cell>
        </row>
        <row r="337">
          <cell r="C337" t="str">
            <v>Jusuf Charles Rumende (PN : 00059432)</v>
          </cell>
          <cell r="D337">
            <v>0</v>
          </cell>
        </row>
        <row r="338">
          <cell r="C338" t="str">
            <v>Jusuf Charles Rumende (PN : 00059432)</v>
          </cell>
          <cell r="D338">
            <v>0</v>
          </cell>
        </row>
        <row r="339">
          <cell r="C339" t="str">
            <v>Jusuf Charles Rumende (PN : 00059432)</v>
          </cell>
          <cell r="D339">
            <v>1</v>
          </cell>
        </row>
        <row r="340">
          <cell r="C340" t="str">
            <v>Jusuf Charles Rumende (PN : 00059432)</v>
          </cell>
          <cell r="D340">
            <v>1</v>
          </cell>
        </row>
        <row r="341">
          <cell r="C341" t="str">
            <v>Jusuf Charles Rumende (PN : 00059432)</v>
          </cell>
          <cell r="D341">
            <v>0</v>
          </cell>
        </row>
        <row r="342">
          <cell r="C342"/>
          <cell r="D342">
            <v>0</v>
          </cell>
        </row>
        <row r="343">
          <cell r="C343" t="str">
            <v>Syamsul Arifianto</v>
          </cell>
          <cell r="D343">
            <v>0</v>
          </cell>
        </row>
        <row r="344">
          <cell r="C344" t="str">
            <v>Syamsul Arifianto</v>
          </cell>
          <cell r="D344">
            <v>0</v>
          </cell>
        </row>
        <row r="345">
          <cell r="C345" t="str">
            <v>Syamsul Arifianto</v>
          </cell>
          <cell r="D345">
            <v>1</v>
          </cell>
        </row>
        <row r="346">
          <cell r="C346" t="str">
            <v>Syamsul Arifianto</v>
          </cell>
          <cell r="D346">
            <v>0</v>
          </cell>
        </row>
        <row r="347">
          <cell r="C347" t="str">
            <v>Syamsul Arifianto</v>
          </cell>
          <cell r="D347">
            <v>0</v>
          </cell>
        </row>
        <row r="348">
          <cell r="C348" t="str">
            <v>Syamsul Arifianto</v>
          </cell>
          <cell r="D348">
            <v>0</v>
          </cell>
        </row>
        <row r="349">
          <cell r="C349" t="str">
            <v>Syamsul Arifianto</v>
          </cell>
          <cell r="D349">
            <v>0</v>
          </cell>
        </row>
        <row r="350">
          <cell r="C350" t="str">
            <v>Syamsul Arifianto</v>
          </cell>
          <cell r="D350">
            <v>1</v>
          </cell>
        </row>
        <row r="351">
          <cell r="C351" t="str">
            <v>Syamsul Arifianto</v>
          </cell>
          <cell r="D351">
            <v>0</v>
          </cell>
        </row>
        <row r="352">
          <cell r="C352" t="str">
            <v>Syamsul Arifianto</v>
          </cell>
          <cell r="D352">
            <v>0</v>
          </cell>
        </row>
        <row r="353">
          <cell r="C353" t="str">
            <v>Syamsul Arifianto</v>
          </cell>
          <cell r="D353">
            <v>0</v>
          </cell>
        </row>
        <row r="354">
          <cell r="C354" t="str">
            <v>Veronica Dwi Kurniasih</v>
          </cell>
          <cell r="D354">
            <v>0</v>
          </cell>
        </row>
        <row r="355">
          <cell r="C355" t="str">
            <v>Veronica Dwi Kurniasih</v>
          </cell>
          <cell r="D355">
            <v>0</v>
          </cell>
        </row>
        <row r="356">
          <cell r="C356" t="str">
            <v>Veronica Dwi Kurniasih</v>
          </cell>
          <cell r="D356">
            <v>0</v>
          </cell>
        </row>
        <row r="357">
          <cell r="C357" t="str">
            <v>Veronica Dwi Kurniasih</v>
          </cell>
          <cell r="D357">
            <v>0</v>
          </cell>
        </row>
        <row r="358">
          <cell r="C358" t="str">
            <v>Veronica Dwi Kurniasih</v>
          </cell>
          <cell r="D358">
            <v>0</v>
          </cell>
        </row>
        <row r="359">
          <cell r="C359" t="str">
            <v>Veronica Dwi Kurniasih</v>
          </cell>
          <cell r="D359">
            <v>0</v>
          </cell>
        </row>
        <row r="360">
          <cell r="C360" t="str">
            <v>Veronica Dwi Kurniasih</v>
          </cell>
          <cell r="D360">
            <v>0</v>
          </cell>
        </row>
        <row r="361">
          <cell r="C361" t="str">
            <v>Veronica Dwi Kurniasih</v>
          </cell>
          <cell r="D361">
            <v>0</v>
          </cell>
        </row>
        <row r="362">
          <cell r="C362" t="str">
            <v>Veronica Dwi Kurniasih</v>
          </cell>
          <cell r="D362">
            <v>0</v>
          </cell>
        </row>
        <row r="363">
          <cell r="C363" t="str">
            <v>Veronica Dwi Kurniasih</v>
          </cell>
          <cell r="D363">
            <v>0</v>
          </cell>
        </row>
        <row r="364">
          <cell r="C364" t="str">
            <v>Veronica Dwi Kurniasih</v>
          </cell>
          <cell r="D364">
            <v>0</v>
          </cell>
        </row>
        <row r="365">
          <cell r="C365"/>
          <cell r="D365">
            <v>0</v>
          </cell>
        </row>
        <row r="366">
          <cell r="C366" t="str">
            <v>Asep Kristiono</v>
          </cell>
          <cell r="D366">
            <v>0</v>
          </cell>
        </row>
        <row r="367">
          <cell r="C367" t="str">
            <v>Asep Kristiono</v>
          </cell>
          <cell r="D367">
            <v>0</v>
          </cell>
        </row>
        <row r="368">
          <cell r="C368" t="str">
            <v>Asep Kristiono</v>
          </cell>
          <cell r="D368">
            <v>1</v>
          </cell>
        </row>
        <row r="369">
          <cell r="C369" t="str">
            <v>Asep Kristiono</v>
          </cell>
          <cell r="D369">
            <v>0</v>
          </cell>
        </row>
        <row r="370">
          <cell r="C370" t="str">
            <v>Asep Kristiono</v>
          </cell>
          <cell r="D370">
            <v>0</v>
          </cell>
        </row>
        <row r="371">
          <cell r="C371" t="str">
            <v>Asep Kristiono</v>
          </cell>
          <cell r="D371">
            <v>0</v>
          </cell>
        </row>
        <row r="372">
          <cell r="C372" t="str">
            <v>Asep Kristiono</v>
          </cell>
          <cell r="D372">
            <v>1</v>
          </cell>
        </row>
        <row r="373">
          <cell r="C373" t="str">
            <v>Asep Kristiono</v>
          </cell>
          <cell r="D373">
            <v>0</v>
          </cell>
        </row>
        <row r="374">
          <cell r="C374" t="str">
            <v>Asep Kristiono</v>
          </cell>
          <cell r="D374">
            <v>0</v>
          </cell>
        </row>
        <row r="375">
          <cell r="C375" t="str">
            <v>Asep Kristiono</v>
          </cell>
          <cell r="D375">
            <v>0</v>
          </cell>
        </row>
        <row r="376">
          <cell r="C376" t="str">
            <v>Asep Kristiono</v>
          </cell>
          <cell r="D376">
            <v>1</v>
          </cell>
        </row>
        <row r="377">
          <cell r="C377" t="str">
            <v>Dian Septianti</v>
          </cell>
          <cell r="D377">
            <v>0</v>
          </cell>
        </row>
        <row r="378">
          <cell r="C378" t="str">
            <v>Dian Septianti</v>
          </cell>
          <cell r="D378">
            <v>0</v>
          </cell>
        </row>
        <row r="379">
          <cell r="C379" t="str">
            <v>Dian Septianti</v>
          </cell>
          <cell r="D379">
            <v>0</v>
          </cell>
        </row>
        <row r="380">
          <cell r="C380" t="str">
            <v>Dian Septianti</v>
          </cell>
          <cell r="D380">
            <v>0</v>
          </cell>
        </row>
        <row r="381">
          <cell r="C381" t="str">
            <v>Dian Septianti</v>
          </cell>
          <cell r="D381">
            <v>0</v>
          </cell>
        </row>
        <row r="382">
          <cell r="C382" t="str">
            <v>Dian Septianti</v>
          </cell>
          <cell r="D382">
            <v>1</v>
          </cell>
        </row>
        <row r="383">
          <cell r="C383" t="str">
            <v>Dian Septianti</v>
          </cell>
          <cell r="D383">
            <v>0</v>
          </cell>
        </row>
        <row r="384">
          <cell r="C384" t="str">
            <v>Dian Septianti</v>
          </cell>
          <cell r="D384">
            <v>1</v>
          </cell>
        </row>
        <row r="385">
          <cell r="C385" t="str">
            <v>Dian Septianti</v>
          </cell>
          <cell r="D385">
            <v>1</v>
          </cell>
        </row>
        <row r="386">
          <cell r="C386" t="str">
            <v>Dian Septianti</v>
          </cell>
          <cell r="D386">
            <v>1</v>
          </cell>
        </row>
        <row r="387">
          <cell r="C387" t="str">
            <v>Dian Septianti</v>
          </cell>
          <cell r="D387">
            <v>1</v>
          </cell>
        </row>
        <row r="388">
          <cell r="C388" t="str">
            <v>Waras Suyitno</v>
          </cell>
          <cell r="D388">
            <v>0</v>
          </cell>
        </row>
        <row r="389">
          <cell r="C389" t="str">
            <v>Waras Suyitno</v>
          </cell>
          <cell r="D389">
            <v>1</v>
          </cell>
        </row>
        <row r="390">
          <cell r="C390" t="str">
            <v>Waras Suyitno</v>
          </cell>
          <cell r="D390">
            <v>1</v>
          </cell>
        </row>
        <row r="391">
          <cell r="C391" t="str">
            <v>Waras Suyitno</v>
          </cell>
          <cell r="D391">
            <v>0</v>
          </cell>
        </row>
        <row r="392">
          <cell r="C392" t="str">
            <v>Waras Suyitno</v>
          </cell>
          <cell r="D392">
            <v>1</v>
          </cell>
        </row>
        <row r="393">
          <cell r="C393" t="str">
            <v>Waras Suyitno</v>
          </cell>
          <cell r="D393">
            <v>0</v>
          </cell>
        </row>
        <row r="394">
          <cell r="C394" t="str">
            <v>Waras Suyitno</v>
          </cell>
          <cell r="D394">
            <v>1</v>
          </cell>
        </row>
        <row r="395">
          <cell r="C395" t="str">
            <v>Waras Suyitno</v>
          </cell>
          <cell r="D395">
            <v>0</v>
          </cell>
        </row>
        <row r="396">
          <cell r="C396" t="str">
            <v>Waras Suyitno</v>
          </cell>
          <cell r="D396">
            <v>0</v>
          </cell>
        </row>
        <row r="397">
          <cell r="C397" t="str">
            <v>Waras Suyitno</v>
          </cell>
          <cell r="D397">
            <v>0</v>
          </cell>
        </row>
        <row r="398">
          <cell r="C398" t="str">
            <v>Waras Suyitno</v>
          </cell>
          <cell r="D398">
            <v>0</v>
          </cell>
        </row>
        <row r="399">
          <cell r="C399"/>
          <cell r="D399">
            <v>0</v>
          </cell>
        </row>
        <row r="400">
          <cell r="C400" t="str">
            <v>Moch. Arief Budiman</v>
          </cell>
          <cell r="D400">
            <v>0</v>
          </cell>
        </row>
        <row r="401">
          <cell r="C401" t="str">
            <v>Moch. Arief Budiman</v>
          </cell>
          <cell r="D401">
            <v>0</v>
          </cell>
        </row>
        <row r="402">
          <cell r="C402" t="str">
            <v>Moch. Arief Budiman</v>
          </cell>
          <cell r="D402">
            <v>0</v>
          </cell>
        </row>
        <row r="403">
          <cell r="C403" t="str">
            <v>Moch. Arief Budiman</v>
          </cell>
          <cell r="D403">
            <v>0</v>
          </cell>
        </row>
        <row r="404">
          <cell r="C404" t="str">
            <v>Moch. Arief Budiman</v>
          </cell>
          <cell r="D404">
            <v>0</v>
          </cell>
        </row>
        <row r="405">
          <cell r="C405" t="str">
            <v>Moch. Arief Budiman</v>
          </cell>
          <cell r="D405">
            <v>1</v>
          </cell>
        </row>
        <row r="406">
          <cell r="C406" t="str">
            <v>Moch. Arief Budiman</v>
          </cell>
          <cell r="D406">
            <v>0</v>
          </cell>
        </row>
        <row r="407">
          <cell r="C407" t="str">
            <v>Moch. Arief Budiman</v>
          </cell>
          <cell r="D407">
            <v>0</v>
          </cell>
        </row>
        <row r="408">
          <cell r="C408" t="str">
            <v>Rukiyat Prihantoko</v>
          </cell>
          <cell r="D408">
            <v>0</v>
          </cell>
        </row>
        <row r="409">
          <cell r="C409" t="str">
            <v>Rukiyat Prihantoko</v>
          </cell>
          <cell r="D409">
            <v>0</v>
          </cell>
        </row>
        <row r="410">
          <cell r="C410" t="str">
            <v>Rukiyat Prihantoko</v>
          </cell>
          <cell r="D410">
            <v>0</v>
          </cell>
        </row>
        <row r="411">
          <cell r="C411" t="str">
            <v>Rukiyat Prihantoko</v>
          </cell>
          <cell r="D411">
            <v>0</v>
          </cell>
        </row>
        <row r="412">
          <cell r="C412" t="str">
            <v>Rukiyat Prihantoko</v>
          </cell>
          <cell r="D412">
            <v>1</v>
          </cell>
        </row>
        <row r="413">
          <cell r="C413" t="str">
            <v>Rukiyat Prihantoko</v>
          </cell>
          <cell r="D413">
            <v>0</v>
          </cell>
        </row>
        <row r="414">
          <cell r="C414" t="str">
            <v>Rukiyat Prihantoko</v>
          </cell>
          <cell r="D414">
            <v>1</v>
          </cell>
        </row>
        <row r="415">
          <cell r="C415" t="str">
            <v>Rukiyat Prihantoko</v>
          </cell>
          <cell r="D415">
            <v>0</v>
          </cell>
        </row>
        <row r="416">
          <cell r="C416" t="str">
            <v>Rukiyat Prihantoko</v>
          </cell>
          <cell r="D416">
            <v>0</v>
          </cell>
        </row>
        <row r="417">
          <cell r="C417" t="str">
            <v>Sutrisno Hadi Pranoto</v>
          </cell>
          <cell r="D417">
            <v>0</v>
          </cell>
        </row>
        <row r="418">
          <cell r="C418" t="str">
            <v>Sutrisno Hadi Pranoto</v>
          </cell>
          <cell r="D418">
            <v>0</v>
          </cell>
        </row>
        <row r="419">
          <cell r="C419" t="str">
            <v>Sutrisno Hadi Pranoto</v>
          </cell>
          <cell r="D419">
            <v>0</v>
          </cell>
        </row>
        <row r="420">
          <cell r="C420" t="str">
            <v>Sutrisno Hadi Pranoto</v>
          </cell>
          <cell r="D420">
            <v>0</v>
          </cell>
        </row>
        <row r="421">
          <cell r="C421" t="str">
            <v>Sutrisno Hadi Pranoto</v>
          </cell>
          <cell r="D421">
            <v>1</v>
          </cell>
        </row>
        <row r="422">
          <cell r="C422" t="str">
            <v>Sutrisno Hadi Pranoto</v>
          </cell>
          <cell r="D422">
            <v>0</v>
          </cell>
        </row>
        <row r="423">
          <cell r="C423" t="str">
            <v>Sutrisno Hadi Pranoto</v>
          </cell>
          <cell r="D423">
            <v>0</v>
          </cell>
        </row>
        <row r="424">
          <cell r="C424" t="str">
            <v>Sutrisno Hadi Pranoto</v>
          </cell>
          <cell r="D424">
            <v>0</v>
          </cell>
        </row>
        <row r="425">
          <cell r="C425"/>
          <cell r="D425">
            <v>0</v>
          </cell>
        </row>
        <row r="426">
          <cell r="C426" t="str">
            <v>Bambang Dwi Raharjo</v>
          </cell>
          <cell r="D426">
            <v>0</v>
          </cell>
        </row>
        <row r="427">
          <cell r="C427" t="str">
            <v>Bambang Dwi Raharjo</v>
          </cell>
          <cell r="D427">
            <v>0</v>
          </cell>
        </row>
        <row r="428">
          <cell r="C428" t="str">
            <v>Bambang Dwi Raharjo</v>
          </cell>
          <cell r="D428">
            <v>0</v>
          </cell>
        </row>
        <row r="429">
          <cell r="C429" t="str">
            <v>Bambang Dwi Raharjo</v>
          </cell>
          <cell r="D429">
            <v>0</v>
          </cell>
        </row>
        <row r="430">
          <cell r="C430" t="str">
            <v>Bambang Dwi Raharjo</v>
          </cell>
          <cell r="D430">
            <v>0</v>
          </cell>
        </row>
        <row r="431">
          <cell r="C431" t="str">
            <v>Bambang Dwi Raharjo</v>
          </cell>
          <cell r="D431">
            <v>0</v>
          </cell>
        </row>
        <row r="432">
          <cell r="C432" t="str">
            <v>Herry Kurniawan</v>
          </cell>
          <cell r="D432">
            <v>0</v>
          </cell>
        </row>
        <row r="433">
          <cell r="C433" t="str">
            <v>Herry Kurniawan</v>
          </cell>
          <cell r="D433">
            <v>1</v>
          </cell>
        </row>
        <row r="434">
          <cell r="C434" t="str">
            <v>Herry Kurniawan</v>
          </cell>
          <cell r="D434">
            <v>1</v>
          </cell>
        </row>
        <row r="435">
          <cell r="C435" t="str">
            <v>Herry Kurniawan</v>
          </cell>
          <cell r="D435">
            <v>1</v>
          </cell>
        </row>
        <row r="436">
          <cell r="C436" t="str">
            <v>Herry Kurniawan</v>
          </cell>
          <cell r="D436">
            <v>1</v>
          </cell>
        </row>
        <row r="437">
          <cell r="C437" t="str">
            <v>Herry Kurniawan</v>
          </cell>
          <cell r="D437">
            <v>0</v>
          </cell>
        </row>
        <row r="438">
          <cell r="C438" t="str">
            <v>Richard Siburian</v>
          </cell>
          <cell r="D438">
            <v>1</v>
          </cell>
        </row>
        <row r="439">
          <cell r="C439" t="str">
            <v>Richard Siburian</v>
          </cell>
          <cell r="D439">
            <v>0</v>
          </cell>
        </row>
        <row r="440">
          <cell r="C440" t="str">
            <v>Richard Siburian</v>
          </cell>
          <cell r="D440">
            <v>0</v>
          </cell>
        </row>
        <row r="441">
          <cell r="C441" t="str">
            <v>Richard Siburian</v>
          </cell>
          <cell r="D441">
            <v>1</v>
          </cell>
        </row>
        <row r="442">
          <cell r="C442" t="str">
            <v>Richard Siburian</v>
          </cell>
          <cell r="D442">
            <v>1</v>
          </cell>
        </row>
        <row r="443">
          <cell r="C443" t="str">
            <v>Richard Siburian</v>
          </cell>
          <cell r="D443">
            <v>0</v>
          </cell>
        </row>
        <row r="444">
          <cell r="C444" t="str">
            <v>Zulkarnain</v>
          </cell>
          <cell r="D444">
            <v>0</v>
          </cell>
        </row>
        <row r="445">
          <cell r="C445" t="str">
            <v>Zulkarnain</v>
          </cell>
          <cell r="D445">
            <v>0</v>
          </cell>
        </row>
        <row r="446">
          <cell r="C446" t="str">
            <v>Zulkarnain</v>
          </cell>
          <cell r="D446">
            <v>0</v>
          </cell>
        </row>
        <row r="447">
          <cell r="C447" t="str">
            <v>Zulkarnain</v>
          </cell>
          <cell r="D447">
            <v>1</v>
          </cell>
        </row>
        <row r="448">
          <cell r="C448" t="str">
            <v>Zulkarnain</v>
          </cell>
          <cell r="D448">
            <v>1</v>
          </cell>
        </row>
        <row r="449">
          <cell r="C449" t="str">
            <v>Zulkarnain</v>
          </cell>
          <cell r="D449">
            <v>1</v>
          </cell>
        </row>
        <row r="450">
          <cell r="C450"/>
          <cell r="D450">
            <v>0</v>
          </cell>
        </row>
        <row r="451">
          <cell r="C451" t="str">
            <v>Hany Pratiwi</v>
          </cell>
          <cell r="D451">
            <v>0</v>
          </cell>
        </row>
        <row r="452">
          <cell r="C452" t="str">
            <v>Hany Pratiwi</v>
          </cell>
          <cell r="D452">
            <v>0</v>
          </cell>
        </row>
        <row r="453">
          <cell r="C453" t="str">
            <v>Hany Pratiwi</v>
          </cell>
          <cell r="D453">
            <v>0</v>
          </cell>
        </row>
        <row r="454">
          <cell r="C454" t="str">
            <v>Hany Pratiwi</v>
          </cell>
          <cell r="D454">
            <v>0</v>
          </cell>
        </row>
        <row r="455">
          <cell r="C455" t="str">
            <v>Hany Pratiwi</v>
          </cell>
          <cell r="D455">
            <v>1</v>
          </cell>
        </row>
        <row r="456">
          <cell r="C456" t="str">
            <v>Hany Pratiwi</v>
          </cell>
          <cell r="D456">
            <v>1</v>
          </cell>
        </row>
        <row r="457">
          <cell r="C457" t="str">
            <v>Hany Pratiwi</v>
          </cell>
          <cell r="D457">
            <v>0</v>
          </cell>
        </row>
        <row r="458">
          <cell r="C458" t="str">
            <v>Hany Pratiwi</v>
          </cell>
          <cell r="D458">
            <v>0</v>
          </cell>
        </row>
        <row r="459">
          <cell r="C459" t="str">
            <v>Hany Pratiwi</v>
          </cell>
          <cell r="D459">
            <v>0</v>
          </cell>
        </row>
        <row r="460">
          <cell r="C460" t="str">
            <v>Hany Pratiwi</v>
          </cell>
          <cell r="D460">
            <v>0</v>
          </cell>
        </row>
        <row r="461">
          <cell r="C461" t="str">
            <v>Hany Pratiwi</v>
          </cell>
          <cell r="D461">
            <v>0</v>
          </cell>
        </row>
        <row r="462">
          <cell r="C462" t="str">
            <v>Reifika Dekrin</v>
          </cell>
          <cell r="D462">
            <v>0</v>
          </cell>
        </row>
        <row r="463">
          <cell r="C463" t="str">
            <v>Reifika Dekrin</v>
          </cell>
          <cell r="D463">
            <v>0</v>
          </cell>
        </row>
        <row r="464">
          <cell r="C464" t="str">
            <v>Reifika Dekrin</v>
          </cell>
          <cell r="D464">
            <v>0</v>
          </cell>
        </row>
        <row r="465">
          <cell r="C465" t="str">
            <v>Reifika Dekrin</v>
          </cell>
          <cell r="D465">
            <v>1</v>
          </cell>
        </row>
        <row r="466">
          <cell r="C466" t="str">
            <v>Reifika Dekrin</v>
          </cell>
          <cell r="D466">
            <v>1</v>
          </cell>
        </row>
        <row r="467">
          <cell r="C467" t="str">
            <v>Reifika Dekrin</v>
          </cell>
          <cell r="D467">
            <v>1</v>
          </cell>
        </row>
        <row r="468">
          <cell r="C468" t="str">
            <v>Reifika Dekrin</v>
          </cell>
          <cell r="D468">
            <v>1</v>
          </cell>
        </row>
        <row r="469">
          <cell r="C469" t="str">
            <v>Reifika Dekrin</v>
          </cell>
          <cell r="D469">
            <v>1</v>
          </cell>
        </row>
        <row r="470">
          <cell r="C470" t="str">
            <v>Reifika Dekrin</v>
          </cell>
          <cell r="D470">
            <v>0</v>
          </cell>
        </row>
        <row r="471">
          <cell r="C471" t="str">
            <v>Reifika Dekrin</v>
          </cell>
          <cell r="D471">
            <v>1</v>
          </cell>
        </row>
        <row r="472">
          <cell r="C472" t="str">
            <v>Reifika Dekrin</v>
          </cell>
          <cell r="D472">
            <v>0</v>
          </cell>
        </row>
      </sheetData>
      <sheetData sheetId="1"/>
      <sheetData sheetId="2"/>
      <sheetData sheetId="3"/>
      <sheetData sheetId="4">
        <row r="1">
          <cell r="B1" t="str">
            <v>Branch Office</v>
          </cell>
          <cell r="E1"/>
        </row>
        <row r="2">
          <cell r="B2"/>
          <cell r="E2" t="str">
            <v>% Total Pengkinian</v>
          </cell>
        </row>
        <row r="3">
          <cell r="B3" t="e">
            <v>#N/A</v>
          </cell>
          <cell r="E3">
            <v>1</v>
          </cell>
        </row>
        <row r="4">
          <cell r="B4" t="str">
            <v>KC Jambi</v>
          </cell>
          <cell r="E4">
            <v>1</v>
          </cell>
        </row>
        <row r="5">
          <cell r="B5" t="str">
            <v>KC Kayu Agung</v>
          </cell>
          <cell r="E5">
            <v>1</v>
          </cell>
        </row>
        <row r="6">
          <cell r="B6" t="str">
            <v>KC Lahat</v>
          </cell>
          <cell r="E6">
            <v>1</v>
          </cell>
        </row>
        <row r="7">
          <cell r="B7" t="str">
            <v>KC Palembang A. Rivai</v>
          </cell>
          <cell r="E7">
            <v>1</v>
          </cell>
        </row>
        <row r="8">
          <cell r="B8" t="str">
            <v>KC Pangkal Pinang</v>
          </cell>
          <cell r="E8">
            <v>1</v>
          </cell>
        </row>
        <row r="9">
          <cell r="B9" t="str">
            <v>KC Muara Enim</v>
          </cell>
          <cell r="E9">
            <v>1</v>
          </cell>
        </row>
        <row r="10">
          <cell r="B10" t="str">
            <v>KC Lubuk Linggau</v>
          </cell>
          <cell r="E10">
            <v>1</v>
          </cell>
        </row>
        <row r="11">
          <cell r="B11" t="str">
            <v>KC Tanjung Pandan</v>
          </cell>
          <cell r="E11">
            <v>1</v>
          </cell>
        </row>
        <row r="12">
          <cell r="B12" t="str">
            <v>KC Pagar Alam</v>
          </cell>
          <cell r="E12">
            <v>1</v>
          </cell>
        </row>
        <row r="13">
          <cell r="B13" t="str">
            <v>KC Muara Bungo</v>
          </cell>
          <cell r="E13">
            <v>1</v>
          </cell>
        </row>
        <row r="14">
          <cell r="B14" t="str">
            <v>KC Sekayu</v>
          </cell>
          <cell r="E14">
            <v>1</v>
          </cell>
        </row>
        <row r="15">
          <cell r="B15" t="str">
            <v>KC Kuala Tungkal</v>
          </cell>
          <cell r="E15">
            <v>1</v>
          </cell>
        </row>
        <row r="16">
          <cell r="B16" t="str">
            <v>KC Prabumulih</v>
          </cell>
          <cell r="E16">
            <v>1</v>
          </cell>
        </row>
        <row r="17">
          <cell r="B17" t="str">
            <v>KC Bangko</v>
          </cell>
          <cell r="E17">
            <v>1</v>
          </cell>
        </row>
        <row r="18">
          <cell r="B18" t="str">
            <v>KC Muara Bulian</v>
          </cell>
          <cell r="E18">
            <v>1</v>
          </cell>
        </row>
        <row r="19">
          <cell r="B19" t="str">
            <v>KC Sungai Liat</v>
          </cell>
          <cell r="E19">
            <v>1</v>
          </cell>
        </row>
        <row r="20">
          <cell r="B20" t="str">
            <v>KC Palembang Sriwijaya</v>
          </cell>
          <cell r="E20">
            <v>1</v>
          </cell>
        </row>
        <row r="21">
          <cell r="B21" t="str">
            <v>KC Sarolangun</v>
          </cell>
          <cell r="E21">
            <v>1</v>
          </cell>
        </row>
        <row r="22">
          <cell r="B22" t="str">
            <v>KC Abunjani Sipin</v>
          </cell>
          <cell r="E22">
            <v>1</v>
          </cell>
        </row>
        <row r="23">
          <cell r="B23" t="str">
            <v>KC Rimbo Bujang</v>
          </cell>
          <cell r="E23">
            <v>1</v>
          </cell>
        </row>
        <row r="24">
          <cell r="B24" t="str">
            <v>Total All Branch Office</v>
          </cell>
          <cell r="E24">
            <v>100</v>
          </cell>
        </row>
        <row r="25">
          <cell r="B25" t="str">
            <v>KC Jombang</v>
          </cell>
          <cell r="E25">
            <v>1</v>
          </cell>
        </row>
        <row r="26">
          <cell r="B26" t="str">
            <v>KC Liwa</v>
          </cell>
          <cell r="E26">
            <v>1</v>
          </cell>
        </row>
        <row r="27">
          <cell r="B27" t="str">
            <v>KC Bengkulu</v>
          </cell>
          <cell r="E27">
            <v>0.99980000000000002</v>
          </cell>
        </row>
        <row r="28">
          <cell r="B28" t="str">
            <v>KC Muko Muko</v>
          </cell>
          <cell r="E28">
            <v>0.99960000000000004</v>
          </cell>
        </row>
        <row r="29">
          <cell r="B29" t="str">
            <v>KC Tulang Bawang</v>
          </cell>
          <cell r="E29">
            <v>0.99909999999999999</v>
          </cell>
        </row>
        <row r="30">
          <cell r="B30" t="str">
            <v>KC Manna</v>
          </cell>
          <cell r="E30">
            <v>0.99580000000000002</v>
          </cell>
        </row>
        <row r="31">
          <cell r="B31" t="str">
            <v>KC Kalianda</v>
          </cell>
          <cell r="E31">
            <v>0.99429999999999996</v>
          </cell>
        </row>
        <row r="32">
          <cell r="B32" t="str">
            <v>KC Metro</v>
          </cell>
          <cell r="E32">
            <v>0.99119999999999997</v>
          </cell>
        </row>
        <row r="33">
          <cell r="B33" t="str">
            <v>KC Teluk Betung</v>
          </cell>
          <cell r="E33">
            <v>0.98089999999999999</v>
          </cell>
        </row>
        <row r="34">
          <cell r="B34" t="str">
            <v>KC Curup</v>
          </cell>
          <cell r="E34">
            <v>0.97230000000000005</v>
          </cell>
        </row>
        <row r="35">
          <cell r="B35" t="str">
            <v>KC Arga Makmur</v>
          </cell>
          <cell r="E35">
            <v>0.97150000000000003</v>
          </cell>
        </row>
        <row r="36">
          <cell r="B36" t="str">
            <v>KC Tanjung Karang</v>
          </cell>
          <cell r="E36">
            <v>0.96860000000000002</v>
          </cell>
        </row>
        <row r="37">
          <cell r="B37" t="str">
            <v>KC Kota Bumi</v>
          </cell>
          <cell r="E37">
            <v>0.96399999999999997</v>
          </cell>
        </row>
        <row r="38">
          <cell r="B38" t="str">
            <v>KC Pringsewu</v>
          </cell>
          <cell r="E38">
            <v>0.96389999999999998</v>
          </cell>
        </row>
        <row r="39">
          <cell r="B39" t="str">
            <v>KC Bandar Jaya</v>
          </cell>
          <cell r="E39">
            <v>0.9516</v>
          </cell>
        </row>
        <row r="40">
          <cell r="B40" t="str">
            <v>Total All Branch Office</v>
          </cell>
          <cell r="E40">
            <v>97.962649999999996</v>
          </cell>
        </row>
        <row r="41">
          <cell r="B41" t="str">
            <v>KC Cianjur</v>
          </cell>
          <cell r="E41">
            <v>1</v>
          </cell>
        </row>
        <row r="42">
          <cell r="B42" t="str">
            <v>KC Bandung A.H. Nasution</v>
          </cell>
          <cell r="E42">
            <v>1</v>
          </cell>
        </row>
        <row r="43">
          <cell r="B43" t="str">
            <v>KC Bandung Martadinata</v>
          </cell>
          <cell r="E43">
            <v>1</v>
          </cell>
        </row>
        <row r="44">
          <cell r="B44" t="str">
            <v>KC Majalengka</v>
          </cell>
          <cell r="E44">
            <v>0.99850000000000005</v>
          </cell>
        </row>
        <row r="45">
          <cell r="B45" t="str">
            <v>KC Bandung AA</v>
          </cell>
          <cell r="E45">
            <v>0.99680000000000002</v>
          </cell>
        </row>
        <row r="46">
          <cell r="B46" t="str">
            <v>KC Bandung Naripan</v>
          </cell>
          <cell r="E46">
            <v>0.99439999999999995</v>
          </cell>
        </row>
        <row r="47">
          <cell r="B47" t="str">
            <v>KC Bandung Dewi Sartika</v>
          </cell>
          <cell r="E47">
            <v>0.96719999999999995</v>
          </cell>
        </row>
        <row r="48">
          <cell r="B48" t="str">
            <v>KC Singaparna</v>
          </cell>
          <cell r="E48">
            <v>0.96109999999999995</v>
          </cell>
        </row>
        <row r="49">
          <cell r="B49" t="str">
            <v>KC Bandung Kopo</v>
          </cell>
          <cell r="E49">
            <v>0.96079999999999999</v>
          </cell>
        </row>
        <row r="50">
          <cell r="B50" t="str">
            <v>KC Cirebon Kartini</v>
          </cell>
          <cell r="E50">
            <v>0.94320000000000004</v>
          </cell>
        </row>
        <row r="51">
          <cell r="B51" t="str">
            <v>KC Bandung Sukarno Hatta</v>
          </cell>
          <cell r="E51">
            <v>0.92659999999999998</v>
          </cell>
        </row>
        <row r="52">
          <cell r="B52" t="str">
            <v>KC Cimahi</v>
          </cell>
          <cell r="E52">
            <v>0.9163</v>
          </cell>
        </row>
        <row r="53">
          <cell r="B53" t="str">
            <v>KC Garut</v>
          </cell>
          <cell r="E53">
            <v>0.90349999999999997</v>
          </cell>
        </row>
        <row r="54">
          <cell r="B54" t="str">
            <v>KC Ciamis</v>
          </cell>
          <cell r="E54">
            <v>0.90149999999999997</v>
          </cell>
        </row>
        <row r="55">
          <cell r="B55" t="str">
            <v>KC Cirebon Gunung Jati</v>
          </cell>
          <cell r="E55">
            <v>0.89990000000000003</v>
          </cell>
        </row>
        <row r="56">
          <cell r="B56" t="str">
            <v>KC Bandung Setiabudi</v>
          </cell>
          <cell r="E56">
            <v>0.88439999999999996</v>
          </cell>
        </row>
        <row r="57">
          <cell r="B57" t="str">
            <v>KC Sukabumi</v>
          </cell>
          <cell r="E57">
            <v>0.88400000000000001</v>
          </cell>
        </row>
        <row r="58">
          <cell r="B58" t="str">
            <v>KC Tasikmalaya</v>
          </cell>
          <cell r="E58">
            <v>0.88160000000000005</v>
          </cell>
        </row>
        <row r="59">
          <cell r="B59" t="str">
            <v>KC Soreang</v>
          </cell>
          <cell r="E59">
            <v>0.87539999999999996</v>
          </cell>
        </row>
        <row r="60">
          <cell r="B60" t="str">
            <v>KC Majalaya</v>
          </cell>
          <cell r="E60">
            <v>0.87460000000000004</v>
          </cell>
        </row>
        <row r="61">
          <cell r="B61" t="str">
            <v>KC Bandung Dago</v>
          </cell>
          <cell r="E61">
            <v>0.87270000000000003</v>
          </cell>
        </row>
        <row r="62">
          <cell r="B62" t="str">
            <v>KC Sumedang</v>
          </cell>
          <cell r="E62">
            <v>0.87060000000000004</v>
          </cell>
        </row>
        <row r="63">
          <cell r="B63" t="str">
            <v>KC Purwakarta</v>
          </cell>
          <cell r="E63">
            <v>0.86119999999999997</v>
          </cell>
        </row>
        <row r="64">
          <cell r="B64" t="str">
            <v>KC Indramayu</v>
          </cell>
          <cell r="E64">
            <v>0.85770000000000002</v>
          </cell>
        </row>
        <row r="65">
          <cell r="B65" t="str">
            <v>KC Cibadak</v>
          </cell>
          <cell r="E65">
            <v>0.84789999999999999</v>
          </cell>
        </row>
        <row r="66">
          <cell r="B66" t="str">
            <v>KC Pamanukan</v>
          </cell>
          <cell r="E66">
            <v>0.8478</v>
          </cell>
        </row>
        <row r="67">
          <cell r="B67" t="str">
            <v>KC Banjar</v>
          </cell>
          <cell r="E67">
            <v>0.84330000000000005</v>
          </cell>
        </row>
        <row r="68">
          <cell r="B68" t="str">
            <v>KC Jatibarang</v>
          </cell>
          <cell r="E68">
            <v>0.83760000000000001</v>
          </cell>
        </row>
        <row r="69">
          <cell r="B69" t="str">
            <v>KC Kuningan</v>
          </cell>
          <cell r="E69">
            <v>0.82079999999999997</v>
          </cell>
        </row>
        <row r="70">
          <cell r="B70" t="str">
            <v>KC Subang</v>
          </cell>
          <cell r="E70">
            <v>0.76990000000000003</v>
          </cell>
        </row>
        <row r="71">
          <cell r="B71" t="str">
            <v>KANWIL Bandung</v>
          </cell>
          <cell r="E71">
            <v>0.151</v>
          </cell>
        </row>
        <row r="72">
          <cell r="B72" t="str">
            <v>Total All Branch Office</v>
          </cell>
          <cell r="E72">
            <v>90.072730000000007</v>
          </cell>
        </row>
        <row r="73">
          <cell r="B73"/>
          <cell r="E73" t="str">
            <v>% Total Pengkinian</v>
          </cell>
        </row>
        <row r="74">
          <cell r="B74" t="str">
            <v>KC Banjarmasin</v>
          </cell>
          <cell r="E74">
            <v>1</v>
          </cell>
        </row>
        <row r="75">
          <cell r="B75" t="str">
            <v>KC Kandangan</v>
          </cell>
          <cell r="E75">
            <v>1</v>
          </cell>
        </row>
        <row r="76">
          <cell r="B76" t="str">
            <v>KC Pontianak</v>
          </cell>
          <cell r="E76">
            <v>1</v>
          </cell>
        </row>
        <row r="77">
          <cell r="B77" t="str">
            <v>KC SAMARINDA GAJAH MADA</v>
          </cell>
          <cell r="E77">
            <v>1</v>
          </cell>
        </row>
        <row r="78">
          <cell r="B78" t="str">
            <v>KC Balikpapan</v>
          </cell>
          <cell r="E78">
            <v>1</v>
          </cell>
        </row>
        <row r="79">
          <cell r="B79" t="str">
            <v>KC Kotabaru</v>
          </cell>
          <cell r="E79">
            <v>1</v>
          </cell>
        </row>
        <row r="80">
          <cell r="B80" t="str">
            <v>KC Barabai</v>
          </cell>
          <cell r="E80">
            <v>1</v>
          </cell>
        </row>
        <row r="81">
          <cell r="B81" t="str">
            <v>KC Sampit</v>
          </cell>
          <cell r="E81">
            <v>1</v>
          </cell>
        </row>
        <row r="82">
          <cell r="B82" t="str">
            <v>KC Kuala Kapuas</v>
          </cell>
          <cell r="E82">
            <v>1</v>
          </cell>
        </row>
        <row r="83">
          <cell r="B83" t="str">
            <v>KC Mempawah</v>
          </cell>
          <cell r="E83">
            <v>1</v>
          </cell>
        </row>
        <row r="84">
          <cell r="B84" t="str">
            <v>KC Rantau</v>
          </cell>
          <cell r="E84">
            <v>1</v>
          </cell>
        </row>
        <row r="85">
          <cell r="B85" t="str">
            <v>KC Tanah Grogot</v>
          </cell>
          <cell r="E85">
            <v>1</v>
          </cell>
        </row>
        <row r="86">
          <cell r="B86" t="str">
            <v>KC Bontang</v>
          </cell>
          <cell r="E86">
            <v>1</v>
          </cell>
        </row>
        <row r="87">
          <cell r="B87" t="str">
            <v>KC SAMARINDA PELITA</v>
          </cell>
          <cell r="E87">
            <v>1</v>
          </cell>
        </row>
        <row r="88">
          <cell r="B88" t="str">
            <v>KC Sangatta</v>
          </cell>
          <cell r="E88">
            <v>1</v>
          </cell>
        </row>
        <row r="89">
          <cell r="B89" t="str">
            <v>KC Banjarmasin 2</v>
          </cell>
          <cell r="E89">
            <v>1</v>
          </cell>
        </row>
        <row r="90">
          <cell r="B90" t="str">
            <v>KC Balikpapan A. Yani</v>
          </cell>
          <cell r="E90">
            <v>1</v>
          </cell>
        </row>
        <row r="91">
          <cell r="B91" t="str">
            <v>KC Muara Teweh</v>
          </cell>
          <cell r="E91">
            <v>0.99980000000000002</v>
          </cell>
        </row>
        <row r="92">
          <cell r="B92" t="str">
            <v>KC Tarakan</v>
          </cell>
          <cell r="E92">
            <v>0.99970000000000003</v>
          </cell>
        </row>
        <row r="93">
          <cell r="B93" t="str">
            <v>KC Putussibau</v>
          </cell>
          <cell r="E93">
            <v>0.99960000000000004</v>
          </cell>
        </row>
        <row r="94">
          <cell r="B94" t="str">
            <v>KC Nunukan</v>
          </cell>
          <cell r="E94">
            <v>0.99950000000000006</v>
          </cell>
        </row>
        <row r="95">
          <cell r="B95" t="str">
            <v>KC Amuntai</v>
          </cell>
          <cell r="E95">
            <v>0.99919999999999998</v>
          </cell>
        </row>
        <row r="96">
          <cell r="B96" t="str">
            <v>KC Martapura</v>
          </cell>
          <cell r="E96">
            <v>0.99890000000000001</v>
          </cell>
        </row>
        <row r="97">
          <cell r="B97" t="str">
            <v>KC Pangkalan Bun</v>
          </cell>
          <cell r="E97">
            <v>0.99780000000000002</v>
          </cell>
        </row>
        <row r="98">
          <cell r="B98" t="str">
            <v>KC Pontianak Gajah Mada</v>
          </cell>
          <cell r="E98">
            <v>0.996</v>
          </cell>
        </row>
        <row r="99">
          <cell r="B99" t="str">
            <v>KC Tanjung Redeb</v>
          </cell>
          <cell r="E99">
            <v>0.99450000000000005</v>
          </cell>
        </row>
        <row r="100">
          <cell r="B100" t="str">
            <v>KC Pleihari</v>
          </cell>
          <cell r="E100">
            <v>0.99119999999999997</v>
          </cell>
        </row>
        <row r="101">
          <cell r="B101" t="str">
            <v>KC Sendawar</v>
          </cell>
          <cell r="E101">
            <v>0.98919999999999997</v>
          </cell>
        </row>
        <row r="102">
          <cell r="B102" t="str">
            <v>KC Tanjung Selor</v>
          </cell>
          <cell r="E102">
            <v>0.98619999999999997</v>
          </cell>
        </row>
        <row r="103">
          <cell r="B103" t="str">
            <v>KC Tanjung Tabalong</v>
          </cell>
          <cell r="E103">
            <v>0.98460000000000003</v>
          </cell>
        </row>
        <row r="104">
          <cell r="B104" t="str">
            <v>KC Sintang</v>
          </cell>
          <cell r="E104">
            <v>0.98250000000000004</v>
          </cell>
        </row>
        <row r="105">
          <cell r="B105" t="str">
            <v>KC Ketapang</v>
          </cell>
          <cell r="E105">
            <v>0.98140000000000005</v>
          </cell>
        </row>
        <row r="106">
          <cell r="B106" t="str">
            <v>KC Melawi</v>
          </cell>
          <cell r="E106">
            <v>0.97829999999999995</v>
          </cell>
        </row>
        <row r="107">
          <cell r="B107" t="str">
            <v>KC Batulicin</v>
          </cell>
          <cell r="E107">
            <v>0.97740000000000005</v>
          </cell>
        </row>
        <row r="108">
          <cell r="B108" t="str">
            <v>KC Singkawang</v>
          </cell>
          <cell r="E108">
            <v>0.97309999999999997</v>
          </cell>
        </row>
        <row r="109">
          <cell r="B109" t="str">
            <v>KC Tenggarong</v>
          </cell>
          <cell r="E109">
            <v>0.97109999999999996</v>
          </cell>
        </row>
        <row r="110">
          <cell r="B110" t="str">
            <v>KC Sanggau</v>
          </cell>
          <cell r="E110">
            <v>0.9607</v>
          </cell>
        </row>
        <row r="111">
          <cell r="B111" t="str">
            <v>KC Marabahan</v>
          </cell>
          <cell r="E111">
            <v>0.95020000000000004</v>
          </cell>
        </row>
        <row r="112">
          <cell r="B112" t="str">
            <v>KC Palangkaraya</v>
          </cell>
          <cell r="E112">
            <v>0.93969999999999998</v>
          </cell>
        </row>
        <row r="113">
          <cell r="B113" t="str">
            <v>KC Buntok</v>
          </cell>
          <cell r="E113">
            <v>0.91</v>
          </cell>
        </row>
        <row r="114">
          <cell r="B114" t="str">
            <v>Total All Branch Office</v>
          </cell>
          <cell r="E114">
            <v>98.483680000000007</v>
          </cell>
        </row>
        <row r="115">
          <cell r="B115"/>
          <cell r="E115" t="str">
            <v>% Total Pengkinian</v>
          </cell>
        </row>
        <row r="116">
          <cell r="B116" t="e">
            <v>#N/A</v>
          </cell>
          <cell r="E116">
            <v>1</v>
          </cell>
        </row>
        <row r="117">
          <cell r="B117" t="str">
            <v>KC Tabanan Kediri</v>
          </cell>
          <cell r="E117">
            <v>1</v>
          </cell>
        </row>
        <row r="118">
          <cell r="B118" t="str">
            <v>KC Ruteng</v>
          </cell>
          <cell r="E118">
            <v>0.99629999999999996</v>
          </cell>
        </row>
        <row r="119">
          <cell r="B119" t="str">
            <v>KC Bangli</v>
          </cell>
          <cell r="E119">
            <v>0.95420000000000005</v>
          </cell>
        </row>
        <row r="120">
          <cell r="B120" t="str">
            <v>KC Denpasar Gajah Mada</v>
          </cell>
          <cell r="E120">
            <v>0.90349999999999997</v>
          </cell>
        </row>
        <row r="121">
          <cell r="B121" t="str">
            <v>KC Maumere</v>
          </cell>
          <cell r="E121">
            <v>0.90100000000000002</v>
          </cell>
        </row>
        <row r="122">
          <cell r="B122" t="str">
            <v>KC Kefamenanu</v>
          </cell>
          <cell r="E122">
            <v>0.89680000000000004</v>
          </cell>
        </row>
        <row r="123">
          <cell r="B123" t="str">
            <v>KC Denpasar Ubud</v>
          </cell>
          <cell r="E123">
            <v>0.89019999999999999</v>
          </cell>
        </row>
        <row r="124">
          <cell r="B124" t="str">
            <v>KC Kuta</v>
          </cell>
          <cell r="E124">
            <v>0.8871</v>
          </cell>
        </row>
        <row r="125">
          <cell r="B125" t="str">
            <v>KC Semarapura</v>
          </cell>
          <cell r="E125">
            <v>0.87649999999999995</v>
          </cell>
        </row>
        <row r="126">
          <cell r="B126" t="str">
            <v>KC Soe</v>
          </cell>
          <cell r="E126">
            <v>0.8599</v>
          </cell>
        </row>
        <row r="127">
          <cell r="B127" t="str">
            <v>KC Waingapu</v>
          </cell>
          <cell r="E127">
            <v>0.85070000000000001</v>
          </cell>
        </row>
        <row r="128">
          <cell r="B128" t="str">
            <v>KC Gianyar</v>
          </cell>
          <cell r="E128">
            <v>0.83599999999999997</v>
          </cell>
        </row>
        <row r="129">
          <cell r="B129" t="str">
            <v>KC Mataram</v>
          </cell>
          <cell r="E129">
            <v>0.83340000000000003</v>
          </cell>
        </row>
        <row r="130">
          <cell r="B130" t="str">
            <v>KC Kalabahi</v>
          </cell>
          <cell r="E130">
            <v>0.82799999999999996</v>
          </cell>
        </row>
        <row r="131">
          <cell r="B131" t="str">
            <v>KC Negara</v>
          </cell>
          <cell r="E131">
            <v>0.81769999999999998</v>
          </cell>
        </row>
        <row r="132">
          <cell r="B132" t="str">
            <v>KC Singaraja</v>
          </cell>
          <cell r="E132">
            <v>0.81040000000000001</v>
          </cell>
        </row>
        <row r="133">
          <cell r="B133" t="str">
            <v>KC Tabanan</v>
          </cell>
          <cell r="E133">
            <v>0.80920000000000003</v>
          </cell>
        </row>
        <row r="134">
          <cell r="B134" t="str">
            <v>KC Bajawa</v>
          </cell>
          <cell r="E134">
            <v>0.8075</v>
          </cell>
        </row>
        <row r="135">
          <cell r="B135" t="str">
            <v>KC Raba Bima</v>
          </cell>
          <cell r="E135">
            <v>0.80220000000000002</v>
          </cell>
        </row>
        <row r="136">
          <cell r="B136" t="str">
            <v>KC Waikabubak</v>
          </cell>
          <cell r="E136">
            <v>0.79800000000000004</v>
          </cell>
        </row>
        <row r="137">
          <cell r="B137" t="str">
            <v>KC Denpasar Renon</v>
          </cell>
          <cell r="E137">
            <v>0.79720000000000002</v>
          </cell>
        </row>
        <row r="138">
          <cell r="B138" t="str">
            <v>KC Larantuka</v>
          </cell>
          <cell r="E138">
            <v>0.79490000000000005</v>
          </cell>
        </row>
        <row r="139">
          <cell r="B139" t="str">
            <v>KC Sumbawa Besar</v>
          </cell>
          <cell r="E139">
            <v>0.79239999999999999</v>
          </cell>
        </row>
        <row r="140">
          <cell r="B140" t="str">
            <v>KC Denpasar Gatot Subroto</v>
          </cell>
          <cell r="E140">
            <v>0.7923</v>
          </cell>
        </row>
        <row r="141">
          <cell r="B141" t="str">
            <v>KC Dompu</v>
          </cell>
          <cell r="E141">
            <v>0.78359999999999996</v>
          </cell>
        </row>
        <row r="142">
          <cell r="B142" t="str">
            <v>KC Selong</v>
          </cell>
          <cell r="E142">
            <v>0.78169999999999995</v>
          </cell>
        </row>
        <row r="143">
          <cell r="B143" t="str">
            <v>KC Praya</v>
          </cell>
          <cell r="E143">
            <v>0.7792</v>
          </cell>
        </row>
        <row r="144">
          <cell r="B144" t="str">
            <v>KC Atambua</v>
          </cell>
          <cell r="E144">
            <v>0.77839999999999998</v>
          </cell>
        </row>
        <row r="145">
          <cell r="B145" t="str">
            <v>KC Amlapura</v>
          </cell>
          <cell r="E145">
            <v>0.77600000000000002</v>
          </cell>
        </row>
        <row r="146">
          <cell r="B146" t="str">
            <v>KC Ende</v>
          </cell>
          <cell r="E146">
            <v>0.77129999999999999</v>
          </cell>
        </row>
        <row r="147">
          <cell r="B147" t="str">
            <v>KC Kupang</v>
          </cell>
          <cell r="E147">
            <v>0.77080000000000004</v>
          </cell>
        </row>
        <row r="148">
          <cell r="B148" t="str">
            <v>KC LABUAN BAJO</v>
          </cell>
          <cell r="E148">
            <v>0.72189999999999999</v>
          </cell>
        </row>
        <row r="149">
          <cell r="B149" t="str">
            <v>Total All Branch Office</v>
          </cell>
          <cell r="E149">
            <v>82.298609999999996</v>
          </cell>
        </row>
        <row r="150">
          <cell r="B150" t="str">
            <v>KC Jakarta Artha Gading</v>
          </cell>
          <cell r="E150">
            <v>1</v>
          </cell>
        </row>
        <row r="151">
          <cell r="B151" t="str">
            <v>KC Jakarta Gading Boulevard</v>
          </cell>
          <cell r="E151">
            <v>0.99960000000000004</v>
          </cell>
        </row>
        <row r="152">
          <cell r="B152" t="str">
            <v>KC Jakarta Kelapa Gading</v>
          </cell>
          <cell r="E152">
            <v>0.99939999999999996</v>
          </cell>
        </row>
        <row r="153">
          <cell r="B153" t="str">
            <v>KC Jakarta Pantai Indah Kapuk</v>
          </cell>
          <cell r="E153">
            <v>0.99939999999999996</v>
          </cell>
        </row>
        <row r="154">
          <cell r="B154" t="str">
            <v>KC Jakarta Kramat</v>
          </cell>
          <cell r="E154">
            <v>0.99780000000000002</v>
          </cell>
        </row>
        <row r="155">
          <cell r="B155" t="str">
            <v>KC Jakarta Jatinegara</v>
          </cell>
          <cell r="E155">
            <v>0.99709999999999999</v>
          </cell>
        </row>
        <row r="156">
          <cell r="B156" t="str">
            <v>KC Jakarta Sunter</v>
          </cell>
          <cell r="E156">
            <v>0.99650000000000005</v>
          </cell>
        </row>
        <row r="157">
          <cell r="B157" t="str">
            <v>KC JAKARTA KEMAYORAN</v>
          </cell>
          <cell r="E157">
            <v>0.99639999999999995</v>
          </cell>
        </row>
        <row r="158">
          <cell r="B158" t="str">
            <v>KC Jakarta Gunung Sahari</v>
          </cell>
          <cell r="E158">
            <v>0.996</v>
          </cell>
        </row>
        <row r="159">
          <cell r="B159" t="str">
            <v>KC Jakarta Tanjung Priok</v>
          </cell>
          <cell r="E159">
            <v>0.99450000000000005</v>
          </cell>
        </row>
        <row r="160">
          <cell r="B160" t="str">
            <v>KC Jakarta Tanah Abang</v>
          </cell>
          <cell r="E160">
            <v>0.99270000000000003</v>
          </cell>
        </row>
        <row r="161">
          <cell r="B161" t="str">
            <v>KC Jakarta Segitiga Senen</v>
          </cell>
          <cell r="E161">
            <v>0.99170000000000003</v>
          </cell>
        </row>
        <row r="162">
          <cell r="B162" t="str">
            <v>KC JAKARTA KALIMALANG</v>
          </cell>
          <cell r="E162">
            <v>0.9889</v>
          </cell>
        </row>
        <row r="163">
          <cell r="B163" t="str">
            <v>KC JAKARTA ROXI</v>
          </cell>
          <cell r="E163">
            <v>0.98299999999999998</v>
          </cell>
        </row>
        <row r="164">
          <cell r="B164" t="str">
            <v>KC Jakarta Kramat Jati</v>
          </cell>
          <cell r="E164">
            <v>0.97750000000000004</v>
          </cell>
        </row>
        <row r="165">
          <cell r="B165" t="str">
            <v>KC Jakarta Veteran</v>
          </cell>
          <cell r="E165">
            <v>0.97529999999999994</v>
          </cell>
        </row>
        <row r="166">
          <cell r="B166" t="str">
            <v>KC Jakarta Cempaka Mas</v>
          </cell>
          <cell r="E166">
            <v>0.96919999999999995</v>
          </cell>
        </row>
        <row r="167">
          <cell r="B167" t="str">
            <v>KC Jakarta Mangga Dua</v>
          </cell>
          <cell r="E167">
            <v>0.96850000000000003</v>
          </cell>
        </row>
        <row r="168">
          <cell r="B168" t="str">
            <v>KC JAKARTA RAWAMANGUN</v>
          </cell>
          <cell r="E168">
            <v>0.96819999999999995</v>
          </cell>
        </row>
        <row r="169">
          <cell r="B169" t="str">
            <v>KC Jakarta Cut Mutiah</v>
          </cell>
          <cell r="E169">
            <v>0.96779999999999999</v>
          </cell>
        </row>
        <row r="170">
          <cell r="B170" t="str">
            <v>KC SUDIRMAN SEMANGGI</v>
          </cell>
          <cell r="E170">
            <v>0.9637</v>
          </cell>
        </row>
        <row r="171">
          <cell r="B171" t="str">
            <v>KC Jakarta Pluit</v>
          </cell>
          <cell r="E171">
            <v>0.96089999999999998</v>
          </cell>
        </row>
        <row r="172">
          <cell r="B172" t="str">
            <v>KC JAKARTA OTISTA</v>
          </cell>
          <cell r="E172">
            <v>0.9446</v>
          </cell>
        </row>
        <row r="173">
          <cell r="B173" t="str">
            <v>KC Jakarta Krekot</v>
          </cell>
          <cell r="E173">
            <v>0.88319999999999999</v>
          </cell>
        </row>
        <row r="174">
          <cell r="B174" t="str">
            <v>KANWIL DKI Jakarta</v>
          </cell>
          <cell r="E174">
            <v>0</v>
          </cell>
        </row>
        <row r="175">
          <cell r="B175" t="str">
            <v>Total All Branch Office</v>
          </cell>
          <cell r="E175">
            <v>97.616050000000001</v>
          </cell>
        </row>
        <row r="176">
          <cell r="B176"/>
          <cell r="E176" t="str">
            <v>% Total Pengkinian</v>
          </cell>
        </row>
        <row r="177">
          <cell r="B177" t="str">
            <v>KC Jakarta Pondok Indah</v>
          </cell>
          <cell r="E177">
            <v>1</v>
          </cell>
        </row>
        <row r="178">
          <cell r="B178" t="str">
            <v>KC Jakarta Sudirman 1</v>
          </cell>
          <cell r="E178">
            <v>1</v>
          </cell>
        </row>
        <row r="179">
          <cell r="B179" t="str">
            <v>KC Jakarta Rasuna Said</v>
          </cell>
          <cell r="E179">
            <v>1</v>
          </cell>
        </row>
        <row r="180">
          <cell r="B180" t="str">
            <v>KC Cibubur</v>
          </cell>
          <cell r="E180">
            <v>1</v>
          </cell>
        </row>
        <row r="181">
          <cell r="B181" t="str">
            <v>KC Pondok Gede</v>
          </cell>
          <cell r="E181">
            <v>1</v>
          </cell>
        </row>
        <row r="182">
          <cell r="B182" t="str">
            <v>KC Bogor Pajajaran</v>
          </cell>
          <cell r="E182">
            <v>1</v>
          </cell>
        </row>
        <row r="183">
          <cell r="B183" t="str">
            <v>KC Jakarta Pancoran</v>
          </cell>
          <cell r="E183">
            <v>1</v>
          </cell>
        </row>
        <row r="184">
          <cell r="B184" t="str">
            <v>KC Jakarta Panglima Polim</v>
          </cell>
          <cell r="E184">
            <v>1</v>
          </cell>
        </row>
        <row r="185">
          <cell r="B185" t="str">
            <v>KC Cibinong</v>
          </cell>
          <cell r="E185">
            <v>1</v>
          </cell>
        </row>
        <row r="186">
          <cell r="B186" t="str">
            <v>KC Cimanggis</v>
          </cell>
          <cell r="E186">
            <v>1</v>
          </cell>
        </row>
        <row r="187">
          <cell r="B187" t="str">
            <v>KC BEKASI SILIWANGI</v>
          </cell>
          <cell r="E187">
            <v>1</v>
          </cell>
        </row>
        <row r="188">
          <cell r="B188" t="str">
            <v>KC Bekasi Harapan Indah</v>
          </cell>
          <cell r="E188">
            <v>1</v>
          </cell>
        </row>
        <row r="189">
          <cell r="B189" t="str">
            <v>KC Ampera</v>
          </cell>
          <cell r="E189">
            <v>1</v>
          </cell>
        </row>
        <row r="190">
          <cell r="B190" t="str">
            <v>KC BRI Jakarta Menara Brilian</v>
          </cell>
          <cell r="E190">
            <v>1</v>
          </cell>
        </row>
        <row r="191">
          <cell r="B191" t="str">
            <v>KC LEBAK BULUS</v>
          </cell>
          <cell r="E191">
            <v>1</v>
          </cell>
        </row>
        <row r="192">
          <cell r="B192" t="str">
            <v>KC Jakarta Radio Dalam</v>
          </cell>
          <cell r="E192">
            <v>1</v>
          </cell>
        </row>
        <row r="193">
          <cell r="B193" t="str">
            <v>KC Jakarta TB Simatupang</v>
          </cell>
          <cell r="E193">
            <v>1</v>
          </cell>
        </row>
        <row r="194">
          <cell r="B194" t="str">
            <v>KC Tambun</v>
          </cell>
          <cell r="E194">
            <v>1</v>
          </cell>
        </row>
        <row r="195">
          <cell r="B195" t="str">
            <v>KC Depok</v>
          </cell>
          <cell r="E195">
            <v>1</v>
          </cell>
        </row>
        <row r="196">
          <cell r="B196" t="str">
            <v>KC BURSA EFEK INDONESIA</v>
          </cell>
          <cell r="E196">
            <v>1</v>
          </cell>
        </row>
        <row r="197">
          <cell r="B197" t="str">
            <v>KC JAKARTA MEGA KUNINGAN</v>
          </cell>
          <cell r="E197">
            <v>1</v>
          </cell>
        </row>
        <row r="198">
          <cell r="B198" t="str">
            <v>KC Mabes TNI Cilangkap</v>
          </cell>
          <cell r="E198">
            <v>1</v>
          </cell>
        </row>
        <row r="199">
          <cell r="B199" t="str">
            <v>KC Bogor</v>
          </cell>
          <cell r="E199">
            <v>1</v>
          </cell>
        </row>
        <row r="200">
          <cell r="B200" t="str">
            <v>KC Karawang</v>
          </cell>
          <cell r="E200">
            <v>1</v>
          </cell>
        </row>
        <row r="201">
          <cell r="B201" t="str">
            <v>KC Bekasi</v>
          </cell>
          <cell r="E201">
            <v>1</v>
          </cell>
        </row>
        <row r="202">
          <cell r="B202" t="str">
            <v>KC Jakarta Kebayoran Baru</v>
          </cell>
          <cell r="E202">
            <v>1</v>
          </cell>
        </row>
        <row r="203">
          <cell r="B203" t="str">
            <v>KC Cikampek</v>
          </cell>
          <cell r="E203">
            <v>1</v>
          </cell>
        </row>
        <row r="204">
          <cell r="B204" t="str">
            <v>KANWIL JAKARTA 2</v>
          </cell>
          <cell r="E204">
            <v>1</v>
          </cell>
        </row>
        <row r="205">
          <cell r="B205" t="str">
            <v>KC Cikarang</v>
          </cell>
          <cell r="E205">
            <v>1</v>
          </cell>
        </row>
        <row r="206">
          <cell r="B206" t="str">
            <v>KC Jakarta Fatmawati</v>
          </cell>
          <cell r="E206">
            <v>1</v>
          </cell>
        </row>
        <row r="207">
          <cell r="B207" t="str">
            <v>KC Jakarta Pasar Minggu</v>
          </cell>
          <cell r="E207">
            <v>1</v>
          </cell>
        </row>
        <row r="208">
          <cell r="B208" t="str">
            <v>KC Jakarta Warung Buncit</v>
          </cell>
          <cell r="E208">
            <v>1</v>
          </cell>
        </row>
        <row r="209">
          <cell r="B209" t="str">
            <v>KC Jakarta Gatot Subroto</v>
          </cell>
          <cell r="E209">
            <v>0.99970000000000003</v>
          </cell>
        </row>
        <row r="210">
          <cell r="B210" t="str">
            <v>Total All Branch Office</v>
          </cell>
          <cell r="E210">
            <v>99.999639999999999</v>
          </cell>
        </row>
        <row r="211">
          <cell r="B211" t="str">
            <v>KC Bintaro</v>
          </cell>
          <cell r="E211">
            <v>1</v>
          </cell>
        </row>
        <row r="212">
          <cell r="B212" t="str">
            <v>KC Jakarta Puri Niaga</v>
          </cell>
          <cell r="E212">
            <v>0.99539999999999995</v>
          </cell>
        </row>
        <row r="213">
          <cell r="B213" t="str">
            <v>KC Jakarta Daan Mogot</v>
          </cell>
          <cell r="E213">
            <v>0.97729999999999995</v>
          </cell>
        </row>
        <row r="214">
          <cell r="B214" t="str">
            <v>KC Jakarta Kalideres</v>
          </cell>
          <cell r="E214">
            <v>0.97150000000000003</v>
          </cell>
        </row>
        <row r="215">
          <cell r="B215" t="str">
            <v>KC Jakarta Tanjung Duren</v>
          </cell>
          <cell r="E215">
            <v>0.96889999999999998</v>
          </cell>
        </row>
        <row r="216">
          <cell r="B216" t="str">
            <v>KC Jakarta S Parman</v>
          </cell>
          <cell r="E216">
            <v>0.94240000000000002</v>
          </cell>
        </row>
        <row r="217">
          <cell r="B217" t="str">
            <v>KC Serang</v>
          </cell>
          <cell r="E217">
            <v>0.92920000000000003</v>
          </cell>
        </row>
        <row r="218">
          <cell r="B218" t="str">
            <v>KC Jakarta Jelambar</v>
          </cell>
          <cell r="E218">
            <v>0.92490000000000006</v>
          </cell>
        </row>
        <row r="219">
          <cell r="B219" t="str">
            <v>KC Labuan</v>
          </cell>
          <cell r="E219">
            <v>0.90100000000000002</v>
          </cell>
        </row>
        <row r="220">
          <cell r="B220" t="str">
            <v>KC Jakarta Hayam Wuruk</v>
          </cell>
          <cell r="E220">
            <v>0.89349999999999996</v>
          </cell>
        </row>
        <row r="221">
          <cell r="B221" t="str">
            <v>KANWIL JAKARTA 3</v>
          </cell>
          <cell r="E221">
            <v>0.88880000000000003</v>
          </cell>
        </row>
        <row r="222">
          <cell r="B222" t="str">
            <v>KC Jakarta Joglo</v>
          </cell>
          <cell r="E222">
            <v>0.8831</v>
          </cell>
        </row>
        <row r="223">
          <cell r="B223" t="str">
            <v>KC Bandara Soekarno Hatta</v>
          </cell>
          <cell r="E223">
            <v>0.88300000000000001</v>
          </cell>
        </row>
        <row r="224">
          <cell r="B224" t="str">
            <v>KC Pamulang</v>
          </cell>
          <cell r="E224">
            <v>0.87849999999999995</v>
          </cell>
        </row>
        <row r="225">
          <cell r="B225" t="str">
            <v>KC Jakarta Palmerah</v>
          </cell>
          <cell r="E225">
            <v>0.85740000000000005</v>
          </cell>
        </row>
        <row r="226">
          <cell r="B226" t="str">
            <v>KC Rangkasbitung</v>
          </cell>
          <cell r="E226">
            <v>0.85429999999999995</v>
          </cell>
        </row>
        <row r="227">
          <cell r="B227" t="str">
            <v>KC Ciputat</v>
          </cell>
          <cell r="E227">
            <v>0.84870000000000001</v>
          </cell>
        </row>
        <row r="228">
          <cell r="B228" t="str">
            <v>KC Gading Serpong</v>
          </cell>
          <cell r="E228">
            <v>0.84379999999999999</v>
          </cell>
        </row>
        <row r="229">
          <cell r="B229" t="str">
            <v>KC Bumi Serpong Damai</v>
          </cell>
          <cell r="E229">
            <v>0.82230000000000003</v>
          </cell>
        </row>
        <row r="230">
          <cell r="B230" t="str">
            <v>KC Tangerang City</v>
          </cell>
          <cell r="E230">
            <v>0.82189999999999996</v>
          </cell>
        </row>
        <row r="231">
          <cell r="B231" t="str">
            <v>KC Jakarta Tangerang</v>
          </cell>
          <cell r="E231">
            <v>0.82030000000000003</v>
          </cell>
        </row>
        <row r="232">
          <cell r="B232" t="str">
            <v>KC Balaraja</v>
          </cell>
          <cell r="E232">
            <v>0.8165</v>
          </cell>
        </row>
        <row r="233">
          <cell r="B233" t="str">
            <v>KC Jakarta Kebon Jeruk</v>
          </cell>
          <cell r="E233">
            <v>0.81630000000000003</v>
          </cell>
        </row>
        <row r="234">
          <cell r="B234" t="str">
            <v>KC Cilegon</v>
          </cell>
          <cell r="E234">
            <v>0.80669999999999997</v>
          </cell>
        </row>
        <row r="235">
          <cell r="B235" t="str">
            <v>KC JAKARTA KOTA</v>
          </cell>
          <cell r="E235">
            <v>0.80300000000000005</v>
          </cell>
        </row>
        <row r="236">
          <cell r="B236" t="str">
            <v>KC Tangerang Merdeka</v>
          </cell>
          <cell r="E236">
            <v>0.79479999999999995</v>
          </cell>
        </row>
        <row r="237">
          <cell r="B237" t="str">
            <v>KC Pandeglang</v>
          </cell>
          <cell r="E237">
            <v>0.75580000000000003</v>
          </cell>
        </row>
        <row r="238">
          <cell r="B238" t="str">
            <v>Total All Branch Office</v>
          </cell>
          <cell r="E238">
            <v>87.780649999999994</v>
          </cell>
        </row>
        <row r="239">
          <cell r="B239" t="str">
            <v>KC Serui</v>
          </cell>
          <cell r="E239">
            <v>1</v>
          </cell>
        </row>
        <row r="240">
          <cell r="B240" t="str">
            <v>KC Wamena</v>
          </cell>
          <cell r="E240">
            <v>1</v>
          </cell>
        </row>
        <row r="241">
          <cell r="B241" t="str">
            <v>KC Abepura</v>
          </cell>
          <cell r="E241">
            <v>1</v>
          </cell>
        </row>
        <row r="242">
          <cell r="B242" t="str">
            <v>KANWIL JAYAPURA</v>
          </cell>
          <cell r="E242">
            <v>1</v>
          </cell>
        </row>
        <row r="243">
          <cell r="B243" t="str">
            <v>KC Bintuni</v>
          </cell>
          <cell r="E243">
            <v>1</v>
          </cell>
        </row>
        <row r="244">
          <cell r="B244" t="str">
            <v>KC Fakfak</v>
          </cell>
          <cell r="E244">
            <v>1</v>
          </cell>
        </row>
        <row r="245">
          <cell r="B245" t="str">
            <v>KC Sentani</v>
          </cell>
          <cell r="E245">
            <v>1</v>
          </cell>
        </row>
        <row r="246">
          <cell r="B246" t="str">
            <v>KC Jayapura</v>
          </cell>
          <cell r="E246">
            <v>0.99960000000000004</v>
          </cell>
        </row>
        <row r="247">
          <cell r="B247" t="str">
            <v>KC Sorong</v>
          </cell>
          <cell r="E247">
            <v>0.99870000000000003</v>
          </cell>
        </row>
        <row r="248">
          <cell r="B248" t="str">
            <v>KC Nabire</v>
          </cell>
          <cell r="E248">
            <v>0.99719999999999998</v>
          </cell>
        </row>
        <row r="249">
          <cell r="B249" t="str">
            <v>KC Merauke</v>
          </cell>
          <cell r="E249">
            <v>0.99719999999999998</v>
          </cell>
        </row>
        <row r="250">
          <cell r="B250" t="str">
            <v>KC Timika</v>
          </cell>
          <cell r="E250">
            <v>0.99490000000000001</v>
          </cell>
        </row>
        <row r="251">
          <cell r="B251" t="str">
            <v>KC Manokwari</v>
          </cell>
          <cell r="E251">
            <v>0.98360000000000003</v>
          </cell>
        </row>
        <row r="252">
          <cell r="B252" t="str">
            <v>KC Biak</v>
          </cell>
          <cell r="E252">
            <v>0.97399999999999998</v>
          </cell>
        </row>
        <row r="253">
          <cell r="B253" t="str">
            <v>Total All Branch Office</v>
          </cell>
          <cell r="E253">
            <v>99.441779999999994</v>
          </cell>
        </row>
        <row r="254">
          <cell r="B254" t="str">
            <v>KC Benteng Selayar</v>
          </cell>
          <cell r="E254">
            <v>1</v>
          </cell>
        </row>
        <row r="255">
          <cell r="B255" t="str">
            <v>KC Masohi</v>
          </cell>
          <cell r="E255">
            <v>0.91790000000000005</v>
          </cell>
        </row>
        <row r="256">
          <cell r="B256" t="str">
            <v>KC Enrekang</v>
          </cell>
          <cell r="E256">
            <v>0.90059999999999996</v>
          </cell>
        </row>
        <row r="257">
          <cell r="B257" t="str">
            <v>KC Ambon</v>
          </cell>
          <cell r="E257">
            <v>0.89970000000000006</v>
          </cell>
        </row>
        <row r="258">
          <cell r="B258" t="str">
            <v>KC Kolaka</v>
          </cell>
          <cell r="E258">
            <v>0.8952</v>
          </cell>
        </row>
        <row r="259">
          <cell r="B259" t="str">
            <v>KC Bantaeng</v>
          </cell>
          <cell r="E259">
            <v>0.88200000000000001</v>
          </cell>
        </row>
        <row r="260">
          <cell r="B260" t="str">
            <v>KC Mamuju</v>
          </cell>
          <cell r="E260">
            <v>0.878</v>
          </cell>
        </row>
        <row r="261">
          <cell r="B261" t="str">
            <v>KC Palopo</v>
          </cell>
          <cell r="E261">
            <v>0.877</v>
          </cell>
        </row>
        <row r="262">
          <cell r="B262" t="str">
            <v>KC Masamba</v>
          </cell>
          <cell r="E262">
            <v>0.87490000000000001</v>
          </cell>
        </row>
        <row r="263">
          <cell r="B263" t="str">
            <v>KC Barru</v>
          </cell>
          <cell r="E263">
            <v>0.873</v>
          </cell>
        </row>
        <row r="264">
          <cell r="B264" t="str">
            <v>KC Majene</v>
          </cell>
          <cell r="E264">
            <v>0.86960000000000004</v>
          </cell>
        </row>
        <row r="265">
          <cell r="B265" t="str">
            <v>KC Pangkep</v>
          </cell>
          <cell r="E265">
            <v>0.86109999999999998</v>
          </cell>
        </row>
        <row r="266">
          <cell r="B266" t="str">
            <v>KC Sungguminasa</v>
          </cell>
          <cell r="E266">
            <v>0.85409999999999997</v>
          </cell>
        </row>
        <row r="267">
          <cell r="B267" t="str">
            <v>KC Sengkang</v>
          </cell>
          <cell r="E267">
            <v>0.85289999999999999</v>
          </cell>
        </row>
        <row r="268">
          <cell r="B268" t="str">
            <v>KC Raha</v>
          </cell>
          <cell r="E268">
            <v>0.85050000000000003</v>
          </cell>
        </row>
        <row r="269">
          <cell r="B269" t="str">
            <v>KC Rantepao</v>
          </cell>
          <cell r="E269">
            <v>0.84730000000000005</v>
          </cell>
        </row>
        <row r="270">
          <cell r="B270" t="str">
            <v>KC Maros</v>
          </cell>
          <cell r="E270">
            <v>0.84640000000000004</v>
          </cell>
        </row>
        <row r="271">
          <cell r="B271" t="str">
            <v>KC Sidrap</v>
          </cell>
          <cell r="E271">
            <v>0.84599999999999997</v>
          </cell>
        </row>
        <row r="272">
          <cell r="B272" t="str">
            <v>KC Watansopeng</v>
          </cell>
          <cell r="E272">
            <v>0.84550000000000003</v>
          </cell>
        </row>
        <row r="273">
          <cell r="B273" t="str">
            <v>KC Tamalanrea</v>
          </cell>
          <cell r="E273">
            <v>0.8387</v>
          </cell>
        </row>
        <row r="274">
          <cell r="B274" t="str">
            <v>KC PULAU ARU</v>
          </cell>
          <cell r="E274">
            <v>0.83760000000000001</v>
          </cell>
        </row>
        <row r="275">
          <cell r="B275" t="str">
            <v>KC Saumlaki</v>
          </cell>
          <cell r="E275">
            <v>0.83160000000000001</v>
          </cell>
        </row>
        <row r="276">
          <cell r="B276" t="str">
            <v>KC Takalar</v>
          </cell>
          <cell r="E276">
            <v>0.82989999999999997</v>
          </cell>
        </row>
        <row r="277">
          <cell r="B277" t="str">
            <v>KC Watampone</v>
          </cell>
          <cell r="E277">
            <v>0.82650000000000001</v>
          </cell>
        </row>
        <row r="278">
          <cell r="B278" t="str">
            <v>KC Polewali</v>
          </cell>
          <cell r="E278">
            <v>0.82520000000000004</v>
          </cell>
        </row>
        <row r="279">
          <cell r="B279" t="str">
            <v>KC Kendari Samratulangi</v>
          </cell>
          <cell r="E279">
            <v>0.82509999999999994</v>
          </cell>
        </row>
        <row r="280">
          <cell r="B280" t="str">
            <v>KC Panakkukang</v>
          </cell>
          <cell r="E280">
            <v>0.82079999999999997</v>
          </cell>
        </row>
        <row r="281">
          <cell r="B281" t="str">
            <v>KC Pare-Pare</v>
          </cell>
          <cell r="E281">
            <v>0.81479999999999997</v>
          </cell>
        </row>
        <row r="282">
          <cell r="B282" t="str">
            <v>KC LANGGUR</v>
          </cell>
          <cell r="E282">
            <v>0.80930000000000002</v>
          </cell>
        </row>
        <row r="283">
          <cell r="B283" t="str">
            <v>KC Pinrang</v>
          </cell>
          <cell r="E283">
            <v>0.80720000000000003</v>
          </cell>
        </row>
        <row r="284">
          <cell r="B284" t="str">
            <v>KC Makassar Ahmad Yani</v>
          </cell>
          <cell r="E284">
            <v>0.79769999999999996</v>
          </cell>
        </row>
        <row r="285">
          <cell r="B285" t="str">
            <v>KC Jeneponto</v>
          </cell>
          <cell r="E285">
            <v>0.79390000000000005</v>
          </cell>
        </row>
        <row r="286">
          <cell r="B286" t="str">
            <v>KC Bau-Bau</v>
          </cell>
          <cell r="E286">
            <v>0.79330000000000001</v>
          </cell>
        </row>
        <row r="287">
          <cell r="B287" t="str">
            <v>KC Kendari By Pass</v>
          </cell>
          <cell r="E287">
            <v>0.77359999999999995</v>
          </cell>
        </row>
        <row r="288">
          <cell r="B288" t="str">
            <v>KC Bulukumba</v>
          </cell>
          <cell r="E288">
            <v>0.76929999999999998</v>
          </cell>
        </row>
        <row r="289">
          <cell r="B289" t="str">
            <v>KC Sinjai</v>
          </cell>
          <cell r="E289">
            <v>0.755</v>
          </cell>
        </row>
        <row r="290">
          <cell r="B290" t="str">
            <v>KC MAKASSAR SUDIRMAN</v>
          </cell>
          <cell r="E290">
            <v>0.74929999999999997</v>
          </cell>
        </row>
        <row r="291">
          <cell r="B291" t="str">
            <v>KANWIL Makassar</v>
          </cell>
          <cell r="E291">
            <v>0.54159999999999997</v>
          </cell>
        </row>
        <row r="292">
          <cell r="B292" t="str">
            <v>Total All Branch Office</v>
          </cell>
          <cell r="E292">
            <v>84.257180000000005</v>
          </cell>
        </row>
        <row r="293">
          <cell r="B293" t="str">
            <v>KC Madiun</v>
          </cell>
          <cell r="E293">
            <v>1</v>
          </cell>
        </row>
        <row r="294">
          <cell r="B294" t="str">
            <v>KC Malang Kawi</v>
          </cell>
          <cell r="E294">
            <v>1</v>
          </cell>
        </row>
        <row r="295">
          <cell r="B295" t="str">
            <v>KC Pacitan</v>
          </cell>
          <cell r="E295">
            <v>1</v>
          </cell>
        </row>
        <row r="296">
          <cell r="B296" t="str">
            <v>KC Trenggalek</v>
          </cell>
          <cell r="E296">
            <v>1</v>
          </cell>
        </row>
        <row r="297">
          <cell r="B297" t="str">
            <v>KC Kepanjen</v>
          </cell>
          <cell r="E297">
            <v>1</v>
          </cell>
        </row>
        <row r="298">
          <cell r="B298" t="str">
            <v>KC Kediri</v>
          </cell>
          <cell r="E298">
            <v>0.99990000000000001</v>
          </cell>
        </row>
        <row r="299">
          <cell r="B299" t="str">
            <v>KC Magetan</v>
          </cell>
          <cell r="E299">
            <v>0.99990000000000001</v>
          </cell>
        </row>
        <row r="300">
          <cell r="B300" t="str">
            <v>KC Pare</v>
          </cell>
          <cell r="E300">
            <v>0.99980000000000002</v>
          </cell>
        </row>
        <row r="301">
          <cell r="B301" t="str">
            <v>KC Malang Martadinata</v>
          </cell>
          <cell r="E301">
            <v>0.99970000000000003</v>
          </cell>
        </row>
        <row r="302">
          <cell r="B302" t="str">
            <v>KC Genteng</v>
          </cell>
          <cell r="E302">
            <v>0.99960000000000004</v>
          </cell>
        </row>
        <row r="303">
          <cell r="B303" t="str">
            <v>KC Lumajang</v>
          </cell>
          <cell r="E303">
            <v>0.99939999999999996</v>
          </cell>
        </row>
        <row r="304">
          <cell r="B304" t="str">
            <v>KC Ngawi</v>
          </cell>
          <cell r="E304">
            <v>0.99939999999999996</v>
          </cell>
        </row>
        <row r="305">
          <cell r="B305" t="str">
            <v>KC Bondowoso</v>
          </cell>
          <cell r="E305">
            <v>0.99929999999999997</v>
          </cell>
        </row>
        <row r="306">
          <cell r="B306" t="str">
            <v>KC BATU</v>
          </cell>
          <cell r="E306">
            <v>0.99860000000000004</v>
          </cell>
        </row>
        <row r="307">
          <cell r="B307" t="str">
            <v>KC Banyuwangi</v>
          </cell>
          <cell r="E307">
            <v>0.99770000000000003</v>
          </cell>
        </row>
        <row r="308">
          <cell r="B308" t="str">
            <v>KC Probolinggo</v>
          </cell>
          <cell r="E308">
            <v>0.99760000000000004</v>
          </cell>
        </row>
        <row r="309">
          <cell r="B309" t="str">
            <v>KC Blitar</v>
          </cell>
          <cell r="E309">
            <v>0.99680000000000002</v>
          </cell>
        </row>
        <row r="310">
          <cell r="B310" t="str">
            <v>KC Malang Soekarno Hatta</v>
          </cell>
          <cell r="E310">
            <v>0.99639999999999995</v>
          </cell>
        </row>
        <row r="311">
          <cell r="B311" t="str">
            <v>KC Tulungagung</v>
          </cell>
          <cell r="E311">
            <v>0.99539999999999995</v>
          </cell>
        </row>
        <row r="312">
          <cell r="B312" t="str">
            <v>KC Jember</v>
          </cell>
          <cell r="E312">
            <v>0.99480000000000002</v>
          </cell>
        </row>
        <row r="313">
          <cell r="B313" t="str">
            <v>KC Malang Sutoyo</v>
          </cell>
          <cell r="E313">
            <v>0.9929</v>
          </cell>
        </row>
        <row r="314">
          <cell r="B314" t="str">
            <v>KC Ponorogo</v>
          </cell>
          <cell r="E314">
            <v>0.9919</v>
          </cell>
        </row>
        <row r="315">
          <cell r="B315" t="str">
            <v>KC Pasuruan</v>
          </cell>
          <cell r="E315">
            <v>0.99099999999999999</v>
          </cell>
        </row>
        <row r="316">
          <cell r="B316" t="str">
            <v>KC Nganjuk</v>
          </cell>
          <cell r="E316">
            <v>0.98939999999999995</v>
          </cell>
        </row>
        <row r="317">
          <cell r="B317" t="str">
            <v>KC Situbondo</v>
          </cell>
          <cell r="E317">
            <v>0.9879</v>
          </cell>
        </row>
        <row r="318">
          <cell r="B318" t="str">
            <v>Total All Branch Office</v>
          </cell>
          <cell r="E318">
            <v>99.679389999999998</v>
          </cell>
        </row>
        <row r="319">
          <cell r="B319" t="str">
            <v>KC Toli-Toli</v>
          </cell>
          <cell r="E319">
            <v>1</v>
          </cell>
        </row>
        <row r="320">
          <cell r="B320" t="str">
            <v>KC Parigi</v>
          </cell>
          <cell r="E320">
            <v>0.99939999999999996</v>
          </cell>
        </row>
        <row r="321">
          <cell r="B321" t="str">
            <v>KC Kotamobagu</v>
          </cell>
          <cell r="E321">
            <v>0.99560000000000004</v>
          </cell>
        </row>
        <row r="322">
          <cell r="B322" t="str">
            <v>KC Bitung</v>
          </cell>
          <cell r="E322">
            <v>0.99239999999999995</v>
          </cell>
        </row>
        <row r="323">
          <cell r="B323" t="str">
            <v>KC Manado Boulevard</v>
          </cell>
          <cell r="E323">
            <v>0.98280000000000001</v>
          </cell>
        </row>
        <row r="324">
          <cell r="B324" t="str">
            <v>KC Tondano</v>
          </cell>
          <cell r="E324">
            <v>0.97860000000000003</v>
          </cell>
        </row>
        <row r="325">
          <cell r="B325" t="str">
            <v>KC AMPANA</v>
          </cell>
          <cell r="E325">
            <v>0.97370000000000001</v>
          </cell>
        </row>
        <row r="326">
          <cell r="B326" t="str">
            <v>KC Tahuna</v>
          </cell>
          <cell r="E326">
            <v>0.96860000000000002</v>
          </cell>
        </row>
        <row r="327">
          <cell r="B327" t="str">
            <v>KC Gorontalo</v>
          </cell>
          <cell r="E327">
            <v>0.96799999999999997</v>
          </cell>
        </row>
        <row r="328">
          <cell r="B328" t="str">
            <v>KC Poso</v>
          </cell>
          <cell r="E328">
            <v>0.96589999999999998</v>
          </cell>
        </row>
        <row r="329">
          <cell r="B329" t="str">
            <v>KC Ternate</v>
          </cell>
          <cell r="E329">
            <v>0.95209999999999995</v>
          </cell>
        </row>
        <row r="330">
          <cell r="B330" t="str">
            <v>KC Manado</v>
          </cell>
          <cell r="E330">
            <v>0.94810000000000005</v>
          </cell>
        </row>
        <row r="331">
          <cell r="B331" t="str">
            <v>KC Luwuk</v>
          </cell>
          <cell r="E331">
            <v>0.94410000000000005</v>
          </cell>
        </row>
        <row r="332">
          <cell r="B332" t="str">
            <v>KC Limboto</v>
          </cell>
          <cell r="E332">
            <v>0.93169999999999997</v>
          </cell>
        </row>
        <row r="333">
          <cell r="B333" t="str">
            <v>KC Marisa</v>
          </cell>
          <cell r="E333">
            <v>0.9264</v>
          </cell>
        </row>
        <row r="334">
          <cell r="B334" t="str">
            <v>KC POGOGUL BUOL</v>
          </cell>
          <cell r="E334">
            <v>0.92459999999999998</v>
          </cell>
        </row>
        <row r="335">
          <cell r="B335" t="str">
            <v>KC Palu</v>
          </cell>
          <cell r="E335">
            <v>0.91500000000000004</v>
          </cell>
        </row>
        <row r="336">
          <cell r="B336" t="str">
            <v>KC Soa-Sio</v>
          </cell>
          <cell r="E336">
            <v>0.90490000000000004</v>
          </cell>
        </row>
        <row r="337">
          <cell r="B337" t="str">
            <v>KC MOROWALI</v>
          </cell>
          <cell r="E337">
            <v>0.88829999999999998</v>
          </cell>
        </row>
        <row r="338">
          <cell r="B338" t="str">
            <v>KC Tobelo</v>
          </cell>
          <cell r="E338">
            <v>0.86119999999999997</v>
          </cell>
        </row>
        <row r="339">
          <cell r="B339" t="str">
            <v>Total All Branch Office</v>
          </cell>
          <cell r="E339">
            <v>94.809560000000005</v>
          </cell>
        </row>
        <row r="340">
          <cell r="B340" t="str">
            <v>KC Medan Putri Hijau</v>
          </cell>
          <cell r="E340">
            <v>1</v>
          </cell>
        </row>
        <row r="341">
          <cell r="B341" t="str">
            <v>KC Sibolga</v>
          </cell>
          <cell r="E341">
            <v>1</v>
          </cell>
        </row>
        <row r="342">
          <cell r="B342" t="str">
            <v>KC Padang Sidempuan</v>
          </cell>
          <cell r="E342">
            <v>1</v>
          </cell>
        </row>
        <row r="343">
          <cell r="B343" t="str">
            <v>KC Kabanjahe</v>
          </cell>
          <cell r="E343">
            <v>1</v>
          </cell>
        </row>
        <row r="344">
          <cell r="B344" t="str">
            <v>KC Gunung Sitoli</v>
          </cell>
          <cell r="E344">
            <v>1</v>
          </cell>
        </row>
        <row r="345">
          <cell r="B345" t="str">
            <v>KC Sidikalang</v>
          </cell>
          <cell r="E345">
            <v>1</v>
          </cell>
        </row>
        <row r="346">
          <cell r="B346" t="str">
            <v>KANWIL Medan</v>
          </cell>
          <cell r="E346">
            <v>1</v>
          </cell>
        </row>
        <row r="347">
          <cell r="B347" t="str">
            <v>KC Rantau Prapat</v>
          </cell>
          <cell r="E347">
            <v>1</v>
          </cell>
        </row>
        <row r="348">
          <cell r="B348" t="str">
            <v>KC Lubuk Pakam</v>
          </cell>
          <cell r="E348">
            <v>1</v>
          </cell>
        </row>
        <row r="349">
          <cell r="B349" t="str">
            <v>KC Tebing Tinggi</v>
          </cell>
          <cell r="E349">
            <v>1</v>
          </cell>
        </row>
        <row r="350">
          <cell r="B350" t="str">
            <v>KC Balige</v>
          </cell>
          <cell r="E350">
            <v>1</v>
          </cell>
        </row>
        <row r="351">
          <cell r="B351" t="str">
            <v>KC Medan Sisingamangaraja</v>
          </cell>
          <cell r="E351">
            <v>1</v>
          </cell>
        </row>
        <row r="352">
          <cell r="B352" t="str">
            <v>KC Medan Thamrin</v>
          </cell>
          <cell r="E352">
            <v>1</v>
          </cell>
        </row>
        <row r="353">
          <cell r="B353" t="str">
            <v>KC Panyabungan</v>
          </cell>
          <cell r="E353">
            <v>1</v>
          </cell>
        </row>
        <row r="354">
          <cell r="B354" t="str">
            <v>KC Sibuhuan</v>
          </cell>
          <cell r="E354">
            <v>1</v>
          </cell>
        </row>
        <row r="355">
          <cell r="B355" t="str">
            <v>KC Kota Pinang</v>
          </cell>
          <cell r="E355">
            <v>1</v>
          </cell>
        </row>
        <row r="356">
          <cell r="B356" t="str">
            <v>KC Perdagangan</v>
          </cell>
          <cell r="E356">
            <v>0.99980000000000002</v>
          </cell>
        </row>
        <row r="357">
          <cell r="B357" t="str">
            <v>KC Pematang Siantar</v>
          </cell>
          <cell r="E357">
            <v>0.99980000000000002</v>
          </cell>
        </row>
        <row r="358">
          <cell r="B358" t="str">
            <v>KC Binjai</v>
          </cell>
          <cell r="E358">
            <v>0.99950000000000006</v>
          </cell>
        </row>
        <row r="359">
          <cell r="B359" t="str">
            <v>KC Tanjung Balai</v>
          </cell>
          <cell r="E359">
            <v>0.99870000000000003</v>
          </cell>
        </row>
        <row r="360">
          <cell r="B360" t="str">
            <v>KC Medan Iskandar Muda</v>
          </cell>
          <cell r="E360">
            <v>0.99850000000000005</v>
          </cell>
        </row>
        <row r="361">
          <cell r="B361" t="str">
            <v>KC Tarutung</v>
          </cell>
          <cell r="E361">
            <v>0.99770000000000003</v>
          </cell>
        </row>
        <row r="362">
          <cell r="B362" t="str">
            <v>KC Medan Gatot Subroto</v>
          </cell>
          <cell r="E362">
            <v>0.99350000000000005</v>
          </cell>
        </row>
        <row r="363">
          <cell r="B363" t="str">
            <v>KC Stabat</v>
          </cell>
          <cell r="E363">
            <v>0.99170000000000003</v>
          </cell>
        </row>
        <row r="364">
          <cell r="B364" t="str">
            <v>KC Kisaran</v>
          </cell>
          <cell r="E364">
            <v>0.98680000000000001</v>
          </cell>
        </row>
        <row r="365">
          <cell r="B365" t="str">
            <v>Total All Branch Office</v>
          </cell>
          <cell r="E365">
            <v>99.862260000000006</v>
          </cell>
        </row>
        <row r="366">
          <cell r="B366" t="str">
            <v>KC Bukittinggi</v>
          </cell>
          <cell r="E366">
            <v>1</v>
          </cell>
        </row>
        <row r="367">
          <cell r="B367" t="str">
            <v>KC Padang</v>
          </cell>
          <cell r="E367">
            <v>1</v>
          </cell>
        </row>
        <row r="368">
          <cell r="B368" t="str">
            <v>KC Batu Sangkar</v>
          </cell>
          <cell r="E368">
            <v>1</v>
          </cell>
        </row>
        <row r="369">
          <cell r="B369" t="str">
            <v>KC Padang Panjang</v>
          </cell>
          <cell r="E369">
            <v>1</v>
          </cell>
        </row>
        <row r="370">
          <cell r="B370" t="str">
            <v>KC Lubuk Sikaping</v>
          </cell>
          <cell r="E370">
            <v>1</v>
          </cell>
        </row>
        <row r="371">
          <cell r="B371" t="str">
            <v>KC Painan</v>
          </cell>
          <cell r="E371">
            <v>1</v>
          </cell>
        </row>
        <row r="372">
          <cell r="B372" t="str">
            <v>KC Sijunjung</v>
          </cell>
          <cell r="E372">
            <v>1</v>
          </cell>
        </row>
        <row r="373">
          <cell r="B373" t="str">
            <v>KC Simpang Empat</v>
          </cell>
          <cell r="E373">
            <v>1</v>
          </cell>
        </row>
        <row r="374">
          <cell r="B374" t="str">
            <v>KC Pariaman</v>
          </cell>
          <cell r="E374">
            <v>0.99980000000000002</v>
          </cell>
        </row>
        <row r="375">
          <cell r="B375" t="str">
            <v>KC Sungai Penuh</v>
          </cell>
          <cell r="E375">
            <v>0.99980000000000002</v>
          </cell>
        </row>
        <row r="376">
          <cell r="B376" t="str">
            <v>KC Payakumbuh</v>
          </cell>
          <cell r="E376">
            <v>0.99950000000000006</v>
          </cell>
        </row>
        <row r="377">
          <cell r="B377" t="str">
            <v>KC Solok</v>
          </cell>
          <cell r="E377">
            <v>0.99590000000000001</v>
          </cell>
        </row>
        <row r="378">
          <cell r="B378" t="str">
            <v>KC Dharmasraya</v>
          </cell>
          <cell r="E378">
            <v>0.99560000000000004</v>
          </cell>
        </row>
        <row r="379">
          <cell r="B379" t="str">
            <v>KC Khatib Sulaiman</v>
          </cell>
          <cell r="E379">
            <v>0.99209999999999998</v>
          </cell>
        </row>
        <row r="380">
          <cell r="B380" t="str">
            <v>Total All Branch Office</v>
          </cell>
          <cell r="E380">
            <v>99.840090000000004</v>
          </cell>
        </row>
        <row r="381">
          <cell r="B381" t="str">
            <v>KC SIAK</v>
          </cell>
          <cell r="E381">
            <v>1</v>
          </cell>
        </row>
        <row r="382">
          <cell r="B382" t="str">
            <v>KC Tembilahan</v>
          </cell>
          <cell r="E382">
            <v>0.99980000000000002</v>
          </cell>
        </row>
        <row r="383">
          <cell r="B383" t="str">
            <v>KC Bangkinang</v>
          </cell>
          <cell r="E383">
            <v>0.999</v>
          </cell>
        </row>
        <row r="384">
          <cell r="B384" t="str">
            <v>KC Teluk Kuantan</v>
          </cell>
          <cell r="E384">
            <v>0.99790000000000001</v>
          </cell>
        </row>
        <row r="385">
          <cell r="B385" t="str">
            <v>KC Dumai</v>
          </cell>
          <cell r="E385">
            <v>0.99409999999999998</v>
          </cell>
        </row>
        <row r="386">
          <cell r="B386" t="str">
            <v>KC Selat Panjang</v>
          </cell>
          <cell r="E386">
            <v>0.99180000000000001</v>
          </cell>
        </row>
        <row r="387">
          <cell r="B387" t="str">
            <v>KC Duri</v>
          </cell>
          <cell r="E387">
            <v>0.98850000000000005</v>
          </cell>
        </row>
        <row r="388">
          <cell r="B388" t="str">
            <v>KC Pekanbaru Tuanku Tambusai</v>
          </cell>
          <cell r="E388">
            <v>0.98129999999999995</v>
          </cell>
        </row>
        <row r="389">
          <cell r="B389" t="str">
            <v>KC Batam Center</v>
          </cell>
          <cell r="E389">
            <v>0.98029999999999995</v>
          </cell>
        </row>
        <row r="390">
          <cell r="B390" t="str">
            <v>KC Pekanbaru Lancang Kuning</v>
          </cell>
          <cell r="E390">
            <v>0.98</v>
          </cell>
        </row>
        <row r="391">
          <cell r="B391" t="str">
            <v>KC Pasir Pengaraian</v>
          </cell>
          <cell r="E391">
            <v>0.96530000000000005</v>
          </cell>
        </row>
        <row r="392">
          <cell r="B392" t="str">
            <v>KC Tanjung Pinang</v>
          </cell>
          <cell r="E392">
            <v>0.95940000000000003</v>
          </cell>
        </row>
        <row r="393">
          <cell r="B393" t="str">
            <v>KC Pekanbaru Sudirman</v>
          </cell>
          <cell r="E393">
            <v>0.95040000000000002</v>
          </cell>
        </row>
        <row r="394">
          <cell r="B394" t="str">
            <v>KC Pangkalan Kerinci</v>
          </cell>
          <cell r="E394">
            <v>0.94310000000000005</v>
          </cell>
        </row>
        <row r="395">
          <cell r="B395" t="str">
            <v>KC Batam Nagoya</v>
          </cell>
          <cell r="E395">
            <v>0.93259999999999998</v>
          </cell>
        </row>
        <row r="396">
          <cell r="B396" t="str">
            <v>KC Rengat</v>
          </cell>
          <cell r="E396">
            <v>0.93210000000000004</v>
          </cell>
        </row>
        <row r="397">
          <cell r="B397" t="str">
            <v>KC Bagan Siapi api</v>
          </cell>
          <cell r="E397">
            <v>0.93210000000000004</v>
          </cell>
        </row>
        <row r="398">
          <cell r="B398" t="str">
            <v>KC Bengkalis</v>
          </cell>
          <cell r="E398">
            <v>0.92879999999999996</v>
          </cell>
        </row>
        <row r="399">
          <cell r="B399" t="str">
            <v>KC Bagan Batu</v>
          </cell>
          <cell r="E399">
            <v>0.92510000000000003</v>
          </cell>
        </row>
        <row r="400">
          <cell r="B400" t="str">
            <v>KC Tanjung Balai Karimun</v>
          </cell>
          <cell r="E400">
            <v>0.91249999999999998</v>
          </cell>
        </row>
        <row r="401">
          <cell r="B401" t="str">
            <v>KC Perawang</v>
          </cell>
          <cell r="E401">
            <v>0.90869999999999995</v>
          </cell>
        </row>
        <row r="402">
          <cell r="B402" t="str">
            <v>KC Ujung Batu</v>
          </cell>
          <cell r="E402">
            <v>0.85740000000000005</v>
          </cell>
        </row>
        <row r="403">
          <cell r="B403" t="str">
            <v>Total All Branch Office</v>
          </cell>
          <cell r="E403">
            <v>96.180239999999998</v>
          </cell>
        </row>
        <row r="404">
          <cell r="B404" t="e">
            <v>#N/A</v>
          </cell>
          <cell r="E404">
            <v>1</v>
          </cell>
        </row>
        <row r="405">
          <cell r="B405" t="str">
            <v>KC Brebes</v>
          </cell>
          <cell r="E405">
            <v>1</v>
          </cell>
        </row>
        <row r="406">
          <cell r="B406" t="str">
            <v>KC Demak</v>
          </cell>
          <cell r="E406">
            <v>1</v>
          </cell>
        </row>
        <row r="407">
          <cell r="B407" t="str">
            <v>KC Jepara</v>
          </cell>
          <cell r="E407">
            <v>1</v>
          </cell>
        </row>
        <row r="408">
          <cell r="B408" t="str">
            <v>KC Kendal</v>
          </cell>
          <cell r="E408">
            <v>1</v>
          </cell>
        </row>
        <row r="409">
          <cell r="B409" t="str">
            <v>KC Kudus</v>
          </cell>
          <cell r="E409">
            <v>1</v>
          </cell>
        </row>
        <row r="410">
          <cell r="B410" t="str">
            <v>KC Pati</v>
          </cell>
          <cell r="E410">
            <v>1</v>
          </cell>
        </row>
        <row r="411">
          <cell r="B411" t="str">
            <v>KC Pekalongan</v>
          </cell>
          <cell r="E411">
            <v>1</v>
          </cell>
        </row>
        <row r="412">
          <cell r="B412" t="str">
            <v>KC Pemalang</v>
          </cell>
          <cell r="E412">
            <v>1</v>
          </cell>
        </row>
        <row r="413">
          <cell r="B413" t="str">
            <v>KC Purwodadi</v>
          </cell>
          <cell r="E413">
            <v>1</v>
          </cell>
        </row>
        <row r="414">
          <cell r="B414" t="str">
            <v>KC Salatiga</v>
          </cell>
          <cell r="E414">
            <v>1</v>
          </cell>
        </row>
        <row r="415">
          <cell r="B415" t="str">
            <v>KC Semarang Patimura</v>
          </cell>
          <cell r="E415">
            <v>1</v>
          </cell>
        </row>
        <row r="416">
          <cell r="B416" t="str">
            <v>KC Tegal</v>
          </cell>
          <cell r="E416">
            <v>1</v>
          </cell>
        </row>
        <row r="417">
          <cell r="B417" t="str">
            <v>KC Rembang</v>
          </cell>
          <cell r="E417">
            <v>1</v>
          </cell>
        </row>
        <row r="418">
          <cell r="B418" t="str">
            <v>KC Batang</v>
          </cell>
          <cell r="E418">
            <v>1</v>
          </cell>
        </row>
        <row r="419">
          <cell r="B419" t="str">
            <v>KC Bumiayu</v>
          </cell>
          <cell r="E419">
            <v>1</v>
          </cell>
        </row>
        <row r="420">
          <cell r="B420" t="str">
            <v>KANWIL Semarang</v>
          </cell>
          <cell r="E420">
            <v>1</v>
          </cell>
        </row>
        <row r="421">
          <cell r="B421" t="str">
            <v>KC Cepu</v>
          </cell>
          <cell r="E421">
            <v>1</v>
          </cell>
        </row>
        <row r="422">
          <cell r="B422" t="str">
            <v>KC Semarang Pandanaran</v>
          </cell>
          <cell r="E422">
            <v>1</v>
          </cell>
        </row>
        <row r="423">
          <cell r="B423" t="str">
            <v>KC Ungaran</v>
          </cell>
          <cell r="E423">
            <v>1</v>
          </cell>
        </row>
        <row r="424">
          <cell r="B424" t="str">
            <v>KC Brigjen Sudiarto</v>
          </cell>
          <cell r="E424">
            <v>1</v>
          </cell>
        </row>
        <row r="425">
          <cell r="B425" t="str">
            <v>KC Semarang A. Yani</v>
          </cell>
          <cell r="E425">
            <v>1</v>
          </cell>
        </row>
        <row r="426">
          <cell r="B426" t="str">
            <v>KC Slawi</v>
          </cell>
          <cell r="E426">
            <v>1</v>
          </cell>
        </row>
        <row r="427">
          <cell r="B427" t="str">
            <v>Total All Branch Office</v>
          </cell>
          <cell r="E427">
            <v>100</v>
          </cell>
        </row>
        <row r="428">
          <cell r="B428" t="str">
            <v>KC Kutoarjo</v>
          </cell>
          <cell r="E428">
            <v>1</v>
          </cell>
        </row>
        <row r="429">
          <cell r="B429" t="str">
            <v>KC Ajibarang</v>
          </cell>
          <cell r="E429">
            <v>1</v>
          </cell>
        </row>
        <row r="430">
          <cell r="B430" t="str">
            <v>KC Purworejo</v>
          </cell>
          <cell r="E430">
            <v>0.99990000000000001</v>
          </cell>
        </row>
        <row r="431">
          <cell r="B431" t="str">
            <v>KC Gombong</v>
          </cell>
          <cell r="E431">
            <v>0.99990000000000001</v>
          </cell>
        </row>
        <row r="432">
          <cell r="B432" t="str">
            <v>KC Temanggung</v>
          </cell>
          <cell r="E432">
            <v>0.99890000000000001</v>
          </cell>
        </row>
        <row r="433">
          <cell r="B433" t="str">
            <v>KC Yogyakarta Cik Ditiro</v>
          </cell>
          <cell r="E433">
            <v>0.99839999999999995</v>
          </cell>
        </row>
        <row r="434">
          <cell r="B434" t="str">
            <v>KC Karanganyar</v>
          </cell>
          <cell r="E434">
            <v>0.99670000000000003</v>
          </cell>
        </row>
        <row r="435">
          <cell r="B435" t="str">
            <v>KC Solo Kartasura</v>
          </cell>
          <cell r="E435">
            <v>0.996</v>
          </cell>
        </row>
        <row r="436">
          <cell r="B436" t="str">
            <v>KC Wonosari</v>
          </cell>
          <cell r="E436">
            <v>0.99590000000000001</v>
          </cell>
        </row>
        <row r="437">
          <cell r="B437" t="str">
            <v>KC Banjarnegara</v>
          </cell>
          <cell r="E437">
            <v>0.99399999999999999</v>
          </cell>
        </row>
        <row r="438">
          <cell r="B438" t="str">
            <v>KC Wonogiri</v>
          </cell>
          <cell r="E438">
            <v>0.9919</v>
          </cell>
        </row>
        <row r="439">
          <cell r="B439" t="str">
            <v>KC Purbalingga</v>
          </cell>
          <cell r="E439">
            <v>0.98919999999999997</v>
          </cell>
        </row>
        <row r="440">
          <cell r="B440" t="str">
            <v>KC Bantul</v>
          </cell>
          <cell r="E440">
            <v>0.98870000000000002</v>
          </cell>
        </row>
        <row r="441">
          <cell r="B441" t="str">
            <v>KC Sleman</v>
          </cell>
          <cell r="E441">
            <v>0.98829999999999996</v>
          </cell>
        </row>
        <row r="442">
          <cell r="B442" t="str">
            <v>KC Wonosobo</v>
          </cell>
          <cell r="E442">
            <v>0.98580000000000001</v>
          </cell>
        </row>
        <row r="443">
          <cell r="B443" t="str">
            <v>KC Kebumen</v>
          </cell>
          <cell r="E443">
            <v>0.98360000000000003</v>
          </cell>
        </row>
        <row r="444">
          <cell r="B444" t="str">
            <v>KC Purwokerto</v>
          </cell>
          <cell r="E444">
            <v>0.98</v>
          </cell>
        </row>
        <row r="445">
          <cell r="B445" t="str">
            <v>KC Solo Baru</v>
          </cell>
          <cell r="E445">
            <v>0.97960000000000003</v>
          </cell>
        </row>
        <row r="446">
          <cell r="B446" t="str">
            <v>KC Solo - Sudirman</v>
          </cell>
          <cell r="E446">
            <v>0.97540000000000004</v>
          </cell>
        </row>
        <row r="447">
          <cell r="B447" t="str">
            <v>KC Wates</v>
          </cell>
          <cell r="E447">
            <v>0.97540000000000004</v>
          </cell>
        </row>
        <row r="448">
          <cell r="B448" t="str">
            <v>KC Majenang</v>
          </cell>
          <cell r="E448">
            <v>0.97360000000000002</v>
          </cell>
        </row>
        <row r="449">
          <cell r="B449" t="str">
            <v>KC Klaten</v>
          </cell>
          <cell r="E449">
            <v>0.97170000000000001</v>
          </cell>
        </row>
        <row r="450">
          <cell r="B450" t="str">
            <v>KC Cilacap</v>
          </cell>
          <cell r="E450">
            <v>0.96889999999999998</v>
          </cell>
        </row>
        <row r="451">
          <cell r="B451" t="str">
            <v>KC Yogyakarta Mlati</v>
          </cell>
          <cell r="E451">
            <v>0.96840000000000004</v>
          </cell>
        </row>
        <row r="452">
          <cell r="B452" t="str">
            <v>KC Yogyakarta Adisucipto</v>
          </cell>
          <cell r="E452">
            <v>0.96789999999999998</v>
          </cell>
        </row>
        <row r="453">
          <cell r="B453" t="str">
            <v>KC Solo Slamet Riyadi</v>
          </cell>
          <cell r="E453">
            <v>0.96560000000000001</v>
          </cell>
        </row>
        <row r="454">
          <cell r="B454" t="str">
            <v>KC Sragen</v>
          </cell>
          <cell r="E454">
            <v>0.96550000000000002</v>
          </cell>
        </row>
        <row r="455">
          <cell r="B455" t="str">
            <v>KC Parakan</v>
          </cell>
          <cell r="E455">
            <v>0.96489999999999998</v>
          </cell>
        </row>
        <row r="456">
          <cell r="B456" t="str">
            <v>KC Yogyakarta Katamso</v>
          </cell>
          <cell r="E456">
            <v>0.95779999999999998</v>
          </cell>
        </row>
        <row r="457">
          <cell r="B457" t="str">
            <v>KC Muntilan</v>
          </cell>
          <cell r="E457">
            <v>0.95669999999999999</v>
          </cell>
        </row>
        <row r="458">
          <cell r="B458" t="str">
            <v>KC Sukoharjo</v>
          </cell>
          <cell r="E458">
            <v>0.93959999999999999</v>
          </cell>
        </row>
        <row r="459">
          <cell r="B459" t="str">
            <v>KC Boyolali</v>
          </cell>
          <cell r="E459">
            <v>0.90790000000000004</v>
          </cell>
        </row>
        <row r="460">
          <cell r="B460" t="str">
            <v>KC Magelang</v>
          </cell>
          <cell r="E460">
            <v>0.90700000000000003</v>
          </cell>
        </row>
        <row r="461">
          <cell r="B461" t="str">
            <v>Total All Branch Office</v>
          </cell>
          <cell r="E461">
            <v>97.475390000000004</v>
          </cell>
        </row>
        <row r="462">
          <cell r="B462" t="e">
            <v>#N/A</v>
          </cell>
          <cell r="E462">
            <v>1</v>
          </cell>
        </row>
        <row r="463">
          <cell r="B463" t="str">
            <v>KC Mojokerto</v>
          </cell>
          <cell r="E463">
            <v>1</v>
          </cell>
        </row>
        <row r="464">
          <cell r="B464" t="str">
            <v>KC Tuban</v>
          </cell>
          <cell r="E464">
            <v>1</v>
          </cell>
        </row>
        <row r="465">
          <cell r="B465" t="str">
            <v>KC Surabaya Rajawali</v>
          </cell>
          <cell r="E465">
            <v>1</v>
          </cell>
        </row>
        <row r="466">
          <cell r="B466" t="str">
            <v>KC Surabaya Kusuma bangsa</v>
          </cell>
          <cell r="E466">
            <v>1</v>
          </cell>
        </row>
        <row r="467">
          <cell r="B467" t="str">
            <v>KC Surabaya HR Muhammad</v>
          </cell>
          <cell r="E467">
            <v>1</v>
          </cell>
        </row>
        <row r="468">
          <cell r="B468" t="str">
            <v>KC Gresik</v>
          </cell>
          <cell r="E468">
            <v>0.99990000000000001</v>
          </cell>
        </row>
        <row r="469">
          <cell r="B469" t="str">
            <v>KC Sidoarjo</v>
          </cell>
          <cell r="E469">
            <v>0.99980000000000002</v>
          </cell>
        </row>
        <row r="470">
          <cell r="B470" t="str">
            <v>KC Surabaya Diponegoro</v>
          </cell>
          <cell r="E470">
            <v>0.99870000000000003</v>
          </cell>
        </row>
        <row r="471">
          <cell r="B471" t="str">
            <v>KC Bojonegoro</v>
          </cell>
          <cell r="E471">
            <v>0.99809999999999999</v>
          </cell>
        </row>
        <row r="472">
          <cell r="B472" t="str">
            <v>KC Surabaya Pahlawan</v>
          </cell>
          <cell r="E472">
            <v>0.99809999999999999</v>
          </cell>
        </row>
        <row r="473">
          <cell r="B473" t="str">
            <v>KC Kapas Krampung</v>
          </cell>
          <cell r="E473">
            <v>0.99619999999999997</v>
          </cell>
        </row>
        <row r="474">
          <cell r="B474" t="str">
            <v>KC Manukan</v>
          </cell>
          <cell r="E474">
            <v>0.99560000000000004</v>
          </cell>
        </row>
        <row r="475">
          <cell r="B475" t="str">
            <v>KC Krian</v>
          </cell>
          <cell r="E475">
            <v>0.99150000000000005</v>
          </cell>
        </row>
        <row r="476">
          <cell r="B476" t="str">
            <v>KC Surabaya Tanjung Perak</v>
          </cell>
          <cell r="E476">
            <v>0.98109999999999997</v>
          </cell>
        </row>
        <row r="477">
          <cell r="B477" t="str">
            <v>KC Surabaya Kertajaya</v>
          </cell>
          <cell r="E477">
            <v>0.97729999999999995</v>
          </cell>
        </row>
        <row r="478">
          <cell r="B478" t="str">
            <v>KC Sampang</v>
          </cell>
          <cell r="E478">
            <v>0.96540000000000004</v>
          </cell>
        </row>
        <row r="479">
          <cell r="B479" t="str">
            <v>KC Mulyosari</v>
          </cell>
          <cell r="E479">
            <v>0.96150000000000002</v>
          </cell>
        </row>
        <row r="480">
          <cell r="B480" t="str">
            <v>KC Surabaya Kaliasin</v>
          </cell>
          <cell r="E480">
            <v>0.93969999999999998</v>
          </cell>
        </row>
        <row r="481">
          <cell r="B481" t="str">
            <v>KC Waru</v>
          </cell>
          <cell r="E481">
            <v>0.92579999999999996</v>
          </cell>
        </row>
        <row r="482">
          <cell r="B482" t="str">
            <v>KC Bangkalan</v>
          </cell>
          <cell r="E482">
            <v>0.90810000000000002</v>
          </cell>
        </row>
        <row r="483">
          <cell r="B483" t="str">
            <v>KC Lamongan</v>
          </cell>
          <cell r="E483">
            <v>0.89480000000000004</v>
          </cell>
        </row>
        <row r="484">
          <cell r="B484" t="str">
            <v>KC Pamekasan</v>
          </cell>
          <cell r="E484">
            <v>0.87590000000000001</v>
          </cell>
        </row>
        <row r="485">
          <cell r="B485" t="str">
            <v>KC Surabaya Jemursari</v>
          </cell>
          <cell r="E485">
            <v>0.85509999999999997</v>
          </cell>
        </row>
        <row r="486">
          <cell r="B486" t="str">
            <v>KC Sumenep</v>
          </cell>
          <cell r="E486">
            <v>0.80789999999999995</v>
          </cell>
        </row>
        <row r="487">
          <cell r="B487" t="str">
            <v>Total All Branch Office</v>
          </cell>
          <cell r="E487">
            <v>95.513980000000004</v>
          </cell>
        </row>
      </sheetData>
      <sheetData sheetId="5">
        <row r="1">
          <cell r="B1" t="str">
            <v>Kanwil Malang</v>
          </cell>
          <cell r="D1">
            <v>0</v>
          </cell>
        </row>
        <row r="2">
          <cell r="B2" t="str">
            <v>KC Malang Kawi</v>
          </cell>
          <cell r="D2">
            <v>1.1E-4</v>
          </cell>
        </row>
        <row r="3">
          <cell r="B3" t="str">
            <v>KC Kepanjen</v>
          </cell>
          <cell r="D3">
            <v>1.9000000000000001E-4</v>
          </cell>
        </row>
        <row r="4">
          <cell r="B4" t="str">
            <v>KC Genteng</v>
          </cell>
          <cell r="D4">
            <v>2.2000000000000001E-4</v>
          </cell>
        </row>
        <row r="5">
          <cell r="B5" t="str">
            <v>KC Ngawi</v>
          </cell>
          <cell r="D5">
            <v>2.7E-4</v>
          </cell>
        </row>
        <row r="6">
          <cell r="B6" t="str">
            <v>KC Magetan</v>
          </cell>
          <cell r="D6">
            <v>2.7E-4</v>
          </cell>
        </row>
        <row r="7">
          <cell r="B7" t="str">
            <v>KC Kediri</v>
          </cell>
          <cell r="D7">
            <v>3.4000000000000002E-4</v>
          </cell>
        </row>
        <row r="8">
          <cell r="B8" t="str">
            <v>KC Bondowoso</v>
          </cell>
          <cell r="D8">
            <v>3.6000000000000002E-4</v>
          </cell>
        </row>
        <row r="9">
          <cell r="B9" t="str">
            <v>KC Malang Martadinata</v>
          </cell>
          <cell r="D9">
            <v>3.6999999999999999E-4</v>
          </cell>
        </row>
        <row r="10">
          <cell r="B10" t="str">
            <v>KC Madiun</v>
          </cell>
          <cell r="D10">
            <v>4.2000000000000002E-4</v>
          </cell>
        </row>
        <row r="11">
          <cell r="B11" t="str">
            <v>KC Blitar</v>
          </cell>
          <cell r="D11">
            <v>4.8000000000000001E-4</v>
          </cell>
        </row>
        <row r="12">
          <cell r="B12" t="str">
            <v>KC Pacitan</v>
          </cell>
          <cell r="D12">
            <v>5.6999999999999998E-4</v>
          </cell>
        </row>
        <row r="13">
          <cell r="B13" t="str">
            <v>KC Banyuwangi</v>
          </cell>
          <cell r="D13">
            <v>6.0999999999999997E-4</v>
          </cell>
        </row>
        <row r="14">
          <cell r="B14" t="str">
            <v>KC Trenggalek</v>
          </cell>
          <cell r="D14">
            <v>6.2E-4</v>
          </cell>
        </row>
        <row r="15">
          <cell r="B15" t="str">
            <v>KC Lumajang</v>
          </cell>
          <cell r="D15">
            <v>6.6E-4</v>
          </cell>
        </row>
        <row r="16">
          <cell r="B16" t="str">
            <v>KC Batu</v>
          </cell>
          <cell r="D16">
            <v>7.2000000000000005E-4</v>
          </cell>
        </row>
        <row r="17">
          <cell r="B17" t="str">
            <v>KC Tulungagung</v>
          </cell>
          <cell r="D17">
            <v>7.2999999999999996E-4</v>
          </cell>
        </row>
        <row r="18">
          <cell r="B18" t="str">
            <v>KC Nganjuk</v>
          </cell>
          <cell r="D18">
            <v>8.3000000000000001E-4</v>
          </cell>
        </row>
        <row r="19">
          <cell r="B19" t="str">
            <v>KC Jember</v>
          </cell>
          <cell r="D19">
            <v>8.8999999999999995E-4</v>
          </cell>
        </row>
        <row r="20">
          <cell r="B20" t="str">
            <v>KC Pare</v>
          </cell>
          <cell r="D20">
            <v>8.9999999999999998E-4</v>
          </cell>
        </row>
        <row r="21">
          <cell r="B21" t="str">
            <v>KC Malang Soekarno Hatta</v>
          </cell>
          <cell r="D21">
            <v>9.2000000000000003E-4</v>
          </cell>
        </row>
        <row r="22">
          <cell r="B22" t="str">
            <v>KC Situbondo</v>
          </cell>
          <cell r="D22">
            <v>9.6000000000000002E-4</v>
          </cell>
        </row>
        <row r="23">
          <cell r="B23" t="str">
            <v>KC Ponorogo</v>
          </cell>
          <cell r="D23">
            <v>1.1199999999999999E-3</v>
          </cell>
        </row>
        <row r="24">
          <cell r="B24" t="str">
            <v>KC Probolinggo</v>
          </cell>
          <cell r="D24">
            <v>1.2199999999999999E-3</v>
          </cell>
        </row>
        <row r="25">
          <cell r="B25" t="str">
            <v>KC Malang Sutoyo</v>
          </cell>
          <cell r="D25">
            <v>1.31E-3</v>
          </cell>
        </row>
        <row r="26">
          <cell r="B26" t="str">
            <v>KC Pasuruan</v>
          </cell>
          <cell r="D26">
            <v>1.5299999999999999E-3</v>
          </cell>
        </row>
        <row r="27">
          <cell r="B27" t="e">
            <v>#N/A</v>
          </cell>
          <cell r="D27">
            <v>6.8999999999999997E-4</v>
          </cell>
        </row>
        <row r="28">
          <cell r="B28" t="str">
            <v>KC Masohi</v>
          </cell>
          <cell r="D28">
            <v>3.7399999999999998E-3</v>
          </cell>
        </row>
        <row r="29">
          <cell r="B29" t="str">
            <v>KC Benteng Selayar</v>
          </cell>
          <cell r="D29">
            <v>3.81E-3</v>
          </cell>
        </row>
        <row r="30">
          <cell r="B30" t="str">
            <v>KC Ambon</v>
          </cell>
          <cell r="D30">
            <v>4.8300000000000001E-3</v>
          </cell>
        </row>
        <row r="31">
          <cell r="B31" t="str">
            <v>KC Sidrap</v>
          </cell>
          <cell r="D31">
            <v>5.0499999999999998E-3</v>
          </cell>
        </row>
        <row r="32">
          <cell r="B32" t="str">
            <v>KC Pulau Aru</v>
          </cell>
          <cell r="D32">
            <v>5.1500000000000001E-3</v>
          </cell>
        </row>
        <row r="33">
          <cell r="B33" t="str">
            <v>KC Barru</v>
          </cell>
          <cell r="D33">
            <v>5.1999999999999998E-3</v>
          </cell>
        </row>
        <row r="34">
          <cell r="B34" t="str">
            <v>Kanwil Makassar</v>
          </cell>
          <cell r="D34">
            <v>5.4599999999999996E-3</v>
          </cell>
        </row>
        <row r="35">
          <cell r="B35" t="str">
            <v>KC Watampone</v>
          </cell>
          <cell r="D35">
            <v>5.79E-3</v>
          </cell>
        </row>
        <row r="36">
          <cell r="B36" t="str">
            <v>KC Mamuju</v>
          </cell>
          <cell r="D36">
            <v>5.8799999999999998E-3</v>
          </cell>
        </row>
        <row r="37">
          <cell r="B37" t="str">
            <v>KC Palopo</v>
          </cell>
          <cell r="D37">
            <v>6.1000000000000004E-3</v>
          </cell>
        </row>
        <row r="38">
          <cell r="B38" t="str">
            <v>KC Sengkang</v>
          </cell>
          <cell r="D38">
            <v>6.1199999999999996E-3</v>
          </cell>
        </row>
        <row r="39">
          <cell r="B39" t="str">
            <v>KC Pangkep</v>
          </cell>
          <cell r="D39">
            <v>6.1799999999999997E-3</v>
          </cell>
        </row>
        <row r="40">
          <cell r="B40" t="str">
            <v>KC Pinrang</v>
          </cell>
          <cell r="D40">
            <v>6.43E-3</v>
          </cell>
        </row>
        <row r="41">
          <cell r="B41" t="str">
            <v>KC Kolaka</v>
          </cell>
          <cell r="D41">
            <v>6.4900000000000001E-3</v>
          </cell>
        </row>
        <row r="42">
          <cell r="B42" t="str">
            <v>KC Bantaeng</v>
          </cell>
          <cell r="D42">
            <v>6.5599999999999999E-3</v>
          </cell>
        </row>
        <row r="43">
          <cell r="B43" t="str">
            <v>KC Enrekang</v>
          </cell>
          <cell r="D43">
            <v>6.8199999999999997E-3</v>
          </cell>
        </row>
        <row r="44">
          <cell r="B44" t="str">
            <v>KC Watansopeng</v>
          </cell>
          <cell r="D44">
            <v>7.0000000000000001E-3</v>
          </cell>
        </row>
        <row r="45">
          <cell r="B45" t="str">
            <v>KC Rantepao</v>
          </cell>
          <cell r="D45">
            <v>7.0899999999999999E-3</v>
          </cell>
        </row>
        <row r="46">
          <cell r="B46" t="str">
            <v>KC Panakkukang</v>
          </cell>
          <cell r="D46">
            <v>7.2500000000000004E-3</v>
          </cell>
        </row>
        <row r="47">
          <cell r="B47" t="str">
            <v>KC Saumlaki</v>
          </cell>
          <cell r="D47">
            <v>7.3000000000000001E-3</v>
          </cell>
        </row>
        <row r="48">
          <cell r="B48" t="str">
            <v>KC Tamalanrea</v>
          </cell>
          <cell r="D48">
            <v>7.3899999999999999E-3</v>
          </cell>
        </row>
        <row r="49">
          <cell r="B49" t="str">
            <v>KC Sungguminasa</v>
          </cell>
          <cell r="D49">
            <v>7.5900000000000004E-3</v>
          </cell>
        </row>
        <row r="50">
          <cell r="B50" t="str">
            <v>KC Kendari Samratulangi</v>
          </cell>
          <cell r="D50">
            <v>8.0499999999999999E-3</v>
          </cell>
        </row>
        <row r="51">
          <cell r="B51" t="str">
            <v>KC Raha</v>
          </cell>
          <cell r="D51">
            <v>8.2400000000000008E-3</v>
          </cell>
        </row>
        <row r="52">
          <cell r="B52" t="str">
            <v>KC Masamba</v>
          </cell>
          <cell r="D52">
            <v>8.3599999999999994E-3</v>
          </cell>
        </row>
        <row r="53">
          <cell r="B53" t="str">
            <v>KC Makassar Ahmad Yani</v>
          </cell>
          <cell r="D53">
            <v>8.9800000000000001E-3</v>
          </cell>
        </row>
        <row r="54">
          <cell r="B54" t="str">
            <v>KC Pare-Pare</v>
          </cell>
          <cell r="D54">
            <v>8.9999999999999993E-3</v>
          </cell>
        </row>
        <row r="55">
          <cell r="B55" t="str">
            <v>KC Takalar</v>
          </cell>
          <cell r="D55">
            <v>9.0299999999999998E-3</v>
          </cell>
        </row>
        <row r="56">
          <cell r="B56" t="str">
            <v>KC Maros</v>
          </cell>
          <cell r="D56">
            <v>9.1800000000000007E-3</v>
          </cell>
        </row>
        <row r="57">
          <cell r="B57" t="str">
            <v>KC Sinjai</v>
          </cell>
          <cell r="D57">
            <v>9.6299999999999997E-3</v>
          </cell>
        </row>
        <row r="58">
          <cell r="B58" t="str">
            <v>KC Jeneponto</v>
          </cell>
          <cell r="D58">
            <v>9.8799999999999999E-3</v>
          </cell>
        </row>
        <row r="59">
          <cell r="B59" t="str">
            <v>KC Bulukumba</v>
          </cell>
          <cell r="D59">
            <v>9.9699999999999997E-3</v>
          </cell>
        </row>
        <row r="60">
          <cell r="B60" t="str">
            <v>KC Langgur</v>
          </cell>
          <cell r="D60">
            <v>1.098E-2</v>
          </cell>
        </row>
        <row r="61">
          <cell r="B61" t="str">
            <v>KC Majene</v>
          </cell>
          <cell r="D61">
            <v>1.1440000000000001E-2</v>
          </cell>
        </row>
        <row r="62">
          <cell r="B62" t="str">
            <v>KC Bau-Bau</v>
          </cell>
          <cell r="D62">
            <v>1.149E-2</v>
          </cell>
        </row>
        <row r="63">
          <cell r="B63" t="str">
            <v>KC Polewali</v>
          </cell>
          <cell r="D63">
            <v>1.1650000000000001E-2</v>
          </cell>
        </row>
        <row r="64">
          <cell r="B64" t="str">
            <v>KC Kendari By Pass</v>
          </cell>
          <cell r="D64">
            <v>1.251E-2</v>
          </cell>
        </row>
        <row r="65">
          <cell r="B65" t="str">
            <v>KC Makassar Sudirman</v>
          </cell>
          <cell r="D65">
            <v>1.286E-2</v>
          </cell>
        </row>
        <row r="66">
          <cell r="B66" t="e">
            <v>#N/A</v>
          </cell>
          <cell r="D66">
            <v>7.79E-3</v>
          </cell>
        </row>
        <row r="67">
          <cell r="B67" t="str">
            <v>Kanwil Denpasar</v>
          </cell>
          <cell r="D67">
            <v>0</v>
          </cell>
        </row>
        <row r="68">
          <cell r="B68" t="str">
            <v>KC Tabanan Kediri</v>
          </cell>
          <cell r="D68">
            <v>1.6000000000000001E-4</v>
          </cell>
        </row>
        <row r="69">
          <cell r="B69" t="str">
            <v>KC Ruteng</v>
          </cell>
          <cell r="D69">
            <v>1.5900000000000001E-3</v>
          </cell>
        </row>
        <row r="70">
          <cell r="B70" t="str">
            <v>KC Denpasar Ubud</v>
          </cell>
          <cell r="D70">
            <v>2.8900000000000002E-3</v>
          </cell>
        </row>
        <row r="71">
          <cell r="B71" t="str">
            <v>KC Semarapura</v>
          </cell>
          <cell r="D71">
            <v>3.0200000000000001E-3</v>
          </cell>
        </row>
        <row r="72">
          <cell r="B72" t="str">
            <v>KC Bangli</v>
          </cell>
          <cell r="D72">
            <v>3.3899999999999998E-3</v>
          </cell>
        </row>
        <row r="73">
          <cell r="B73" t="str">
            <v>KC Gianyar</v>
          </cell>
          <cell r="D73">
            <v>3.79E-3</v>
          </cell>
        </row>
        <row r="74">
          <cell r="B74" t="str">
            <v>KC Kuta</v>
          </cell>
          <cell r="D74">
            <v>4.0200000000000001E-3</v>
          </cell>
        </row>
        <row r="75">
          <cell r="B75" t="str">
            <v>KC Mataram</v>
          </cell>
          <cell r="D75">
            <v>4.6800000000000001E-3</v>
          </cell>
        </row>
        <row r="76">
          <cell r="B76" t="str">
            <v>KC Kalabahi</v>
          </cell>
          <cell r="D76">
            <v>4.9300000000000004E-3</v>
          </cell>
        </row>
        <row r="77">
          <cell r="B77" t="str">
            <v>KC Denpasar Renon</v>
          </cell>
          <cell r="D77">
            <v>5.0200000000000002E-3</v>
          </cell>
        </row>
        <row r="78">
          <cell r="B78" t="str">
            <v>KC Denpasar Gajah Mada</v>
          </cell>
          <cell r="D78">
            <v>5.5500000000000002E-3</v>
          </cell>
        </row>
        <row r="79">
          <cell r="B79" t="str">
            <v>KC Kefamenanu</v>
          </cell>
          <cell r="D79">
            <v>5.8599999999999998E-3</v>
          </cell>
        </row>
        <row r="80">
          <cell r="B80" t="str">
            <v>KC Negara</v>
          </cell>
          <cell r="D80">
            <v>5.8799999999999998E-3</v>
          </cell>
        </row>
        <row r="81">
          <cell r="B81" t="str">
            <v>KC Atambua</v>
          </cell>
          <cell r="D81">
            <v>5.8999999999999999E-3</v>
          </cell>
        </row>
        <row r="82">
          <cell r="B82" t="str">
            <v>KC Maumere</v>
          </cell>
          <cell r="D82">
            <v>6.0200000000000002E-3</v>
          </cell>
        </row>
        <row r="83">
          <cell r="B83" t="str">
            <v>KC Singaraja</v>
          </cell>
          <cell r="D83">
            <v>6.1000000000000004E-3</v>
          </cell>
        </row>
        <row r="84">
          <cell r="B84" t="str">
            <v>KC Tabanan</v>
          </cell>
          <cell r="D84">
            <v>6.1599999999999997E-3</v>
          </cell>
        </row>
        <row r="85">
          <cell r="B85" t="str">
            <v>KC Waikabubak</v>
          </cell>
          <cell r="D85">
            <v>6.43E-3</v>
          </cell>
        </row>
        <row r="86">
          <cell r="B86" t="str">
            <v>KC Denpasar Gatot Subroto</v>
          </cell>
          <cell r="D86">
            <v>6.4400000000000004E-3</v>
          </cell>
        </row>
        <row r="87">
          <cell r="B87" t="str">
            <v>KC Labuan Bajo</v>
          </cell>
          <cell r="D87">
            <v>6.5500000000000003E-3</v>
          </cell>
        </row>
        <row r="88">
          <cell r="B88" t="str">
            <v>KC Sumbawa Besar</v>
          </cell>
          <cell r="D88">
            <v>6.8100000000000001E-3</v>
          </cell>
        </row>
        <row r="89">
          <cell r="B89" t="str">
            <v>KC Bajawa</v>
          </cell>
          <cell r="D89">
            <v>6.8399999999999997E-3</v>
          </cell>
        </row>
        <row r="90">
          <cell r="B90" t="str">
            <v>KC Larantuka</v>
          </cell>
          <cell r="D90">
            <v>7.3899999999999999E-3</v>
          </cell>
        </row>
        <row r="91">
          <cell r="B91" t="str">
            <v>KC Amlapura</v>
          </cell>
          <cell r="D91">
            <v>7.5199999999999998E-3</v>
          </cell>
        </row>
        <row r="92">
          <cell r="B92" t="str">
            <v>KC Praya</v>
          </cell>
          <cell r="D92">
            <v>7.7600000000000004E-3</v>
          </cell>
        </row>
        <row r="93">
          <cell r="B93" t="str">
            <v>KC Raba Bima</v>
          </cell>
          <cell r="D93">
            <v>8.3700000000000007E-3</v>
          </cell>
        </row>
        <row r="94">
          <cell r="B94" t="str">
            <v>KC Selong</v>
          </cell>
          <cell r="D94">
            <v>8.9200000000000008E-3</v>
          </cell>
        </row>
        <row r="95">
          <cell r="B95" t="str">
            <v>KC Dompu</v>
          </cell>
          <cell r="D95">
            <v>9.1299999999999992E-3</v>
          </cell>
        </row>
        <row r="96">
          <cell r="B96" t="str">
            <v>KC Soe</v>
          </cell>
          <cell r="D96">
            <v>9.4699999999999993E-3</v>
          </cell>
        </row>
        <row r="97">
          <cell r="B97" t="str">
            <v>KC Ende</v>
          </cell>
          <cell r="D97">
            <v>9.9000000000000008E-3</v>
          </cell>
        </row>
        <row r="98">
          <cell r="B98" t="str">
            <v>KC Kupang</v>
          </cell>
          <cell r="D98">
            <v>1.086E-2</v>
          </cell>
        </row>
        <row r="99">
          <cell r="B99" t="str">
            <v>KC Waingapu</v>
          </cell>
          <cell r="D99">
            <v>1.4030000000000001E-2</v>
          </cell>
        </row>
        <row r="100">
          <cell r="B100" t="e">
            <v>#N/A</v>
          </cell>
          <cell r="D100">
            <v>6.8399999999999997E-3</v>
          </cell>
        </row>
        <row r="101">
          <cell r="B101" t="str">
            <v>KC Bintaro</v>
          </cell>
          <cell r="D101">
            <v>3.4000000000000002E-4</v>
          </cell>
        </row>
        <row r="102">
          <cell r="B102" t="str">
            <v>KC Jakarta Puri Niaga</v>
          </cell>
          <cell r="D102">
            <v>5.8E-4</v>
          </cell>
        </row>
        <row r="103">
          <cell r="B103" t="str">
            <v>KC Jakarta Palmerah</v>
          </cell>
          <cell r="D103">
            <v>1.0200000000000001E-3</v>
          </cell>
        </row>
        <row r="104">
          <cell r="B104" t="str">
            <v>KC Tangerang City</v>
          </cell>
          <cell r="D104">
            <v>1.58E-3</v>
          </cell>
        </row>
        <row r="105">
          <cell r="B105" t="str">
            <v>KC Bandara Soekarno Hatta</v>
          </cell>
          <cell r="D105">
            <v>1.6000000000000001E-3</v>
          </cell>
        </row>
        <row r="106">
          <cell r="B106" t="str">
            <v>KC Jakarta Daan Mogot</v>
          </cell>
          <cell r="D106">
            <v>2.16E-3</v>
          </cell>
        </row>
        <row r="107">
          <cell r="B107" t="str">
            <v>Kanwil Jakarta 3</v>
          </cell>
          <cell r="D107">
            <v>2.5300000000000001E-3</v>
          </cell>
        </row>
        <row r="108">
          <cell r="B108" t="str">
            <v>KC Jakarta Tanjung Duren</v>
          </cell>
          <cell r="D108">
            <v>2.8600000000000001E-3</v>
          </cell>
        </row>
        <row r="109">
          <cell r="B109" t="str">
            <v>KC Ciputat</v>
          </cell>
          <cell r="D109">
            <v>2.8900000000000002E-3</v>
          </cell>
        </row>
        <row r="110">
          <cell r="B110" t="str">
            <v>KC Jakarta Hayam Wuruk</v>
          </cell>
          <cell r="D110">
            <v>2.99E-3</v>
          </cell>
        </row>
        <row r="111">
          <cell r="B111" t="str">
            <v>KC Jakarta Kalideres</v>
          </cell>
          <cell r="D111">
            <v>3.4499999999999999E-3</v>
          </cell>
        </row>
        <row r="112">
          <cell r="B112" t="str">
            <v>KC Jakarta S Parman</v>
          </cell>
          <cell r="D112">
            <v>3.5599999999999998E-3</v>
          </cell>
        </row>
        <row r="113">
          <cell r="B113" t="str">
            <v>KC Jakarta Kebon Jeruk</v>
          </cell>
          <cell r="D113">
            <v>3.62E-3</v>
          </cell>
        </row>
        <row r="114">
          <cell r="B114" t="str">
            <v>KC Pamulang</v>
          </cell>
          <cell r="D114">
            <v>3.8500000000000001E-3</v>
          </cell>
        </row>
        <row r="115">
          <cell r="B115" t="str">
            <v>KC Jakarta Joglo</v>
          </cell>
          <cell r="D115">
            <v>4.0800000000000003E-3</v>
          </cell>
        </row>
        <row r="116">
          <cell r="B116" t="str">
            <v>KC Gading Serpong</v>
          </cell>
          <cell r="D116">
            <v>4.28E-3</v>
          </cell>
        </row>
        <row r="117">
          <cell r="B117" t="str">
            <v>KC Bumi Serpong Damai</v>
          </cell>
          <cell r="D117">
            <v>4.5100000000000001E-3</v>
          </cell>
        </row>
        <row r="118">
          <cell r="B118" t="str">
            <v>KC Balaraja</v>
          </cell>
          <cell r="D118">
            <v>4.8799999999999998E-3</v>
          </cell>
        </row>
        <row r="119">
          <cell r="B119" t="str">
            <v>KC Jakarta Jelambar</v>
          </cell>
          <cell r="D119">
            <v>5.0499999999999998E-3</v>
          </cell>
        </row>
        <row r="120">
          <cell r="B120" t="str">
            <v>KC Cilegon</v>
          </cell>
          <cell r="D120">
            <v>5.2700000000000004E-3</v>
          </cell>
        </row>
        <row r="121">
          <cell r="B121" t="str">
            <v>KC Serang</v>
          </cell>
          <cell r="D121">
            <v>5.3200000000000001E-3</v>
          </cell>
        </row>
        <row r="122">
          <cell r="B122" t="str">
            <v>KC Jakarta Tangerang</v>
          </cell>
          <cell r="D122">
            <v>5.4400000000000004E-3</v>
          </cell>
        </row>
        <row r="123">
          <cell r="B123" t="str">
            <v>KC Labuan</v>
          </cell>
          <cell r="D123">
            <v>5.8799999999999998E-3</v>
          </cell>
        </row>
        <row r="124">
          <cell r="B124" t="str">
            <v>KC Tangerang Merdeka</v>
          </cell>
          <cell r="D124">
            <v>6.4700000000000001E-3</v>
          </cell>
        </row>
        <row r="125">
          <cell r="B125" t="str">
            <v>KC Pandeglang</v>
          </cell>
          <cell r="D125">
            <v>8.4200000000000004E-3</v>
          </cell>
        </row>
        <row r="126">
          <cell r="B126" t="str">
            <v>KC Rangkasbitung</v>
          </cell>
          <cell r="D126">
            <v>9.5600000000000008E-3</v>
          </cell>
        </row>
        <row r="127">
          <cell r="B127" t="str">
            <v>KC Jakarta Kota</v>
          </cell>
          <cell r="D127">
            <v>9.8099999999999993E-3</v>
          </cell>
        </row>
        <row r="128">
          <cell r="B128" t="e">
            <v>#N/A</v>
          </cell>
          <cell r="D128">
            <v>5.3200000000000001E-3</v>
          </cell>
        </row>
        <row r="129">
          <cell r="B129" t="str">
            <v>KC Bandung Martadinata</v>
          </cell>
          <cell r="D129">
            <v>3.1E-4</v>
          </cell>
        </row>
        <row r="130">
          <cell r="B130" t="str">
            <v>KC Bandung A.H. Nasution</v>
          </cell>
          <cell r="D130">
            <v>4.0999999999999999E-4</v>
          </cell>
        </row>
        <row r="131">
          <cell r="B131" t="str">
            <v>Kanwil Bandung</v>
          </cell>
          <cell r="D131">
            <v>1.2199999999999999E-3</v>
          </cell>
        </row>
        <row r="132">
          <cell r="B132" t="str">
            <v>KC Cianjur</v>
          </cell>
          <cell r="D132">
            <v>1.81E-3</v>
          </cell>
        </row>
        <row r="133">
          <cell r="B133" t="str">
            <v>KC Cirebon Gunung Jati</v>
          </cell>
          <cell r="D133">
            <v>2.3800000000000002E-3</v>
          </cell>
        </row>
        <row r="134">
          <cell r="B134" t="str">
            <v>KC Bandung Dewi Sartika</v>
          </cell>
          <cell r="D134">
            <v>2.6199999999999999E-3</v>
          </cell>
        </row>
        <row r="135">
          <cell r="B135" t="str">
            <v>KC Garut</v>
          </cell>
          <cell r="D135">
            <v>2.6900000000000001E-3</v>
          </cell>
        </row>
        <row r="136">
          <cell r="B136" t="str">
            <v>KC Ciamis</v>
          </cell>
          <cell r="D136">
            <v>2.8999999999999998E-3</v>
          </cell>
        </row>
        <row r="137">
          <cell r="B137" t="str">
            <v>KC Soreang</v>
          </cell>
          <cell r="D137">
            <v>3.0699999999999998E-3</v>
          </cell>
        </row>
        <row r="138">
          <cell r="B138" t="str">
            <v>KC Bandung Naripan</v>
          </cell>
          <cell r="D138">
            <v>3.6099999999999999E-3</v>
          </cell>
        </row>
        <row r="139">
          <cell r="B139" t="str">
            <v>KC Bandung Kopo</v>
          </cell>
          <cell r="D139">
            <v>3.6600000000000001E-3</v>
          </cell>
        </row>
        <row r="140">
          <cell r="B140" t="str">
            <v>KC Majalengka</v>
          </cell>
          <cell r="D140">
            <v>4.0099999999999997E-3</v>
          </cell>
        </row>
        <row r="141">
          <cell r="B141" t="str">
            <v>KC Cirebon Kartini</v>
          </cell>
          <cell r="D141">
            <v>4.0499999999999998E-3</v>
          </cell>
        </row>
        <row r="142">
          <cell r="B142" t="str">
            <v>KC Purwakarta</v>
          </cell>
          <cell r="D142">
            <v>4.0600000000000002E-3</v>
          </cell>
        </row>
        <row r="143">
          <cell r="B143" t="str">
            <v>KC Indramayu</v>
          </cell>
          <cell r="D143">
            <v>4.1399999999999996E-3</v>
          </cell>
        </row>
        <row r="144">
          <cell r="B144" t="str">
            <v>KC Singaparna</v>
          </cell>
          <cell r="D144">
            <v>4.9300000000000004E-3</v>
          </cell>
        </row>
        <row r="145">
          <cell r="B145" t="str">
            <v>KC Bandung Dago</v>
          </cell>
          <cell r="D145">
            <v>4.9699999999999996E-3</v>
          </cell>
        </row>
        <row r="146">
          <cell r="B146" t="str">
            <v>KC Majalaya</v>
          </cell>
          <cell r="D146">
            <v>5.3499999999999997E-3</v>
          </cell>
        </row>
        <row r="147">
          <cell r="B147" t="str">
            <v>KC Cimahi</v>
          </cell>
          <cell r="D147">
            <v>5.4400000000000004E-3</v>
          </cell>
        </row>
        <row r="148">
          <cell r="B148" t="str">
            <v>KC Bandung Aa</v>
          </cell>
          <cell r="D148">
            <v>5.5199999999999997E-3</v>
          </cell>
        </row>
        <row r="149">
          <cell r="B149" t="str">
            <v>KC Sukabumi</v>
          </cell>
          <cell r="D149">
            <v>5.5300000000000002E-3</v>
          </cell>
        </row>
        <row r="150">
          <cell r="B150" t="str">
            <v>KC Jatibarang</v>
          </cell>
          <cell r="D150">
            <v>6.1700000000000001E-3</v>
          </cell>
        </row>
        <row r="151">
          <cell r="B151" t="str">
            <v>KC Tasikmalaya</v>
          </cell>
          <cell r="D151">
            <v>6.6400000000000001E-3</v>
          </cell>
        </row>
        <row r="152">
          <cell r="B152" t="str">
            <v>KC Kuningan</v>
          </cell>
          <cell r="D152">
            <v>6.7600000000000004E-3</v>
          </cell>
        </row>
        <row r="153">
          <cell r="B153" t="str">
            <v>KC Banjar</v>
          </cell>
          <cell r="D153">
            <v>6.9899999999999997E-3</v>
          </cell>
        </row>
        <row r="154">
          <cell r="B154" t="str">
            <v>KC Pamanukan</v>
          </cell>
          <cell r="D154">
            <v>8.7500000000000008E-3</v>
          </cell>
        </row>
        <row r="155">
          <cell r="B155" t="str">
            <v>KC Bandung Setiabudi</v>
          </cell>
          <cell r="D155">
            <v>8.77E-3</v>
          </cell>
        </row>
        <row r="156">
          <cell r="B156" t="str">
            <v>KC Sumedang</v>
          </cell>
          <cell r="D156">
            <v>8.7799999999999996E-3</v>
          </cell>
        </row>
        <row r="157">
          <cell r="B157" t="str">
            <v>KC Bandung Sukarno Hatta</v>
          </cell>
          <cell r="D157">
            <v>9.5300000000000003E-3</v>
          </cell>
        </row>
        <row r="158">
          <cell r="B158" t="str">
            <v>KC Subang</v>
          </cell>
          <cell r="D158">
            <v>9.7800000000000005E-3</v>
          </cell>
        </row>
        <row r="159">
          <cell r="B159" t="str">
            <v>KC Cibadak</v>
          </cell>
          <cell r="D159">
            <v>1.389E-2</v>
          </cell>
        </row>
        <row r="160">
          <cell r="B160" t="e">
            <v>#N/A</v>
          </cell>
          <cell r="D160">
            <v>5.28E-3</v>
          </cell>
        </row>
        <row r="161">
          <cell r="B161" t="str">
            <v>Kanwil Padang</v>
          </cell>
          <cell r="D161">
            <v>0</v>
          </cell>
        </row>
        <row r="162">
          <cell r="B162" t="str">
            <v>KC Padang Panjang</v>
          </cell>
          <cell r="D162">
            <v>2.5000000000000001E-4</v>
          </cell>
        </row>
        <row r="163">
          <cell r="B163" t="str">
            <v>KC Padang</v>
          </cell>
          <cell r="D163">
            <v>1.3699999999999999E-3</v>
          </cell>
        </row>
        <row r="164">
          <cell r="B164" t="str">
            <v>KC Batu Sangkar</v>
          </cell>
          <cell r="D164">
            <v>3.6600000000000001E-3</v>
          </cell>
        </row>
        <row r="165">
          <cell r="B165" t="str">
            <v>KC Simpang Empat</v>
          </cell>
          <cell r="D165">
            <v>3.6800000000000001E-3</v>
          </cell>
        </row>
        <row r="166">
          <cell r="B166" t="str">
            <v>KC Sijunjung</v>
          </cell>
          <cell r="D166">
            <v>4.1999999999999997E-3</v>
          </cell>
        </row>
        <row r="167">
          <cell r="B167" t="str">
            <v>KC Pariaman</v>
          </cell>
          <cell r="D167">
            <v>4.4000000000000003E-3</v>
          </cell>
        </row>
        <row r="168">
          <cell r="B168" t="str">
            <v>KC Dharmasraya</v>
          </cell>
          <cell r="D168">
            <v>4.4299999999999999E-3</v>
          </cell>
        </row>
        <row r="169">
          <cell r="B169" t="str">
            <v>KC Bukittinggi</v>
          </cell>
          <cell r="D169">
            <v>4.45E-3</v>
          </cell>
        </row>
        <row r="170">
          <cell r="B170" t="str">
            <v>KC Painan</v>
          </cell>
          <cell r="D170">
            <v>4.4600000000000004E-3</v>
          </cell>
        </row>
        <row r="171">
          <cell r="B171" t="str">
            <v>KC Lubuk Sikaping</v>
          </cell>
          <cell r="D171">
            <v>4.4900000000000001E-3</v>
          </cell>
        </row>
        <row r="172">
          <cell r="B172" t="str">
            <v>KC Khatib Sulaiman</v>
          </cell>
          <cell r="D172">
            <v>4.9199999999999999E-3</v>
          </cell>
        </row>
        <row r="173">
          <cell r="B173" t="str">
            <v>KC Payakumbuh</v>
          </cell>
          <cell r="D173">
            <v>5.13E-3</v>
          </cell>
        </row>
        <row r="174">
          <cell r="B174" t="str">
            <v>KC Solok</v>
          </cell>
          <cell r="D174">
            <v>5.4900000000000001E-3</v>
          </cell>
        </row>
        <row r="175">
          <cell r="B175" t="str">
            <v>KC Sungai Penuh</v>
          </cell>
          <cell r="D175">
            <v>5.7499999999999999E-3</v>
          </cell>
        </row>
        <row r="176">
          <cell r="B176" t="e">
            <v>#N/A</v>
          </cell>
          <cell r="D176">
            <v>4.3600000000000002E-3</v>
          </cell>
        </row>
        <row r="177">
          <cell r="B177" t="str">
            <v>KC Ajibarang</v>
          </cell>
          <cell r="D177">
            <v>9.3999999999999997E-4</v>
          </cell>
        </row>
        <row r="178">
          <cell r="B178" t="str">
            <v>KC Solo - Sudirman</v>
          </cell>
          <cell r="D178">
            <v>1.32E-3</v>
          </cell>
        </row>
        <row r="179">
          <cell r="B179" t="str">
            <v>KC Solo Kartasura</v>
          </cell>
          <cell r="D179">
            <v>1.49E-3</v>
          </cell>
        </row>
        <row r="180">
          <cell r="B180" t="str">
            <v>KC Yogyakarta Mlati</v>
          </cell>
          <cell r="D180">
            <v>1.7799999999999999E-3</v>
          </cell>
        </row>
        <row r="181">
          <cell r="B181" t="str">
            <v>KC Wonosobo</v>
          </cell>
          <cell r="D181">
            <v>1.8600000000000001E-3</v>
          </cell>
        </row>
        <row r="182">
          <cell r="B182" t="str">
            <v>KC Gombong</v>
          </cell>
          <cell r="D182">
            <v>2.4099999999999998E-3</v>
          </cell>
        </row>
        <row r="183">
          <cell r="B183" t="str">
            <v>KC Purbalingga</v>
          </cell>
          <cell r="D183">
            <v>2.5899999999999999E-3</v>
          </cell>
        </row>
        <row r="184">
          <cell r="B184" t="str">
            <v>KC Wonogiri</v>
          </cell>
          <cell r="D184">
            <v>2.9499999999999999E-3</v>
          </cell>
        </row>
        <row r="185">
          <cell r="B185" t="str">
            <v>KC Sukoharjo</v>
          </cell>
          <cell r="D185">
            <v>2.97E-3</v>
          </cell>
        </row>
        <row r="186">
          <cell r="B186" t="str">
            <v>KC Purwokerto</v>
          </cell>
          <cell r="D186">
            <v>3.2399999999999998E-3</v>
          </cell>
        </row>
        <row r="187">
          <cell r="B187" t="str">
            <v>KC Sleman</v>
          </cell>
          <cell r="D187">
            <v>3.2799999999999999E-3</v>
          </cell>
        </row>
        <row r="188">
          <cell r="B188" t="str">
            <v>KC Wonosari</v>
          </cell>
          <cell r="D188">
            <v>3.3E-3</v>
          </cell>
        </row>
        <row r="189">
          <cell r="B189" t="str">
            <v>KC Purworejo</v>
          </cell>
          <cell r="D189">
            <v>3.5899999999999999E-3</v>
          </cell>
        </row>
        <row r="190">
          <cell r="B190" t="str">
            <v>KC Cilacap</v>
          </cell>
          <cell r="D190">
            <v>3.7499999999999999E-3</v>
          </cell>
        </row>
        <row r="191">
          <cell r="B191" t="str">
            <v>KC Klaten</v>
          </cell>
          <cell r="D191">
            <v>4.0800000000000003E-3</v>
          </cell>
        </row>
        <row r="192">
          <cell r="B192" t="str">
            <v>KC Majenang</v>
          </cell>
          <cell r="D192">
            <v>4.1000000000000003E-3</v>
          </cell>
        </row>
        <row r="193">
          <cell r="B193" t="str">
            <v>KC Wates</v>
          </cell>
          <cell r="D193">
            <v>4.28E-3</v>
          </cell>
        </row>
        <row r="194">
          <cell r="B194" t="str">
            <v>KC Yogyakarta Adisucipto</v>
          </cell>
          <cell r="D194">
            <v>4.5300000000000002E-3</v>
          </cell>
        </row>
        <row r="195">
          <cell r="B195" t="str">
            <v>KC Kutoarjo</v>
          </cell>
          <cell r="D195">
            <v>4.5300000000000002E-3</v>
          </cell>
        </row>
        <row r="196">
          <cell r="B196" t="str">
            <v>KC Yogyakarta Cik Ditiro</v>
          </cell>
          <cell r="D196">
            <v>4.5300000000000002E-3</v>
          </cell>
        </row>
        <row r="197">
          <cell r="B197" t="str">
            <v>KC Boyolali</v>
          </cell>
          <cell r="D197">
            <v>4.81E-3</v>
          </cell>
        </row>
        <row r="198">
          <cell r="B198" t="str">
            <v>KC Bantul</v>
          </cell>
          <cell r="D198">
            <v>4.8900000000000002E-3</v>
          </cell>
        </row>
        <row r="199">
          <cell r="B199" t="str">
            <v>KC Solo Baru</v>
          </cell>
          <cell r="D199">
            <v>5.0000000000000001E-3</v>
          </cell>
        </row>
        <row r="200">
          <cell r="B200" t="str">
            <v>KC Temanggung</v>
          </cell>
          <cell r="D200">
            <v>5.0099999999999997E-3</v>
          </cell>
        </row>
        <row r="201">
          <cell r="B201" t="str">
            <v>KC Parakan</v>
          </cell>
          <cell r="D201">
            <v>5.1000000000000004E-3</v>
          </cell>
        </row>
        <row r="202">
          <cell r="B202" t="str">
            <v>KC Sragen</v>
          </cell>
          <cell r="D202">
            <v>5.2599999999999999E-3</v>
          </cell>
        </row>
        <row r="203">
          <cell r="B203" t="str">
            <v>KC Karanganyar</v>
          </cell>
          <cell r="D203">
            <v>5.2599999999999999E-3</v>
          </cell>
        </row>
        <row r="204">
          <cell r="B204" t="str">
            <v>KC Kebumen</v>
          </cell>
          <cell r="D204">
            <v>5.5599999999999998E-3</v>
          </cell>
        </row>
        <row r="205">
          <cell r="B205" t="str">
            <v>KC Banjarnegara</v>
          </cell>
          <cell r="D205">
            <v>5.7499999999999999E-3</v>
          </cell>
        </row>
        <row r="206">
          <cell r="B206" t="str">
            <v>KC Muntilan</v>
          </cell>
          <cell r="D206">
            <v>6.1900000000000002E-3</v>
          </cell>
        </row>
        <row r="207">
          <cell r="B207" t="str">
            <v>KC Solo Slamet Riyadi</v>
          </cell>
          <cell r="D207">
            <v>6.3499999999999997E-3</v>
          </cell>
        </row>
        <row r="208">
          <cell r="B208" t="str">
            <v>KC Yogyakarta Katamso</v>
          </cell>
          <cell r="D208">
            <v>6.3600000000000002E-3</v>
          </cell>
        </row>
        <row r="209">
          <cell r="B209" t="str">
            <v>KC Magelang</v>
          </cell>
          <cell r="D209">
            <v>1.0529999999999999E-2</v>
          </cell>
        </row>
        <row r="210">
          <cell r="B210" t="e">
            <v>#N/A</v>
          </cell>
          <cell r="D210">
            <v>4.28E-3</v>
          </cell>
        </row>
        <row r="211">
          <cell r="B211" t="str">
            <v>Kanwil Dki Jakarta</v>
          </cell>
          <cell r="D211">
            <v>0</v>
          </cell>
        </row>
        <row r="212">
          <cell r="B212" t="str">
            <v>KC Jakarta Kelapa Gading</v>
          </cell>
          <cell r="D212">
            <v>1.2E-4</v>
          </cell>
        </row>
        <row r="213">
          <cell r="B213" t="str">
            <v>KC Jakarta Sunter</v>
          </cell>
          <cell r="D213">
            <v>1.3999999999999999E-4</v>
          </cell>
        </row>
        <row r="214">
          <cell r="B214" t="str">
            <v>KC Jakarta Artha Gading</v>
          </cell>
          <cell r="D214">
            <v>1.9000000000000001E-4</v>
          </cell>
        </row>
        <row r="215">
          <cell r="B215" t="str">
            <v>KC Jakarta Pantai Indah Kapuk</v>
          </cell>
          <cell r="D215">
            <v>3.8000000000000002E-4</v>
          </cell>
        </row>
        <row r="216">
          <cell r="B216" t="str">
            <v>KC Jakarta Segitiga Senen</v>
          </cell>
          <cell r="D216">
            <v>3.8999999999999999E-4</v>
          </cell>
        </row>
        <row r="217">
          <cell r="B217" t="str">
            <v>KC Jakarta Kramat</v>
          </cell>
          <cell r="D217">
            <v>4.4999999999999999E-4</v>
          </cell>
        </row>
        <row r="218">
          <cell r="B218" t="str">
            <v>KC Jakarta Cut Mutiah</v>
          </cell>
          <cell r="D218">
            <v>5.5000000000000003E-4</v>
          </cell>
        </row>
        <row r="219">
          <cell r="B219" t="str">
            <v>KC Jakarta Gunung Sahari</v>
          </cell>
          <cell r="D219">
            <v>7.1000000000000002E-4</v>
          </cell>
        </row>
        <row r="220">
          <cell r="B220" t="str">
            <v>KC Jakarta Gading Boulevard</v>
          </cell>
          <cell r="D220">
            <v>7.7999999999999999E-4</v>
          </cell>
        </row>
        <row r="221">
          <cell r="B221" t="str">
            <v>KC Jakarta Jatinegara</v>
          </cell>
          <cell r="D221">
            <v>9.7000000000000005E-4</v>
          </cell>
        </row>
        <row r="222">
          <cell r="B222" t="str">
            <v>KC Jakarta Veteran</v>
          </cell>
          <cell r="D222">
            <v>1.0200000000000001E-3</v>
          </cell>
        </row>
        <row r="223">
          <cell r="B223" t="str">
            <v>KC Jakarta Rawamangun</v>
          </cell>
          <cell r="D223">
            <v>1.07E-3</v>
          </cell>
        </row>
        <row r="224">
          <cell r="B224" t="str">
            <v>KC Jakarta Mangga Dua</v>
          </cell>
          <cell r="D224">
            <v>1.39E-3</v>
          </cell>
        </row>
        <row r="225">
          <cell r="B225" t="str">
            <v>KC Jakarta Tanah Abang</v>
          </cell>
          <cell r="D225">
            <v>2.3500000000000001E-3</v>
          </cell>
        </row>
        <row r="226">
          <cell r="B226" t="str">
            <v>KC Sudirman Semanggi</v>
          </cell>
          <cell r="D226">
            <v>2.3900000000000002E-3</v>
          </cell>
        </row>
        <row r="227">
          <cell r="B227" t="str">
            <v>KC Jakarta Tanjung Priok</v>
          </cell>
          <cell r="D227">
            <v>2.5600000000000002E-3</v>
          </cell>
        </row>
        <row r="228">
          <cell r="B228" t="str">
            <v>KC Jakarta Kalimalang</v>
          </cell>
          <cell r="D228">
            <v>3.13E-3</v>
          </cell>
        </row>
        <row r="229">
          <cell r="B229" t="str">
            <v>KC Jakarta Roxi</v>
          </cell>
          <cell r="D229">
            <v>3.2699999999999999E-3</v>
          </cell>
        </row>
        <row r="230">
          <cell r="B230" t="str">
            <v>KC Jakarta Pluit</v>
          </cell>
          <cell r="D230">
            <v>3.5500000000000002E-3</v>
          </cell>
        </row>
        <row r="231">
          <cell r="B231" t="str">
            <v>KC Jakarta Kramat Jati</v>
          </cell>
          <cell r="D231">
            <v>3.6800000000000001E-3</v>
          </cell>
        </row>
        <row r="232">
          <cell r="B232" t="str">
            <v>KC Jakarta Otista</v>
          </cell>
          <cell r="D232">
            <v>4.9100000000000003E-3</v>
          </cell>
        </row>
        <row r="233">
          <cell r="B233" t="str">
            <v>KC Jakarta Krekot</v>
          </cell>
          <cell r="D233">
            <v>6.2300000000000003E-3</v>
          </cell>
        </row>
        <row r="234">
          <cell r="B234" t="str">
            <v>KC Jakarta Cempaka Mas</v>
          </cell>
          <cell r="D234">
            <v>6.2899999999999996E-3</v>
          </cell>
        </row>
        <row r="235">
          <cell r="B235" t="str">
            <v>KC Jakarta Kemayoran</v>
          </cell>
          <cell r="D235">
            <v>6.4400000000000004E-3</v>
          </cell>
        </row>
        <row r="236">
          <cell r="B236" t="e">
            <v>#N/A</v>
          </cell>
          <cell r="D236">
            <v>2.97E-3</v>
          </cell>
        </row>
        <row r="237">
          <cell r="B237" t="str">
            <v>KC Gorontalo</v>
          </cell>
          <cell r="D237">
            <v>2.5999999999999998E-4</v>
          </cell>
        </row>
        <row r="238">
          <cell r="B238" t="str">
            <v>KC Toli-Toli</v>
          </cell>
          <cell r="D238">
            <v>4.0000000000000002E-4</v>
          </cell>
        </row>
        <row r="239">
          <cell r="B239" t="str">
            <v>KC Tahuna</v>
          </cell>
          <cell r="D239">
            <v>1.41E-3</v>
          </cell>
        </row>
        <row r="240">
          <cell r="B240" t="str">
            <v>KC Ampana</v>
          </cell>
          <cell r="D240">
            <v>1.6299999999999999E-3</v>
          </cell>
        </row>
        <row r="241">
          <cell r="B241" t="str">
            <v>KC Manado Boulevard</v>
          </cell>
          <cell r="D241">
            <v>2.0100000000000001E-3</v>
          </cell>
        </row>
        <row r="242">
          <cell r="B242" t="str">
            <v>KC Limboto</v>
          </cell>
          <cell r="D242">
            <v>2.15E-3</v>
          </cell>
        </row>
        <row r="243">
          <cell r="B243" t="str">
            <v>KC Parigi</v>
          </cell>
          <cell r="D243">
            <v>2.2200000000000002E-3</v>
          </cell>
        </row>
        <row r="244">
          <cell r="B244" t="str">
            <v>KC Luwuk</v>
          </cell>
          <cell r="D244">
            <v>2.3600000000000001E-3</v>
          </cell>
        </row>
        <row r="245">
          <cell r="B245" t="str">
            <v>KC Manado</v>
          </cell>
          <cell r="D245">
            <v>2.5300000000000001E-3</v>
          </cell>
        </row>
        <row r="246">
          <cell r="B246" t="str">
            <v>KC Soa-Sio</v>
          </cell>
          <cell r="D246">
            <v>2.7299999999999998E-3</v>
          </cell>
        </row>
        <row r="247">
          <cell r="B247" t="str">
            <v>KC Morowali</v>
          </cell>
          <cell r="D247">
            <v>2.82E-3</v>
          </cell>
        </row>
        <row r="248">
          <cell r="B248" t="str">
            <v>KC Poso</v>
          </cell>
          <cell r="D248">
            <v>2.9199999999999999E-3</v>
          </cell>
        </row>
        <row r="249">
          <cell r="B249" t="str">
            <v>KC Ternate</v>
          </cell>
          <cell r="D249">
            <v>3.0200000000000001E-3</v>
          </cell>
        </row>
        <row r="250">
          <cell r="B250" t="str">
            <v>KC Pogogul Buol</v>
          </cell>
          <cell r="D250">
            <v>3.16E-3</v>
          </cell>
        </row>
        <row r="251">
          <cell r="B251" t="str">
            <v>KC Tobelo</v>
          </cell>
          <cell r="D251">
            <v>3.3600000000000001E-3</v>
          </cell>
        </row>
        <row r="252">
          <cell r="B252" t="str">
            <v>KC Kotamobagu</v>
          </cell>
          <cell r="D252">
            <v>3.62E-3</v>
          </cell>
        </row>
        <row r="253">
          <cell r="B253" t="str">
            <v>KC Bitung</v>
          </cell>
          <cell r="D253">
            <v>4.0699999999999998E-3</v>
          </cell>
        </row>
        <row r="254">
          <cell r="B254" t="str">
            <v>KC Palu</v>
          </cell>
          <cell r="D254">
            <v>4.1700000000000001E-3</v>
          </cell>
        </row>
        <row r="255">
          <cell r="B255" t="str">
            <v>KC Tondano</v>
          </cell>
          <cell r="D255">
            <v>4.9300000000000004E-3</v>
          </cell>
        </row>
        <row r="256">
          <cell r="B256" t="str">
            <v>KC Marisa</v>
          </cell>
          <cell r="D256">
            <v>7.1000000000000004E-3</v>
          </cell>
        </row>
        <row r="257">
          <cell r="B257" t="e">
            <v>#N/A</v>
          </cell>
          <cell r="D257">
            <v>2.96E-3</v>
          </cell>
        </row>
        <row r="258">
          <cell r="B258" t="str">
            <v>Kanwil Pekanbaru</v>
          </cell>
          <cell r="D258">
            <v>0</v>
          </cell>
        </row>
        <row r="259">
          <cell r="B259" t="str">
            <v>KC Siak</v>
          </cell>
          <cell r="D259">
            <v>9.2000000000000003E-4</v>
          </cell>
        </row>
        <row r="260">
          <cell r="B260" t="str">
            <v>KC Batam Center</v>
          </cell>
          <cell r="D260">
            <v>1.32E-3</v>
          </cell>
        </row>
        <row r="261">
          <cell r="B261" t="str">
            <v>KC Selat Panjang</v>
          </cell>
          <cell r="D261">
            <v>1.39E-3</v>
          </cell>
        </row>
        <row r="262">
          <cell r="B262" t="str">
            <v>KC Dumai</v>
          </cell>
          <cell r="D262">
            <v>1.6999999999999999E-3</v>
          </cell>
        </row>
        <row r="263">
          <cell r="B263" t="str">
            <v>KC Bangkinang</v>
          </cell>
          <cell r="D263">
            <v>1.73E-3</v>
          </cell>
        </row>
        <row r="264">
          <cell r="B264" t="str">
            <v>KC Pasir Pengaraian</v>
          </cell>
          <cell r="D264">
            <v>1.7600000000000001E-3</v>
          </cell>
        </row>
        <row r="265">
          <cell r="B265" t="str">
            <v>KC Teluk Kuantan</v>
          </cell>
          <cell r="D265">
            <v>2.0799999999999998E-3</v>
          </cell>
        </row>
        <row r="266">
          <cell r="B266" t="str">
            <v>KC Pangkalan Kerinci</v>
          </cell>
          <cell r="D266">
            <v>2.31E-3</v>
          </cell>
        </row>
        <row r="267">
          <cell r="B267" t="str">
            <v>KC Tanjung Pinang</v>
          </cell>
          <cell r="D267">
            <v>2.6900000000000001E-3</v>
          </cell>
        </row>
        <row r="268">
          <cell r="B268" t="str">
            <v>KC Ujung Batu</v>
          </cell>
          <cell r="D268">
            <v>2.7200000000000002E-3</v>
          </cell>
        </row>
        <row r="269">
          <cell r="B269" t="str">
            <v>KC Bagan Batu</v>
          </cell>
          <cell r="D269">
            <v>2.8E-3</v>
          </cell>
        </row>
        <row r="270">
          <cell r="B270" t="str">
            <v>KC Batam Nagoya</v>
          </cell>
          <cell r="D270">
            <v>2.82E-3</v>
          </cell>
        </row>
        <row r="271">
          <cell r="B271" t="str">
            <v>KC Rengat</v>
          </cell>
          <cell r="D271">
            <v>2.8600000000000001E-3</v>
          </cell>
        </row>
        <row r="272">
          <cell r="B272" t="str">
            <v>KC Tanjung Balai Karimun</v>
          </cell>
          <cell r="D272">
            <v>2.8900000000000002E-3</v>
          </cell>
        </row>
        <row r="273">
          <cell r="B273" t="str">
            <v>KC Perawang</v>
          </cell>
          <cell r="D273">
            <v>3.0699999999999998E-3</v>
          </cell>
        </row>
        <row r="274">
          <cell r="B274" t="str">
            <v>KC Tembilahan</v>
          </cell>
          <cell r="D274">
            <v>3.3600000000000001E-3</v>
          </cell>
        </row>
        <row r="275">
          <cell r="B275" t="str">
            <v>KC Bengkalis</v>
          </cell>
          <cell r="D275">
            <v>3.4299999999999999E-3</v>
          </cell>
        </row>
        <row r="276">
          <cell r="B276" t="str">
            <v>KC Pekanbaru Tuanku Tambusai</v>
          </cell>
          <cell r="D276">
            <v>3.65E-3</v>
          </cell>
        </row>
        <row r="277">
          <cell r="B277" t="str">
            <v>KC Duri</v>
          </cell>
          <cell r="D277">
            <v>3.6700000000000001E-3</v>
          </cell>
        </row>
        <row r="278">
          <cell r="B278" t="str">
            <v>KC Pekanbaru Lancang Kuning</v>
          </cell>
          <cell r="D278">
            <v>4.2300000000000003E-3</v>
          </cell>
        </row>
        <row r="279">
          <cell r="B279" t="str">
            <v>KC Bagan Siapi Api</v>
          </cell>
          <cell r="D279">
            <v>4.3099999999999996E-3</v>
          </cell>
        </row>
        <row r="280">
          <cell r="B280" t="str">
            <v>KC Pekanbaru Sudirman</v>
          </cell>
          <cell r="D280">
            <v>4.7699999999999999E-3</v>
          </cell>
        </row>
        <row r="281">
          <cell r="B281" t="e">
            <v>#N/A</v>
          </cell>
          <cell r="D281">
            <v>2.82E-3</v>
          </cell>
        </row>
        <row r="282">
          <cell r="B282" t="str">
            <v>KC Lahat</v>
          </cell>
          <cell r="D282">
            <v>3.2000000000000003E-4</v>
          </cell>
        </row>
        <row r="283">
          <cell r="B283" t="str">
            <v>KC Rimbo Bujang</v>
          </cell>
          <cell r="D283">
            <v>3.3E-4</v>
          </cell>
        </row>
        <row r="284">
          <cell r="B284" t="str">
            <v>KC Palembang Sriwijaya</v>
          </cell>
          <cell r="D284">
            <v>1E-3</v>
          </cell>
        </row>
        <row r="285">
          <cell r="B285" t="str">
            <v>KC Sarolangun</v>
          </cell>
          <cell r="D285">
            <v>1.01E-3</v>
          </cell>
        </row>
        <row r="286">
          <cell r="B286" t="str">
            <v>KC Bangko</v>
          </cell>
          <cell r="D286">
            <v>1.0499999999999999E-3</v>
          </cell>
        </row>
        <row r="287">
          <cell r="B287" t="str">
            <v>KC Pagar Alam</v>
          </cell>
          <cell r="D287">
            <v>1.82E-3</v>
          </cell>
        </row>
        <row r="288">
          <cell r="B288" t="str">
            <v>KC Sungai Liat</v>
          </cell>
          <cell r="D288">
            <v>1.83E-3</v>
          </cell>
        </row>
        <row r="289">
          <cell r="B289" t="str">
            <v>KC Sekayu</v>
          </cell>
          <cell r="D289">
            <v>1.89E-3</v>
          </cell>
        </row>
        <row r="290">
          <cell r="B290" t="str">
            <v>KC Prabumulih</v>
          </cell>
          <cell r="D290">
            <v>1.92E-3</v>
          </cell>
        </row>
        <row r="291">
          <cell r="B291" t="str">
            <v>KC Tanjung Pandan</v>
          </cell>
          <cell r="D291">
            <v>1.92E-3</v>
          </cell>
        </row>
        <row r="292">
          <cell r="B292" t="str">
            <v>KC Kayu Agung</v>
          </cell>
          <cell r="D292">
            <v>2.3E-3</v>
          </cell>
        </row>
        <row r="293">
          <cell r="B293" t="str">
            <v>KC Muara Enim</v>
          </cell>
          <cell r="D293">
            <v>2.96E-3</v>
          </cell>
        </row>
        <row r="294">
          <cell r="B294" t="str">
            <v>KC Jambi</v>
          </cell>
          <cell r="D294">
            <v>3.13E-3</v>
          </cell>
        </row>
        <row r="295">
          <cell r="B295" t="str">
            <v>KC Palembang A. Rivai</v>
          </cell>
          <cell r="D295">
            <v>3.2200000000000002E-3</v>
          </cell>
        </row>
        <row r="296">
          <cell r="B296" t="str">
            <v>KC Baturaja</v>
          </cell>
          <cell r="D296">
            <v>3.6099999999999999E-3</v>
          </cell>
        </row>
        <row r="297">
          <cell r="B297" t="str">
            <v>KC Lubuk Linggau</v>
          </cell>
          <cell r="D297">
            <v>3.7299999999999998E-3</v>
          </cell>
        </row>
        <row r="298">
          <cell r="B298" t="str">
            <v>KC Pangkal Pinang</v>
          </cell>
          <cell r="D298">
            <v>3.7699999999999999E-3</v>
          </cell>
        </row>
        <row r="299">
          <cell r="B299" t="str">
            <v>KC Muara Bulian</v>
          </cell>
          <cell r="D299">
            <v>3.79E-3</v>
          </cell>
        </row>
        <row r="300">
          <cell r="B300" t="str">
            <v>KC Abunjani Sipin</v>
          </cell>
          <cell r="D300">
            <v>4.8399999999999997E-3</v>
          </cell>
        </row>
        <row r="301">
          <cell r="B301" t="str">
            <v>KC Muara Bungo</v>
          </cell>
          <cell r="D301">
            <v>5.0600000000000003E-3</v>
          </cell>
        </row>
        <row r="302">
          <cell r="B302" t="str">
            <v>KC Kuala Tungkal</v>
          </cell>
          <cell r="D302">
            <v>6.7499999999999999E-3</v>
          </cell>
        </row>
        <row r="303">
          <cell r="B303" t="e">
            <v>#N/A</v>
          </cell>
          <cell r="D303">
            <v>2.7499999999999998E-3</v>
          </cell>
        </row>
        <row r="304">
          <cell r="B304" t="str">
            <v>Kanwil Jayapura</v>
          </cell>
          <cell r="D304">
            <v>0</v>
          </cell>
        </row>
        <row r="305">
          <cell r="B305" t="str">
            <v>KC Wamena</v>
          </cell>
          <cell r="D305">
            <v>9.0000000000000006E-5</v>
          </cell>
        </row>
        <row r="306">
          <cell r="B306" t="str">
            <v>KC Fakfak</v>
          </cell>
          <cell r="D306">
            <v>1.1E-4</v>
          </cell>
        </row>
        <row r="307">
          <cell r="B307" t="str">
            <v>KC Jayapura</v>
          </cell>
          <cell r="D307">
            <v>4.8000000000000001E-4</v>
          </cell>
        </row>
        <row r="308">
          <cell r="B308" t="str">
            <v>KC Serui</v>
          </cell>
          <cell r="D308">
            <v>5.1999999999999995E-4</v>
          </cell>
        </row>
        <row r="309">
          <cell r="B309" t="str">
            <v>KC Bintuni</v>
          </cell>
          <cell r="D309">
            <v>6.6E-4</v>
          </cell>
        </row>
        <row r="310">
          <cell r="B310" t="str">
            <v>KC Abepura</v>
          </cell>
          <cell r="D310">
            <v>7.3999999999999999E-4</v>
          </cell>
        </row>
        <row r="311">
          <cell r="B311" t="str">
            <v>KC Sorong</v>
          </cell>
          <cell r="D311">
            <v>9.2000000000000003E-4</v>
          </cell>
        </row>
        <row r="312">
          <cell r="B312" t="str">
            <v>KC Nabire</v>
          </cell>
          <cell r="D312">
            <v>1.42E-3</v>
          </cell>
        </row>
        <row r="313">
          <cell r="B313" t="str">
            <v>KC Sentani</v>
          </cell>
          <cell r="D313">
            <v>1.5900000000000001E-3</v>
          </cell>
        </row>
        <row r="314">
          <cell r="B314" t="str">
            <v>KC Manokwari</v>
          </cell>
          <cell r="D314">
            <v>1.72E-3</v>
          </cell>
        </row>
        <row r="315">
          <cell r="B315" t="str">
            <v>KC Biak</v>
          </cell>
          <cell r="D315">
            <v>1.8600000000000001E-3</v>
          </cell>
        </row>
        <row r="316">
          <cell r="B316" t="str">
            <v>KC Merauke</v>
          </cell>
          <cell r="D316">
            <v>7.0200000000000002E-3</v>
          </cell>
        </row>
        <row r="317">
          <cell r="B317" t="str">
            <v>KC Timika</v>
          </cell>
          <cell r="D317">
            <v>8.9800000000000001E-3</v>
          </cell>
        </row>
        <row r="318">
          <cell r="B318" t="e">
            <v>#N/A</v>
          </cell>
          <cell r="D318">
            <v>2.5500000000000002E-3</v>
          </cell>
        </row>
        <row r="319">
          <cell r="B319" t="str">
            <v>Kanwil Bandar Lampung</v>
          </cell>
          <cell r="D319">
            <v>0</v>
          </cell>
        </row>
        <row r="320">
          <cell r="B320" t="str">
            <v>KC Muko Muko</v>
          </cell>
          <cell r="D320">
            <v>5.9000000000000003E-4</v>
          </cell>
        </row>
        <row r="321">
          <cell r="B321" t="str">
            <v>KC Bengkulu</v>
          </cell>
          <cell r="D321">
            <v>6.8999999999999997E-4</v>
          </cell>
        </row>
        <row r="322">
          <cell r="B322" t="str">
            <v>KC Tulang Bawang</v>
          </cell>
          <cell r="D322">
            <v>7.6000000000000004E-4</v>
          </cell>
        </row>
        <row r="323">
          <cell r="B323" t="str">
            <v>KC Liwa</v>
          </cell>
          <cell r="D323">
            <v>9.8999999999999999E-4</v>
          </cell>
        </row>
        <row r="324">
          <cell r="B324" t="str">
            <v>KC Metro</v>
          </cell>
          <cell r="D324">
            <v>1.2199999999999999E-3</v>
          </cell>
        </row>
        <row r="325">
          <cell r="B325" t="str">
            <v>KC Arga Makmur</v>
          </cell>
          <cell r="D325">
            <v>1.91E-3</v>
          </cell>
        </row>
        <row r="326">
          <cell r="B326" t="str">
            <v>KC Kota Bumi</v>
          </cell>
          <cell r="D326">
            <v>2.4499999999999999E-3</v>
          </cell>
        </row>
        <row r="327">
          <cell r="B327" t="str">
            <v>KC Tanjung Karang</v>
          </cell>
          <cell r="D327">
            <v>2.6099999999999999E-3</v>
          </cell>
        </row>
        <row r="328">
          <cell r="B328" t="str">
            <v>KC Pringsewu</v>
          </cell>
          <cell r="D328">
            <v>2.81E-3</v>
          </cell>
        </row>
        <row r="329">
          <cell r="B329" t="str">
            <v>KC Curup</v>
          </cell>
          <cell r="D329">
            <v>3.0899999999999999E-3</v>
          </cell>
        </row>
        <row r="330">
          <cell r="B330" t="str">
            <v>KC Bandar Jaya</v>
          </cell>
          <cell r="D330">
            <v>3.16E-3</v>
          </cell>
        </row>
        <row r="331">
          <cell r="B331" t="str">
            <v>KC Teluk Betung</v>
          </cell>
          <cell r="D331">
            <v>3.2299999999999998E-3</v>
          </cell>
        </row>
        <row r="332">
          <cell r="B332" t="str">
            <v>KC Kalianda</v>
          </cell>
          <cell r="D332">
            <v>3.29E-3</v>
          </cell>
        </row>
        <row r="333">
          <cell r="B333" t="str">
            <v>KC Manna</v>
          </cell>
          <cell r="D333">
            <v>3.9300000000000003E-3</v>
          </cell>
        </row>
        <row r="334">
          <cell r="B334" t="e">
            <v>#N/A</v>
          </cell>
          <cell r="D334">
            <v>2.33E-3</v>
          </cell>
        </row>
        <row r="335">
          <cell r="B335" t="str">
            <v>Kanwil Surabaya</v>
          </cell>
          <cell r="D335">
            <v>0</v>
          </cell>
        </row>
        <row r="336">
          <cell r="B336" t="str">
            <v>KC Surabaya Kusuma Bangsa</v>
          </cell>
          <cell r="D336">
            <v>6.3000000000000003E-4</v>
          </cell>
        </row>
        <row r="337">
          <cell r="B337" t="str">
            <v>KC Gresik</v>
          </cell>
          <cell r="D337">
            <v>6.4000000000000005E-4</v>
          </cell>
        </row>
        <row r="338">
          <cell r="B338" t="str">
            <v>KC Surabaya Hr Muhammad</v>
          </cell>
          <cell r="D338">
            <v>6.7000000000000002E-4</v>
          </cell>
        </row>
        <row r="339">
          <cell r="B339" t="str">
            <v>KC Tuban</v>
          </cell>
          <cell r="D339">
            <v>8.3000000000000001E-4</v>
          </cell>
        </row>
        <row r="340">
          <cell r="B340" t="str">
            <v>KC Sampang</v>
          </cell>
          <cell r="D340">
            <v>9.7000000000000005E-4</v>
          </cell>
        </row>
        <row r="341">
          <cell r="B341" t="str">
            <v>KC Sidoarjo</v>
          </cell>
          <cell r="D341">
            <v>1.1800000000000001E-3</v>
          </cell>
        </row>
        <row r="342">
          <cell r="B342" t="str">
            <v>KC Bojonegoro</v>
          </cell>
          <cell r="D342">
            <v>1.32E-3</v>
          </cell>
        </row>
        <row r="343">
          <cell r="B343" t="str">
            <v>KC Lamongan</v>
          </cell>
          <cell r="D343">
            <v>1.33E-3</v>
          </cell>
        </row>
        <row r="344">
          <cell r="B344" t="str">
            <v>KC Surabaya Diponegoro</v>
          </cell>
          <cell r="D344">
            <v>1.34E-3</v>
          </cell>
        </row>
        <row r="345">
          <cell r="B345" t="str">
            <v>KC Mojokerto</v>
          </cell>
          <cell r="D345">
            <v>1.6199999999999999E-3</v>
          </cell>
        </row>
        <row r="346">
          <cell r="B346" t="str">
            <v>KC Jombang</v>
          </cell>
          <cell r="D346">
            <v>1.74E-3</v>
          </cell>
        </row>
        <row r="347">
          <cell r="B347" t="str">
            <v>KC Krian</v>
          </cell>
          <cell r="D347">
            <v>1.7600000000000001E-3</v>
          </cell>
        </row>
        <row r="348">
          <cell r="B348" t="str">
            <v>KC Bangkalan</v>
          </cell>
          <cell r="D348">
            <v>1.8E-3</v>
          </cell>
        </row>
        <row r="349">
          <cell r="B349" t="str">
            <v>KC Mulyosari</v>
          </cell>
          <cell r="D349">
            <v>1.91E-3</v>
          </cell>
        </row>
        <row r="350">
          <cell r="B350" t="str">
            <v>KC Kapas Krampung</v>
          </cell>
          <cell r="D350">
            <v>1.9300000000000001E-3</v>
          </cell>
        </row>
        <row r="351">
          <cell r="B351" t="str">
            <v>KC Surabaya Pahlawan</v>
          </cell>
          <cell r="D351">
            <v>2.0400000000000001E-3</v>
          </cell>
        </row>
        <row r="352">
          <cell r="B352" t="str">
            <v>KC Manukan</v>
          </cell>
          <cell r="D352">
            <v>2.14E-3</v>
          </cell>
        </row>
        <row r="353">
          <cell r="B353" t="str">
            <v>KC Pamekasan</v>
          </cell>
          <cell r="D353">
            <v>2.15E-3</v>
          </cell>
        </row>
        <row r="354">
          <cell r="B354" t="str">
            <v>KC Surabaya Kaliasin</v>
          </cell>
          <cell r="D354">
            <v>2.64E-3</v>
          </cell>
        </row>
        <row r="355">
          <cell r="B355" t="str">
            <v>KC Waru</v>
          </cell>
          <cell r="D355">
            <v>2.7499999999999998E-3</v>
          </cell>
        </row>
        <row r="356">
          <cell r="B356" t="str">
            <v>KC Surabaya Tanjung Perak</v>
          </cell>
          <cell r="D356">
            <v>2.7699999999999999E-3</v>
          </cell>
        </row>
        <row r="357">
          <cell r="B357" t="str">
            <v>KC Surabaya Rajawali</v>
          </cell>
          <cell r="D357">
            <v>3.0799999999999998E-3</v>
          </cell>
        </row>
        <row r="358">
          <cell r="B358" t="str">
            <v>KC Sumenep</v>
          </cell>
          <cell r="D358">
            <v>3.1900000000000001E-3</v>
          </cell>
        </row>
        <row r="359">
          <cell r="B359" t="str">
            <v>KC Surabaya Jemursari</v>
          </cell>
          <cell r="D359">
            <v>4.8599999999999997E-3</v>
          </cell>
        </row>
        <row r="360">
          <cell r="B360" t="str">
            <v>KC Surabaya Kertajaya</v>
          </cell>
          <cell r="D360">
            <v>6.3800000000000003E-3</v>
          </cell>
        </row>
        <row r="361">
          <cell r="B361" t="e">
            <v>#N/A</v>
          </cell>
          <cell r="D361">
            <v>1.81E-3</v>
          </cell>
        </row>
        <row r="362">
          <cell r="B362" t="str">
            <v>Kanwil Medan</v>
          </cell>
          <cell r="D362">
            <v>6.9999999999999994E-5</v>
          </cell>
        </row>
        <row r="363">
          <cell r="B363" t="str">
            <v>KC Kota Pinang</v>
          </cell>
          <cell r="D363">
            <v>8.0000000000000007E-5</v>
          </cell>
        </row>
        <row r="364">
          <cell r="B364" t="str">
            <v>KC Panyabungan</v>
          </cell>
          <cell r="D364">
            <v>3.6000000000000002E-4</v>
          </cell>
        </row>
        <row r="365">
          <cell r="B365" t="str">
            <v>KC Balige</v>
          </cell>
          <cell r="D365">
            <v>4.6999999999999999E-4</v>
          </cell>
        </row>
        <row r="366">
          <cell r="B366" t="str">
            <v>KC Lubuk Pakam</v>
          </cell>
          <cell r="D366">
            <v>6.2E-4</v>
          </cell>
        </row>
        <row r="367">
          <cell r="B367" t="str">
            <v>KC Gunung Sitoli</v>
          </cell>
          <cell r="D367">
            <v>8.3000000000000001E-4</v>
          </cell>
        </row>
        <row r="368">
          <cell r="B368" t="str">
            <v>KC Binjai</v>
          </cell>
          <cell r="D368">
            <v>1.07E-3</v>
          </cell>
        </row>
        <row r="369">
          <cell r="B369" t="str">
            <v>KC Perdagangan</v>
          </cell>
          <cell r="D369">
            <v>1.2099999999999999E-3</v>
          </cell>
        </row>
        <row r="370">
          <cell r="B370" t="str">
            <v>KC Medan Putri Hijau</v>
          </cell>
          <cell r="D370">
            <v>1.2999999999999999E-3</v>
          </cell>
        </row>
        <row r="371">
          <cell r="B371" t="str">
            <v>KC Medan Sisingamangaraja</v>
          </cell>
          <cell r="D371">
            <v>1.4499999999999999E-3</v>
          </cell>
        </row>
        <row r="372">
          <cell r="B372" t="str">
            <v>KC Medan Thamrin</v>
          </cell>
          <cell r="D372">
            <v>1.6100000000000001E-3</v>
          </cell>
        </row>
        <row r="373">
          <cell r="B373" t="str">
            <v>KC Rantau Prapat</v>
          </cell>
          <cell r="D373">
            <v>1.65E-3</v>
          </cell>
        </row>
        <row r="374">
          <cell r="B374" t="str">
            <v>KC Padang Sidempuan</v>
          </cell>
          <cell r="D374">
            <v>1.67E-3</v>
          </cell>
        </row>
        <row r="375">
          <cell r="B375" t="str">
            <v>KC Tebing Tinggi</v>
          </cell>
          <cell r="D375">
            <v>1.8500000000000001E-3</v>
          </cell>
        </row>
        <row r="376">
          <cell r="B376" t="str">
            <v>KC Pematang Siantar</v>
          </cell>
          <cell r="D376">
            <v>1.9400000000000001E-3</v>
          </cell>
        </row>
        <row r="377">
          <cell r="B377" t="str">
            <v>KC Sibuhuan</v>
          </cell>
          <cell r="D377">
            <v>2E-3</v>
          </cell>
        </row>
        <row r="378">
          <cell r="B378" t="str">
            <v>KC Sidikalang</v>
          </cell>
          <cell r="D378">
            <v>2.0999999999999999E-3</v>
          </cell>
        </row>
        <row r="379">
          <cell r="B379" t="str">
            <v>KC Tanjung Balai</v>
          </cell>
          <cell r="D379">
            <v>2.33E-3</v>
          </cell>
        </row>
        <row r="380">
          <cell r="B380" t="str">
            <v>KC Kabanjahe</v>
          </cell>
          <cell r="D380">
            <v>2.3500000000000001E-3</v>
          </cell>
        </row>
        <row r="381">
          <cell r="B381" t="str">
            <v>KC Sibolga</v>
          </cell>
          <cell r="D381">
            <v>2.5500000000000002E-3</v>
          </cell>
        </row>
        <row r="382">
          <cell r="B382" t="str">
            <v>KC Medan Iskandar Muda</v>
          </cell>
          <cell r="D382">
            <v>2.7200000000000002E-3</v>
          </cell>
        </row>
        <row r="383">
          <cell r="B383" t="str">
            <v>KC Stabat</v>
          </cell>
          <cell r="D383">
            <v>2.9099999999999998E-3</v>
          </cell>
        </row>
        <row r="384">
          <cell r="B384" t="str">
            <v>KC Kisaran</v>
          </cell>
          <cell r="D384">
            <v>2.9299999999999999E-3</v>
          </cell>
        </row>
        <row r="385">
          <cell r="B385" t="str">
            <v>KC Tarutung</v>
          </cell>
          <cell r="D385">
            <v>2.98E-3</v>
          </cell>
        </row>
        <row r="386">
          <cell r="B386" t="str">
            <v>KC Medan Gatot Subroto</v>
          </cell>
          <cell r="D386">
            <v>3.5200000000000001E-3</v>
          </cell>
        </row>
        <row r="387">
          <cell r="B387" t="e">
            <v>#N/A</v>
          </cell>
          <cell r="D387">
            <v>1.7799999999999999E-3</v>
          </cell>
        </row>
        <row r="388">
          <cell r="B388" t="str">
            <v>KC Tanah Grogot</v>
          </cell>
          <cell r="D388">
            <v>1.8000000000000001E-4</v>
          </cell>
        </row>
        <row r="389">
          <cell r="B389" t="str">
            <v>KC Sangatta</v>
          </cell>
          <cell r="D389">
            <v>2.4000000000000001E-4</v>
          </cell>
        </row>
        <row r="390">
          <cell r="B390" t="str">
            <v>KC Bontang</v>
          </cell>
          <cell r="D390">
            <v>2.7E-4</v>
          </cell>
        </row>
        <row r="391">
          <cell r="B391" t="str">
            <v>KC Tarakan</v>
          </cell>
          <cell r="D391">
            <v>2.7999999999999998E-4</v>
          </cell>
        </row>
        <row r="392">
          <cell r="B392" t="str">
            <v>KC Kuala Kapuas</v>
          </cell>
          <cell r="D392">
            <v>2.9E-4</v>
          </cell>
        </row>
        <row r="393">
          <cell r="B393" t="str">
            <v>KC Nunukan</v>
          </cell>
          <cell r="D393">
            <v>3.3E-4</v>
          </cell>
        </row>
        <row r="394">
          <cell r="B394" t="str">
            <v>KC Balikpapan</v>
          </cell>
          <cell r="D394">
            <v>3.8000000000000002E-4</v>
          </cell>
        </row>
        <row r="395">
          <cell r="B395" t="str">
            <v>KC Banjarmasin 2</v>
          </cell>
          <cell r="D395">
            <v>4.4000000000000002E-4</v>
          </cell>
        </row>
        <row r="396">
          <cell r="B396" t="str">
            <v>KC Tanjung Redeb</v>
          </cell>
          <cell r="D396">
            <v>5.1999999999999995E-4</v>
          </cell>
        </row>
        <row r="397">
          <cell r="B397" t="str">
            <v>KC Kotabaru</v>
          </cell>
          <cell r="D397">
            <v>5.1999999999999995E-4</v>
          </cell>
        </row>
        <row r="398">
          <cell r="B398" t="str">
            <v>KC Samarinda Pelita</v>
          </cell>
          <cell r="D398">
            <v>5.4000000000000001E-4</v>
          </cell>
        </row>
        <row r="399">
          <cell r="B399" t="str">
            <v>KC Mempawah</v>
          </cell>
          <cell r="D399">
            <v>5.5000000000000003E-4</v>
          </cell>
        </row>
        <row r="400">
          <cell r="B400" t="str">
            <v>KC Tanjung Tabalong</v>
          </cell>
          <cell r="D400">
            <v>5.6999999999999998E-4</v>
          </cell>
        </row>
        <row r="401">
          <cell r="B401" t="str">
            <v>KC Balikpapan A. Yani</v>
          </cell>
          <cell r="D401">
            <v>5.6999999999999998E-4</v>
          </cell>
        </row>
        <row r="402">
          <cell r="B402" t="str">
            <v>KC Rantau</v>
          </cell>
          <cell r="D402">
            <v>5.9000000000000003E-4</v>
          </cell>
        </row>
        <row r="403">
          <cell r="B403" t="str">
            <v>KC Pangkalan Bun</v>
          </cell>
          <cell r="D403">
            <v>8.7000000000000001E-4</v>
          </cell>
        </row>
        <row r="404">
          <cell r="B404" t="str">
            <v>KC Kandangan</v>
          </cell>
          <cell r="D404">
            <v>8.7000000000000001E-4</v>
          </cell>
        </row>
        <row r="405">
          <cell r="B405" t="str">
            <v>KC Melawi</v>
          </cell>
          <cell r="D405">
            <v>9.2000000000000003E-4</v>
          </cell>
        </row>
        <row r="406">
          <cell r="B406" t="str">
            <v>KC Martapura</v>
          </cell>
          <cell r="D406">
            <v>1.16E-3</v>
          </cell>
        </row>
        <row r="407">
          <cell r="B407" t="str">
            <v>KC Samarinda Gajah Mada</v>
          </cell>
          <cell r="D407">
            <v>1.1800000000000001E-3</v>
          </cell>
        </row>
        <row r="408">
          <cell r="B408" t="str">
            <v>KC Amuntai</v>
          </cell>
          <cell r="D408">
            <v>1.2600000000000001E-3</v>
          </cell>
        </row>
        <row r="409">
          <cell r="B409" t="str">
            <v>KC Sampit</v>
          </cell>
          <cell r="D409">
            <v>1.4E-3</v>
          </cell>
        </row>
        <row r="410">
          <cell r="B410" t="str">
            <v>KC Banjarmasin</v>
          </cell>
          <cell r="D410">
            <v>1.58E-3</v>
          </cell>
        </row>
        <row r="411">
          <cell r="B411" t="str">
            <v>KC Sendawar</v>
          </cell>
          <cell r="D411">
            <v>1.5900000000000001E-3</v>
          </cell>
        </row>
        <row r="412">
          <cell r="B412" t="str">
            <v>KC Batulicin</v>
          </cell>
          <cell r="D412">
            <v>1.65E-3</v>
          </cell>
        </row>
        <row r="413">
          <cell r="B413" t="str">
            <v>KC Pleihari</v>
          </cell>
          <cell r="D413">
            <v>1.7600000000000001E-3</v>
          </cell>
        </row>
        <row r="414">
          <cell r="B414" t="str">
            <v>KC Barabai</v>
          </cell>
          <cell r="D414">
            <v>1.8400000000000001E-3</v>
          </cell>
        </row>
        <row r="415">
          <cell r="B415" t="str">
            <v>KC Pontianak Gajah Mada</v>
          </cell>
          <cell r="D415">
            <v>1.8400000000000001E-3</v>
          </cell>
        </row>
        <row r="416">
          <cell r="B416" t="str">
            <v>KC Tenggarong</v>
          </cell>
          <cell r="D416">
            <v>1.9E-3</v>
          </cell>
        </row>
        <row r="417">
          <cell r="B417" t="str">
            <v>KC Pontianak</v>
          </cell>
          <cell r="D417">
            <v>1.91E-3</v>
          </cell>
        </row>
        <row r="418">
          <cell r="B418" t="str">
            <v>KC Tanjung Selor</v>
          </cell>
          <cell r="D418">
            <v>2.1800000000000001E-3</v>
          </cell>
        </row>
        <row r="419">
          <cell r="B419" t="str">
            <v>KC Buntok</v>
          </cell>
          <cell r="D419">
            <v>2.5899999999999999E-3</v>
          </cell>
        </row>
        <row r="420">
          <cell r="B420" t="str">
            <v>KC Putussibau</v>
          </cell>
          <cell r="D420">
            <v>2.7499999999999998E-3</v>
          </cell>
        </row>
        <row r="421">
          <cell r="B421" t="str">
            <v>KC Sintang</v>
          </cell>
          <cell r="D421">
            <v>3.2499999999999999E-3</v>
          </cell>
        </row>
        <row r="422">
          <cell r="B422" t="str">
            <v>KC Palangkaraya</v>
          </cell>
          <cell r="D422">
            <v>3.4299999999999999E-3</v>
          </cell>
        </row>
        <row r="423">
          <cell r="B423" t="str">
            <v>KC Ketapang</v>
          </cell>
          <cell r="D423">
            <v>3.5999999999999999E-3</v>
          </cell>
        </row>
        <row r="424">
          <cell r="B424" t="str">
            <v>KC Marabahan</v>
          </cell>
          <cell r="D424">
            <v>3.6800000000000001E-3</v>
          </cell>
        </row>
        <row r="425">
          <cell r="B425" t="str">
            <v>KC Sanggau</v>
          </cell>
          <cell r="D425">
            <v>4.5900000000000003E-3</v>
          </cell>
        </row>
        <row r="426">
          <cell r="B426" t="str">
            <v>KC Singkawang</v>
          </cell>
          <cell r="D426">
            <v>4.6299999999999996E-3</v>
          </cell>
        </row>
        <row r="427">
          <cell r="B427" t="str">
            <v>KC Muara Teweh</v>
          </cell>
          <cell r="D427">
            <v>5.4000000000000003E-3</v>
          </cell>
        </row>
        <row r="428">
          <cell r="B428" t="e">
            <v>#N/A</v>
          </cell>
          <cell r="D428">
            <v>1.75E-3</v>
          </cell>
        </row>
        <row r="429">
          <cell r="B429" t="str">
            <v>Kanwil Jakarta 2</v>
          </cell>
          <cell r="D429">
            <v>0</v>
          </cell>
        </row>
        <row r="430">
          <cell r="B430" t="str">
            <v>KC Bekasi Harapan Indah</v>
          </cell>
          <cell r="D430">
            <v>8.0000000000000007E-5</v>
          </cell>
        </row>
        <row r="431">
          <cell r="B431" t="str">
            <v>KC Jakarta Tb Simatupang</v>
          </cell>
          <cell r="D431">
            <v>9.0000000000000006E-5</v>
          </cell>
        </row>
        <row r="432">
          <cell r="B432" t="str">
            <v>KC Jakarta Rasuna Said</v>
          </cell>
          <cell r="D432">
            <v>1.2E-4</v>
          </cell>
        </row>
        <row r="433">
          <cell r="B433" t="str">
            <v>KC Ampera</v>
          </cell>
          <cell r="D433">
            <v>1.4999999999999999E-4</v>
          </cell>
        </row>
        <row r="434">
          <cell r="B434" t="str">
            <v>KC Jakarta Pancoran</v>
          </cell>
          <cell r="D434">
            <v>1.8000000000000001E-4</v>
          </cell>
        </row>
        <row r="435">
          <cell r="B435" t="str">
            <v>KC Cikampek</v>
          </cell>
          <cell r="D435">
            <v>2.1000000000000001E-4</v>
          </cell>
        </row>
        <row r="436">
          <cell r="B436" t="str">
            <v>KC Lebak Bulus</v>
          </cell>
          <cell r="D436">
            <v>2.1000000000000001E-4</v>
          </cell>
        </row>
        <row r="437">
          <cell r="B437" t="str">
            <v>KC Bekasi Siliwangi</v>
          </cell>
          <cell r="D437">
            <v>2.1000000000000001E-4</v>
          </cell>
        </row>
        <row r="438">
          <cell r="B438" t="str">
            <v>KC Bri Jakarta Menara Brilian</v>
          </cell>
          <cell r="D438">
            <v>2.1000000000000001E-4</v>
          </cell>
        </row>
        <row r="439">
          <cell r="B439" t="str">
            <v>KC Jakarta Mega Kuningan</v>
          </cell>
          <cell r="D439">
            <v>2.2000000000000001E-4</v>
          </cell>
        </row>
        <row r="440">
          <cell r="B440" t="str">
            <v>KC Mabes Tni Cilangkap</v>
          </cell>
          <cell r="D440">
            <v>3.3E-4</v>
          </cell>
        </row>
        <row r="441">
          <cell r="B441" t="str">
            <v>KC Jakarta Pondok Indah</v>
          </cell>
          <cell r="D441">
            <v>4.8000000000000001E-4</v>
          </cell>
        </row>
        <row r="442">
          <cell r="B442" t="str">
            <v>KC Jakarta Gatot Subroto</v>
          </cell>
          <cell r="D442">
            <v>5.1999999999999995E-4</v>
          </cell>
        </row>
        <row r="443">
          <cell r="B443" t="str">
            <v>KC Bogor</v>
          </cell>
          <cell r="D443">
            <v>5.2999999999999998E-4</v>
          </cell>
        </row>
        <row r="444">
          <cell r="B444" t="str">
            <v>KC Pondok Gede</v>
          </cell>
          <cell r="D444">
            <v>5.6999999999999998E-4</v>
          </cell>
        </row>
        <row r="445">
          <cell r="B445" t="str">
            <v>KC Jakarta Kebayoran Baru</v>
          </cell>
          <cell r="D445">
            <v>7.5000000000000002E-4</v>
          </cell>
        </row>
        <row r="446">
          <cell r="B446" t="str">
            <v>KC Jakarta Warung Buncit</v>
          </cell>
          <cell r="D446">
            <v>1E-3</v>
          </cell>
        </row>
        <row r="447">
          <cell r="B447" t="str">
            <v>KC Bursa Efek Indonesia</v>
          </cell>
          <cell r="D447">
            <v>1.09E-3</v>
          </cell>
        </row>
        <row r="448">
          <cell r="B448" t="str">
            <v>KC Bogor Pajajaran</v>
          </cell>
          <cell r="D448">
            <v>1.1199999999999999E-3</v>
          </cell>
        </row>
        <row r="449">
          <cell r="B449" t="str">
            <v>KC Cibinong</v>
          </cell>
          <cell r="D449">
            <v>1.17E-3</v>
          </cell>
        </row>
        <row r="450">
          <cell r="B450" t="str">
            <v>KC Cimanggis</v>
          </cell>
          <cell r="D450">
            <v>1.23E-3</v>
          </cell>
        </row>
        <row r="451">
          <cell r="B451" t="str">
            <v>KC Jakarta Sudirman 1</v>
          </cell>
          <cell r="D451">
            <v>1.24E-3</v>
          </cell>
        </row>
        <row r="452">
          <cell r="B452" t="str">
            <v>KC Tambun</v>
          </cell>
          <cell r="D452">
            <v>1.4300000000000001E-3</v>
          </cell>
        </row>
        <row r="453">
          <cell r="B453" t="str">
            <v>KC Jakarta Fatmawati</v>
          </cell>
          <cell r="D453">
            <v>1.5499999999999999E-3</v>
          </cell>
        </row>
        <row r="454">
          <cell r="B454" t="str">
            <v>KC Jakarta Radio Dalam</v>
          </cell>
          <cell r="D454">
            <v>1.5900000000000001E-3</v>
          </cell>
        </row>
        <row r="455">
          <cell r="B455" t="str">
            <v>KC Cibubur</v>
          </cell>
          <cell r="D455">
            <v>1.74E-3</v>
          </cell>
        </row>
        <row r="456">
          <cell r="B456" t="str">
            <v>KC Jakarta Panglima Polim</v>
          </cell>
          <cell r="D456">
            <v>1.7899999999999999E-3</v>
          </cell>
        </row>
        <row r="457">
          <cell r="B457" t="str">
            <v>KC Bekasi</v>
          </cell>
          <cell r="D457">
            <v>2.1199999999999999E-3</v>
          </cell>
        </row>
        <row r="458">
          <cell r="B458" t="str">
            <v>KC Karawang</v>
          </cell>
          <cell r="D458">
            <v>2.1199999999999999E-3</v>
          </cell>
        </row>
        <row r="459">
          <cell r="B459" t="str">
            <v>KC Cikarang</v>
          </cell>
          <cell r="D459">
            <v>2.1800000000000001E-3</v>
          </cell>
        </row>
        <row r="460">
          <cell r="B460" t="str">
            <v>KC Jakarta Pasar Minggu</v>
          </cell>
          <cell r="D460">
            <v>2.2899999999999999E-3</v>
          </cell>
        </row>
        <row r="461">
          <cell r="B461" t="str">
            <v>KC Depok</v>
          </cell>
          <cell r="D461">
            <v>2.31E-3</v>
          </cell>
        </row>
        <row r="462">
          <cell r="B462" t="e">
            <v>#N/A</v>
          </cell>
          <cell r="D462">
            <v>1.32E-3</v>
          </cell>
        </row>
        <row r="463">
          <cell r="B463" t="str">
            <v>Kanwil Semarang</v>
          </cell>
          <cell r="D463">
            <v>0</v>
          </cell>
        </row>
        <row r="464">
          <cell r="B464" t="str">
            <v>KC Semarang Patimura</v>
          </cell>
          <cell r="D464">
            <v>3.0000000000000001E-5</v>
          </cell>
        </row>
        <row r="465">
          <cell r="B465" t="str">
            <v>KC Kudus</v>
          </cell>
          <cell r="D465">
            <v>1.9000000000000001E-4</v>
          </cell>
        </row>
        <row r="466">
          <cell r="B466" t="str">
            <v>KC Cepu</v>
          </cell>
          <cell r="D466">
            <v>2.4000000000000001E-4</v>
          </cell>
        </row>
        <row r="467">
          <cell r="B467" t="str">
            <v>KC Blora</v>
          </cell>
          <cell r="D467">
            <v>2.9E-4</v>
          </cell>
        </row>
        <row r="468">
          <cell r="B468" t="str">
            <v>KC Semarang Pandanaran</v>
          </cell>
          <cell r="D468">
            <v>2.9999999999999997E-4</v>
          </cell>
        </row>
        <row r="469">
          <cell r="B469" t="str">
            <v>KC Brigjen Sudiarto</v>
          </cell>
          <cell r="D469">
            <v>3.5E-4</v>
          </cell>
        </row>
        <row r="470">
          <cell r="B470" t="str">
            <v>KC Rembang</v>
          </cell>
          <cell r="D470">
            <v>6.2E-4</v>
          </cell>
        </row>
        <row r="471">
          <cell r="B471" t="str">
            <v>KC Salatiga</v>
          </cell>
          <cell r="D471">
            <v>6.7000000000000002E-4</v>
          </cell>
        </row>
        <row r="472">
          <cell r="B472" t="str">
            <v>KC Slawi</v>
          </cell>
          <cell r="D472">
            <v>6.8999999999999997E-4</v>
          </cell>
        </row>
        <row r="473">
          <cell r="B473" t="str">
            <v>KC Demak</v>
          </cell>
          <cell r="D473">
            <v>7.2000000000000005E-4</v>
          </cell>
        </row>
        <row r="474">
          <cell r="B474" t="str">
            <v>KC Tegal</v>
          </cell>
          <cell r="D474">
            <v>7.2000000000000005E-4</v>
          </cell>
        </row>
        <row r="475">
          <cell r="B475" t="str">
            <v>KC Brebes</v>
          </cell>
          <cell r="D475">
            <v>7.6000000000000004E-4</v>
          </cell>
        </row>
        <row r="476">
          <cell r="B476" t="str">
            <v>KC Jepara</v>
          </cell>
          <cell r="D476">
            <v>8.1999999999999998E-4</v>
          </cell>
        </row>
        <row r="477">
          <cell r="B477" t="str">
            <v>KC Ungaran</v>
          </cell>
          <cell r="D477">
            <v>8.5999999999999998E-4</v>
          </cell>
        </row>
        <row r="478">
          <cell r="B478" t="str">
            <v>KC Semarang A. Yani</v>
          </cell>
          <cell r="D478">
            <v>8.7000000000000001E-4</v>
          </cell>
        </row>
        <row r="479">
          <cell r="B479" t="str">
            <v>KC Purwodadi</v>
          </cell>
          <cell r="D479">
            <v>1E-3</v>
          </cell>
        </row>
        <row r="480">
          <cell r="B480" t="str">
            <v>KC Kendal</v>
          </cell>
          <cell r="D480">
            <v>1.07E-3</v>
          </cell>
        </row>
        <row r="481">
          <cell r="B481" t="str">
            <v>KC Pemalang</v>
          </cell>
          <cell r="D481">
            <v>1.14E-3</v>
          </cell>
        </row>
        <row r="482">
          <cell r="B482" t="str">
            <v>KC Pati</v>
          </cell>
          <cell r="D482">
            <v>1.3699999999999999E-3</v>
          </cell>
        </row>
        <row r="483">
          <cell r="B483" t="str">
            <v>KC Pekalongan</v>
          </cell>
          <cell r="D483">
            <v>1.6999999999999999E-3</v>
          </cell>
        </row>
        <row r="484">
          <cell r="B484" t="str">
            <v>KC Bumiayu</v>
          </cell>
          <cell r="D484">
            <v>1.8400000000000001E-3</v>
          </cell>
        </row>
        <row r="485">
          <cell r="B485" t="str">
            <v>KC Batang</v>
          </cell>
          <cell r="D485">
            <v>3.4199999999999999E-3</v>
          </cell>
        </row>
        <row r="486">
          <cell r="B486" t="e">
            <v>#N/A</v>
          </cell>
          <cell r="D486">
            <v>9.8999999999999999E-4</v>
          </cell>
        </row>
        <row r="487">
          <cell r="B487"/>
          <cell r="D487"/>
        </row>
        <row r="488">
          <cell r="B488"/>
          <cell r="D488"/>
        </row>
      </sheetData>
      <sheetData sheetId="6">
        <row r="1">
          <cell r="B1" t="str">
            <v>BO</v>
          </cell>
        </row>
        <row r="2">
          <cell r="B2" t="str">
            <v>KC Sudirman Semanggi</v>
          </cell>
          <cell r="G2">
            <v>1</v>
          </cell>
        </row>
        <row r="3">
          <cell r="B3" t="str">
            <v>KANCA Samarinda 2</v>
          </cell>
          <cell r="G3">
            <v>1</v>
          </cell>
        </row>
        <row r="4">
          <cell r="B4" t="str">
            <v>KC Abepura</v>
          </cell>
          <cell r="G4">
            <v>0.95714285714285718</v>
          </cell>
        </row>
        <row r="5">
          <cell r="B5" t="str">
            <v>KC Abunjani Sipin</v>
          </cell>
          <cell r="G5">
            <v>0.99371069182389937</v>
          </cell>
        </row>
        <row r="6">
          <cell r="B6" t="str">
            <v>KC Ajibarang</v>
          </cell>
          <cell r="G6">
            <v>1</v>
          </cell>
        </row>
        <row r="7">
          <cell r="B7" t="str">
            <v>KC Ambon</v>
          </cell>
          <cell r="G7">
            <v>0.99019607843137258</v>
          </cell>
        </row>
        <row r="8">
          <cell r="B8" t="str">
            <v>KC Amlapura</v>
          </cell>
          <cell r="G8">
            <v>1</v>
          </cell>
        </row>
        <row r="9">
          <cell r="B9" t="str">
            <v>KC AMPANA</v>
          </cell>
          <cell r="G9">
            <v>1</v>
          </cell>
        </row>
        <row r="10">
          <cell r="B10" t="str">
            <v>KC Ampera</v>
          </cell>
          <cell r="G10">
            <v>0.95652173913043481</v>
          </cell>
        </row>
        <row r="11">
          <cell r="B11" t="str">
            <v>KC Amuntai</v>
          </cell>
          <cell r="G11">
            <v>1</v>
          </cell>
        </row>
        <row r="12">
          <cell r="B12" t="str">
            <v>KC Arga Makmur</v>
          </cell>
          <cell r="G12">
            <v>1</v>
          </cell>
        </row>
        <row r="13">
          <cell r="B13" t="str">
            <v>KC Atambua</v>
          </cell>
          <cell r="G13">
            <v>0.96153846153846156</v>
          </cell>
        </row>
        <row r="14">
          <cell r="B14" t="str">
            <v>KC Bagan Batu</v>
          </cell>
          <cell r="G14">
            <v>1</v>
          </cell>
        </row>
        <row r="15">
          <cell r="B15" t="str">
            <v>KC Bagan Siapi api</v>
          </cell>
          <cell r="G15">
            <v>1</v>
          </cell>
        </row>
        <row r="16">
          <cell r="B16" t="str">
            <v>KC Bajawa</v>
          </cell>
          <cell r="G16">
            <v>1</v>
          </cell>
        </row>
        <row r="17">
          <cell r="B17" t="str">
            <v>KC Balaraja</v>
          </cell>
          <cell r="G17">
            <v>0.81818181818181823</v>
          </cell>
        </row>
        <row r="18">
          <cell r="B18" t="str">
            <v>KC Balige</v>
          </cell>
          <cell r="G18">
            <v>1</v>
          </cell>
        </row>
        <row r="19">
          <cell r="B19" t="str">
            <v>KC Balikpapan</v>
          </cell>
          <cell r="G19">
            <v>0.98058252427184467</v>
          </cell>
        </row>
        <row r="20">
          <cell r="B20" t="str">
            <v>KC Balikpapan A. Yani</v>
          </cell>
          <cell r="G20">
            <v>1</v>
          </cell>
        </row>
        <row r="21">
          <cell r="B21" t="str">
            <v>KC Bandar Jaya</v>
          </cell>
          <cell r="G21">
            <v>1</v>
          </cell>
        </row>
        <row r="22">
          <cell r="B22" t="str">
            <v>KC Bandara Soekarno Hatta</v>
          </cell>
          <cell r="G22">
            <v>1</v>
          </cell>
        </row>
        <row r="23">
          <cell r="B23" t="str">
            <v>KC Bandung A.H. Nasution</v>
          </cell>
          <cell r="G23">
            <v>1</v>
          </cell>
        </row>
        <row r="24">
          <cell r="B24" t="str">
            <v>KC Bandung AA</v>
          </cell>
          <cell r="G24">
            <v>1</v>
          </cell>
        </row>
        <row r="25">
          <cell r="B25" t="str">
            <v>KC Bandung Dago</v>
          </cell>
          <cell r="G25">
            <v>1</v>
          </cell>
        </row>
        <row r="26">
          <cell r="B26" t="str">
            <v>KC Bandung Dewi Sartika</v>
          </cell>
          <cell r="G26">
            <v>1</v>
          </cell>
        </row>
        <row r="27">
          <cell r="B27" t="str">
            <v>KC Bandung Kopo</v>
          </cell>
          <cell r="G27">
            <v>0.93939393939393945</v>
          </cell>
        </row>
        <row r="28">
          <cell r="B28" t="str">
            <v>KC Bandung Martadinata</v>
          </cell>
          <cell r="G28">
            <v>0.96103896103896103</v>
          </cell>
        </row>
        <row r="29">
          <cell r="B29" t="str">
            <v>KC Bandung Naripan</v>
          </cell>
          <cell r="G29">
            <v>0.94117647058823528</v>
          </cell>
        </row>
        <row r="30">
          <cell r="B30" t="str">
            <v>KC Bandung Setiabudi</v>
          </cell>
          <cell r="G30">
            <v>1</v>
          </cell>
        </row>
        <row r="31">
          <cell r="B31" t="str">
            <v>KC Bandung Sukarno Hatta</v>
          </cell>
          <cell r="G31">
            <v>0.984375</v>
          </cell>
        </row>
        <row r="32">
          <cell r="B32" t="str">
            <v>KC Bangkalan</v>
          </cell>
          <cell r="G32">
            <v>1</v>
          </cell>
        </row>
        <row r="33">
          <cell r="B33" t="str">
            <v>KC Bangkinang</v>
          </cell>
          <cell r="G33">
            <v>1</v>
          </cell>
        </row>
        <row r="34">
          <cell r="B34" t="str">
            <v>KC Bangko</v>
          </cell>
          <cell r="G34">
            <v>1</v>
          </cell>
        </row>
        <row r="35">
          <cell r="B35" t="str">
            <v>KC Bangli</v>
          </cell>
          <cell r="G35">
            <v>1</v>
          </cell>
        </row>
        <row r="36">
          <cell r="B36" t="str">
            <v>KC Banjar</v>
          </cell>
          <cell r="G36">
            <v>0.94871794871794868</v>
          </cell>
        </row>
        <row r="37">
          <cell r="B37" t="str">
            <v>KC Banjarmasin</v>
          </cell>
          <cell r="G37">
            <v>0.96666666666666667</v>
          </cell>
        </row>
        <row r="38">
          <cell r="B38" t="str">
            <v>KC Banjarmasin 2</v>
          </cell>
          <cell r="G38">
            <v>0.93023255813953487</v>
          </cell>
        </row>
        <row r="39">
          <cell r="B39" t="str">
            <v>KC Banjarnegara</v>
          </cell>
          <cell r="G39">
            <v>1</v>
          </cell>
        </row>
        <row r="40">
          <cell r="B40" t="str">
            <v>KC Bantaeng</v>
          </cell>
          <cell r="G40">
            <v>1</v>
          </cell>
        </row>
        <row r="41">
          <cell r="B41" t="str">
            <v>KC Bantul</v>
          </cell>
          <cell r="G41">
            <v>1</v>
          </cell>
        </row>
        <row r="42">
          <cell r="B42" t="str">
            <v>KC Banyuwangi</v>
          </cell>
          <cell r="G42">
            <v>1</v>
          </cell>
        </row>
        <row r="43">
          <cell r="B43" t="str">
            <v>KC Barabai</v>
          </cell>
          <cell r="G43">
            <v>0.94117647058823528</v>
          </cell>
        </row>
        <row r="44">
          <cell r="B44" t="str">
            <v>KC Barru</v>
          </cell>
          <cell r="G44">
            <v>1</v>
          </cell>
        </row>
        <row r="45">
          <cell r="B45" t="str">
            <v>KC Batam Center</v>
          </cell>
          <cell r="G45">
            <v>1</v>
          </cell>
        </row>
        <row r="46">
          <cell r="B46" t="str">
            <v>KC Batam Nagoya</v>
          </cell>
          <cell r="G46">
            <v>0.97499999999999998</v>
          </cell>
        </row>
        <row r="47">
          <cell r="B47" t="str">
            <v>KC Batang</v>
          </cell>
          <cell r="G47">
            <v>1</v>
          </cell>
        </row>
        <row r="48">
          <cell r="B48" t="str">
            <v>KC BATU</v>
          </cell>
          <cell r="G48">
            <v>1</v>
          </cell>
        </row>
        <row r="49">
          <cell r="B49" t="str">
            <v>KC Batu Sangkar</v>
          </cell>
          <cell r="G49">
            <v>1</v>
          </cell>
        </row>
        <row r="50">
          <cell r="B50" t="str">
            <v>KC Batulicin</v>
          </cell>
          <cell r="G50">
            <v>0.88888888888888884</v>
          </cell>
        </row>
        <row r="51">
          <cell r="B51" t="str">
            <v>KC Baturaja</v>
          </cell>
          <cell r="G51">
            <v>1</v>
          </cell>
        </row>
        <row r="52">
          <cell r="B52" t="str">
            <v>KC Bau-Bau</v>
          </cell>
          <cell r="G52">
            <v>0.95714285714285718</v>
          </cell>
        </row>
        <row r="53">
          <cell r="B53" t="str">
            <v>KC Bekasi</v>
          </cell>
          <cell r="G53">
            <v>0.95757575757575752</v>
          </cell>
        </row>
        <row r="54">
          <cell r="B54" t="str">
            <v>KC Bekasi Harapan Indah</v>
          </cell>
          <cell r="G54">
            <v>1</v>
          </cell>
        </row>
        <row r="55">
          <cell r="B55" t="str">
            <v>KC BEKASI SILIWANGI</v>
          </cell>
          <cell r="G55">
            <v>1</v>
          </cell>
        </row>
        <row r="56">
          <cell r="B56" t="str">
            <v>KC Bengkalis</v>
          </cell>
          <cell r="G56">
            <v>1</v>
          </cell>
        </row>
        <row r="57">
          <cell r="B57" t="str">
            <v>KC Bengkulu</v>
          </cell>
          <cell r="G57">
            <v>0.9916666666666667</v>
          </cell>
        </row>
        <row r="58">
          <cell r="B58" t="str">
            <v>KC Benteng Selayar</v>
          </cell>
          <cell r="G58">
            <v>1</v>
          </cell>
        </row>
        <row r="59">
          <cell r="B59" t="str">
            <v>KC Biak</v>
          </cell>
          <cell r="G59">
            <v>1</v>
          </cell>
        </row>
        <row r="60">
          <cell r="B60" t="str">
            <v>KC Binjai</v>
          </cell>
          <cell r="G60">
            <v>0.97959183673469385</v>
          </cell>
        </row>
        <row r="61">
          <cell r="B61" t="str">
            <v>KC Bintaro</v>
          </cell>
          <cell r="G61">
            <v>0.97368421052631582</v>
          </cell>
        </row>
        <row r="62">
          <cell r="B62" t="str">
            <v>KC Bintuni</v>
          </cell>
          <cell r="G62">
            <v>1</v>
          </cell>
        </row>
        <row r="63">
          <cell r="B63" t="str">
            <v>KC Bitung</v>
          </cell>
          <cell r="G63">
            <v>1</v>
          </cell>
        </row>
        <row r="64">
          <cell r="B64" t="str">
            <v>KC Blitar</v>
          </cell>
          <cell r="G64">
            <v>1</v>
          </cell>
        </row>
        <row r="65">
          <cell r="B65" t="str">
            <v>KC Blora</v>
          </cell>
          <cell r="G65">
            <v>0.97368421052631582</v>
          </cell>
        </row>
        <row r="66">
          <cell r="B66" t="str">
            <v>KC Bogor</v>
          </cell>
          <cell r="G66">
            <v>0.89940828402366868</v>
          </cell>
        </row>
        <row r="67">
          <cell r="B67" t="str">
            <v>KC Bogor Pajajaran</v>
          </cell>
          <cell r="G67">
            <v>0.97826086956521741</v>
          </cell>
        </row>
        <row r="68">
          <cell r="B68" t="str">
            <v>KC Bojonegoro</v>
          </cell>
          <cell r="G68">
            <v>0.95652173913043481</v>
          </cell>
        </row>
        <row r="69">
          <cell r="B69" t="str">
            <v>KC Bondowoso</v>
          </cell>
          <cell r="G69">
            <v>1</v>
          </cell>
        </row>
        <row r="70">
          <cell r="B70" t="str">
            <v>KC Bontang</v>
          </cell>
          <cell r="G70">
            <v>1</v>
          </cell>
        </row>
        <row r="71">
          <cell r="B71" t="str">
            <v>KC Boyolali</v>
          </cell>
          <cell r="G71">
            <v>1</v>
          </cell>
        </row>
        <row r="72">
          <cell r="B72" t="str">
            <v>KC Brebes</v>
          </cell>
          <cell r="G72">
            <v>1</v>
          </cell>
        </row>
        <row r="73">
          <cell r="B73" t="str">
            <v>KC BRI Jakarta Menara Brilian</v>
          </cell>
          <cell r="G73">
            <v>0.81481481481481477</v>
          </cell>
        </row>
        <row r="74">
          <cell r="B74" t="str">
            <v>KC Brigjen Sudiarto</v>
          </cell>
          <cell r="G74">
            <v>1</v>
          </cell>
        </row>
        <row r="75">
          <cell r="B75" t="str">
            <v>KC Bukittinggi</v>
          </cell>
          <cell r="G75">
            <v>1</v>
          </cell>
        </row>
        <row r="76">
          <cell r="B76" t="str">
            <v>KC Bulukumba</v>
          </cell>
          <cell r="G76">
            <v>1</v>
          </cell>
        </row>
        <row r="77">
          <cell r="B77" t="str">
            <v>KC Bumi Serpong Damai</v>
          </cell>
          <cell r="G77">
            <v>0.93684210526315792</v>
          </cell>
        </row>
        <row r="78">
          <cell r="B78" t="str">
            <v>KC Bumiayu</v>
          </cell>
          <cell r="G78">
            <v>1</v>
          </cell>
        </row>
        <row r="79">
          <cell r="B79" t="str">
            <v>KC Buntok</v>
          </cell>
          <cell r="G79">
            <v>1</v>
          </cell>
        </row>
        <row r="80">
          <cell r="B80" t="str">
            <v>KC BURSA EFEK INDONESIA</v>
          </cell>
          <cell r="G80">
            <v>0.98666666666666669</v>
          </cell>
        </row>
        <row r="81">
          <cell r="B81" t="str">
            <v>KC Cepu</v>
          </cell>
          <cell r="G81">
            <v>1</v>
          </cell>
        </row>
        <row r="82">
          <cell r="B82" t="str">
            <v>KC Ciamis</v>
          </cell>
          <cell r="G82">
            <v>1</v>
          </cell>
        </row>
        <row r="83">
          <cell r="B83" t="str">
            <v>KC Cianjur</v>
          </cell>
          <cell r="G83">
            <v>0.97368421052631582</v>
          </cell>
        </row>
        <row r="84">
          <cell r="B84" t="str">
            <v>KC Cibadak</v>
          </cell>
          <cell r="G84">
            <v>0.9285714285714286</v>
          </cell>
        </row>
        <row r="85">
          <cell r="B85" t="str">
            <v>KC Cibinong</v>
          </cell>
          <cell r="G85">
            <v>0.93939393939393945</v>
          </cell>
        </row>
        <row r="86">
          <cell r="B86" t="str">
            <v>KC Cibubur</v>
          </cell>
          <cell r="G86">
            <v>0.98360655737704916</v>
          </cell>
        </row>
        <row r="87">
          <cell r="B87" t="str">
            <v>KC Cikampek</v>
          </cell>
          <cell r="G87">
            <v>1</v>
          </cell>
        </row>
        <row r="88">
          <cell r="B88" t="str">
            <v>KC Cikarang</v>
          </cell>
          <cell r="G88">
            <v>0.967741935483871</v>
          </cell>
        </row>
        <row r="89">
          <cell r="B89" t="str">
            <v>KC Cilacap</v>
          </cell>
          <cell r="G89">
            <v>1</v>
          </cell>
        </row>
        <row r="90">
          <cell r="B90" t="str">
            <v>KC Cilegon</v>
          </cell>
          <cell r="G90">
            <v>0.97560975609756095</v>
          </cell>
        </row>
        <row r="91">
          <cell r="B91" t="str">
            <v>KC Cimahi</v>
          </cell>
          <cell r="G91">
            <v>0.9555555555555556</v>
          </cell>
        </row>
        <row r="92">
          <cell r="B92" t="str">
            <v>KC Cimanggis</v>
          </cell>
          <cell r="G92">
            <v>0.9555555555555556</v>
          </cell>
        </row>
        <row r="93">
          <cell r="B93" t="str">
            <v>KC Ciputat</v>
          </cell>
          <cell r="G93">
            <v>0.8970588235294118</v>
          </cell>
        </row>
        <row r="94">
          <cell r="B94" t="str">
            <v>KC Cirebon Gunung Jati</v>
          </cell>
          <cell r="G94">
            <v>1</v>
          </cell>
        </row>
        <row r="95">
          <cell r="B95" t="str">
            <v>KC Cirebon Kartini</v>
          </cell>
          <cell r="G95">
            <v>0.91428571428571426</v>
          </cell>
        </row>
        <row r="96">
          <cell r="B96" t="str">
            <v>KC Curup</v>
          </cell>
          <cell r="G96">
            <v>1</v>
          </cell>
        </row>
        <row r="97">
          <cell r="B97" t="str">
            <v>KC Demak</v>
          </cell>
          <cell r="G97">
            <v>0.96666666666666667</v>
          </cell>
        </row>
        <row r="98">
          <cell r="B98" t="str">
            <v>KC Denpasar Gajah Mada</v>
          </cell>
          <cell r="G98">
            <v>1</v>
          </cell>
        </row>
        <row r="99">
          <cell r="B99" t="str">
            <v>KC Denpasar Gatot Subroto</v>
          </cell>
          <cell r="G99">
            <v>1</v>
          </cell>
        </row>
        <row r="100">
          <cell r="B100" t="str">
            <v>KC Denpasar Renon</v>
          </cell>
          <cell r="G100">
            <v>1</v>
          </cell>
        </row>
        <row r="101">
          <cell r="B101" t="str">
            <v>KC Denpasar Ubud</v>
          </cell>
          <cell r="G101">
            <v>1</v>
          </cell>
        </row>
        <row r="102">
          <cell r="B102" t="str">
            <v>KC Depok</v>
          </cell>
          <cell r="G102">
            <v>0.96638655462184875</v>
          </cell>
        </row>
        <row r="103">
          <cell r="B103" t="str">
            <v>KC Dharmasraya</v>
          </cell>
          <cell r="G103">
            <v>1</v>
          </cell>
        </row>
        <row r="104">
          <cell r="B104" t="str">
            <v>KC Dompu</v>
          </cell>
          <cell r="G104">
            <v>1</v>
          </cell>
        </row>
        <row r="105">
          <cell r="B105" t="str">
            <v>KC Dumai</v>
          </cell>
          <cell r="G105">
            <v>0.97142857142857142</v>
          </cell>
        </row>
        <row r="106">
          <cell r="B106" t="str">
            <v>KC Duri</v>
          </cell>
          <cell r="G106">
            <v>1</v>
          </cell>
        </row>
        <row r="107">
          <cell r="B107" t="str">
            <v>KC Ende</v>
          </cell>
          <cell r="G107">
            <v>1</v>
          </cell>
        </row>
        <row r="108">
          <cell r="B108" t="str">
            <v>KC Enrekang</v>
          </cell>
          <cell r="G108">
            <v>1</v>
          </cell>
        </row>
        <row r="109">
          <cell r="B109" t="str">
            <v>KC Fakfak</v>
          </cell>
          <cell r="G109">
            <v>1</v>
          </cell>
        </row>
        <row r="110">
          <cell r="B110" t="str">
            <v>KC Gading Serpong</v>
          </cell>
          <cell r="G110">
            <v>0.91818181818181821</v>
          </cell>
        </row>
        <row r="111">
          <cell r="B111" t="str">
            <v>KC Garut</v>
          </cell>
          <cell r="G111">
            <v>0.98076923076923073</v>
          </cell>
        </row>
        <row r="112">
          <cell r="B112" t="str">
            <v>KC Genteng</v>
          </cell>
          <cell r="G112">
            <v>1</v>
          </cell>
        </row>
        <row r="113">
          <cell r="B113" t="str">
            <v>KC Gianyar</v>
          </cell>
          <cell r="G113">
            <v>1</v>
          </cell>
        </row>
        <row r="114">
          <cell r="B114" t="str">
            <v>KC Gombong</v>
          </cell>
          <cell r="G114">
            <v>1</v>
          </cell>
        </row>
        <row r="115">
          <cell r="B115" t="str">
            <v>KC Gorontalo</v>
          </cell>
          <cell r="G115">
            <v>1</v>
          </cell>
        </row>
        <row r="116">
          <cell r="B116" t="str">
            <v>KC Gresik</v>
          </cell>
          <cell r="G116">
            <v>0.94</v>
          </cell>
        </row>
        <row r="117">
          <cell r="B117" t="str">
            <v>KC Gunung Sitoli</v>
          </cell>
          <cell r="G117">
            <v>0.9859154929577465</v>
          </cell>
        </row>
        <row r="118">
          <cell r="B118" t="str">
            <v>KC Indramayu</v>
          </cell>
          <cell r="G118">
            <v>0.9</v>
          </cell>
        </row>
        <row r="119">
          <cell r="B119" t="str">
            <v>KC Jakarta Artha Gading</v>
          </cell>
          <cell r="G119">
            <v>1</v>
          </cell>
        </row>
        <row r="120">
          <cell r="B120" t="str">
            <v>KC Jakarta Cempaka Mas</v>
          </cell>
          <cell r="G120">
            <v>0.9642857142857143</v>
          </cell>
        </row>
        <row r="121">
          <cell r="B121" t="str">
            <v>KC Jakarta Cut Mutiah</v>
          </cell>
          <cell r="G121">
            <v>0.88059701492537312</v>
          </cell>
        </row>
        <row r="122">
          <cell r="B122" t="str">
            <v>KC Jakarta Daan Mogot</v>
          </cell>
          <cell r="G122">
            <v>0.95</v>
          </cell>
        </row>
        <row r="123">
          <cell r="B123" t="str">
            <v>KC Jakarta Fatmawati</v>
          </cell>
          <cell r="G123">
            <v>0.96551724137931039</v>
          </cell>
        </row>
        <row r="124">
          <cell r="B124" t="str">
            <v>KC Jakarta Gading Boulevard</v>
          </cell>
          <cell r="G124">
            <v>0.9</v>
          </cell>
        </row>
        <row r="125">
          <cell r="B125" t="str">
            <v>KC Jakarta Gatot Subroto</v>
          </cell>
          <cell r="G125">
            <v>0.97674418604651159</v>
          </cell>
        </row>
        <row r="126">
          <cell r="B126" t="str">
            <v>KC Jakarta Gunung Sahari</v>
          </cell>
          <cell r="G126">
            <v>1</v>
          </cell>
        </row>
        <row r="127">
          <cell r="B127" t="str">
            <v>KC Jakarta Hayam Wuruk</v>
          </cell>
          <cell r="G127">
            <v>0.9</v>
          </cell>
        </row>
        <row r="128">
          <cell r="B128" t="str">
            <v>KC Jakarta Jatinegara</v>
          </cell>
          <cell r="G128">
            <v>0.93939393939393945</v>
          </cell>
        </row>
        <row r="129">
          <cell r="B129" t="str">
            <v>KC Jakarta Jelambar</v>
          </cell>
          <cell r="G129">
            <v>0.88235294117647056</v>
          </cell>
        </row>
        <row r="130">
          <cell r="B130" t="str">
            <v>KC Jakarta Joglo</v>
          </cell>
          <cell r="G130">
            <v>0.91666666666666663</v>
          </cell>
        </row>
        <row r="131">
          <cell r="B131" t="str">
            <v>KC Jakarta Kalideres</v>
          </cell>
          <cell r="G131">
            <v>0.79487179487179482</v>
          </cell>
        </row>
        <row r="132">
          <cell r="B132" t="str">
            <v>KC JAKARTA KALIMALANG</v>
          </cell>
          <cell r="G132">
            <v>0.97413793103448276</v>
          </cell>
        </row>
        <row r="133">
          <cell r="B133" t="str">
            <v>KC Jakarta Kebayoran Baru</v>
          </cell>
          <cell r="G133">
            <v>0.96969696969696972</v>
          </cell>
        </row>
        <row r="134">
          <cell r="B134" t="str">
            <v>KC Jakarta Kebon Jeruk</v>
          </cell>
          <cell r="G134">
            <v>1</v>
          </cell>
        </row>
        <row r="135">
          <cell r="B135" t="str">
            <v>KC Jakarta Kelapa Gading</v>
          </cell>
          <cell r="G135">
            <v>0.8</v>
          </cell>
        </row>
        <row r="136">
          <cell r="B136" t="str">
            <v>KC JAKARTA KEMAYORAN</v>
          </cell>
          <cell r="G136">
            <v>1</v>
          </cell>
        </row>
        <row r="137">
          <cell r="B137" t="str">
            <v>KC JAKARTA KOTA</v>
          </cell>
          <cell r="G137">
            <v>1</v>
          </cell>
        </row>
        <row r="138">
          <cell r="B138" t="str">
            <v>KC Jakarta Kramat</v>
          </cell>
          <cell r="G138">
            <v>0.96153846153846156</v>
          </cell>
        </row>
        <row r="139">
          <cell r="B139" t="str">
            <v>KC Jakarta Kramat Jati</v>
          </cell>
          <cell r="G139">
            <v>0.95721925133689845</v>
          </cell>
        </row>
        <row r="140">
          <cell r="B140" t="str">
            <v>KC Jakarta Krekot</v>
          </cell>
          <cell r="G140">
            <v>0.96551724137931039</v>
          </cell>
        </row>
        <row r="141">
          <cell r="B141" t="str">
            <v>KC JAKARTA MALL AMBASADOR</v>
          </cell>
          <cell r="G141">
            <v>1</v>
          </cell>
        </row>
        <row r="142">
          <cell r="B142" t="str">
            <v>KC Jakarta Mangga Dua</v>
          </cell>
          <cell r="G142">
            <v>0.83333333333333337</v>
          </cell>
        </row>
        <row r="143">
          <cell r="B143" t="str">
            <v>KC JAKARTA MEGA KUNINGAN</v>
          </cell>
          <cell r="G143">
            <v>1</v>
          </cell>
        </row>
        <row r="144">
          <cell r="B144" t="str">
            <v>KC JAKARTA OTISTA</v>
          </cell>
          <cell r="G144">
            <v>0.88749999999999996</v>
          </cell>
        </row>
        <row r="145">
          <cell r="B145" t="str">
            <v>KC Jakarta Palmerah</v>
          </cell>
          <cell r="G145">
            <v>0.9285714285714286</v>
          </cell>
        </row>
        <row r="146">
          <cell r="B146" t="str">
            <v>KC Jakarta Pancoran</v>
          </cell>
          <cell r="G146">
            <v>1</v>
          </cell>
        </row>
        <row r="147">
          <cell r="B147" t="str">
            <v>KC Jakarta Panglima Polim</v>
          </cell>
          <cell r="G147">
            <v>1</v>
          </cell>
        </row>
        <row r="148">
          <cell r="B148" t="str">
            <v>KC Jakarta Pantai Indah Kapuk</v>
          </cell>
          <cell r="G148">
            <v>1</v>
          </cell>
        </row>
        <row r="149">
          <cell r="B149" t="str">
            <v>KC Jakarta Pasar Minggu</v>
          </cell>
          <cell r="G149">
            <v>0.87096774193548387</v>
          </cell>
        </row>
        <row r="150">
          <cell r="B150" t="str">
            <v>KC Jakarta Pluit</v>
          </cell>
          <cell r="G150">
            <v>0.80952380952380953</v>
          </cell>
        </row>
        <row r="151">
          <cell r="B151" t="str">
            <v>KC Jakarta Pondok Indah</v>
          </cell>
          <cell r="G151">
            <v>0.97435897435897434</v>
          </cell>
        </row>
        <row r="152">
          <cell r="B152" t="str">
            <v>KC Jakarta Puri Niaga</v>
          </cell>
          <cell r="G152">
            <v>0.76923076923076927</v>
          </cell>
        </row>
        <row r="153">
          <cell r="B153" t="str">
            <v>KC Jakarta Radio Dalam</v>
          </cell>
          <cell r="G153">
            <v>0.9642857142857143</v>
          </cell>
        </row>
        <row r="154">
          <cell r="B154" t="str">
            <v>KC Jakarta Rasuna Said</v>
          </cell>
          <cell r="G154">
            <v>0.967741935483871</v>
          </cell>
        </row>
        <row r="155">
          <cell r="B155" t="str">
            <v>KC JAKARTA RAWAMANGUN</v>
          </cell>
          <cell r="G155">
            <v>0.91228070175438591</v>
          </cell>
        </row>
        <row r="156">
          <cell r="B156" t="str">
            <v>KC JAKARTA ROXI</v>
          </cell>
          <cell r="G156">
            <v>0.97297297297297303</v>
          </cell>
        </row>
        <row r="157">
          <cell r="B157" t="str">
            <v>KC Jakarta S Parman</v>
          </cell>
          <cell r="G157">
            <v>0.9</v>
          </cell>
        </row>
        <row r="158">
          <cell r="B158" t="str">
            <v>KC Jakarta Segitiga Senen</v>
          </cell>
          <cell r="G158">
            <v>0.8</v>
          </cell>
        </row>
        <row r="159">
          <cell r="B159" t="str">
            <v>KC Jakarta Sudirman 1</v>
          </cell>
          <cell r="G159">
            <v>0.85</v>
          </cell>
        </row>
        <row r="160">
          <cell r="B160" t="str">
            <v>KC Jakarta Sunter</v>
          </cell>
          <cell r="G160">
            <v>0.9</v>
          </cell>
        </row>
        <row r="161">
          <cell r="B161" t="str">
            <v>KC Jakarta Tanah Abang</v>
          </cell>
          <cell r="G161">
            <v>0.93181818181818177</v>
          </cell>
        </row>
        <row r="162">
          <cell r="B162" t="str">
            <v>KC Jakarta Tangerang</v>
          </cell>
          <cell r="G162">
            <v>0.88235294117647056</v>
          </cell>
        </row>
        <row r="163">
          <cell r="B163" t="str">
            <v>KC Jakarta Tanjung Duren</v>
          </cell>
          <cell r="G163">
            <v>0.93506493506493504</v>
          </cell>
        </row>
        <row r="164">
          <cell r="B164" t="str">
            <v>KC Jakarta Tanjung Priok</v>
          </cell>
          <cell r="G164">
            <v>0.96385542168674698</v>
          </cell>
        </row>
        <row r="165">
          <cell r="B165" t="str">
            <v>KC Jakarta TB Simatupang</v>
          </cell>
          <cell r="G165">
            <v>1</v>
          </cell>
        </row>
        <row r="166">
          <cell r="B166" t="str">
            <v>KC Jakarta Veteran</v>
          </cell>
          <cell r="G166">
            <v>0.99099099099099097</v>
          </cell>
        </row>
        <row r="167">
          <cell r="B167" t="str">
            <v>KC Jakarta Warung Buncit</v>
          </cell>
          <cell r="G167">
            <v>1</v>
          </cell>
        </row>
        <row r="168">
          <cell r="B168" t="str">
            <v>KC Jambi</v>
          </cell>
          <cell r="G168">
            <v>1</v>
          </cell>
        </row>
        <row r="169">
          <cell r="B169" t="str">
            <v>KC Jatibarang</v>
          </cell>
          <cell r="G169">
            <v>0.88888888888888884</v>
          </cell>
        </row>
        <row r="170">
          <cell r="B170" t="str">
            <v>KC Jayapura</v>
          </cell>
          <cell r="G170">
            <v>0.94594594594594594</v>
          </cell>
        </row>
        <row r="171">
          <cell r="B171" t="str">
            <v>KC Jember</v>
          </cell>
          <cell r="G171">
            <v>1</v>
          </cell>
        </row>
        <row r="172">
          <cell r="B172" t="str">
            <v>KC Jeneponto</v>
          </cell>
          <cell r="G172">
            <v>1</v>
          </cell>
        </row>
        <row r="173">
          <cell r="B173" t="str">
            <v>KC Jepara</v>
          </cell>
          <cell r="G173">
            <v>0.96666666666666667</v>
          </cell>
        </row>
        <row r="174">
          <cell r="B174" t="str">
            <v>KC Jombang</v>
          </cell>
          <cell r="G174">
            <v>1</v>
          </cell>
        </row>
        <row r="175">
          <cell r="B175" t="str">
            <v>KC Kabanjahe</v>
          </cell>
          <cell r="G175">
            <v>0.97222222222222221</v>
          </cell>
        </row>
        <row r="176">
          <cell r="B176" t="str">
            <v>KC Kalabahi</v>
          </cell>
          <cell r="G176">
            <v>1</v>
          </cell>
        </row>
        <row r="177">
          <cell r="B177" t="str">
            <v>KC Kalianda</v>
          </cell>
          <cell r="G177">
            <v>1</v>
          </cell>
        </row>
        <row r="178">
          <cell r="B178" t="str">
            <v>KC Kandangan</v>
          </cell>
          <cell r="G178">
            <v>0.93333333333333335</v>
          </cell>
        </row>
        <row r="179">
          <cell r="B179" t="str">
            <v>KC Kapas Krampung</v>
          </cell>
          <cell r="G179">
            <v>1</v>
          </cell>
        </row>
        <row r="180">
          <cell r="B180" t="str">
            <v>KC Karanganyar</v>
          </cell>
          <cell r="G180">
            <v>1</v>
          </cell>
        </row>
        <row r="181">
          <cell r="B181" t="str">
            <v>KC Karawang</v>
          </cell>
          <cell r="G181">
            <v>1</v>
          </cell>
        </row>
        <row r="182">
          <cell r="B182" t="str">
            <v>KC Kayu Agung</v>
          </cell>
          <cell r="G182">
            <v>1</v>
          </cell>
        </row>
        <row r="183">
          <cell r="B183" t="str">
            <v>KC Kebumen</v>
          </cell>
          <cell r="G183">
            <v>1</v>
          </cell>
        </row>
        <row r="184">
          <cell r="B184" t="str">
            <v>KC Kediri</v>
          </cell>
          <cell r="G184">
            <v>1</v>
          </cell>
        </row>
        <row r="185">
          <cell r="B185" t="str">
            <v>KC Kefamenanu</v>
          </cell>
          <cell r="G185">
            <v>1</v>
          </cell>
        </row>
        <row r="186">
          <cell r="B186" t="str">
            <v>KC Kendal</v>
          </cell>
          <cell r="G186">
            <v>1</v>
          </cell>
        </row>
        <row r="187">
          <cell r="B187" t="str">
            <v>KC Kendari By Pass</v>
          </cell>
          <cell r="G187">
            <v>0.97872340425531912</v>
          </cell>
        </row>
        <row r="188">
          <cell r="B188" t="str">
            <v>KC Kendari Samratulangi</v>
          </cell>
          <cell r="G188">
            <v>0.98529411764705888</v>
          </cell>
        </row>
        <row r="189">
          <cell r="B189" t="str">
            <v>KC Kepanjen</v>
          </cell>
          <cell r="G189">
            <v>0.95238095238095233</v>
          </cell>
        </row>
        <row r="190">
          <cell r="B190" t="str">
            <v>KC Ketapang</v>
          </cell>
          <cell r="G190">
            <v>0.98245614035087714</v>
          </cell>
        </row>
        <row r="191">
          <cell r="B191" t="str">
            <v>KC Khatib Sulaiman</v>
          </cell>
          <cell r="G191">
            <v>0.98830409356725146</v>
          </cell>
        </row>
        <row r="192">
          <cell r="B192" t="str">
            <v>KC Kisaran</v>
          </cell>
          <cell r="G192">
            <v>1</v>
          </cell>
        </row>
        <row r="193">
          <cell r="B193" t="str">
            <v>KC Klaten</v>
          </cell>
          <cell r="G193">
            <v>1</v>
          </cell>
        </row>
        <row r="194">
          <cell r="B194" t="str">
            <v>KC Kolaka</v>
          </cell>
          <cell r="G194">
            <v>1</v>
          </cell>
        </row>
        <row r="195">
          <cell r="B195" t="str">
            <v>KC Kota Bumi</v>
          </cell>
          <cell r="G195">
            <v>1</v>
          </cell>
        </row>
        <row r="196">
          <cell r="B196" t="str">
            <v>KC Kota Pinang</v>
          </cell>
          <cell r="G196">
            <v>1</v>
          </cell>
        </row>
        <row r="197">
          <cell r="B197" t="str">
            <v>KC Kotabaru</v>
          </cell>
          <cell r="G197">
            <v>0.96153846153846156</v>
          </cell>
        </row>
        <row r="198">
          <cell r="B198" t="str">
            <v>KC Kotamobagu</v>
          </cell>
          <cell r="G198">
            <v>1</v>
          </cell>
        </row>
        <row r="199">
          <cell r="B199" t="str">
            <v>KC Krian</v>
          </cell>
          <cell r="G199">
            <v>1</v>
          </cell>
        </row>
        <row r="200">
          <cell r="B200" t="str">
            <v>KC Kuala Kapuas</v>
          </cell>
          <cell r="G200">
            <v>0.94594594594594594</v>
          </cell>
        </row>
        <row r="201">
          <cell r="B201" t="str">
            <v>KC Kuala Tungkal</v>
          </cell>
          <cell r="G201">
            <v>1</v>
          </cell>
        </row>
        <row r="202">
          <cell r="B202" t="str">
            <v>KC Kudus</v>
          </cell>
          <cell r="G202">
            <v>0.95454545454545459</v>
          </cell>
        </row>
        <row r="203">
          <cell r="B203" t="str">
            <v>KC Kuningan</v>
          </cell>
          <cell r="G203">
            <v>1</v>
          </cell>
        </row>
        <row r="204">
          <cell r="B204" t="str">
            <v>KC Kupang</v>
          </cell>
          <cell r="G204">
            <v>1</v>
          </cell>
        </row>
        <row r="205">
          <cell r="B205" t="str">
            <v>KC Kuta</v>
          </cell>
          <cell r="G205">
            <v>1</v>
          </cell>
        </row>
        <row r="206">
          <cell r="B206" t="str">
            <v>KC Kutoarjo</v>
          </cell>
          <cell r="G206">
            <v>1</v>
          </cell>
        </row>
        <row r="207">
          <cell r="B207" t="str">
            <v>KC Labuan</v>
          </cell>
          <cell r="G207">
            <v>0.66666666666666663</v>
          </cell>
        </row>
        <row r="208">
          <cell r="B208" t="str">
            <v>KC LABUAN BAJO</v>
          </cell>
          <cell r="G208">
            <v>1</v>
          </cell>
        </row>
        <row r="209">
          <cell r="B209" t="str">
            <v>KC Lahat</v>
          </cell>
          <cell r="G209">
            <v>1</v>
          </cell>
        </row>
        <row r="210">
          <cell r="B210" t="str">
            <v>KC Lamongan</v>
          </cell>
          <cell r="G210">
            <v>1</v>
          </cell>
        </row>
        <row r="211">
          <cell r="B211" t="str">
            <v>KC LANGGUR</v>
          </cell>
          <cell r="G211">
            <v>1</v>
          </cell>
        </row>
        <row r="212">
          <cell r="B212" t="str">
            <v>KC Larantuka</v>
          </cell>
          <cell r="G212">
            <v>1</v>
          </cell>
        </row>
        <row r="213">
          <cell r="B213" t="str">
            <v>KC LEBAK BULUS</v>
          </cell>
          <cell r="G213">
            <v>0.94339622641509435</v>
          </cell>
        </row>
        <row r="214">
          <cell r="B214" t="str">
            <v>KC Limboto</v>
          </cell>
          <cell r="G214">
            <v>1</v>
          </cell>
        </row>
        <row r="215">
          <cell r="B215" t="str">
            <v>KC Liwa</v>
          </cell>
          <cell r="G215">
            <v>1</v>
          </cell>
        </row>
        <row r="216">
          <cell r="B216" t="str">
            <v>KC Lubuk Linggau</v>
          </cell>
          <cell r="G216">
            <v>1</v>
          </cell>
        </row>
        <row r="217">
          <cell r="B217" t="str">
            <v>KC Lubuk Pakam</v>
          </cell>
          <cell r="G217">
            <v>1</v>
          </cell>
        </row>
        <row r="218">
          <cell r="B218" t="str">
            <v>KC Lubuk Sikaping</v>
          </cell>
          <cell r="G218">
            <v>1</v>
          </cell>
        </row>
        <row r="219">
          <cell r="B219" t="str">
            <v>KC Lumajang</v>
          </cell>
          <cell r="G219">
            <v>1</v>
          </cell>
        </row>
        <row r="220">
          <cell r="B220" t="str">
            <v>KC Luwuk</v>
          </cell>
          <cell r="G220">
            <v>1</v>
          </cell>
        </row>
        <row r="221">
          <cell r="B221" t="str">
            <v>KC Mabes TNI Cilangkap</v>
          </cell>
          <cell r="G221">
            <v>1</v>
          </cell>
        </row>
        <row r="222">
          <cell r="B222" t="str">
            <v>KC Madiun</v>
          </cell>
          <cell r="G222">
            <v>1</v>
          </cell>
        </row>
        <row r="223">
          <cell r="B223" t="str">
            <v>KC Magelang</v>
          </cell>
          <cell r="G223">
            <v>0.99408284023668636</v>
          </cell>
        </row>
        <row r="224">
          <cell r="B224" t="str">
            <v>KC Magetan</v>
          </cell>
          <cell r="G224">
            <v>1</v>
          </cell>
        </row>
        <row r="225">
          <cell r="B225" t="str">
            <v>KC Majalaya</v>
          </cell>
          <cell r="G225">
            <v>0.93333333333333335</v>
          </cell>
        </row>
        <row r="226">
          <cell r="B226" t="str">
            <v>KC Majalengka</v>
          </cell>
          <cell r="G226">
            <v>0.97297297297297303</v>
          </cell>
        </row>
        <row r="227">
          <cell r="B227" t="str">
            <v>KC Majenang</v>
          </cell>
          <cell r="G227">
            <v>1</v>
          </cell>
        </row>
        <row r="228">
          <cell r="B228" t="str">
            <v>KC Majene</v>
          </cell>
          <cell r="G228">
            <v>1</v>
          </cell>
        </row>
        <row r="229">
          <cell r="B229" t="str">
            <v>KC Makassar Ahmad Yani</v>
          </cell>
          <cell r="G229">
            <v>1</v>
          </cell>
        </row>
        <row r="230">
          <cell r="B230" t="str">
            <v>KC MAKASSAR SUDIRMAN</v>
          </cell>
          <cell r="G230">
            <v>0.98076923076923073</v>
          </cell>
        </row>
        <row r="231">
          <cell r="B231" t="str">
            <v>KC Malang Kawi</v>
          </cell>
          <cell r="G231">
            <v>1</v>
          </cell>
        </row>
        <row r="232">
          <cell r="B232" t="str">
            <v>KC Malang Martadinata</v>
          </cell>
          <cell r="G232">
            <v>1</v>
          </cell>
        </row>
        <row r="233">
          <cell r="B233" t="str">
            <v>KC Malang Soekarno Hatta</v>
          </cell>
          <cell r="G233">
            <v>0.97752808988764039</v>
          </cell>
        </row>
        <row r="234">
          <cell r="B234" t="str">
            <v>KC Malang Sutoyo</v>
          </cell>
          <cell r="G234">
            <v>1</v>
          </cell>
        </row>
        <row r="235">
          <cell r="B235" t="str">
            <v>KC Mamuju</v>
          </cell>
          <cell r="G235">
            <v>1</v>
          </cell>
        </row>
        <row r="236">
          <cell r="B236" t="str">
            <v>KC Manado</v>
          </cell>
          <cell r="G236">
            <v>1</v>
          </cell>
        </row>
        <row r="237">
          <cell r="B237" t="str">
            <v>KC Manado Boulevard</v>
          </cell>
          <cell r="G237">
            <v>1</v>
          </cell>
        </row>
        <row r="238">
          <cell r="B238" t="str">
            <v>KC Manna</v>
          </cell>
          <cell r="G238">
            <v>1</v>
          </cell>
        </row>
        <row r="239">
          <cell r="B239" t="str">
            <v>KC Manokwari</v>
          </cell>
          <cell r="G239">
            <v>1</v>
          </cell>
        </row>
        <row r="240">
          <cell r="B240" t="str">
            <v>KC Manukan</v>
          </cell>
          <cell r="G240">
            <v>0.9285714285714286</v>
          </cell>
        </row>
        <row r="241">
          <cell r="B241" t="str">
            <v>KC Marabahan</v>
          </cell>
          <cell r="G241">
            <v>0.76470588235294112</v>
          </cell>
        </row>
        <row r="242">
          <cell r="B242" t="str">
            <v>KC Marisa</v>
          </cell>
          <cell r="G242">
            <v>1</v>
          </cell>
        </row>
        <row r="243">
          <cell r="B243" t="str">
            <v>KC Maros</v>
          </cell>
          <cell r="G243">
            <v>1</v>
          </cell>
        </row>
        <row r="244">
          <cell r="B244" t="str">
            <v>KC Martapura</v>
          </cell>
          <cell r="G244">
            <v>0.99</v>
          </cell>
        </row>
        <row r="245">
          <cell r="B245" t="str">
            <v>KC Masamba</v>
          </cell>
          <cell r="G245">
            <v>1</v>
          </cell>
        </row>
        <row r="246">
          <cell r="B246" t="str">
            <v>KC Masohi</v>
          </cell>
          <cell r="G246">
            <v>1</v>
          </cell>
        </row>
        <row r="247">
          <cell r="B247" t="str">
            <v>KC Mataram</v>
          </cell>
          <cell r="G247">
            <v>0.99479166666666663</v>
          </cell>
        </row>
        <row r="248">
          <cell r="B248" t="str">
            <v>KC Maumere</v>
          </cell>
          <cell r="G248">
            <v>1</v>
          </cell>
        </row>
        <row r="249">
          <cell r="B249" t="str">
            <v>KC Medan Gatot Subroto</v>
          </cell>
          <cell r="G249">
            <v>1</v>
          </cell>
        </row>
        <row r="250">
          <cell r="B250" t="str">
            <v>KC Medan Iskandar Muda</v>
          </cell>
          <cell r="G250">
            <v>0.98773006134969321</v>
          </cell>
        </row>
        <row r="251">
          <cell r="B251" t="str">
            <v>KC Medan Putri Hijau</v>
          </cell>
          <cell r="G251">
            <v>0.96153846153846156</v>
          </cell>
        </row>
        <row r="252">
          <cell r="B252" t="str">
            <v>KC Medan Sisingamangaraja</v>
          </cell>
          <cell r="G252">
            <v>0.96363636363636362</v>
          </cell>
        </row>
        <row r="253">
          <cell r="B253" t="str">
            <v>KC Medan Thamrin</v>
          </cell>
          <cell r="G253">
            <v>0.98461538461538467</v>
          </cell>
        </row>
        <row r="254">
          <cell r="B254" t="str">
            <v>KC Melawi</v>
          </cell>
          <cell r="G254">
            <v>1</v>
          </cell>
        </row>
        <row r="255">
          <cell r="B255" t="str">
            <v>KC Mempawah</v>
          </cell>
          <cell r="G255">
            <v>1</v>
          </cell>
        </row>
        <row r="256">
          <cell r="B256" t="str">
            <v>KC Merauke</v>
          </cell>
          <cell r="G256">
            <v>0.93548387096774188</v>
          </cell>
        </row>
        <row r="257">
          <cell r="B257" t="str">
            <v>KC Metro</v>
          </cell>
          <cell r="G257">
            <v>0.98</v>
          </cell>
        </row>
        <row r="258">
          <cell r="B258" t="str">
            <v>KC Mojokerto</v>
          </cell>
          <cell r="G258">
            <v>1</v>
          </cell>
        </row>
        <row r="259">
          <cell r="B259" t="str">
            <v>KC MOROWALI</v>
          </cell>
          <cell r="G259">
            <v>1</v>
          </cell>
        </row>
        <row r="260">
          <cell r="B260" t="str">
            <v>KC Muara Bulian</v>
          </cell>
          <cell r="G260">
            <v>1</v>
          </cell>
        </row>
        <row r="261">
          <cell r="B261" t="str">
            <v>KC Muara Bungo</v>
          </cell>
          <cell r="G261">
            <v>1</v>
          </cell>
        </row>
        <row r="262">
          <cell r="B262" t="str">
            <v>KC Muara Enim</v>
          </cell>
          <cell r="G262">
            <v>1</v>
          </cell>
        </row>
        <row r="263">
          <cell r="B263" t="str">
            <v>KC Muara Teweh</v>
          </cell>
          <cell r="G263">
            <v>0.71666666666666667</v>
          </cell>
        </row>
        <row r="264">
          <cell r="B264" t="str">
            <v>KC Muko Muko</v>
          </cell>
          <cell r="G264">
            <v>1</v>
          </cell>
        </row>
        <row r="265">
          <cell r="B265" t="str">
            <v>KC Mulyosari</v>
          </cell>
          <cell r="G265">
            <v>1</v>
          </cell>
        </row>
        <row r="266">
          <cell r="B266" t="str">
            <v>KC Muntilan</v>
          </cell>
          <cell r="G266">
            <v>1</v>
          </cell>
        </row>
        <row r="267">
          <cell r="B267" t="str">
            <v>KC Nabire</v>
          </cell>
          <cell r="G267">
            <v>1</v>
          </cell>
        </row>
        <row r="268">
          <cell r="B268" t="str">
            <v>KC Negara</v>
          </cell>
          <cell r="G268">
            <v>1</v>
          </cell>
        </row>
        <row r="269">
          <cell r="B269" t="str">
            <v>KC Nganjuk</v>
          </cell>
          <cell r="G269">
            <v>1</v>
          </cell>
        </row>
        <row r="270">
          <cell r="B270" t="str">
            <v>KC Ngawi</v>
          </cell>
          <cell r="G270">
            <v>1</v>
          </cell>
        </row>
        <row r="271">
          <cell r="B271" t="str">
            <v>KC Nunukan</v>
          </cell>
          <cell r="G271">
            <v>0.875</v>
          </cell>
        </row>
        <row r="272">
          <cell r="B272" t="str">
            <v>KC Pacitan</v>
          </cell>
          <cell r="G272">
            <v>1</v>
          </cell>
        </row>
        <row r="273">
          <cell r="B273" t="str">
            <v>KC Padang</v>
          </cell>
          <cell r="G273">
            <v>0.98461538461538467</v>
          </cell>
        </row>
        <row r="274">
          <cell r="B274" t="str">
            <v>KC Padang Panjang</v>
          </cell>
          <cell r="G274">
            <v>1</v>
          </cell>
        </row>
        <row r="275">
          <cell r="B275" t="str">
            <v>KC Padang Sidempuan</v>
          </cell>
          <cell r="G275">
            <v>0.98550724637681164</v>
          </cell>
        </row>
        <row r="276">
          <cell r="B276" t="str">
            <v>KC Pagar Alam</v>
          </cell>
          <cell r="G276">
            <v>1</v>
          </cell>
        </row>
        <row r="277">
          <cell r="B277" t="str">
            <v>KC Painan</v>
          </cell>
          <cell r="G277">
            <v>0.94117647058823528</v>
          </cell>
        </row>
        <row r="278">
          <cell r="B278" t="str">
            <v>KC Palangkaraya</v>
          </cell>
          <cell r="G278">
            <v>0.97222222222222221</v>
          </cell>
        </row>
        <row r="279">
          <cell r="B279" t="str">
            <v>KC Palembang A. Rivai</v>
          </cell>
          <cell r="G279">
            <v>1</v>
          </cell>
        </row>
        <row r="280">
          <cell r="B280" t="str">
            <v>KC Palembang Sriwijaya</v>
          </cell>
          <cell r="G280">
            <v>1</v>
          </cell>
        </row>
        <row r="281">
          <cell r="B281" t="str">
            <v>KC Palopo</v>
          </cell>
          <cell r="G281">
            <v>0.97222222222222221</v>
          </cell>
        </row>
        <row r="282">
          <cell r="B282" t="str">
            <v>KC Palu</v>
          </cell>
          <cell r="G282">
            <v>1</v>
          </cell>
        </row>
        <row r="283">
          <cell r="B283" t="str">
            <v>KC Pamanukan</v>
          </cell>
          <cell r="G283">
            <v>1</v>
          </cell>
        </row>
        <row r="284">
          <cell r="B284" t="str">
            <v>KC Pamekasan</v>
          </cell>
          <cell r="G284">
            <v>0.96666666666666667</v>
          </cell>
        </row>
        <row r="285">
          <cell r="B285" t="str">
            <v>KC Pamulang</v>
          </cell>
          <cell r="G285">
            <v>0.98734177215189878</v>
          </cell>
        </row>
        <row r="286">
          <cell r="B286" t="str">
            <v>KC Panakkukang</v>
          </cell>
          <cell r="G286">
            <v>0.95</v>
          </cell>
        </row>
        <row r="287">
          <cell r="B287" t="str">
            <v>KC Pandeglang</v>
          </cell>
          <cell r="G287">
            <v>0.81818181818181823</v>
          </cell>
        </row>
        <row r="288">
          <cell r="B288" t="str">
            <v>KC Pangkal Pinang</v>
          </cell>
          <cell r="G288">
            <v>1</v>
          </cell>
        </row>
        <row r="289">
          <cell r="B289" t="str">
            <v>KC Pangkalan Bun</v>
          </cell>
          <cell r="G289">
            <v>0.9850746268656716</v>
          </cell>
        </row>
        <row r="290">
          <cell r="B290" t="str">
            <v>KC Pangkalan Kerinci</v>
          </cell>
          <cell r="G290">
            <v>1</v>
          </cell>
        </row>
        <row r="291">
          <cell r="B291" t="str">
            <v>KC Pangkep</v>
          </cell>
          <cell r="G291">
            <v>1</v>
          </cell>
        </row>
        <row r="292">
          <cell r="B292" t="str">
            <v>KC Panyabungan</v>
          </cell>
          <cell r="G292">
            <v>0.89473684210526316</v>
          </cell>
        </row>
        <row r="293">
          <cell r="B293" t="str">
            <v>KC Parakan</v>
          </cell>
          <cell r="G293">
            <v>1</v>
          </cell>
        </row>
        <row r="294">
          <cell r="B294" t="str">
            <v>KC Pare</v>
          </cell>
          <cell r="G294">
            <v>1</v>
          </cell>
        </row>
        <row r="295">
          <cell r="B295" t="str">
            <v>KC Pare-Pare</v>
          </cell>
          <cell r="G295">
            <v>1</v>
          </cell>
        </row>
        <row r="296">
          <cell r="B296" t="str">
            <v>KC Pariaman</v>
          </cell>
          <cell r="G296">
            <v>0.97142857142857142</v>
          </cell>
        </row>
        <row r="297">
          <cell r="B297" t="str">
            <v>KC Parigi</v>
          </cell>
          <cell r="G297">
            <v>1</v>
          </cell>
        </row>
        <row r="298">
          <cell r="B298" t="str">
            <v>KC Pasir Pengaraian</v>
          </cell>
          <cell r="G298">
            <v>1</v>
          </cell>
        </row>
        <row r="299">
          <cell r="B299" t="str">
            <v>KC Pasuruan</v>
          </cell>
          <cell r="G299">
            <v>0.967741935483871</v>
          </cell>
        </row>
        <row r="300">
          <cell r="B300" t="str">
            <v>KC Pati</v>
          </cell>
          <cell r="G300">
            <v>0.95454545454545459</v>
          </cell>
        </row>
        <row r="301">
          <cell r="B301" t="str">
            <v>KC Payakumbuh</v>
          </cell>
          <cell r="G301">
            <v>0.98148148148148151</v>
          </cell>
        </row>
        <row r="302">
          <cell r="B302" t="str">
            <v>KC Pekalongan</v>
          </cell>
          <cell r="G302">
            <v>0.967741935483871</v>
          </cell>
        </row>
        <row r="303">
          <cell r="B303" t="str">
            <v>KC Pekanbaru Lancang Kuning</v>
          </cell>
          <cell r="G303">
            <v>0.88235294117647056</v>
          </cell>
        </row>
        <row r="304">
          <cell r="B304" t="str">
            <v>KC Pekanbaru Sudirman</v>
          </cell>
          <cell r="G304">
            <v>0.9726027397260274</v>
          </cell>
        </row>
        <row r="305">
          <cell r="B305" t="str">
            <v>KC Pekanbaru Tuanku Tambusai</v>
          </cell>
          <cell r="G305">
            <v>1</v>
          </cell>
        </row>
        <row r="306">
          <cell r="B306" t="str">
            <v>KC Pemalang</v>
          </cell>
          <cell r="G306">
            <v>1</v>
          </cell>
        </row>
        <row r="307">
          <cell r="B307" t="str">
            <v>KC Pematang Siantar</v>
          </cell>
          <cell r="G307">
            <v>0.98888888888888893</v>
          </cell>
        </row>
        <row r="308">
          <cell r="B308" t="str">
            <v>KC Perawang</v>
          </cell>
          <cell r="G308">
            <v>1</v>
          </cell>
        </row>
        <row r="309">
          <cell r="B309" t="str">
            <v>KC Perdagangan</v>
          </cell>
          <cell r="G309">
            <v>1</v>
          </cell>
        </row>
        <row r="310">
          <cell r="B310" t="str">
            <v>KC Pinrang</v>
          </cell>
          <cell r="G310">
            <v>1</v>
          </cell>
        </row>
        <row r="311">
          <cell r="B311" t="str">
            <v>KC Pleihari</v>
          </cell>
          <cell r="G311">
            <v>0.88235294117647056</v>
          </cell>
        </row>
        <row r="312">
          <cell r="B312" t="str">
            <v>KC POGOGUL BUOL</v>
          </cell>
          <cell r="G312">
            <v>1</v>
          </cell>
        </row>
        <row r="313">
          <cell r="B313" t="str">
            <v>KC Polewali</v>
          </cell>
          <cell r="G313">
            <v>1</v>
          </cell>
        </row>
        <row r="314">
          <cell r="B314" t="str">
            <v>KC Pondok Gede</v>
          </cell>
          <cell r="G314">
            <v>0.99130434782608701</v>
          </cell>
        </row>
        <row r="315">
          <cell r="B315" t="str">
            <v>KC Ponorogo</v>
          </cell>
          <cell r="G315">
            <v>1</v>
          </cell>
        </row>
        <row r="316">
          <cell r="B316" t="str">
            <v>KC Pontianak</v>
          </cell>
          <cell r="G316">
            <v>0.98098859315589348</v>
          </cell>
        </row>
        <row r="317">
          <cell r="B317" t="str">
            <v>KC Pontianak Gajah Mada</v>
          </cell>
          <cell r="G317">
            <v>0.94736842105263153</v>
          </cell>
        </row>
        <row r="318">
          <cell r="B318" t="str">
            <v>KC Poso</v>
          </cell>
          <cell r="G318">
            <v>1</v>
          </cell>
        </row>
        <row r="319">
          <cell r="B319" t="str">
            <v>KC Prabumulih</v>
          </cell>
          <cell r="G319">
            <v>1</v>
          </cell>
        </row>
        <row r="320">
          <cell r="B320" t="str">
            <v>KC Praya</v>
          </cell>
          <cell r="G320">
            <v>1</v>
          </cell>
        </row>
        <row r="321">
          <cell r="B321" t="str">
            <v>KC Pringsewu</v>
          </cell>
          <cell r="G321">
            <v>1</v>
          </cell>
        </row>
        <row r="322">
          <cell r="B322" t="str">
            <v>KC Probolinggo</v>
          </cell>
          <cell r="G322">
            <v>0.967741935483871</v>
          </cell>
        </row>
        <row r="323">
          <cell r="B323" t="str">
            <v>KC PULAU ARU</v>
          </cell>
          <cell r="G323">
            <v>0.95</v>
          </cell>
        </row>
        <row r="324">
          <cell r="B324" t="str">
            <v>KC Purbalingga</v>
          </cell>
          <cell r="G324">
            <v>1</v>
          </cell>
        </row>
        <row r="325">
          <cell r="B325" t="str">
            <v>KC Purwakarta</v>
          </cell>
          <cell r="G325">
            <v>0.96666666666666667</v>
          </cell>
        </row>
        <row r="326">
          <cell r="B326" t="str">
            <v>KC Purwodadi</v>
          </cell>
          <cell r="G326">
            <v>1</v>
          </cell>
        </row>
        <row r="327">
          <cell r="B327" t="str">
            <v>KC Purwokerto</v>
          </cell>
          <cell r="G327">
            <v>0.9921875</v>
          </cell>
        </row>
        <row r="328">
          <cell r="B328" t="str">
            <v>KC Purworejo</v>
          </cell>
          <cell r="G328">
            <v>1</v>
          </cell>
        </row>
        <row r="329">
          <cell r="B329" t="str">
            <v>KC Putussibau</v>
          </cell>
          <cell r="G329">
            <v>0.96153846153846156</v>
          </cell>
        </row>
        <row r="330">
          <cell r="B330" t="str">
            <v>KC Raba Bima</v>
          </cell>
          <cell r="G330">
            <v>1</v>
          </cell>
        </row>
        <row r="331">
          <cell r="B331" t="str">
            <v>KC Raha</v>
          </cell>
          <cell r="G331">
            <v>1</v>
          </cell>
        </row>
        <row r="332">
          <cell r="B332" t="str">
            <v>KC Rangkasbitung</v>
          </cell>
          <cell r="G332">
            <v>0.92</v>
          </cell>
        </row>
        <row r="333">
          <cell r="B333" t="str">
            <v>KC Rantau</v>
          </cell>
          <cell r="G333">
            <v>1</v>
          </cell>
        </row>
        <row r="334">
          <cell r="B334" t="str">
            <v>KC Rantau Prapat</v>
          </cell>
          <cell r="G334">
            <v>1</v>
          </cell>
        </row>
        <row r="335">
          <cell r="B335" t="str">
            <v>KC Rantepao</v>
          </cell>
          <cell r="G335">
            <v>1</v>
          </cell>
        </row>
        <row r="336">
          <cell r="B336" t="str">
            <v>KC Rembang</v>
          </cell>
          <cell r="G336">
            <v>1</v>
          </cell>
        </row>
        <row r="337">
          <cell r="B337" t="str">
            <v>KC Rengat</v>
          </cell>
          <cell r="G337">
            <v>1</v>
          </cell>
        </row>
        <row r="338">
          <cell r="B338" t="str">
            <v>KC Rimbo Bujang</v>
          </cell>
          <cell r="G338">
            <v>1</v>
          </cell>
        </row>
        <row r="339">
          <cell r="B339" t="str">
            <v>KC Ruteng</v>
          </cell>
          <cell r="G339">
            <v>1</v>
          </cell>
        </row>
        <row r="340">
          <cell r="B340" t="str">
            <v>KC Salatiga</v>
          </cell>
          <cell r="G340">
            <v>0.93333333333333335</v>
          </cell>
        </row>
        <row r="341">
          <cell r="B341" t="str">
            <v>KC SAMARINDA GAJAH MADA</v>
          </cell>
          <cell r="G341">
            <v>0.95161290322580649</v>
          </cell>
        </row>
        <row r="342">
          <cell r="B342" t="str">
            <v>KC SAMARINDA PELITA</v>
          </cell>
          <cell r="G342">
            <v>0.92307692307692313</v>
          </cell>
        </row>
        <row r="343">
          <cell r="B343" t="str">
            <v>KC Sampang</v>
          </cell>
          <cell r="G343">
            <v>1</v>
          </cell>
        </row>
        <row r="344">
          <cell r="B344" t="str">
            <v>KC Sampit</v>
          </cell>
          <cell r="G344">
            <v>0.98181818181818181</v>
          </cell>
        </row>
        <row r="345">
          <cell r="B345" t="str">
            <v>KC Sangatta</v>
          </cell>
          <cell r="G345">
            <v>1</v>
          </cell>
        </row>
        <row r="346">
          <cell r="B346" t="str">
            <v>KC Sanggau</v>
          </cell>
          <cell r="G346">
            <v>1</v>
          </cell>
        </row>
        <row r="347">
          <cell r="B347" t="str">
            <v>KC Sarolangun</v>
          </cell>
          <cell r="G347">
            <v>1</v>
          </cell>
        </row>
        <row r="348">
          <cell r="B348" t="str">
            <v>KC Saumlaki</v>
          </cell>
          <cell r="G348">
            <v>1</v>
          </cell>
        </row>
        <row r="349">
          <cell r="B349" t="str">
            <v>KC Sekayu</v>
          </cell>
          <cell r="G349">
            <v>0.98780487804878048</v>
          </cell>
        </row>
        <row r="350">
          <cell r="B350" t="str">
            <v>KC Selat Panjang</v>
          </cell>
          <cell r="G350">
            <v>1</v>
          </cell>
        </row>
        <row r="351">
          <cell r="B351" t="str">
            <v>KC Selong</v>
          </cell>
          <cell r="G351">
            <v>0.97872340425531912</v>
          </cell>
        </row>
        <row r="352">
          <cell r="B352" t="str">
            <v>KC Semarang A. Yani</v>
          </cell>
          <cell r="G352">
            <v>0.98947368421052628</v>
          </cell>
        </row>
        <row r="353">
          <cell r="B353" t="str">
            <v>KC Semarang Pandanaran</v>
          </cell>
          <cell r="G353">
            <v>0.9850746268656716</v>
          </cell>
        </row>
        <row r="354">
          <cell r="B354" t="str">
            <v>KC Semarang Patimura</v>
          </cell>
          <cell r="G354">
            <v>0.94285714285714284</v>
          </cell>
        </row>
        <row r="355">
          <cell r="B355" t="str">
            <v>KC Semarapura</v>
          </cell>
          <cell r="G355">
            <v>1</v>
          </cell>
        </row>
        <row r="356">
          <cell r="B356" t="str">
            <v>KC Sendawar</v>
          </cell>
          <cell r="G356">
            <v>1</v>
          </cell>
        </row>
        <row r="357">
          <cell r="B357" t="str">
            <v>KC Sengkang</v>
          </cell>
          <cell r="G357">
            <v>1</v>
          </cell>
        </row>
        <row r="358">
          <cell r="B358" t="str">
            <v>KC Sentani</v>
          </cell>
          <cell r="G358">
            <v>1</v>
          </cell>
        </row>
        <row r="359">
          <cell r="B359" t="str">
            <v>KC Serang</v>
          </cell>
          <cell r="G359">
            <v>0.93125000000000002</v>
          </cell>
        </row>
        <row r="360">
          <cell r="B360" t="str">
            <v>KC Serui</v>
          </cell>
          <cell r="G360">
            <v>0.91666666666666663</v>
          </cell>
        </row>
        <row r="361">
          <cell r="B361" t="str">
            <v>KC Siak</v>
          </cell>
          <cell r="G361">
            <v>1</v>
          </cell>
        </row>
        <row r="362">
          <cell r="B362" t="str">
            <v>KC Sibolga</v>
          </cell>
          <cell r="G362">
            <v>0.97058823529411764</v>
          </cell>
        </row>
        <row r="363">
          <cell r="B363" t="str">
            <v>KC Sibuhuan</v>
          </cell>
          <cell r="G363">
            <v>1</v>
          </cell>
        </row>
        <row r="364">
          <cell r="B364" t="str">
            <v>KC Sidikalang</v>
          </cell>
          <cell r="G364">
            <v>0.96296296296296291</v>
          </cell>
        </row>
        <row r="365">
          <cell r="B365" t="str">
            <v>KC Sidoarjo</v>
          </cell>
          <cell r="G365">
            <v>0.95833333333333337</v>
          </cell>
        </row>
        <row r="366">
          <cell r="B366" t="str">
            <v>KC Sidrap</v>
          </cell>
          <cell r="G366">
            <v>1</v>
          </cell>
        </row>
        <row r="367">
          <cell r="B367" t="str">
            <v>KC Sijunjung</v>
          </cell>
          <cell r="G367">
            <v>0.97058823529411764</v>
          </cell>
        </row>
        <row r="368">
          <cell r="B368" t="str">
            <v>KC Simpang Empat</v>
          </cell>
          <cell r="G368">
            <v>0.98305084745762716</v>
          </cell>
        </row>
        <row r="369">
          <cell r="B369" t="str">
            <v>KC Singaparna</v>
          </cell>
          <cell r="G369">
            <v>1</v>
          </cell>
        </row>
        <row r="370">
          <cell r="B370" t="str">
            <v>KC Singaraja</v>
          </cell>
          <cell r="G370">
            <v>1</v>
          </cell>
        </row>
        <row r="371">
          <cell r="B371" t="str">
            <v>KC Singkawang</v>
          </cell>
          <cell r="G371">
            <v>1</v>
          </cell>
        </row>
        <row r="372">
          <cell r="B372" t="str">
            <v>KC Sinjai</v>
          </cell>
          <cell r="G372">
            <v>0.97142857142857142</v>
          </cell>
        </row>
        <row r="373">
          <cell r="B373" t="str">
            <v>KC Sintang</v>
          </cell>
          <cell r="G373">
            <v>1</v>
          </cell>
        </row>
        <row r="374">
          <cell r="B374" t="str">
            <v>KC Situbondo</v>
          </cell>
          <cell r="G374">
            <v>1</v>
          </cell>
        </row>
        <row r="375">
          <cell r="B375" t="str">
            <v>KC Slawi</v>
          </cell>
          <cell r="G375">
            <v>1</v>
          </cell>
        </row>
        <row r="376">
          <cell r="B376" t="str">
            <v>KC Sleman</v>
          </cell>
          <cell r="G376">
            <v>1</v>
          </cell>
        </row>
        <row r="377">
          <cell r="B377" t="str">
            <v>KC Soa-Sio</v>
          </cell>
          <cell r="G377">
            <v>1</v>
          </cell>
        </row>
        <row r="378">
          <cell r="B378" t="str">
            <v>KC Soe</v>
          </cell>
          <cell r="G378">
            <v>1</v>
          </cell>
        </row>
        <row r="379">
          <cell r="B379" t="str">
            <v>KC Solo - Sudirman</v>
          </cell>
          <cell r="G379">
            <v>0.97222222222222221</v>
          </cell>
        </row>
        <row r="380">
          <cell r="B380" t="str">
            <v>KC Solo Baru</v>
          </cell>
          <cell r="G380">
            <v>1</v>
          </cell>
        </row>
        <row r="381">
          <cell r="B381" t="str">
            <v>KC Solo Kartasura</v>
          </cell>
          <cell r="G381">
            <v>1</v>
          </cell>
        </row>
        <row r="382">
          <cell r="B382" t="str">
            <v>KC Solo Slamet Riyadi</v>
          </cell>
          <cell r="G382">
            <v>0.98630136986301364</v>
          </cell>
        </row>
        <row r="383">
          <cell r="B383" t="str">
            <v>KC Solok</v>
          </cell>
          <cell r="G383">
            <v>0.9838709677419355</v>
          </cell>
        </row>
        <row r="384">
          <cell r="B384" t="str">
            <v>KC Soreang</v>
          </cell>
          <cell r="G384">
            <v>0.90476190476190477</v>
          </cell>
        </row>
        <row r="385">
          <cell r="B385" t="str">
            <v>KC Sorong</v>
          </cell>
          <cell r="G385">
            <v>0.98901098901098905</v>
          </cell>
        </row>
        <row r="386">
          <cell r="B386" t="str">
            <v>KC Sragen</v>
          </cell>
          <cell r="G386">
            <v>1</v>
          </cell>
        </row>
        <row r="387">
          <cell r="B387" t="str">
            <v>KC Stabat</v>
          </cell>
          <cell r="G387">
            <v>0.98039215686274506</v>
          </cell>
        </row>
        <row r="388">
          <cell r="B388" t="str">
            <v>KC Subang</v>
          </cell>
          <cell r="G388">
            <v>0.97058823529411764</v>
          </cell>
        </row>
        <row r="389">
          <cell r="B389" t="str">
            <v>KC SUDIRMAN SEMANGGI</v>
          </cell>
          <cell r="G389">
            <v>0.91176470588235292</v>
          </cell>
        </row>
        <row r="390">
          <cell r="B390" t="str">
            <v>KC Sukabumi</v>
          </cell>
          <cell r="G390">
            <v>0.97674418604651159</v>
          </cell>
        </row>
        <row r="391">
          <cell r="B391" t="str">
            <v>KC Sukoharjo</v>
          </cell>
          <cell r="G391">
            <v>1</v>
          </cell>
        </row>
        <row r="392">
          <cell r="B392" t="str">
            <v>KC Sumbawa Besar</v>
          </cell>
          <cell r="G392">
            <v>1</v>
          </cell>
        </row>
        <row r="393">
          <cell r="B393" t="str">
            <v>KC Sumedang</v>
          </cell>
          <cell r="G393">
            <v>0.99090909090909096</v>
          </cell>
        </row>
        <row r="394">
          <cell r="B394" t="str">
            <v>KC Sumenep</v>
          </cell>
          <cell r="G394">
            <v>1</v>
          </cell>
        </row>
        <row r="395">
          <cell r="B395" t="str">
            <v>KC Sungai Liat</v>
          </cell>
          <cell r="G395">
            <v>1</v>
          </cell>
        </row>
        <row r="396">
          <cell r="B396" t="str">
            <v>KC Sungai Penuh</v>
          </cell>
          <cell r="G396">
            <v>0.97142857142857142</v>
          </cell>
        </row>
        <row r="397">
          <cell r="B397" t="str">
            <v>KC Sungguminasa</v>
          </cell>
          <cell r="G397">
            <v>0.98863636363636365</v>
          </cell>
        </row>
        <row r="398">
          <cell r="B398" t="str">
            <v>KC Surabaya Diponegoro</v>
          </cell>
          <cell r="G398">
            <v>0.97435897435897434</v>
          </cell>
        </row>
        <row r="399">
          <cell r="B399" t="str">
            <v>KC Surabaya HR Muhammad</v>
          </cell>
          <cell r="G399">
            <v>1</v>
          </cell>
        </row>
        <row r="400">
          <cell r="B400" t="str">
            <v>KC Surabaya Jemursari</v>
          </cell>
          <cell r="G400">
            <v>1</v>
          </cell>
        </row>
        <row r="401">
          <cell r="B401" t="str">
            <v>KC Surabaya Kaliasin</v>
          </cell>
          <cell r="G401">
            <v>0.9642857142857143</v>
          </cell>
        </row>
        <row r="402">
          <cell r="B402" t="str">
            <v>KC Surabaya Kertajaya</v>
          </cell>
          <cell r="G402">
            <v>0.96875</v>
          </cell>
        </row>
        <row r="403">
          <cell r="B403" t="str">
            <v>KC Surabaya Kusuma bangsa</v>
          </cell>
          <cell r="G403">
            <v>1</v>
          </cell>
        </row>
        <row r="404">
          <cell r="B404" t="str">
            <v>KC Surabaya Pahlawan</v>
          </cell>
          <cell r="G404">
            <v>0.98076923076923073</v>
          </cell>
        </row>
        <row r="405">
          <cell r="B405" t="str">
            <v>KC Surabaya Rajawali</v>
          </cell>
          <cell r="G405">
            <v>1</v>
          </cell>
        </row>
        <row r="406">
          <cell r="B406" t="str">
            <v>KC Surabaya Tanjung Perak</v>
          </cell>
          <cell r="G406">
            <v>0.94594594594594594</v>
          </cell>
        </row>
        <row r="407">
          <cell r="B407" t="str">
            <v>KC Tabanan</v>
          </cell>
          <cell r="G407">
            <v>1</v>
          </cell>
        </row>
        <row r="408">
          <cell r="B408" t="str">
            <v>KC Tabanan Kediri</v>
          </cell>
          <cell r="G408">
            <v>1</v>
          </cell>
        </row>
        <row r="409">
          <cell r="B409" t="str">
            <v>KC Tahuna</v>
          </cell>
          <cell r="G409">
            <v>1</v>
          </cell>
        </row>
        <row r="410">
          <cell r="B410" t="str">
            <v>KC Takalar</v>
          </cell>
          <cell r="G410">
            <v>1</v>
          </cell>
        </row>
        <row r="411">
          <cell r="B411" t="str">
            <v>KC Tamalanrea</v>
          </cell>
          <cell r="G411">
            <v>0.97546012269938653</v>
          </cell>
        </row>
        <row r="412">
          <cell r="B412" t="str">
            <v>KC Tambun</v>
          </cell>
          <cell r="G412">
            <v>0.98734177215189878</v>
          </cell>
        </row>
        <row r="413">
          <cell r="B413" t="str">
            <v>KC Tanah Grogot</v>
          </cell>
          <cell r="G413">
            <v>1</v>
          </cell>
        </row>
        <row r="414">
          <cell r="B414" t="str">
            <v>KC Tangerang City</v>
          </cell>
          <cell r="G414">
            <v>0.94594594594594594</v>
          </cell>
        </row>
        <row r="415">
          <cell r="B415" t="str">
            <v>KC Tangerang Merdeka</v>
          </cell>
          <cell r="G415">
            <v>0.97297297297297303</v>
          </cell>
        </row>
        <row r="416">
          <cell r="B416" t="str">
            <v>KC Tanjung Balai</v>
          </cell>
          <cell r="G416">
            <v>1</v>
          </cell>
        </row>
        <row r="417">
          <cell r="B417" t="str">
            <v>KC Tanjung Balai Karimun</v>
          </cell>
          <cell r="G417">
            <v>0.98666666666666669</v>
          </cell>
        </row>
        <row r="418">
          <cell r="B418" t="str">
            <v>KC Tanjung Karang</v>
          </cell>
          <cell r="G418">
            <v>0.98425196850393704</v>
          </cell>
        </row>
        <row r="419">
          <cell r="B419" t="str">
            <v>KC Tanjung Pandan</v>
          </cell>
          <cell r="G419">
            <v>1</v>
          </cell>
        </row>
        <row r="420">
          <cell r="B420" t="str">
            <v>KC Tanjung Pinang</v>
          </cell>
          <cell r="G420">
            <v>0.99568965517241381</v>
          </cell>
        </row>
        <row r="421">
          <cell r="B421" t="str">
            <v>KC Tanjung Redeb</v>
          </cell>
          <cell r="G421">
            <v>0.967741935483871</v>
          </cell>
        </row>
        <row r="422">
          <cell r="B422" t="str">
            <v>KC Tanjung Selor</v>
          </cell>
          <cell r="G422">
            <v>0.9555555555555556</v>
          </cell>
        </row>
        <row r="423">
          <cell r="B423" t="str">
            <v>KC Tanjung Tabalong</v>
          </cell>
          <cell r="G423">
            <v>1</v>
          </cell>
        </row>
        <row r="424">
          <cell r="B424" t="str">
            <v>KC Tarakan</v>
          </cell>
          <cell r="G424">
            <v>0.9821428571428571</v>
          </cell>
        </row>
        <row r="425">
          <cell r="B425" t="str">
            <v>KC Tarutung</v>
          </cell>
          <cell r="G425">
            <v>1</v>
          </cell>
        </row>
        <row r="426">
          <cell r="B426" t="str">
            <v>KC Tasikmalaya</v>
          </cell>
          <cell r="G426">
            <v>0.92307692307692313</v>
          </cell>
        </row>
        <row r="427">
          <cell r="B427" t="str">
            <v>KC Tebing Tinggi</v>
          </cell>
          <cell r="G427">
            <v>1</v>
          </cell>
        </row>
        <row r="428">
          <cell r="B428" t="str">
            <v>KC Tegal</v>
          </cell>
          <cell r="G428">
            <v>1</v>
          </cell>
        </row>
        <row r="429">
          <cell r="B429" t="str">
            <v>KC Teluk Betung</v>
          </cell>
          <cell r="G429">
            <v>1</v>
          </cell>
        </row>
        <row r="430">
          <cell r="B430" t="str">
            <v>KC Teluk Kuantan</v>
          </cell>
          <cell r="G430">
            <v>1</v>
          </cell>
        </row>
        <row r="431">
          <cell r="B431" t="str">
            <v>KC Temanggung</v>
          </cell>
          <cell r="G431">
            <v>1</v>
          </cell>
        </row>
        <row r="432">
          <cell r="B432" t="str">
            <v>KC Tembilahan</v>
          </cell>
          <cell r="G432">
            <v>0.88888888888888884</v>
          </cell>
        </row>
        <row r="433">
          <cell r="B433" t="str">
            <v>KC Tenggarong</v>
          </cell>
          <cell r="G433">
            <v>0.96491228070175439</v>
          </cell>
        </row>
        <row r="434">
          <cell r="B434" t="str">
            <v>KC Ternate</v>
          </cell>
          <cell r="G434">
            <v>0.97727272727272729</v>
          </cell>
        </row>
        <row r="435">
          <cell r="B435" t="str">
            <v>KC Timika</v>
          </cell>
          <cell r="G435">
            <v>0.95652173913043481</v>
          </cell>
        </row>
        <row r="436">
          <cell r="B436" t="str">
            <v>KC Tobelo</v>
          </cell>
          <cell r="G436">
            <v>1</v>
          </cell>
        </row>
        <row r="437">
          <cell r="B437" t="str">
            <v>KC Toli-Toli</v>
          </cell>
          <cell r="G437">
            <v>1</v>
          </cell>
        </row>
        <row r="438">
          <cell r="B438" t="str">
            <v>KC Tondano</v>
          </cell>
          <cell r="G438">
            <v>1</v>
          </cell>
        </row>
        <row r="439">
          <cell r="B439" t="str">
            <v>KC Trenggalek</v>
          </cell>
          <cell r="G439">
            <v>1</v>
          </cell>
        </row>
        <row r="440">
          <cell r="B440" t="str">
            <v>KC Tuban</v>
          </cell>
          <cell r="G440">
            <v>0.90909090909090906</v>
          </cell>
        </row>
        <row r="441">
          <cell r="B441" t="str">
            <v>KC Tulang Bawang</v>
          </cell>
          <cell r="G441">
            <v>0.94736842105263153</v>
          </cell>
        </row>
        <row r="442">
          <cell r="B442" t="str">
            <v>KC Tulungagung</v>
          </cell>
          <cell r="G442">
            <v>0.94444444444444442</v>
          </cell>
        </row>
        <row r="443">
          <cell r="B443" t="str">
            <v>KC Ujung Batu</v>
          </cell>
          <cell r="G443">
            <v>1</v>
          </cell>
        </row>
        <row r="444">
          <cell r="B444" t="str">
            <v>KC Ungaran</v>
          </cell>
          <cell r="G444">
            <v>1</v>
          </cell>
        </row>
        <row r="445">
          <cell r="B445" t="str">
            <v>KC Waikabubak</v>
          </cell>
          <cell r="G445">
            <v>1</v>
          </cell>
        </row>
        <row r="446">
          <cell r="B446" t="str">
            <v>KC Waingapu</v>
          </cell>
          <cell r="G446">
            <v>1</v>
          </cell>
        </row>
        <row r="447">
          <cell r="B447" t="str">
            <v>KC Wamena</v>
          </cell>
          <cell r="G447">
            <v>1</v>
          </cell>
        </row>
        <row r="448">
          <cell r="B448" t="str">
            <v>KC Waru</v>
          </cell>
          <cell r="G448">
            <v>1</v>
          </cell>
        </row>
        <row r="449">
          <cell r="B449" t="str">
            <v>KC Watampone</v>
          </cell>
          <cell r="G449">
            <v>0.99337748344370858</v>
          </cell>
        </row>
        <row r="450">
          <cell r="B450" t="str">
            <v>KC Watansopeng</v>
          </cell>
          <cell r="G450">
            <v>1</v>
          </cell>
        </row>
        <row r="451">
          <cell r="B451" t="str">
            <v>KC Wates</v>
          </cell>
          <cell r="G451">
            <v>0.96</v>
          </cell>
        </row>
        <row r="452">
          <cell r="B452" t="str">
            <v>KC Wonogiri</v>
          </cell>
          <cell r="G452">
            <v>1</v>
          </cell>
        </row>
        <row r="453">
          <cell r="B453" t="str">
            <v>KC Wonosari</v>
          </cell>
          <cell r="G453">
            <v>1</v>
          </cell>
        </row>
        <row r="454">
          <cell r="B454" t="str">
            <v>KC Wonosobo</v>
          </cell>
          <cell r="G454">
            <v>0.9375</v>
          </cell>
        </row>
        <row r="455">
          <cell r="B455" t="str">
            <v>KC Yogyakarta Adisucipto</v>
          </cell>
          <cell r="G455">
            <v>0.99285714285714288</v>
          </cell>
        </row>
        <row r="456">
          <cell r="B456" t="str">
            <v>KC Yogyakarta Cik Ditiro</v>
          </cell>
          <cell r="G456">
            <v>0.99333333333333329</v>
          </cell>
        </row>
        <row r="457">
          <cell r="B457" t="str">
            <v>KC Yogyakarta Katamso</v>
          </cell>
          <cell r="G457">
            <v>1</v>
          </cell>
        </row>
        <row r="458">
          <cell r="B458" t="str">
            <v>KC Yogyakarta Mlati</v>
          </cell>
          <cell r="G458">
            <v>0.97802197802197799</v>
          </cell>
        </row>
        <row r="459">
          <cell r="B459" t="str">
            <v xml:space="preserve">KC Malang Sutoyo              </v>
          </cell>
          <cell r="G459">
            <v>1</v>
          </cell>
        </row>
        <row r="460">
          <cell r="B460" t="str">
            <v xml:space="preserve">KC Malang Sutoyo                        </v>
          </cell>
          <cell r="G460">
            <v>1</v>
          </cell>
        </row>
        <row r="461">
          <cell r="B461" t="str">
            <v xml:space="preserve">KC Mamuju                     </v>
          </cell>
          <cell r="G461">
            <v>1</v>
          </cell>
        </row>
        <row r="462">
          <cell r="B462" t="str">
            <v xml:space="preserve">KC Mamuju                               </v>
          </cell>
          <cell r="G462">
            <v>1</v>
          </cell>
        </row>
        <row r="463">
          <cell r="B463" t="str">
            <v xml:space="preserve">KC Manado                     </v>
          </cell>
          <cell r="G463">
            <v>1</v>
          </cell>
        </row>
        <row r="464">
          <cell r="B464" t="str">
            <v xml:space="preserve">KC Manado                               </v>
          </cell>
          <cell r="G464">
            <v>1</v>
          </cell>
        </row>
        <row r="465">
          <cell r="B465" t="str">
            <v xml:space="preserve">KC Manado Boulevard           </v>
          </cell>
          <cell r="G465">
            <v>1</v>
          </cell>
        </row>
        <row r="466">
          <cell r="B466" t="str">
            <v xml:space="preserve">KC Manado Boulevard                     </v>
          </cell>
          <cell r="G466">
            <v>1</v>
          </cell>
        </row>
        <row r="467">
          <cell r="B467" t="str">
            <v xml:space="preserve">KC Manna                      </v>
          </cell>
          <cell r="G467">
            <v>1</v>
          </cell>
        </row>
        <row r="468">
          <cell r="B468" t="str">
            <v xml:space="preserve">KC Manna                                </v>
          </cell>
          <cell r="G468">
            <v>1</v>
          </cell>
        </row>
        <row r="469">
          <cell r="B469" t="str">
            <v xml:space="preserve">KC Manokwari                  </v>
          </cell>
          <cell r="G469">
            <v>1</v>
          </cell>
        </row>
        <row r="470">
          <cell r="B470" t="str">
            <v xml:space="preserve">KC Manokwari                            </v>
          </cell>
          <cell r="G470">
            <v>1</v>
          </cell>
        </row>
        <row r="471">
          <cell r="B471" t="str">
            <v xml:space="preserve">KC Manukan                    </v>
          </cell>
          <cell r="G471">
            <v>1</v>
          </cell>
        </row>
        <row r="472">
          <cell r="B472" t="str">
            <v xml:space="preserve">KC Manukan                              </v>
          </cell>
          <cell r="G472">
            <v>0.90909090909090906</v>
          </cell>
        </row>
        <row r="473">
          <cell r="B473" t="str">
            <v xml:space="preserve">KC Marabahan                  </v>
          </cell>
          <cell r="G473">
            <v>1</v>
          </cell>
        </row>
        <row r="474">
          <cell r="B474" t="str">
            <v xml:space="preserve">KC Marabahan                            </v>
          </cell>
          <cell r="G474">
            <v>0.69230769230769229</v>
          </cell>
        </row>
        <row r="475">
          <cell r="B475" t="str">
            <v xml:space="preserve">KC Marisa                     </v>
          </cell>
          <cell r="G475">
            <v>1</v>
          </cell>
        </row>
        <row r="476">
          <cell r="B476" t="str">
            <v xml:space="preserve">KC Marisa                               </v>
          </cell>
          <cell r="G476">
            <v>1</v>
          </cell>
        </row>
        <row r="477">
          <cell r="B477" t="str">
            <v xml:space="preserve">KC Maros                      </v>
          </cell>
          <cell r="G477">
            <v>1</v>
          </cell>
        </row>
        <row r="478">
          <cell r="B478" t="str">
            <v xml:space="preserve">KC Maros                                </v>
          </cell>
          <cell r="G478">
            <v>1</v>
          </cell>
        </row>
        <row r="479">
          <cell r="B479" t="str">
            <v xml:space="preserve">KC Martapura                  </v>
          </cell>
          <cell r="G479">
            <v>1</v>
          </cell>
        </row>
        <row r="480">
          <cell r="B480" t="str">
            <v xml:space="preserve">KC Martapura                            </v>
          </cell>
          <cell r="G480">
            <v>0.98484848484848486</v>
          </cell>
        </row>
        <row r="481">
          <cell r="B481" t="str">
            <v xml:space="preserve">KC Masamba                    </v>
          </cell>
          <cell r="G481">
            <v>1</v>
          </cell>
        </row>
        <row r="482">
          <cell r="B482" t="str">
            <v xml:space="preserve">KC Masamba                              </v>
          </cell>
          <cell r="G482">
            <v>1</v>
          </cell>
        </row>
        <row r="483">
          <cell r="B483" t="str">
            <v xml:space="preserve">KC Masohi                     </v>
          </cell>
          <cell r="G483">
            <v>1</v>
          </cell>
        </row>
        <row r="484">
          <cell r="B484" t="str">
            <v xml:space="preserve">KC Masohi                               </v>
          </cell>
          <cell r="G484">
            <v>1</v>
          </cell>
        </row>
        <row r="485">
          <cell r="B485" t="str">
            <v xml:space="preserve">KC Mataram                    </v>
          </cell>
          <cell r="G485">
            <v>1</v>
          </cell>
        </row>
        <row r="486">
          <cell r="B486" t="str">
            <v xml:space="preserve">KC Mataram                              </v>
          </cell>
          <cell r="G486">
            <v>0.99236641221374045</v>
          </cell>
        </row>
        <row r="487">
          <cell r="B487" t="str">
            <v xml:space="preserve">KC Maumere                    </v>
          </cell>
          <cell r="G487">
            <v>1</v>
          </cell>
        </row>
        <row r="488">
          <cell r="B488" t="str">
            <v xml:space="preserve">KC Maumere                              </v>
          </cell>
          <cell r="G488">
            <v>1</v>
          </cell>
        </row>
        <row r="489">
          <cell r="B489" t="str">
            <v xml:space="preserve">KC Medan Gatot Subroto        </v>
          </cell>
          <cell r="G489">
            <v>1</v>
          </cell>
        </row>
        <row r="490">
          <cell r="B490" t="str">
            <v xml:space="preserve">KC Medan Gatot Subroto                  </v>
          </cell>
          <cell r="G490">
            <v>1</v>
          </cell>
        </row>
        <row r="491">
          <cell r="B491" t="str">
            <v xml:space="preserve">KC Medan Iskandar Muda        </v>
          </cell>
          <cell r="G491">
            <v>1</v>
          </cell>
        </row>
        <row r="492">
          <cell r="B492" t="str">
            <v xml:space="preserve">KC Medan Iskandar Muda                  </v>
          </cell>
          <cell r="G492">
            <v>0.97938144329896903</v>
          </cell>
        </row>
        <row r="493">
          <cell r="B493" t="str">
            <v xml:space="preserve">KC Medan Putri Hijau          </v>
          </cell>
          <cell r="G493">
            <v>1</v>
          </cell>
        </row>
        <row r="494">
          <cell r="B494" t="str">
            <v xml:space="preserve">KC Medan Putri Hijau                    </v>
          </cell>
          <cell r="G494">
            <v>0.93939393939393945</v>
          </cell>
        </row>
        <row r="495">
          <cell r="B495" t="str">
            <v xml:space="preserve">KC Medan Sisingamangaraja     </v>
          </cell>
          <cell r="G495">
            <v>1</v>
          </cell>
        </row>
        <row r="496">
          <cell r="B496" t="str">
            <v xml:space="preserve">KC Medan Sisingamangaraja               </v>
          </cell>
          <cell r="G496">
            <v>0.94736842105263153</v>
          </cell>
        </row>
        <row r="497">
          <cell r="B497" t="str">
            <v xml:space="preserve">KC Medan Thamrin              </v>
          </cell>
          <cell r="G497">
            <v>1</v>
          </cell>
        </row>
        <row r="498">
          <cell r="B498" t="str">
            <v xml:space="preserve">KC Medan Thamrin                        </v>
          </cell>
          <cell r="G498">
            <v>0.97560975609756095</v>
          </cell>
        </row>
        <row r="499">
          <cell r="B499" t="str">
            <v xml:space="preserve">KC Melawi                     </v>
          </cell>
          <cell r="G499">
            <v>1</v>
          </cell>
        </row>
        <row r="500">
          <cell r="B500" t="str">
            <v xml:space="preserve">KC Melawi                               </v>
          </cell>
          <cell r="G500">
            <v>1</v>
          </cell>
        </row>
        <row r="501">
          <cell r="B501" t="str">
            <v xml:space="preserve">KC Mempawah                   </v>
          </cell>
          <cell r="G501">
            <v>1</v>
          </cell>
        </row>
        <row r="502">
          <cell r="B502" t="str">
            <v xml:space="preserve">KC Mempawah                             </v>
          </cell>
          <cell r="G502">
            <v>1</v>
          </cell>
        </row>
        <row r="503">
          <cell r="B503" t="str">
            <v xml:space="preserve">KC Merauke                    </v>
          </cell>
          <cell r="G503">
            <v>1</v>
          </cell>
        </row>
        <row r="504">
          <cell r="B504" t="str">
            <v xml:space="preserve">KC Merauke                              </v>
          </cell>
          <cell r="G504">
            <v>0.90476190476190477</v>
          </cell>
        </row>
        <row r="505">
          <cell r="B505" t="str">
            <v xml:space="preserve">KC Metro                      </v>
          </cell>
          <cell r="G505">
            <v>1</v>
          </cell>
        </row>
        <row r="506">
          <cell r="B506" t="str">
            <v xml:space="preserve">KC Metro                                </v>
          </cell>
          <cell r="G506">
            <v>0.97142857142857142</v>
          </cell>
        </row>
        <row r="507">
          <cell r="B507" t="str">
            <v xml:space="preserve">KC Mojokerto                  </v>
          </cell>
          <cell r="G507">
            <v>1</v>
          </cell>
        </row>
        <row r="508">
          <cell r="B508" t="str">
            <v xml:space="preserve">KC Mojokerto                            </v>
          </cell>
          <cell r="G508">
            <v>1</v>
          </cell>
        </row>
        <row r="509">
          <cell r="B509" t="str">
            <v xml:space="preserve">KC MOROWALI                   </v>
          </cell>
          <cell r="G509">
            <v>1</v>
          </cell>
        </row>
        <row r="510">
          <cell r="B510" t="str">
            <v xml:space="preserve">KC MOROWALI                             </v>
          </cell>
          <cell r="G510">
            <v>1</v>
          </cell>
        </row>
        <row r="511">
          <cell r="B511" t="str">
            <v xml:space="preserve">KC Muara Bulian               </v>
          </cell>
          <cell r="G511">
            <v>1</v>
          </cell>
        </row>
        <row r="512">
          <cell r="B512" t="str">
            <v xml:space="preserve">KC Muara Bulian                         </v>
          </cell>
          <cell r="G512">
            <v>1</v>
          </cell>
        </row>
        <row r="513">
          <cell r="B513" t="str">
            <v xml:space="preserve">KC Muara Bungo                </v>
          </cell>
          <cell r="G513">
            <v>1</v>
          </cell>
        </row>
        <row r="514">
          <cell r="B514" t="str">
            <v xml:space="preserve">KC Muara Bungo                          </v>
          </cell>
          <cell r="G514">
            <v>1</v>
          </cell>
        </row>
        <row r="515">
          <cell r="B515" t="str">
            <v xml:space="preserve">KC Muara Enim                 </v>
          </cell>
          <cell r="G515">
            <v>1</v>
          </cell>
        </row>
        <row r="516">
          <cell r="B516" t="str">
            <v xml:space="preserve">KC Muara Enim                           </v>
          </cell>
          <cell r="G516">
            <v>1</v>
          </cell>
        </row>
        <row r="517">
          <cell r="B517" t="str">
            <v xml:space="preserve">KC Muara Teweh                </v>
          </cell>
          <cell r="G517">
            <v>1</v>
          </cell>
        </row>
        <row r="518">
          <cell r="B518" t="str">
            <v xml:space="preserve">KC Muara Teweh                          </v>
          </cell>
          <cell r="G518">
            <v>0.63043478260869568</v>
          </cell>
        </row>
        <row r="519">
          <cell r="B519" t="str">
            <v xml:space="preserve">KC Muko Muko                  </v>
          </cell>
          <cell r="G519">
            <v>1</v>
          </cell>
        </row>
        <row r="520">
          <cell r="B520" t="str">
            <v xml:space="preserve">KC Muko Muko                            </v>
          </cell>
          <cell r="G520">
            <v>1</v>
          </cell>
        </row>
        <row r="521">
          <cell r="B521" t="str">
            <v xml:space="preserve">KC Mulyosari                  </v>
          </cell>
          <cell r="G521">
            <v>1</v>
          </cell>
        </row>
        <row r="522">
          <cell r="B522" t="str">
            <v xml:space="preserve">KC Mulyosari                            </v>
          </cell>
          <cell r="G522">
            <v>1</v>
          </cell>
        </row>
        <row r="523">
          <cell r="B523" t="str">
            <v xml:space="preserve">KC Muntilan                   </v>
          </cell>
          <cell r="G523">
            <v>1</v>
          </cell>
        </row>
        <row r="524">
          <cell r="B524" t="str">
            <v xml:space="preserve">KC Muntilan                             </v>
          </cell>
          <cell r="G524">
            <v>1</v>
          </cell>
        </row>
        <row r="525">
          <cell r="B525" t="str">
            <v xml:space="preserve">KC Nabire                     </v>
          </cell>
          <cell r="G525">
            <v>1</v>
          </cell>
        </row>
        <row r="526">
          <cell r="B526" t="str">
            <v xml:space="preserve">KC Nabire                               </v>
          </cell>
          <cell r="G526">
            <v>1</v>
          </cell>
        </row>
        <row r="527">
          <cell r="B527" t="str">
            <v xml:space="preserve">KC Negara                     </v>
          </cell>
          <cell r="G527">
            <v>1</v>
          </cell>
        </row>
        <row r="528">
          <cell r="B528" t="str">
            <v xml:space="preserve">KC Negara                               </v>
          </cell>
          <cell r="G528">
            <v>1</v>
          </cell>
        </row>
        <row r="529">
          <cell r="B529" t="str">
            <v xml:space="preserve">KC Nganjuk                    </v>
          </cell>
          <cell r="G529">
            <v>1</v>
          </cell>
        </row>
        <row r="530">
          <cell r="B530" t="str">
            <v xml:space="preserve">KC Nganjuk                              </v>
          </cell>
          <cell r="G530">
            <v>1</v>
          </cell>
        </row>
        <row r="531">
          <cell r="B531" t="str">
            <v xml:space="preserve">KC Ngawi                      </v>
          </cell>
          <cell r="G531">
            <v>1</v>
          </cell>
        </row>
        <row r="532">
          <cell r="B532" t="str">
            <v xml:space="preserve">KC Ngawi                                </v>
          </cell>
          <cell r="G532">
            <v>1</v>
          </cell>
        </row>
        <row r="533">
          <cell r="B533" t="str">
            <v xml:space="preserve">KC Nunukan                    </v>
          </cell>
          <cell r="G533">
            <v>1</v>
          </cell>
        </row>
        <row r="534">
          <cell r="B534" t="str">
            <v xml:space="preserve">KC Nunukan                              </v>
          </cell>
          <cell r="G534">
            <v>0.8</v>
          </cell>
        </row>
        <row r="535">
          <cell r="B535" t="str">
            <v xml:space="preserve">KC Pacitan                    </v>
          </cell>
          <cell r="G535">
            <v>1</v>
          </cell>
        </row>
        <row r="536">
          <cell r="B536" t="str">
            <v xml:space="preserve">KC Pacitan                              </v>
          </cell>
          <cell r="G536">
            <v>1</v>
          </cell>
        </row>
        <row r="537">
          <cell r="B537" t="str">
            <v xml:space="preserve">KC Padang                     </v>
          </cell>
          <cell r="G537">
            <v>1</v>
          </cell>
        </row>
        <row r="538">
          <cell r="B538" t="str">
            <v xml:space="preserve">KC Padang                               </v>
          </cell>
          <cell r="G538">
            <v>0.97560975609756095</v>
          </cell>
        </row>
        <row r="539">
          <cell r="B539" t="str">
            <v xml:space="preserve">KC Padang Panjang             </v>
          </cell>
          <cell r="G539">
            <v>1</v>
          </cell>
        </row>
        <row r="540">
          <cell r="B540" t="str">
            <v xml:space="preserve">KC Padang Panjang                       </v>
          </cell>
          <cell r="G540">
            <v>1</v>
          </cell>
        </row>
        <row r="541">
          <cell r="B541" t="str">
            <v xml:space="preserve">KC Padang Sidempuan           </v>
          </cell>
          <cell r="G541">
            <v>1</v>
          </cell>
        </row>
        <row r="542">
          <cell r="B542" t="str">
            <v xml:space="preserve">KC Padang Sidempuan                     </v>
          </cell>
          <cell r="G542">
            <v>0.98</v>
          </cell>
        </row>
        <row r="543">
          <cell r="B543" t="str">
            <v xml:space="preserve">KC Pagar Alam                 </v>
          </cell>
          <cell r="G543">
            <v>1</v>
          </cell>
        </row>
        <row r="544">
          <cell r="B544" t="str">
            <v xml:space="preserve">KC Pagar Alam                           </v>
          </cell>
          <cell r="G544">
            <v>1</v>
          </cell>
        </row>
        <row r="545">
          <cell r="B545" t="str">
            <v xml:space="preserve">KC Painan                     </v>
          </cell>
          <cell r="G545">
            <v>1</v>
          </cell>
        </row>
        <row r="546">
          <cell r="B546" t="str">
            <v xml:space="preserve">KC Painan                               </v>
          </cell>
          <cell r="G546">
            <v>0.92307692307692313</v>
          </cell>
        </row>
        <row r="547">
          <cell r="B547" t="str">
            <v xml:space="preserve">KC Palangkaraya               </v>
          </cell>
          <cell r="G547">
            <v>1</v>
          </cell>
        </row>
        <row r="548">
          <cell r="B548" t="str">
            <v xml:space="preserve">KC Palangkaraya                         </v>
          </cell>
          <cell r="G548">
            <v>0.95867768595041325</v>
          </cell>
        </row>
        <row r="549">
          <cell r="B549" t="str">
            <v xml:space="preserve">KC Palembang A. Rivai         </v>
          </cell>
          <cell r="G549">
            <v>1</v>
          </cell>
        </row>
        <row r="550">
          <cell r="B550" t="str">
            <v xml:space="preserve">KC Palembang A. Rivai                   </v>
          </cell>
          <cell r="G550">
            <v>1</v>
          </cell>
        </row>
        <row r="551">
          <cell r="B551" t="str">
            <v xml:space="preserve">KC Palembang Sriwijaya        </v>
          </cell>
          <cell r="G551">
            <v>1</v>
          </cell>
        </row>
        <row r="552">
          <cell r="B552" t="str">
            <v xml:space="preserve">KC Palembang Sriwijaya                  </v>
          </cell>
          <cell r="G552">
            <v>1</v>
          </cell>
        </row>
        <row r="553">
          <cell r="B553" t="str">
            <v xml:space="preserve">KC Palopo                     </v>
          </cell>
          <cell r="G553">
            <v>1</v>
          </cell>
        </row>
        <row r="554">
          <cell r="B554" t="str">
            <v xml:space="preserve">KC Palopo                               </v>
          </cell>
          <cell r="G554">
            <v>0.96551724137931039</v>
          </cell>
        </row>
        <row r="555">
          <cell r="B555" t="str">
            <v xml:space="preserve">KC Palu                       </v>
          </cell>
          <cell r="G555">
            <v>1</v>
          </cell>
        </row>
        <row r="556">
          <cell r="B556" t="str">
            <v xml:space="preserve">KC Palu                                 </v>
          </cell>
          <cell r="G556">
            <v>1</v>
          </cell>
        </row>
        <row r="557">
          <cell r="B557" t="str">
            <v xml:space="preserve">KC Pamanukan                  </v>
          </cell>
          <cell r="G557">
            <v>1</v>
          </cell>
        </row>
        <row r="558">
          <cell r="B558" t="str">
            <v xml:space="preserve">KC Pamanukan                            </v>
          </cell>
          <cell r="G558">
            <v>1</v>
          </cell>
        </row>
        <row r="559">
          <cell r="B559" t="str">
            <v xml:space="preserve">KC Pamekasan                  </v>
          </cell>
          <cell r="G559">
            <v>1</v>
          </cell>
        </row>
        <row r="560">
          <cell r="B560" t="str">
            <v xml:space="preserve">KC Pamekasan                            </v>
          </cell>
          <cell r="G560">
            <v>0.95652173913043481</v>
          </cell>
        </row>
        <row r="561">
          <cell r="B561" t="str">
            <v xml:space="preserve">KC Pamulang                   </v>
          </cell>
          <cell r="G561">
            <v>1</v>
          </cell>
        </row>
        <row r="562">
          <cell r="B562" t="str">
            <v xml:space="preserve">KC Pamulang                             </v>
          </cell>
          <cell r="G562">
            <v>0.98076923076923073</v>
          </cell>
        </row>
        <row r="563">
          <cell r="B563" t="str">
            <v xml:space="preserve">KC Panakkukang                </v>
          </cell>
          <cell r="G563">
            <v>1</v>
          </cell>
        </row>
        <row r="564">
          <cell r="B564" t="str">
            <v xml:space="preserve">KC Panakkukang                          </v>
          </cell>
          <cell r="G564">
            <v>0.92500000000000004</v>
          </cell>
        </row>
        <row r="565">
          <cell r="B565" t="str">
            <v xml:space="preserve">KC Pandeglang                 </v>
          </cell>
          <cell r="G565">
            <v>1</v>
          </cell>
        </row>
        <row r="566">
          <cell r="B566" t="str">
            <v xml:space="preserve">KC Pandeglang                           </v>
          </cell>
          <cell r="G566">
            <v>0.77777777777777779</v>
          </cell>
        </row>
        <row r="567">
          <cell r="B567" t="str">
            <v xml:space="preserve">KC Pangkal Pinang             </v>
          </cell>
          <cell r="G567">
            <v>1</v>
          </cell>
        </row>
        <row r="568">
          <cell r="B568" t="str">
            <v xml:space="preserve">KC Pangkal Pinang                       </v>
          </cell>
          <cell r="G568">
            <v>1</v>
          </cell>
        </row>
        <row r="569">
          <cell r="B569" t="str">
            <v xml:space="preserve">KC Pangkalan Bun              </v>
          </cell>
          <cell r="G569">
            <v>1</v>
          </cell>
        </row>
        <row r="570">
          <cell r="B570" t="str">
            <v xml:space="preserve">KC Pangkalan Bun                        </v>
          </cell>
          <cell r="G570">
            <v>0.98</v>
          </cell>
        </row>
        <row r="571">
          <cell r="B571" t="str">
            <v xml:space="preserve">KC Pangkalan Kerinci          </v>
          </cell>
          <cell r="G571">
            <v>1</v>
          </cell>
        </row>
        <row r="572">
          <cell r="B572" t="str">
            <v xml:space="preserve">KC Pangkalan Kerinci                    </v>
          </cell>
          <cell r="G572">
            <v>1</v>
          </cell>
        </row>
        <row r="573">
          <cell r="B573" t="str">
            <v xml:space="preserve">KC Pangkep                    </v>
          </cell>
          <cell r="G573">
            <v>1</v>
          </cell>
        </row>
        <row r="574">
          <cell r="B574" t="str">
            <v xml:space="preserve">KC Pangkep                              </v>
          </cell>
          <cell r="G574">
            <v>1</v>
          </cell>
        </row>
        <row r="575">
          <cell r="B575" t="str">
            <v xml:space="preserve">KC Panyabungan                </v>
          </cell>
          <cell r="G575">
            <v>1</v>
          </cell>
        </row>
        <row r="576">
          <cell r="B576" t="str">
            <v xml:space="preserve">KC Panyabungan                          </v>
          </cell>
          <cell r="G576">
            <v>0.8666666666666667</v>
          </cell>
        </row>
        <row r="577">
          <cell r="B577" t="str">
            <v xml:space="preserve">KC Parakan                    </v>
          </cell>
          <cell r="G577">
            <v>1</v>
          </cell>
        </row>
        <row r="578">
          <cell r="B578" t="str">
            <v xml:space="preserve">KC Parakan                              </v>
          </cell>
          <cell r="G578">
            <v>1</v>
          </cell>
        </row>
        <row r="579">
          <cell r="B579" t="str">
            <v xml:space="preserve">KC Pare                       </v>
          </cell>
          <cell r="G579">
            <v>1</v>
          </cell>
        </row>
        <row r="580">
          <cell r="B580" t="str">
            <v xml:space="preserve">KC Pare                                 </v>
          </cell>
          <cell r="G580">
            <v>1</v>
          </cell>
        </row>
        <row r="581">
          <cell r="B581" t="str">
            <v xml:space="preserve">KC Pare-Pare                  </v>
          </cell>
          <cell r="G581">
            <v>1</v>
          </cell>
        </row>
        <row r="582">
          <cell r="B582" t="str">
            <v xml:space="preserve">KC Pare-Pare                            </v>
          </cell>
          <cell r="G582">
            <v>1</v>
          </cell>
        </row>
        <row r="583">
          <cell r="B583" t="str">
            <v xml:space="preserve">KC Pariaman                   </v>
          </cell>
          <cell r="G583">
            <v>1</v>
          </cell>
        </row>
        <row r="584">
          <cell r="B584" t="str">
            <v xml:space="preserve">KC Pariaman                             </v>
          </cell>
          <cell r="G584">
            <v>0.9555555555555556</v>
          </cell>
        </row>
        <row r="585">
          <cell r="B585" t="str">
            <v xml:space="preserve">KC Parigi                     </v>
          </cell>
          <cell r="G585">
            <v>1</v>
          </cell>
        </row>
        <row r="586">
          <cell r="B586" t="str">
            <v xml:space="preserve">KC Parigi                               </v>
          </cell>
          <cell r="G586">
            <v>1</v>
          </cell>
        </row>
        <row r="587">
          <cell r="B587" t="str">
            <v xml:space="preserve">KC Pasir Pengaraian           </v>
          </cell>
          <cell r="G587">
            <v>1</v>
          </cell>
        </row>
        <row r="588">
          <cell r="B588" t="str">
            <v xml:space="preserve">KC Pasir Pengaraian                     </v>
          </cell>
          <cell r="G588">
            <v>1</v>
          </cell>
        </row>
        <row r="589">
          <cell r="B589" t="str">
            <v xml:space="preserve">KC Pasuruan                   </v>
          </cell>
          <cell r="G589">
            <v>1</v>
          </cell>
        </row>
        <row r="590">
          <cell r="B590" t="str">
            <v xml:space="preserve">KC Pasuruan                             </v>
          </cell>
          <cell r="G590">
            <v>0.95454545454545459</v>
          </cell>
        </row>
        <row r="591">
          <cell r="B591" t="str">
            <v xml:space="preserve">KC Pati                       </v>
          </cell>
          <cell r="G591">
            <v>1</v>
          </cell>
        </row>
        <row r="592">
          <cell r="B592" t="str">
            <v xml:space="preserve">KC Pati                                 </v>
          </cell>
          <cell r="G592">
            <v>0.91666666666666663</v>
          </cell>
        </row>
        <row r="593">
          <cell r="B593" t="str">
            <v xml:space="preserve">KC Payakumbuh                 </v>
          </cell>
          <cell r="G593">
            <v>1</v>
          </cell>
        </row>
        <row r="594">
          <cell r="B594" t="str">
            <v xml:space="preserve">KC Payakumbuh                           </v>
          </cell>
          <cell r="G594">
            <v>0.97435897435897434</v>
          </cell>
        </row>
        <row r="595">
          <cell r="B595" t="str">
            <v xml:space="preserve">KC Pekalongan                 </v>
          </cell>
          <cell r="G595">
            <v>1</v>
          </cell>
        </row>
        <row r="596">
          <cell r="B596" t="str">
            <v xml:space="preserve">KC Pekalongan                           </v>
          </cell>
          <cell r="G596">
            <v>0.95454545454545459</v>
          </cell>
        </row>
        <row r="597">
          <cell r="B597" t="str">
            <v xml:space="preserve">KC Pekanbaru Lancang Kuning   </v>
          </cell>
          <cell r="G597">
            <v>1</v>
          </cell>
        </row>
        <row r="598">
          <cell r="B598" t="str">
            <v xml:space="preserve">KC Pekanbaru Lancang Kuning             </v>
          </cell>
          <cell r="G598">
            <v>0.83333333333333337</v>
          </cell>
        </row>
        <row r="599">
          <cell r="B599" t="str">
            <v xml:space="preserve">KC Pekanbaru Sudirman         </v>
          </cell>
          <cell r="G599">
            <v>1</v>
          </cell>
        </row>
        <row r="600">
          <cell r="B600" t="str">
            <v xml:space="preserve">KC Pekanbaru Sudirman                   </v>
          </cell>
          <cell r="G600">
            <v>0.95918367346938771</v>
          </cell>
        </row>
        <row r="601">
          <cell r="B601" t="str">
            <v xml:space="preserve">KC Pekanbaru Tuanku Tambusai  </v>
          </cell>
          <cell r="G601">
            <v>1</v>
          </cell>
        </row>
        <row r="602">
          <cell r="B602" t="str">
            <v xml:space="preserve">KC Pekanbaru Tuanku Tambusai            </v>
          </cell>
          <cell r="G602">
            <v>1</v>
          </cell>
        </row>
        <row r="603">
          <cell r="B603" t="str">
            <v xml:space="preserve">KC Pemalang                   </v>
          </cell>
          <cell r="G603">
            <v>1</v>
          </cell>
        </row>
        <row r="604">
          <cell r="B604" t="str">
            <v xml:space="preserve">KC Pemalang                             </v>
          </cell>
          <cell r="G604">
            <v>1</v>
          </cell>
        </row>
        <row r="605">
          <cell r="B605" t="str">
            <v xml:space="preserve">KC Pematang Siantar           </v>
          </cell>
          <cell r="G605">
            <v>1</v>
          </cell>
        </row>
        <row r="606">
          <cell r="B606" t="str">
            <v xml:space="preserve">KC Pematang Siantar                     </v>
          </cell>
          <cell r="G606">
            <v>0.98245614035087714</v>
          </cell>
        </row>
        <row r="607">
          <cell r="B607" t="str">
            <v xml:space="preserve">KC Perawang                   </v>
          </cell>
          <cell r="G607">
            <v>1</v>
          </cell>
        </row>
        <row r="608">
          <cell r="B608" t="str">
            <v xml:space="preserve">KC Perawang                             </v>
          </cell>
          <cell r="G608">
            <v>1</v>
          </cell>
        </row>
        <row r="609">
          <cell r="B609" t="str">
            <v xml:space="preserve">KC Perdagangan                </v>
          </cell>
          <cell r="G609">
            <v>1</v>
          </cell>
        </row>
        <row r="610">
          <cell r="B610" t="str">
            <v xml:space="preserve">KC Perdagangan                          </v>
          </cell>
          <cell r="G610">
            <v>1</v>
          </cell>
        </row>
        <row r="611">
          <cell r="B611" t="str">
            <v xml:space="preserve">KC Pinrang                    </v>
          </cell>
          <cell r="G611">
            <v>1</v>
          </cell>
        </row>
        <row r="612">
          <cell r="B612" t="str">
            <v xml:space="preserve">KC Pinrang                              </v>
          </cell>
          <cell r="G612">
            <v>1</v>
          </cell>
        </row>
        <row r="613">
          <cell r="B613" t="str">
            <v xml:space="preserve">KC Pleihari                   </v>
          </cell>
          <cell r="G613">
            <v>1</v>
          </cell>
        </row>
        <row r="614">
          <cell r="B614" t="str">
            <v xml:space="preserve">KC Pleihari                             </v>
          </cell>
          <cell r="G614">
            <v>0.8</v>
          </cell>
        </row>
        <row r="615">
          <cell r="B615" t="str">
            <v xml:space="preserve">KC POGOGUL BUOL               </v>
          </cell>
          <cell r="G615">
            <v>1</v>
          </cell>
        </row>
        <row r="616">
          <cell r="B616" t="str">
            <v xml:space="preserve">KC POGOGUL BUOL                         </v>
          </cell>
          <cell r="G616">
            <v>1</v>
          </cell>
        </row>
        <row r="617">
          <cell r="B617" t="str">
            <v xml:space="preserve">KC Polewali                   </v>
          </cell>
          <cell r="G617">
            <v>1</v>
          </cell>
        </row>
        <row r="618">
          <cell r="B618" t="str">
            <v xml:space="preserve">KC Polewali                             </v>
          </cell>
          <cell r="G618">
            <v>1</v>
          </cell>
        </row>
        <row r="619">
          <cell r="B619" t="str">
            <v xml:space="preserve">KC Pondok Gede                </v>
          </cell>
          <cell r="G619">
            <v>1</v>
          </cell>
        </row>
        <row r="620">
          <cell r="B620" t="str">
            <v xml:space="preserve">KC Pondok Gede                          </v>
          </cell>
          <cell r="G620">
            <v>0.98684210526315785</v>
          </cell>
        </row>
        <row r="621">
          <cell r="B621" t="str">
            <v xml:space="preserve">KC Ponorogo                   </v>
          </cell>
          <cell r="G621">
            <v>1</v>
          </cell>
        </row>
        <row r="622">
          <cell r="B622" t="str">
            <v xml:space="preserve">KC Ponorogo                             </v>
          </cell>
          <cell r="G622">
            <v>1</v>
          </cell>
        </row>
        <row r="623">
          <cell r="B623" t="str">
            <v xml:space="preserve">KC Pontianak                  </v>
          </cell>
          <cell r="G623">
            <v>1</v>
          </cell>
        </row>
        <row r="624">
          <cell r="B624" t="str">
            <v xml:space="preserve">KC Pontianak                            </v>
          </cell>
          <cell r="G624">
            <v>0.96894409937888204</v>
          </cell>
        </row>
        <row r="625">
          <cell r="B625" t="str">
            <v xml:space="preserve">KC Pontianak Gajah Mada       </v>
          </cell>
          <cell r="G625">
            <v>1</v>
          </cell>
        </row>
        <row r="626">
          <cell r="B626" t="str">
            <v xml:space="preserve">KC Pontianak Gajah Mada                 </v>
          </cell>
          <cell r="G626">
            <v>0.92</v>
          </cell>
        </row>
        <row r="627">
          <cell r="B627" t="str">
            <v xml:space="preserve">KC Poso                       </v>
          </cell>
          <cell r="G627">
            <v>1</v>
          </cell>
        </row>
        <row r="628">
          <cell r="B628" t="str">
            <v xml:space="preserve">KC Poso                                 </v>
          </cell>
          <cell r="G628">
            <v>1</v>
          </cell>
        </row>
        <row r="629">
          <cell r="B629" t="str">
            <v xml:space="preserve">KC Prabumulih                 </v>
          </cell>
          <cell r="G629">
            <v>1</v>
          </cell>
        </row>
        <row r="630">
          <cell r="B630" t="str">
            <v xml:space="preserve">KC Prabumulih                           </v>
          </cell>
          <cell r="G630">
            <v>1</v>
          </cell>
        </row>
        <row r="631">
          <cell r="B631" t="str">
            <v xml:space="preserve">KC Praya                      </v>
          </cell>
          <cell r="G631">
            <v>1</v>
          </cell>
        </row>
        <row r="632">
          <cell r="B632" t="str">
            <v xml:space="preserve">KC Praya                                </v>
          </cell>
          <cell r="G632">
            <v>1</v>
          </cell>
        </row>
        <row r="633">
          <cell r="B633" t="str">
            <v xml:space="preserve">KC Pringsewu                  </v>
          </cell>
          <cell r="G633">
            <v>1</v>
          </cell>
        </row>
        <row r="634">
          <cell r="B634" t="str">
            <v xml:space="preserve">KC Pringsewu                            </v>
          </cell>
          <cell r="G634">
            <v>1</v>
          </cell>
        </row>
        <row r="635">
          <cell r="B635" t="str">
            <v xml:space="preserve">KC Probolinggo                </v>
          </cell>
          <cell r="G635">
            <v>1</v>
          </cell>
        </row>
        <row r="636">
          <cell r="B636" t="str">
            <v xml:space="preserve">KC Probolinggo                          </v>
          </cell>
          <cell r="G636">
            <v>0.95238095238095233</v>
          </cell>
        </row>
        <row r="637">
          <cell r="B637" t="str">
            <v xml:space="preserve">KC PULAU ARU                  </v>
          </cell>
          <cell r="G637">
            <v>1</v>
          </cell>
        </row>
        <row r="638">
          <cell r="B638" t="str">
            <v xml:space="preserve">KC PULAU ARU                            </v>
          </cell>
          <cell r="G638">
            <v>0.94117647058823528</v>
          </cell>
        </row>
        <row r="639">
          <cell r="B639" t="str">
            <v xml:space="preserve">KC Purbalingga                </v>
          </cell>
          <cell r="G639">
            <v>1</v>
          </cell>
        </row>
        <row r="640">
          <cell r="B640" t="str">
            <v xml:space="preserve">KC Purbalingga                          </v>
          </cell>
          <cell r="G640">
            <v>1</v>
          </cell>
        </row>
        <row r="641">
          <cell r="B641" t="str">
            <v xml:space="preserve">KC Purwakarta                 </v>
          </cell>
          <cell r="G641">
            <v>1</v>
          </cell>
        </row>
        <row r="642">
          <cell r="B642" t="str">
            <v xml:space="preserve">KC Purwakarta                           </v>
          </cell>
          <cell r="G642">
            <v>0.93333333333333335</v>
          </cell>
        </row>
        <row r="643">
          <cell r="B643" t="str">
            <v xml:space="preserve">KC Purwodadi                  </v>
          </cell>
          <cell r="G643">
            <v>1</v>
          </cell>
        </row>
        <row r="644">
          <cell r="B644" t="str">
            <v xml:space="preserve">KC Purwodadi                            </v>
          </cell>
          <cell r="G644">
            <v>1</v>
          </cell>
        </row>
        <row r="645">
          <cell r="B645" t="str">
            <v xml:space="preserve">KC Purwokerto                 </v>
          </cell>
          <cell r="G645">
            <v>1</v>
          </cell>
        </row>
        <row r="646">
          <cell r="B646" t="str">
            <v xml:space="preserve">KC Purwokerto                           </v>
          </cell>
          <cell r="G646">
            <v>0.98989898989898994</v>
          </cell>
        </row>
        <row r="647">
          <cell r="B647" t="str">
            <v xml:space="preserve">KC Purworejo                  </v>
          </cell>
          <cell r="G647">
            <v>1</v>
          </cell>
        </row>
        <row r="648">
          <cell r="B648" t="str">
            <v xml:space="preserve">KC Purworejo                            </v>
          </cell>
          <cell r="G648">
            <v>1</v>
          </cell>
        </row>
        <row r="649">
          <cell r="B649" t="str">
            <v xml:space="preserve">KC Putussibau                 </v>
          </cell>
          <cell r="G649">
            <v>1</v>
          </cell>
        </row>
        <row r="650">
          <cell r="B650" t="str">
            <v xml:space="preserve">KC Putussibau                           </v>
          </cell>
          <cell r="G650">
            <v>0.95454545454545459</v>
          </cell>
        </row>
        <row r="651">
          <cell r="B651" t="str">
            <v xml:space="preserve">KC Raba Bima                  </v>
          </cell>
          <cell r="G651">
            <v>1</v>
          </cell>
        </row>
        <row r="652">
          <cell r="B652" t="str">
            <v xml:space="preserve">KC Raba Bima                            </v>
          </cell>
          <cell r="G652">
            <v>1</v>
          </cell>
        </row>
        <row r="653">
          <cell r="B653" t="str">
            <v xml:space="preserve">KC Raha                       </v>
          </cell>
          <cell r="G653">
            <v>1</v>
          </cell>
        </row>
        <row r="654">
          <cell r="B654" t="str">
            <v xml:space="preserve">KC Raha                                 </v>
          </cell>
          <cell r="G654">
            <v>1</v>
          </cell>
        </row>
        <row r="655">
          <cell r="B655" t="str">
            <v xml:space="preserve">KC Rangkasbitung              </v>
          </cell>
          <cell r="G655">
            <v>1</v>
          </cell>
        </row>
        <row r="656">
          <cell r="B656" t="str">
            <v xml:space="preserve">KC Rangkasbitung                        </v>
          </cell>
          <cell r="G656">
            <v>0.90476190476190477</v>
          </cell>
        </row>
        <row r="657">
          <cell r="B657" t="str">
            <v xml:space="preserve">KC Rantau                     </v>
          </cell>
          <cell r="G657">
            <v>1</v>
          </cell>
        </row>
        <row r="658">
          <cell r="B658" t="str">
            <v xml:space="preserve">KC Rantau                               </v>
          </cell>
          <cell r="G658">
            <v>1</v>
          </cell>
        </row>
        <row r="659">
          <cell r="B659" t="str">
            <v xml:space="preserve">KC Rantau Prapat              </v>
          </cell>
          <cell r="G659">
            <v>1</v>
          </cell>
        </row>
        <row r="660">
          <cell r="B660" t="str">
            <v xml:space="preserve">KC Rantau Prapat                        </v>
          </cell>
          <cell r="G660">
            <v>1</v>
          </cell>
        </row>
        <row r="661">
          <cell r="B661" t="str">
            <v xml:space="preserve">KC Rantepao                   </v>
          </cell>
          <cell r="G661">
            <v>1</v>
          </cell>
        </row>
        <row r="662">
          <cell r="B662" t="str">
            <v xml:space="preserve">KC Rantepao                             </v>
          </cell>
          <cell r="G662">
            <v>1</v>
          </cell>
        </row>
        <row r="663">
          <cell r="B663" t="str">
            <v xml:space="preserve">KC Rembang                    </v>
          </cell>
          <cell r="G663">
            <v>1</v>
          </cell>
        </row>
        <row r="664">
          <cell r="B664" t="str">
            <v xml:space="preserve">KC Rembang                              </v>
          </cell>
          <cell r="G664">
            <v>1</v>
          </cell>
        </row>
        <row r="665">
          <cell r="B665" t="str">
            <v xml:space="preserve">KC Rengat                     </v>
          </cell>
          <cell r="G665">
            <v>1</v>
          </cell>
        </row>
        <row r="666">
          <cell r="B666" t="str">
            <v xml:space="preserve">KC Rengat                               </v>
          </cell>
          <cell r="G666">
            <v>1</v>
          </cell>
        </row>
        <row r="667">
          <cell r="B667" t="str">
            <v xml:space="preserve">KC Rimbo Bujang               </v>
          </cell>
          <cell r="G667">
            <v>1</v>
          </cell>
        </row>
        <row r="668">
          <cell r="B668" t="str">
            <v xml:space="preserve">KC Rimbo Bujang                         </v>
          </cell>
          <cell r="G668">
            <v>1</v>
          </cell>
        </row>
        <row r="669">
          <cell r="B669" t="str">
            <v xml:space="preserve">KC Ruteng                     </v>
          </cell>
          <cell r="G669">
            <v>1</v>
          </cell>
        </row>
        <row r="670">
          <cell r="B670" t="str">
            <v xml:space="preserve">KC Ruteng                               </v>
          </cell>
          <cell r="G670">
            <v>1</v>
          </cell>
        </row>
        <row r="671">
          <cell r="B671" t="str">
            <v xml:space="preserve">KC Salatiga                   </v>
          </cell>
          <cell r="G671">
            <v>1</v>
          </cell>
        </row>
        <row r="672">
          <cell r="B672" t="str">
            <v xml:space="preserve">KC Salatiga                             </v>
          </cell>
          <cell r="G672">
            <v>0.86363636363636365</v>
          </cell>
        </row>
        <row r="673">
          <cell r="B673" t="str">
            <v xml:space="preserve">KC SAMARINDA GAJAH MADA       </v>
          </cell>
          <cell r="G673">
            <v>1</v>
          </cell>
        </row>
        <row r="674">
          <cell r="B674" t="str">
            <v xml:space="preserve">KC SAMARINDA GAJAH MADA                 </v>
          </cell>
          <cell r="G674">
            <v>0.9196428571428571</v>
          </cell>
        </row>
        <row r="675">
          <cell r="B675" t="str">
            <v xml:space="preserve">KC SAMARINDA PELITA                     </v>
          </cell>
          <cell r="G675">
            <v>0.92307692307692313</v>
          </cell>
        </row>
        <row r="676">
          <cell r="B676" t="str">
            <v xml:space="preserve">KC Sampang                    </v>
          </cell>
          <cell r="G676">
            <v>1</v>
          </cell>
        </row>
        <row r="677">
          <cell r="B677" t="str">
            <v xml:space="preserve">KC Sampang                              </v>
          </cell>
          <cell r="G677">
            <v>1</v>
          </cell>
        </row>
        <row r="678">
          <cell r="B678" t="str">
            <v xml:space="preserve">KC Sampit                     </v>
          </cell>
          <cell r="G678">
            <v>1</v>
          </cell>
        </row>
        <row r="679">
          <cell r="B679" t="str">
            <v xml:space="preserve">KC Sampit                               </v>
          </cell>
          <cell r="G679">
            <v>0.97499999999999998</v>
          </cell>
        </row>
        <row r="680">
          <cell r="B680" t="str">
            <v xml:space="preserve">KC Sangatta                   </v>
          </cell>
          <cell r="G680">
            <v>1</v>
          </cell>
        </row>
        <row r="681">
          <cell r="B681" t="str">
            <v xml:space="preserve">KC Sangatta                             </v>
          </cell>
          <cell r="G681">
            <v>1</v>
          </cell>
        </row>
        <row r="682">
          <cell r="B682" t="str">
            <v xml:space="preserve">KC Sanggau                    </v>
          </cell>
          <cell r="G682">
            <v>1</v>
          </cell>
        </row>
        <row r="683">
          <cell r="B683" t="str">
            <v xml:space="preserve">KC Sanggau                              </v>
          </cell>
          <cell r="G683">
            <v>1</v>
          </cell>
        </row>
        <row r="684">
          <cell r="B684" t="str">
            <v xml:space="preserve">KC Sarolangun                 </v>
          </cell>
          <cell r="G684">
            <v>1</v>
          </cell>
        </row>
        <row r="685">
          <cell r="B685" t="str">
            <v xml:space="preserve">KC Sarolangun                           </v>
          </cell>
          <cell r="G685">
            <v>1</v>
          </cell>
        </row>
        <row r="686">
          <cell r="B686" t="str">
            <v xml:space="preserve">KC Saumlaki                   </v>
          </cell>
          <cell r="G686">
            <v>1</v>
          </cell>
        </row>
        <row r="687">
          <cell r="B687" t="str">
            <v xml:space="preserve">KC Saumlaki                             </v>
          </cell>
          <cell r="G687">
            <v>1</v>
          </cell>
        </row>
        <row r="688">
          <cell r="B688" t="str">
            <v xml:space="preserve">KC Sekayu                     </v>
          </cell>
          <cell r="G688">
            <v>1</v>
          </cell>
        </row>
        <row r="689">
          <cell r="B689" t="str">
            <v xml:space="preserve">KC Sekayu                               </v>
          </cell>
          <cell r="G689">
            <v>0.97959183673469385</v>
          </cell>
        </row>
        <row r="690">
          <cell r="B690" t="str">
            <v xml:space="preserve">KC Selat Panjang              </v>
          </cell>
          <cell r="G690">
            <v>1</v>
          </cell>
        </row>
        <row r="691">
          <cell r="B691" t="str">
            <v xml:space="preserve">KC Selat Panjang                        </v>
          </cell>
          <cell r="G691">
            <v>1</v>
          </cell>
        </row>
        <row r="692">
          <cell r="B692" t="str">
            <v xml:space="preserve">KC Selong                     </v>
          </cell>
          <cell r="G692">
            <v>1</v>
          </cell>
        </row>
        <row r="693">
          <cell r="B693" t="str">
            <v xml:space="preserve">KC Selong                               </v>
          </cell>
          <cell r="G693">
            <v>0.96875</v>
          </cell>
        </row>
        <row r="694">
          <cell r="B694" t="str">
            <v xml:space="preserve">KC Semarang A. Yani           </v>
          </cell>
          <cell r="G694">
            <v>1</v>
          </cell>
        </row>
        <row r="695">
          <cell r="B695" t="str">
            <v xml:space="preserve">KC Semarang A. Yani                     </v>
          </cell>
          <cell r="G695">
            <v>0.98550724637681164</v>
          </cell>
        </row>
        <row r="696">
          <cell r="B696" t="str">
            <v xml:space="preserve">KC Semarang Pandanaran        </v>
          </cell>
          <cell r="G696">
            <v>1</v>
          </cell>
        </row>
        <row r="697">
          <cell r="B697" t="str">
            <v xml:space="preserve">KC Semarang Pandanaran                  </v>
          </cell>
          <cell r="G697">
            <v>0.97727272727272729</v>
          </cell>
        </row>
        <row r="698">
          <cell r="B698" t="str">
            <v xml:space="preserve">KC Semarang Patimura          </v>
          </cell>
          <cell r="G698">
            <v>1</v>
          </cell>
        </row>
        <row r="699">
          <cell r="B699" t="str">
            <v xml:space="preserve">KC Semarang Patimura                    </v>
          </cell>
          <cell r="G699">
            <v>0.91304347826086951</v>
          </cell>
        </row>
        <row r="700">
          <cell r="B700" t="str">
            <v xml:space="preserve">KC Semarapura                 </v>
          </cell>
          <cell r="G700">
            <v>1</v>
          </cell>
        </row>
        <row r="701">
          <cell r="B701" t="str">
            <v xml:space="preserve">KC Semarapura                           </v>
          </cell>
          <cell r="G701">
            <v>1</v>
          </cell>
        </row>
        <row r="702">
          <cell r="B702" t="str">
            <v xml:space="preserve">KC Sendawar                   </v>
          </cell>
          <cell r="G702">
            <v>1</v>
          </cell>
        </row>
        <row r="703">
          <cell r="B703" t="str">
            <v xml:space="preserve">KC Sendawar                             </v>
          </cell>
          <cell r="G703">
            <v>1</v>
          </cell>
        </row>
        <row r="704">
          <cell r="B704" t="str">
            <v xml:space="preserve">KC Sengkang                   </v>
          </cell>
          <cell r="G704">
            <v>1</v>
          </cell>
        </row>
        <row r="705">
          <cell r="B705" t="str">
            <v xml:space="preserve">KC Sengkang                             </v>
          </cell>
          <cell r="G705">
            <v>1</v>
          </cell>
        </row>
        <row r="706">
          <cell r="B706" t="str">
            <v xml:space="preserve">KC Sentani                    </v>
          </cell>
          <cell r="G706">
            <v>1</v>
          </cell>
        </row>
        <row r="707">
          <cell r="B707" t="str">
            <v xml:space="preserve">KC Sentani                              </v>
          </cell>
          <cell r="G707">
            <v>1</v>
          </cell>
        </row>
        <row r="708">
          <cell r="B708" t="str">
            <v xml:space="preserve">KC Serang                     </v>
          </cell>
          <cell r="G708">
            <v>1</v>
          </cell>
        </row>
        <row r="709">
          <cell r="B709" t="str">
            <v xml:space="preserve">KC Serang                               </v>
          </cell>
          <cell r="G709">
            <v>0.89320388349514568</v>
          </cell>
        </row>
        <row r="710">
          <cell r="B710" t="str">
            <v xml:space="preserve">KC Serui                      </v>
          </cell>
          <cell r="G710">
            <v>1</v>
          </cell>
        </row>
        <row r="711">
          <cell r="B711" t="str">
            <v xml:space="preserve">KC Serui                                </v>
          </cell>
          <cell r="G711">
            <v>0.8571428571428571</v>
          </cell>
        </row>
        <row r="712">
          <cell r="B712" t="str">
            <v xml:space="preserve">KC Siak                       </v>
          </cell>
          <cell r="G712">
            <v>1</v>
          </cell>
        </row>
        <row r="713">
          <cell r="B713" t="str">
            <v xml:space="preserve">KC Siak                                 </v>
          </cell>
          <cell r="G713">
            <v>1</v>
          </cell>
        </row>
        <row r="714">
          <cell r="B714" t="str">
            <v xml:space="preserve">KC Sibolga                    </v>
          </cell>
          <cell r="G714">
            <v>1</v>
          </cell>
        </row>
        <row r="715">
          <cell r="B715" t="str">
            <v xml:space="preserve">KC Sibolga                              </v>
          </cell>
          <cell r="G715">
            <v>0.96666666666666667</v>
          </cell>
        </row>
        <row r="716">
          <cell r="B716" t="str">
            <v xml:space="preserve">KC Sibuhuan                   </v>
          </cell>
          <cell r="G716">
            <v>1</v>
          </cell>
        </row>
        <row r="717">
          <cell r="B717" t="str">
            <v xml:space="preserve">KC Sibuhuan                             </v>
          </cell>
          <cell r="G717">
            <v>1</v>
          </cell>
        </row>
        <row r="718">
          <cell r="B718" t="str">
            <v xml:space="preserve">KC Sidikalang                 </v>
          </cell>
          <cell r="G718">
            <v>1</v>
          </cell>
        </row>
        <row r="719">
          <cell r="B719" t="str">
            <v xml:space="preserve">KC Sidikalang                           </v>
          </cell>
          <cell r="G719">
            <v>0.94736842105263153</v>
          </cell>
        </row>
        <row r="720">
          <cell r="B720" t="str">
            <v xml:space="preserve">KC Sidoarjo                   </v>
          </cell>
          <cell r="G720">
            <v>1</v>
          </cell>
        </row>
        <row r="721">
          <cell r="B721" t="str">
            <v xml:space="preserve">KC Sidoarjo                             </v>
          </cell>
          <cell r="G721">
            <v>0.94339622641509435</v>
          </cell>
        </row>
        <row r="722">
          <cell r="B722" t="str">
            <v xml:space="preserve">KC Sidrap                     </v>
          </cell>
          <cell r="G722">
            <v>1</v>
          </cell>
        </row>
        <row r="723">
          <cell r="B723" t="str">
            <v xml:space="preserve">KC Sidrap                               </v>
          </cell>
          <cell r="G723">
            <v>1</v>
          </cell>
        </row>
        <row r="724">
          <cell r="B724" t="str">
            <v xml:space="preserve">KC Sijunjung                  </v>
          </cell>
          <cell r="G724">
            <v>1</v>
          </cell>
        </row>
        <row r="725">
          <cell r="B725" t="str">
            <v xml:space="preserve">KC Sijunjung                            </v>
          </cell>
          <cell r="G725">
            <v>0.96</v>
          </cell>
        </row>
        <row r="726">
          <cell r="B726" t="str">
            <v xml:space="preserve">KC Simpang Empat              </v>
          </cell>
          <cell r="G726">
            <v>1</v>
          </cell>
        </row>
        <row r="727">
          <cell r="B727" t="str">
            <v xml:space="preserve">KC Simpang Empat                        </v>
          </cell>
          <cell r="G727">
            <v>0.97297297297297303</v>
          </cell>
        </row>
        <row r="728">
          <cell r="B728" t="str">
            <v xml:space="preserve">KC Singaparna                 </v>
          </cell>
          <cell r="G728">
            <v>1</v>
          </cell>
        </row>
        <row r="729">
          <cell r="B729" t="str">
            <v xml:space="preserve">KC Singaparna                           </v>
          </cell>
          <cell r="G729">
            <v>1</v>
          </cell>
        </row>
        <row r="730">
          <cell r="B730" t="str">
            <v xml:space="preserve">KC Singaraja                  </v>
          </cell>
          <cell r="G730">
            <v>1</v>
          </cell>
        </row>
        <row r="731">
          <cell r="B731" t="str">
            <v xml:space="preserve">KC Singaraja                            </v>
          </cell>
          <cell r="G731">
            <v>1</v>
          </cell>
        </row>
        <row r="732">
          <cell r="B732" t="str">
            <v xml:space="preserve">KC Singkawang                 </v>
          </cell>
          <cell r="G732">
            <v>1</v>
          </cell>
        </row>
        <row r="733">
          <cell r="B733" t="str">
            <v xml:space="preserve">KC Singkawang                           </v>
          </cell>
          <cell r="G733">
            <v>1</v>
          </cell>
        </row>
        <row r="734">
          <cell r="B734" t="str">
            <v xml:space="preserve">KC Sinjai                     </v>
          </cell>
          <cell r="G734">
            <v>1</v>
          </cell>
        </row>
        <row r="735">
          <cell r="B735" t="str">
            <v xml:space="preserve">KC Sinjai                               </v>
          </cell>
          <cell r="G735">
            <v>0.96153846153846156</v>
          </cell>
        </row>
        <row r="736">
          <cell r="B736" t="str">
            <v xml:space="preserve">KC Sintang                    </v>
          </cell>
          <cell r="G736">
            <v>1</v>
          </cell>
        </row>
        <row r="737">
          <cell r="B737" t="str">
            <v xml:space="preserve">KC Sintang                              </v>
          </cell>
          <cell r="G737">
            <v>1</v>
          </cell>
        </row>
        <row r="738">
          <cell r="B738" t="str">
            <v xml:space="preserve">KC Situbondo                  </v>
          </cell>
          <cell r="G738">
            <v>1</v>
          </cell>
        </row>
        <row r="739">
          <cell r="B739" t="str">
            <v xml:space="preserve">KC Situbondo                            </v>
          </cell>
          <cell r="G739">
            <v>1</v>
          </cell>
        </row>
        <row r="740">
          <cell r="B740" t="str">
            <v xml:space="preserve">KC Slawi                      </v>
          </cell>
          <cell r="G740">
            <v>1</v>
          </cell>
        </row>
        <row r="741">
          <cell r="B741" t="str">
            <v xml:space="preserve">KC Slawi                                </v>
          </cell>
          <cell r="G741">
            <v>1</v>
          </cell>
        </row>
        <row r="742">
          <cell r="B742" t="str">
            <v xml:space="preserve">KC Sleman                     </v>
          </cell>
          <cell r="G742">
            <v>1</v>
          </cell>
        </row>
        <row r="743">
          <cell r="B743" t="str">
            <v xml:space="preserve">KC Sleman                               </v>
          </cell>
          <cell r="G743">
            <v>1</v>
          </cell>
        </row>
        <row r="744">
          <cell r="B744" t="str">
            <v xml:space="preserve">KC Soa-Sio                    </v>
          </cell>
          <cell r="G744">
            <v>1</v>
          </cell>
        </row>
        <row r="745">
          <cell r="B745" t="str">
            <v xml:space="preserve">KC Soa-Sio                              </v>
          </cell>
          <cell r="G745">
            <v>1</v>
          </cell>
        </row>
        <row r="746">
          <cell r="B746" t="str">
            <v xml:space="preserve">KC Soe                        </v>
          </cell>
          <cell r="G746">
            <v>1</v>
          </cell>
        </row>
        <row r="747">
          <cell r="B747" t="str">
            <v xml:space="preserve">KC Soe                                  </v>
          </cell>
          <cell r="G747">
            <v>1</v>
          </cell>
        </row>
        <row r="748">
          <cell r="B748" t="str">
            <v xml:space="preserve">KC Solo - Sudirman            </v>
          </cell>
          <cell r="G748">
            <v>1</v>
          </cell>
        </row>
        <row r="749">
          <cell r="B749" t="str">
            <v xml:space="preserve">KC Solo - Sudirman                      </v>
          </cell>
          <cell r="G749">
            <v>0.95454545454545459</v>
          </cell>
        </row>
        <row r="750">
          <cell r="B750" t="str">
            <v xml:space="preserve">KC Solo Baru                  </v>
          </cell>
          <cell r="G750">
            <v>1</v>
          </cell>
        </row>
        <row r="751">
          <cell r="B751" t="str">
            <v xml:space="preserve">KC Solo Baru                            </v>
          </cell>
          <cell r="G751">
            <v>1</v>
          </cell>
        </row>
        <row r="752">
          <cell r="B752" t="str">
            <v xml:space="preserve">KC Solo Kartasura             </v>
          </cell>
          <cell r="G752">
            <v>1</v>
          </cell>
        </row>
        <row r="753">
          <cell r="B753" t="str">
            <v xml:space="preserve">KC Solo Kartasura                       </v>
          </cell>
          <cell r="G753">
            <v>1</v>
          </cell>
        </row>
        <row r="754">
          <cell r="B754" t="str">
            <v xml:space="preserve">KC Solo Slamet Riyadi         </v>
          </cell>
          <cell r="G754">
            <v>1</v>
          </cell>
        </row>
        <row r="755">
          <cell r="B755" t="str">
            <v xml:space="preserve">KC Solo Slamet Riyadi                   </v>
          </cell>
          <cell r="G755">
            <v>0.97872340425531912</v>
          </cell>
        </row>
        <row r="756">
          <cell r="B756" t="str">
            <v xml:space="preserve">KC Solok                      </v>
          </cell>
          <cell r="G756">
            <v>1</v>
          </cell>
        </row>
        <row r="757">
          <cell r="B757" t="str">
            <v xml:space="preserve">KC Solok                                </v>
          </cell>
          <cell r="G757">
            <v>0.97619047619047616</v>
          </cell>
        </row>
        <row r="758">
          <cell r="B758" t="str">
            <v xml:space="preserve">KC Soreang                    </v>
          </cell>
          <cell r="G758">
            <v>1</v>
          </cell>
        </row>
        <row r="759">
          <cell r="B759" t="str">
            <v xml:space="preserve">KC Soreang                              </v>
          </cell>
          <cell r="G759">
            <v>0.875</v>
          </cell>
        </row>
        <row r="760">
          <cell r="B760" t="str">
            <v xml:space="preserve">KC Sorong                     </v>
          </cell>
          <cell r="G760">
            <v>1</v>
          </cell>
        </row>
        <row r="761">
          <cell r="B761" t="str">
            <v xml:space="preserve">KC Sorong                               </v>
          </cell>
          <cell r="G761">
            <v>0.9838709677419355</v>
          </cell>
        </row>
        <row r="762">
          <cell r="B762" t="str">
            <v xml:space="preserve">KC Sragen                     </v>
          </cell>
          <cell r="G762">
            <v>1</v>
          </cell>
        </row>
        <row r="763">
          <cell r="B763" t="str">
            <v xml:space="preserve">KC Sragen                               </v>
          </cell>
          <cell r="G763">
            <v>1</v>
          </cell>
        </row>
        <row r="764">
          <cell r="B764" t="str">
            <v xml:space="preserve">KC Stabat                     </v>
          </cell>
          <cell r="G764">
            <v>1</v>
          </cell>
        </row>
        <row r="765">
          <cell r="B765" t="str">
            <v xml:space="preserve">KC Stabat                               </v>
          </cell>
          <cell r="G765">
            <v>0.96875</v>
          </cell>
        </row>
        <row r="766">
          <cell r="B766" t="str">
            <v xml:space="preserve">KC Subang                     </v>
          </cell>
          <cell r="G766">
            <v>1</v>
          </cell>
        </row>
        <row r="767">
          <cell r="B767" t="str">
            <v xml:space="preserve">KC Subang                               </v>
          </cell>
          <cell r="G767">
            <v>0.94444444444444442</v>
          </cell>
        </row>
        <row r="768">
          <cell r="B768" t="str">
            <v xml:space="preserve">KC SUDIRMAN SEMANGGI                    </v>
          </cell>
          <cell r="G768">
            <v>0.91176470588235292</v>
          </cell>
        </row>
        <row r="769">
          <cell r="B769" t="str">
            <v xml:space="preserve">KC Sukabumi                   </v>
          </cell>
          <cell r="G769">
            <v>1</v>
          </cell>
        </row>
        <row r="770">
          <cell r="B770" t="str">
            <v xml:space="preserve">KC Sukabumi                             </v>
          </cell>
          <cell r="G770">
            <v>0.9642857142857143</v>
          </cell>
        </row>
        <row r="771">
          <cell r="B771" t="str">
            <v xml:space="preserve">KC Sukoharjo                  </v>
          </cell>
          <cell r="G771">
            <v>1</v>
          </cell>
        </row>
        <row r="772">
          <cell r="B772" t="str">
            <v xml:space="preserve">KC Sukoharjo                            </v>
          </cell>
          <cell r="G772">
            <v>1</v>
          </cell>
        </row>
        <row r="773">
          <cell r="B773" t="str">
            <v xml:space="preserve">KC Sumbawa Besar              </v>
          </cell>
          <cell r="G773">
            <v>1</v>
          </cell>
        </row>
        <row r="774">
          <cell r="B774" t="str">
            <v xml:space="preserve">KC Sumbawa Besar                        </v>
          </cell>
          <cell r="G774">
            <v>1</v>
          </cell>
        </row>
        <row r="775">
          <cell r="B775" t="str">
            <v xml:space="preserve">KC Sumedang                   </v>
          </cell>
          <cell r="G775">
            <v>1</v>
          </cell>
        </row>
        <row r="776">
          <cell r="B776" t="str">
            <v xml:space="preserve">KC Sumedang                             </v>
          </cell>
          <cell r="G776">
            <v>0.98989898989898994</v>
          </cell>
        </row>
        <row r="777">
          <cell r="B777" t="str">
            <v xml:space="preserve">KC Sumenep                    </v>
          </cell>
          <cell r="G777">
            <v>1</v>
          </cell>
        </row>
        <row r="778">
          <cell r="B778" t="str">
            <v xml:space="preserve">KC Sumenep                              </v>
          </cell>
          <cell r="G778">
            <v>1</v>
          </cell>
        </row>
        <row r="779">
          <cell r="B779" t="str">
            <v xml:space="preserve">KC Sungai Liat                </v>
          </cell>
          <cell r="G779">
            <v>1</v>
          </cell>
        </row>
        <row r="780">
          <cell r="B780" t="str">
            <v xml:space="preserve">KC Sungai Liat                          </v>
          </cell>
          <cell r="G780">
            <v>1</v>
          </cell>
        </row>
        <row r="781">
          <cell r="B781" t="str">
            <v xml:space="preserve">KC Sungai Penuh               </v>
          </cell>
          <cell r="G781">
            <v>1</v>
          </cell>
        </row>
        <row r="782">
          <cell r="B782" t="str">
            <v xml:space="preserve">KC Sungai Penuh                         </v>
          </cell>
          <cell r="G782">
            <v>0.96</v>
          </cell>
        </row>
        <row r="783">
          <cell r="B783" t="str">
            <v xml:space="preserve">KC Sungguminasa               </v>
          </cell>
          <cell r="G783">
            <v>1</v>
          </cell>
        </row>
        <row r="784">
          <cell r="B784" t="str">
            <v xml:space="preserve">KC Sungguminasa                         </v>
          </cell>
          <cell r="G784">
            <v>0.9838709677419355</v>
          </cell>
        </row>
        <row r="785">
          <cell r="B785" t="str">
            <v xml:space="preserve">KC Surabaya Diponegoro        </v>
          </cell>
          <cell r="G785">
            <v>1</v>
          </cell>
        </row>
        <row r="786">
          <cell r="B786" t="str">
            <v xml:space="preserve">KC Surabaya Diponegoro                  </v>
          </cell>
          <cell r="G786">
            <v>0.96296296296296291</v>
          </cell>
        </row>
        <row r="787">
          <cell r="B787" t="str">
            <v xml:space="preserve">KC Surabaya HR Muhammad       </v>
          </cell>
          <cell r="G787">
            <v>1</v>
          </cell>
        </row>
        <row r="788">
          <cell r="B788" t="str">
            <v xml:space="preserve">KC Surabaya HR Muhammad                 </v>
          </cell>
          <cell r="G788">
            <v>1</v>
          </cell>
        </row>
        <row r="789">
          <cell r="B789" t="str">
            <v xml:space="preserve">KC Surabaya Jemursari         </v>
          </cell>
          <cell r="G789">
            <v>1</v>
          </cell>
        </row>
        <row r="790">
          <cell r="B790" t="str">
            <v xml:space="preserve">KC Surabaya Jemursari                   </v>
          </cell>
          <cell r="G790">
            <v>1</v>
          </cell>
        </row>
        <row r="791">
          <cell r="B791" t="str">
            <v xml:space="preserve">KC Surabaya Kaliasin          </v>
          </cell>
          <cell r="G791">
            <v>1</v>
          </cell>
        </row>
        <row r="792">
          <cell r="B792" t="str">
            <v xml:space="preserve">KC Surabaya Kaliasin                    </v>
          </cell>
          <cell r="G792">
            <v>0.95833333333333337</v>
          </cell>
        </row>
        <row r="793">
          <cell r="B793" t="str">
            <v xml:space="preserve">KC Surabaya Kertajaya         </v>
          </cell>
          <cell r="G793">
            <v>1</v>
          </cell>
        </row>
        <row r="794">
          <cell r="B794" t="str">
            <v xml:space="preserve">KC Surabaya Kertajaya                   </v>
          </cell>
          <cell r="G794">
            <v>0.96153846153846156</v>
          </cell>
        </row>
        <row r="795">
          <cell r="B795" t="str">
            <v xml:space="preserve">KC Surabaya Kusuma bangsa     </v>
          </cell>
          <cell r="G795">
            <v>1</v>
          </cell>
        </row>
        <row r="796">
          <cell r="B796" t="str">
            <v xml:space="preserve">KC Surabaya Kusuma bangsa               </v>
          </cell>
          <cell r="G796">
            <v>1</v>
          </cell>
        </row>
        <row r="797">
          <cell r="B797" t="str">
            <v xml:space="preserve">KC Surabaya Pahlawan          </v>
          </cell>
          <cell r="G797">
            <v>1</v>
          </cell>
        </row>
        <row r="798">
          <cell r="B798" t="str">
            <v xml:space="preserve">KC Surabaya Pahlawan                    </v>
          </cell>
          <cell r="G798">
            <v>0.97619047619047616</v>
          </cell>
        </row>
        <row r="799">
          <cell r="B799" t="str">
            <v xml:space="preserve">KC Surabaya Rajawali          </v>
          </cell>
          <cell r="G799">
            <v>1</v>
          </cell>
        </row>
        <row r="800">
          <cell r="B800" t="str">
            <v xml:space="preserve">KC Surabaya Rajawali                    </v>
          </cell>
          <cell r="G800">
            <v>1</v>
          </cell>
        </row>
        <row r="801">
          <cell r="B801" t="str">
            <v xml:space="preserve">KC Surabaya Tanjung Perak     </v>
          </cell>
          <cell r="G801">
            <v>1</v>
          </cell>
        </row>
        <row r="802">
          <cell r="B802" t="str">
            <v xml:space="preserve">KC Surabaya Tanjung Perak               </v>
          </cell>
          <cell r="G802">
            <v>0.92592592592592593</v>
          </cell>
        </row>
        <row r="803">
          <cell r="B803" t="str">
            <v xml:space="preserve">KC Tabanan                    </v>
          </cell>
          <cell r="G803">
            <v>1</v>
          </cell>
        </row>
        <row r="804">
          <cell r="B804" t="str">
            <v xml:space="preserve">KC Tabanan                              </v>
          </cell>
          <cell r="G804">
            <v>1</v>
          </cell>
        </row>
        <row r="805">
          <cell r="B805" t="str">
            <v xml:space="preserve">KC Tabanan Kediri             </v>
          </cell>
          <cell r="G805">
            <v>1</v>
          </cell>
        </row>
        <row r="806">
          <cell r="B806" t="str">
            <v xml:space="preserve">KC Tabanan Kediri                       </v>
          </cell>
          <cell r="G806">
            <v>1</v>
          </cell>
        </row>
        <row r="807">
          <cell r="B807" t="str">
            <v xml:space="preserve">KC Tahuna                     </v>
          </cell>
          <cell r="G807">
            <v>1</v>
          </cell>
        </row>
        <row r="808">
          <cell r="B808" t="str">
            <v xml:space="preserve">KC Tahuna                               </v>
          </cell>
          <cell r="G808">
            <v>1</v>
          </cell>
        </row>
        <row r="809">
          <cell r="B809" t="str">
            <v xml:space="preserve">KC Takalar                    </v>
          </cell>
          <cell r="G809">
            <v>1</v>
          </cell>
        </row>
        <row r="810">
          <cell r="B810" t="str">
            <v xml:space="preserve">KC Takalar                              </v>
          </cell>
          <cell r="G810">
            <v>1</v>
          </cell>
        </row>
        <row r="811">
          <cell r="B811" t="str">
            <v xml:space="preserve">KC Tamalanrea                 </v>
          </cell>
          <cell r="G811">
            <v>1</v>
          </cell>
        </row>
        <row r="812">
          <cell r="B812" t="str">
            <v xml:space="preserve">KC Tamalanrea                           </v>
          </cell>
          <cell r="G812">
            <v>0.96666666666666667</v>
          </cell>
        </row>
        <row r="813">
          <cell r="B813" t="str">
            <v xml:space="preserve">KC Tambun                     </v>
          </cell>
          <cell r="G813">
            <v>1</v>
          </cell>
        </row>
        <row r="814">
          <cell r="B814" t="str">
            <v xml:space="preserve">KC Tambun                               </v>
          </cell>
          <cell r="G814">
            <v>0.98148148148148151</v>
          </cell>
        </row>
        <row r="815">
          <cell r="B815" t="str">
            <v xml:space="preserve">KC Tanah Grogot               </v>
          </cell>
          <cell r="G815">
            <v>1</v>
          </cell>
        </row>
        <row r="816">
          <cell r="B816" t="str">
            <v xml:space="preserve">KC Tanah Grogot                         </v>
          </cell>
          <cell r="G816">
            <v>1</v>
          </cell>
        </row>
        <row r="817">
          <cell r="B817" t="str">
            <v xml:space="preserve">KC Tangerang City             </v>
          </cell>
          <cell r="G817">
            <v>1</v>
          </cell>
        </row>
        <row r="818">
          <cell r="B818" t="str">
            <v xml:space="preserve">KC Tangerang City                       </v>
          </cell>
          <cell r="G818">
            <v>0.92</v>
          </cell>
        </row>
        <row r="819">
          <cell r="B819" t="str">
            <v xml:space="preserve">KC Tangerang Merdeka          </v>
          </cell>
          <cell r="G819">
            <v>1</v>
          </cell>
        </row>
        <row r="820">
          <cell r="B820" t="str">
            <v xml:space="preserve">KC Tangerang Merdeka                    </v>
          </cell>
          <cell r="G820">
            <v>0.96</v>
          </cell>
        </row>
        <row r="821">
          <cell r="B821" t="str">
            <v xml:space="preserve">KC Tanjung Balai              </v>
          </cell>
          <cell r="G821">
            <v>1</v>
          </cell>
        </row>
        <row r="822">
          <cell r="B822" t="str">
            <v xml:space="preserve">KC Tanjung Balai                        </v>
          </cell>
          <cell r="G822">
            <v>1</v>
          </cell>
        </row>
        <row r="823">
          <cell r="B823" t="str">
            <v xml:space="preserve">KC Tanjung Balai Karimun      </v>
          </cell>
          <cell r="G823">
            <v>1</v>
          </cell>
        </row>
        <row r="824">
          <cell r="B824" t="str">
            <v xml:space="preserve">KC Tanjung Balai Karimun                </v>
          </cell>
          <cell r="G824">
            <v>0.98</v>
          </cell>
        </row>
        <row r="825">
          <cell r="B825" t="str">
            <v xml:space="preserve">KC Tanjung Karang             </v>
          </cell>
          <cell r="G825">
            <v>1</v>
          </cell>
        </row>
        <row r="826">
          <cell r="B826" t="str">
            <v xml:space="preserve">KC Tanjung Karang                       </v>
          </cell>
          <cell r="G826">
            <v>0.97297297297297303</v>
          </cell>
        </row>
        <row r="827">
          <cell r="B827" t="str">
            <v xml:space="preserve">KC Tanjung Pandan             </v>
          </cell>
          <cell r="G827">
            <v>1</v>
          </cell>
        </row>
        <row r="828">
          <cell r="B828" t="str">
            <v xml:space="preserve">KC Tanjung Pandan                       </v>
          </cell>
          <cell r="G828">
            <v>1</v>
          </cell>
        </row>
        <row r="829">
          <cell r="B829" t="str">
            <v xml:space="preserve">KC Tanjung Pinang             </v>
          </cell>
          <cell r="G829">
            <v>1</v>
          </cell>
        </row>
        <row r="830">
          <cell r="B830" t="str">
            <v xml:space="preserve">KC Tanjung Pinang                       </v>
          </cell>
          <cell r="G830">
            <v>0.99333333333333329</v>
          </cell>
        </row>
        <row r="831">
          <cell r="B831" t="str">
            <v xml:space="preserve">KC Tanjung Redeb              </v>
          </cell>
          <cell r="G831">
            <v>1</v>
          </cell>
        </row>
        <row r="832">
          <cell r="B832" t="str">
            <v xml:space="preserve">KC Tanjung Redeb                        </v>
          </cell>
          <cell r="G832">
            <v>0.95454545454545459</v>
          </cell>
        </row>
        <row r="833">
          <cell r="B833" t="str">
            <v xml:space="preserve">KC Tanjung Selor              </v>
          </cell>
          <cell r="G833">
            <v>1</v>
          </cell>
        </row>
        <row r="834">
          <cell r="B834" t="str">
            <v xml:space="preserve">KC Tanjung Selor                        </v>
          </cell>
          <cell r="G834">
            <v>0.93939393939393945</v>
          </cell>
        </row>
        <row r="835">
          <cell r="B835" t="str">
            <v xml:space="preserve">KC Tanjung Tabalong           </v>
          </cell>
          <cell r="G835">
            <v>1</v>
          </cell>
        </row>
        <row r="836">
          <cell r="B836" t="str">
            <v xml:space="preserve">KC Tanjung Tabalong                     </v>
          </cell>
          <cell r="G836">
            <v>1</v>
          </cell>
        </row>
        <row r="837">
          <cell r="B837" t="str">
            <v xml:space="preserve">KC Tarakan                    </v>
          </cell>
          <cell r="G837">
            <v>1</v>
          </cell>
        </row>
        <row r="838">
          <cell r="B838" t="str">
            <v xml:space="preserve">KC Tarakan                              </v>
          </cell>
          <cell r="G838">
            <v>0.97560975609756095</v>
          </cell>
        </row>
        <row r="839">
          <cell r="B839" t="str">
            <v xml:space="preserve">KC Tarutung                   </v>
          </cell>
          <cell r="G839">
            <v>1</v>
          </cell>
        </row>
        <row r="840">
          <cell r="B840" t="str">
            <v xml:space="preserve">KC Tarutung                             </v>
          </cell>
          <cell r="G840">
            <v>1</v>
          </cell>
        </row>
        <row r="841">
          <cell r="B841" t="str">
            <v xml:space="preserve">KC Tasikmalaya                </v>
          </cell>
          <cell r="G841">
            <v>1</v>
          </cell>
        </row>
        <row r="842">
          <cell r="B842" t="str">
            <v xml:space="preserve">KC Tasikmalaya                          </v>
          </cell>
          <cell r="G842">
            <v>0.89130434782608692</v>
          </cell>
        </row>
        <row r="843">
          <cell r="B843" t="str">
            <v xml:space="preserve">KC Tebing Tinggi              </v>
          </cell>
          <cell r="G843">
            <v>1</v>
          </cell>
        </row>
        <row r="844">
          <cell r="B844" t="str">
            <v xml:space="preserve">KC Tebing Tinggi                        </v>
          </cell>
          <cell r="G844">
            <v>1</v>
          </cell>
        </row>
        <row r="845">
          <cell r="B845" t="str">
            <v xml:space="preserve">KC Tegal                      </v>
          </cell>
          <cell r="G845">
            <v>1</v>
          </cell>
        </row>
        <row r="846">
          <cell r="B846" t="str">
            <v xml:space="preserve">KC Tegal                                </v>
          </cell>
          <cell r="G846">
            <v>1</v>
          </cell>
        </row>
        <row r="847">
          <cell r="B847" t="str">
            <v xml:space="preserve">KC Teluk Betung               </v>
          </cell>
          <cell r="G847">
            <v>1</v>
          </cell>
        </row>
        <row r="848">
          <cell r="B848" t="str">
            <v xml:space="preserve">KC Teluk Betung                         </v>
          </cell>
          <cell r="G848">
            <v>1</v>
          </cell>
        </row>
        <row r="849">
          <cell r="B849" t="str">
            <v xml:space="preserve">KC Teluk Kuantan              </v>
          </cell>
          <cell r="G849">
            <v>1</v>
          </cell>
        </row>
        <row r="850">
          <cell r="B850" t="str">
            <v xml:space="preserve">KC Teluk Kuantan                        </v>
          </cell>
          <cell r="G850">
            <v>1</v>
          </cell>
        </row>
        <row r="851">
          <cell r="B851" t="str">
            <v xml:space="preserve">KC Temanggung                 </v>
          </cell>
          <cell r="G851">
            <v>1</v>
          </cell>
        </row>
        <row r="852">
          <cell r="B852" t="str">
            <v xml:space="preserve">KC Temanggung                           </v>
          </cell>
          <cell r="G852">
            <v>1</v>
          </cell>
        </row>
        <row r="853">
          <cell r="B853" t="str">
            <v xml:space="preserve">KC Tembilahan                 </v>
          </cell>
          <cell r="G853">
            <v>1</v>
          </cell>
        </row>
        <row r="854">
          <cell r="B854" t="str">
            <v xml:space="preserve">KC Tembilahan                           </v>
          </cell>
          <cell r="G854">
            <v>0.875</v>
          </cell>
        </row>
        <row r="855">
          <cell r="B855" t="str">
            <v xml:space="preserve">KC Tenggarong                 </v>
          </cell>
          <cell r="G855">
            <v>1</v>
          </cell>
        </row>
        <row r="856">
          <cell r="B856" t="str">
            <v xml:space="preserve">KC Tenggarong                           </v>
          </cell>
          <cell r="G856">
            <v>0.94117647058823528</v>
          </cell>
        </row>
        <row r="857">
          <cell r="B857" t="str">
            <v xml:space="preserve">KC Ternate                    </v>
          </cell>
          <cell r="G857">
            <v>1</v>
          </cell>
        </row>
        <row r="858">
          <cell r="B858" t="str">
            <v xml:space="preserve">KC Ternate                              </v>
          </cell>
          <cell r="G858">
            <v>0.96666666666666667</v>
          </cell>
        </row>
        <row r="859">
          <cell r="B859" t="str">
            <v xml:space="preserve">KC Timika                     </v>
          </cell>
          <cell r="G859">
            <v>1</v>
          </cell>
        </row>
        <row r="860">
          <cell r="B860" t="str">
            <v xml:space="preserve">KC Timika                               </v>
          </cell>
          <cell r="G860">
            <v>0.93939393939393945</v>
          </cell>
        </row>
        <row r="861">
          <cell r="B861" t="str">
            <v xml:space="preserve">KC Tobelo                     </v>
          </cell>
          <cell r="G861">
            <v>1</v>
          </cell>
        </row>
        <row r="862">
          <cell r="B862" t="str">
            <v xml:space="preserve">KC Tobelo                               </v>
          </cell>
          <cell r="G862">
            <v>1</v>
          </cell>
        </row>
        <row r="863">
          <cell r="B863" t="str">
            <v xml:space="preserve">KC Toli-Toli                  </v>
          </cell>
          <cell r="G863">
            <v>1</v>
          </cell>
        </row>
        <row r="864">
          <cell r="B864" t="str">
            <v xml:space="preserve">KC Toli-Toli                            </v>
          </cell>
          <cell r="G864">
            <v>1</v>
          </cell>
        </row>
        <row r="865">
          <cell r="B865" t="str">
            <v xml:space="preserve">KC Tondano                    </v>
          </cell>
          <cell r="G865">
            <v>1</v>
          </cell>
        </row>
        <row r="866">
          <cell r="B866" t="str">
            <v xml:space="preserve">KC Tondano                              </v>
          </cell>
          <cell r="G866">
            <v>1</v>
          </cell>
        </row>
        <row r="867">
          <cell r="B867" t="str">
            <v xml:space="preserve">KC Trenggalek                 </v>
          </cell>
          <cell r="G867">
            <v>1</v>
          </cell>
        </row>
        <row r="868">
          <cell r="B868" t="str">
            <v xml:space="preserve">KC Trenggalek                           </v>
          </cell>
          <cell r="G868">
            <v>1</v>
          </cell>
        </row>
        <row r="869">
          <cell r="B869" t="str">
            <v xml:space="preserve">KC Tuban                      </v>
          </cell>
          <cell r="G869">
            <v>1</v>
          </cell>
        </row>
        <row r="870">
          <cell r="B870" t="str">
            <v xml:space="preserve">KC Tuban                                </v>
          </cell>
          <cell r="G870">
            <v>0.83333333333333337</v>
          </cell>
        </row>
        <row r="871">
          <cell r="B871" t="str">
            <v xml:space="preserve">KC Tulang Bawang              </v>
          </cell>
          <cell r="G871">
            <v>1</v>
          </cell>
        </row>
        <row r="872">
          <cell r="B872" t="str">
            <v xml:space="preserve">KC Tulang Bawang                        </v>
          </cell>
          <cell r="G872">
            <v>0.9285714285714286</v>
          </cell>
        </row>
        <row r="873">
          <cell r="B873" t="str">
            <v xml:space="preserve">KC Tulungagung                </v>
          </cell>
          <cell r="G873">
            <v>1</v>
          </cell>
        </row>
        <row r="874">
          <cell r="B874" t="str">
            <v xml:space="preserve">KC Tulungagung                          </v>
          </cell>
          <cell r="G874">
            <v>0.88888888888888884</v>
          </cell>
        </row>
        <row r="875">
          <cell r="B875" t="str">
            <v xml:space="preserve">KC Ujung Batu                 </v>
          </cell>
          <cell r="G875">
            <v>1</v>
          </cell>
        </row>
        <row r="876">
          <cell r="B876" t="str">
            <v xml:space="preserve">KC Ujung Batu                           </v>
          </cell>
          <cell r="G876">
            <v>1</v>
          </cell>
        </row>
        <row r="877">
          <cell r="B877" t="str">
            <v xml:space="preserve">KC Ungaran                    </v>
          </cell>
          <cell r="G877">
            <v>1</v>
          </cell>
        </row>
        <row r="878">
          <cell r="B878" t="str">
            <v xml:space="preserve">KC Ungaran                              </v>
          </cell>
          <cell r="G878">
            <v>1</v>
          </cell>
        </row>
        <row r="879">
          <cell r="B879" t="str">
            <v xml:space="preserve">KC Waikabubak                 </v>
          </cell>
          <cell r="G879">
            <v>1</v>
          </cell>
        </row>
        <row r="880">
          <cell r="B880" t="str">
            <v xml:space="preserve">KC Waikabubak                           </v>
          </cell>
          <cell r="G880">
            <v>1</v>
          </cell>
        </row>
        <row r="881">
          <cell r="B881" t="str">
            <v xml:space="preserve">KC Waingapu                   </v>
          </cell>
          <cell r="G881">
            <v>1</v>
          </cell>
        </row>
        <row r="882">
          <cell r="B882" t="str">
            <v xml:space="preserve">KC Waingapu                             </v>
          </cell>
          <cell r="G882">
            <v>1</v>
          </cell>
        </row>
        <row r="883">
          <cell r="B883" t="str">
            <v xml:space="preserve">KC Wamena                     </v>
          </cell>
          <cell r="G883">
            <v>1</v>
          </cell>
        </row>
        <row r="884">
          <cell r="B884" t="str">
            <v xml:space="preserve">KC Wamena                               </v>
          </cell>
          <cell r="G884">
            <v>1</v>
          </cell>
        </row>
        <row r="885">
          <cell r="B885" t="str">
            <v xml:space="preserve">KC Waru                       </v>
          </cell>
          <cell r="G885">
            <v>1</v>
          </cell>
        </row>
        <row r="886">
          <cell r="B886" t="str">
            <v xml:space="preserve">KC Waru                                 </v>
          </cell>
          <cell r="G886">
            <v>1</v>
          </cell>
        </row>
        <row r="887">
          <cell r="B887" t="str">
            <v xml:space="preserve">KC Watampone                  </v>
          </cell>
          <cell r="G887">
            <v>1</v>
          </cell>
        </row>
        <row r="888">
          <cell r="B888" t="str">
            <v xml:space="preserve">KC Watampone                            </v>
          </cell>
          <cell r="G888">
            <v>0.99038461538461542</v>
          </cell>
        </row>
        <row r="889">
          <cell r="B889" t="str">
            <v xml:space="preserve">KC Watansopeng                </v>
          </cell>
          <cell r="G889">
            <v>1</v>
          </cell>
        </row>
        <row r="890">
          <cell r="B890" t="str">
            <v xml:space="preserve">KC Watansopeng                          </v>
          </cell>
          <cell r="G890">
            <v>1</v>
          </cell>
        </row>
        <row r="891">
          <cell r="B891" t="str">
            <v xml:space="preserve">KC Wates                      </v>
          </cell>
          <cell r="G891">
            <v>1</v>
          </cell>
        </row>
        <row r="892">
          <cell r="B892" t="str">
            <v xml:space="preserve">KC Wates                                </v>
          </cell>
          <cell r="G892">
            <v>0.95238095238095233</v>
          </cell>
        </row>
        <row r="893">
          <cell r="B893" t="str">
            <v xml:space="preserve">KC Wonogiri                   </v>
          </cell>
          <cell r="G893">
            <v>1</v>
          </cell>
        </row>
        <row r="894">
          <cell r="B894" t="str">
            <v xml:space="preserve">KC Wonogiri                             </v>
          </cell>
          <cell r="G894">
            <v>1</v>
          </cell>
        </row>
        <row r="895">
          <cell r="B895" t="str">
            <v xml:space="preserve">KC Wonosari                   </v>
          </cell>
          <cell r="G895">
            <v>1</v>
          </cell>
        </row>
        <row r="896">
          <cell r="B896" t="str">
            <v xml:space="preserve">KC Wonosari                             </v>
          </cell>
          <cell r="G896">
            <v>1</v>
          </cell>
        </row>
        <row r="897">
          <cell r="B897" t="str">
            <v xml:space="preserve">KC Wonosobo                   </v>
          </cell>
          <cell r="G897">
            <v>1</v>
          </cell>
        </row>
        <row r="898">
          <cell r="B898" t="str">
            <v xml:space="preserve">KC Wonosobo                             </v>
          </cell>
          <cell r="G898">
            <v>0.90909090909090906</v>
          </cell>
        </row>
        <row r="899">
          <cell r="B899" t="str">
            <v xml:space="preserve">KC Yogyakarta Adisucipto      </v>
          </cell>
          <cell r="G899">
            <v>1</v>
          </cell>
        </row>
        <row r="900">
          <cell r="B900" t="str">
            <v xml:space="preserve">KC Yogyakarta Adisucipto                </v>
          </cell>
          <cell r="G900">
            <v>0.98750000000000004</v>
          </cell>
        </row>
        <row r="901">
          <cell r="B901" t="str">
            <v xml:space="preserve">KC Yogyakarta Cik Ditiro      </v>
          </cell>
          <cell r="G901">
            <v>1</v>
          </cell>
        </row>
        <row r="902">
          <cell r="B902" t="str">
            <v xml:space="preserve">KC Yogyakarta Cik Ditiro                </v>
          </cell>
          <cell r="G902">
            <v>0.99090909090909096</v>
          </cell>
        </row>
        <row r="903">
          <cell r="B903" t="str">
            <v xml:space="preserve">KC Yogyakarta Katamso         </v>
          </cell>
          <cell r="G903">
            <v>1</v>
          </cell>
        </row>
        <row r="904">
          <cell r="B904" t="str">
            <v xml:space="preserve">KC Yogyakarta Katamso                   </v>
          </cell>
          <cell r="G904">
            <v>1</v>
          </cell>
        </row>
        <row r="905">
          <cell r="B905" t="str">
            <v xml:space="preserve">KC Yogyakarta Mlati           </v>
          </cell>
          <cell r="G905">
            <v>1</v>
          </cell>
        </row>
        <row r="906">
          <cell r="B906" t="str">
            <v xml:space="preserve">KC Yogyakarta Mlati                     </v>
          </cell>
          <cell r="G906">
            <v>0.97058823529411764</v>
          </cell>
        </row>
      </sheetData>
      <sheetData sheetId="7"/>
      <sheetData sheetId="8">
        <row r="2">
          <cell r="C2" t="str">
            <v>Andi Faisal Putra</v>
          </cell>
          <cell r="D2">
            <v>95.208333330000002</v>
          </cell>
        </row>
        <row r="3">
          <cell r="C3" t="str">
            <v>Andi Faisal Putra</v>
          </cell>
          <cell r="D3">
            <v>95.294117650000004</v>
          </cell>
        </row>
        <row r="4">
          <cell r="C4" t="str">
            <v>Andi Faisal Putra</v>
          </cell>
          <cell r="D4">
            <v>95.321637429999996</v>
          </cell>
        </row>
        <row r="5">
          <cell r="C5" t="str">
            <v>Andi Faisal Putra</v>
          </cell>
          <cell r="D5">
            <v>93.069306929999996</v>
          </cell>
        </row>
        <row r="6">
          <cell r="C6" t="str">
            <v>Andi Faisal Putra</v>
          </cell>
          <cell r="D6">
            <v>94.271844659999999</v>
          </cell>
        </row>
        <row r="7">
          <cell r="C7" t="str">
            <v>Andi Faisal Putra</v>
          </cell>
          <cell r="D7">
            <v>93.296703300000004</v>
          </cell>
        </row>
        <row r="8">
          <cell r="C8" t="str">
            <v>Andi Faisal Putra</v>
          </cell>
          <cell r="D8">
            <v>93.739130430000003</v>
          </cell>
        </row>
        <row r="9">
          <cell r="C9" t="str">
            <v>Andi Faisal Putra</v>
          </cell>
          <cell r="D9">
            <v>93.452380950000006</v>
          </cell>
        </row>
        <row r="10">
          <cell r="C10" t="str">
            <v>Andi Faisal Putra</v>
          </cell>
          <cell r="D10">
            <v>92.702702700000003</v>
          </cell>
        </row>
        <row r="11">
          <cell r="C11" t="str">
            <v>Andi Faisal Putra</v>
          </cell>
          <cell r="D11">
            <v>94.32624113</v>
          </cell>
        </row>
        <row r="12">
          <cell r="C12" t="str">
            <v>Andi Perkasa</v>
          </cell>
          <cell r="D12">
            <v>98.272727270000004</v>
          </cell>
        </row>
        <row r="13">
          <cell r="C13" t="str">
            <v>Andi Perkasa</v>
          </cell>
          <cell r="D13">
            <v>92</v>
          </cell>
        </row>
        <row r="14">
          <cell r="C14" t="str">
            <v>Andi Perkasa</v>
          </cell>
          <cell r="D14">
            <v>92.822580650000006</v>
          </cell>
        </row>
        <row r="15">
          <cell r="C15" t="str">
            <v>Andi Perkasa</v>
          </cell>
          <cell r="D15">
            <v>94.109589040000003</v>
          </cell>
        </row>
        <row r="16">
          <cell r="C16" t="str">
            <v>Andi Perkasa</v>
          </cell>
          <cell r="D16">
            <v>96.666666669999998</v>
          </cell>
        </row>
        <row r="17">
          <cell r="C17" t="str">
            <v>Andi Perkasa</v>
          </cell>
          <cell r="D17">
            <v>90</v>
          </cell>
        </row>
        <row r="18">
          <cell r="C18" t="str">
            <v>Andi Perkasa</v>
          </cell>
          <cell r="D18">
            <v>94.9375</v>
          </cell>
        </row>
        <row r="19">
          <cell r="C19" t="str">
            <v>Andi Perkasa</v>
          </cell>
          <cell r="D19">
            <v>82</v>
          </cell>
        </row>
        <row r="20">
          <cell r="C20" t="str">
            <v>Andi Perkasa</v>
          </cell>
          <cell r="D20">
            <v>95.213675210000005</v>
          </cell>
        </row>
        <row r="21">
          <cell r="C21" t="str">
            <v>Janse Paburru</v>
          </cell>
          <cell r="D21">
            <v>94.355828220000006</v>
          </cell>
        </row>
        <row r="22">
          <cell r="C22" t="str">
            <v>Janse Paburru</v>
          </cell>
          <cell r="D22">
            <v>92.857142859999996</v>
          </cell>
        </row>
        <row r="23">
          <cell r="C23" t="str">
            <v>Janse Paburru</v>
          </cell>
          <cell r="D23">
            <v>95.655172410000006</v>
          </cell>
        </row>
        <row r="24">
          <cell r="C24" t="str">
            <v>Janse Paburru</v>
          </cell>
          <cell r="D24">
            <v>95.490196080000004</v>
          </cell>
        </row>
        <row r="25">
          <cell r="C25" t="str">
            <v>Janse Paburru</v>
          </cell>
          <cell r="D25">
            <v>93.622047240000001</v>
          </cell>
        </row>
        <row r="26">
          <cell r="C26" t="str">
            <v>Janse Paburru</v>
          </cell>
          <cell r="D26">
            <v>95.578231290000005</v>
          </cell>
        </row>
        <row r="27">
          <cell r="C27" t="str">
            <v>Janse Paburru</v>
          </cell>
          <cell r="D27">
            <v>93.510638299999997</v>
          </cell>
        </row>
        <row r="28">
          <cell r="C28" t="str">
            <v>Janse Paburru</v>
          </cell>
          <cell r="D28">
            <v>98.387096769999999</v>
          </cell>
        </row>
        <row r="29">
          <cell r="C29" t="str">
            <v>M Sardi Rampo</v>
          </cell>
          <cell r="D29">
            <v>96.612903230000001</v>
          </cell>
        </row>
        <row r="30">
          <cell r="C30" t="str">
            <v>M Sardi Rampo</v>
          </cell>
          <cell r="D30">
            <v>93.904761899999997</v>
          </cell>
        </row>
        <row r="31">
          <cell r="C31" t="str">
            <v>M Sardi Rampo</v>
          </cell>
          <cell r="D31">
            <v>93.973509930000006</v>
          </cell>
        </row>
        <row r="32">
          <cell r="C32" t="str">
            <v>M Sardi Rampo</v>
          </cell>
          <cell r="D32">
            <v>95.501858740000003</v>
          </cell>
        </row>
        <row r="33">
          <cell r="C33" t="str">
            <v>M Sardi Rampo</v>
          </cell>
          <cell r="D33">
            <v>95.310344830000005</v>
          </cell>
        </row>
        <row r="34">
          <cell r="C34" t="str">
            <v>M Sardi Rampo</v>
          </cell>
          <cell r="D34">
            <v>93.8172043</v>
          </cell>
        </row>
        <row r="35">
          <cell r="C35" t="str">
            <v>M Sardi Rampo</v>
          </cell>
          <cell r="D35">
            <v>95.052083330000002</v>
          </cell>
        </row>
        <row r="36">
          <cell r="C36" t="str">
            <v>M Sardi Rampo</v>
          </cell>
          <cell r="D36">
            <v>95.113636360000001</v>
          </cell>
        </row>
        <row r="37">
          <cell r="C37" t="str">
            <v>M Sardi Rampo</v>
          </cell>
          <cell r="D37">
            <v>94.910179639999996</v>
          </cell>
        </row>
        <row r="38">
          <cell r="C38" t="str">
            <v>M Sardi Rampo</v>
          </cell>
          <cell r="D38">
            <v>95</v>
          </cell>
        </row>
        <row r="39">
          <cell r="D39" t="e">
            <v>#N/A</v>
          </cell>
        </row>
        <row r="40">
          <cell r="C40" t="str">
            <v>Ariyanto B</v>
          </cell>
          <cell r="D40">
            <v>97.818181820000007</v>
          </cell>
        </row>
        <row r="41">
          <cell r="C41" t="str">
            <v>Ariyanto B</v>
          </cell>
          <cell r="D41">
            <v>98.16176471</v>
          </cell>
        </row>
        <row r="42">
          <cell r="C42" t="str">
            <v>Ariyanto B</v>
          </cell>
          <cell r="D42">
            <v>98.807339450000001</v>
          </cell>
        </row>
        <row r="43">
          <cell r="C43" t="str">
            <v>Ariyanto B</v>
          </cell>
          <cell r="D43">
            <v>98.867924529999996</v>
          </cell>
        </row>
        <row r="44">
          <cell r="C44" t="str">
            <v>Ariyanto B</v>
          </cell>
          <cell r="D44">
            <v>98.540540539999995</v>
          </cell>
        </row>
        <row r="45">
          <cell r="C45" t="str">
            <v>Ariyanto B</v>
          </cell>
          <cell r="D45">
            <v>98.356164379999996</v>
          </cell>
        </row>
        <row r="46">
          <cell r="C46" t="str">
            <v>Ariyanto B</v>
          </cell>
          <cell r="D46">
            <v>97.857142859999996</v>
          </cell>
        </row>
        <row r="47">
          <cell r="C47" t="str">
            <v>Ryan Fabella Lisa</v>
          </cell>
          <cell r="D47">
            <v>98.079096050000004</v>
          </cell>
        </row>
        <row r="48">
          <cell r="C48" t="str">
            <v>Ryan Fabella Lisa</v>
          </cell>
          <cell r="D48">
            <v>98.298611109999996</v>
          </cell>
        </row>
        <row r="49">
          <cell r="C49" t="str">
            <v>Ryan Fabella Lisa</v>
          </cell>
          <cell r="D49">
            <v>98.345864660000004</v>
          </cell>
        </row>
        <row r="50">
          <cell r="C50" t="str">
            <v>Ryan Fabella Lisa</v>
          </cell>
          <cell r="D50">
            <v>98.809523810000002</v>
          </cell>
        </row>
        <row r="51">
          <cell r="C51" t="str">
            <v>Ryan Fabella Lisa</v>
          </cell>
          <cell r="D51">
            <v>98.46153846</v>
          </cell>
        </row>
        <row r="52">
          <cell r="C52" t="str">
            <v>Ryan Fabella Lisa</v>
          </cell>
          <cell r="D52">
            <v>98.185328190000007</v>
          </cell>
        </row>
        <row r="53">
          <cell r="C53" t="str">
            <v>Ryan Fabella Lisa</v>
          </cell>
          <cell r="D53">
            <v>98.918918919999996</v>
          </cell>
        </row>
        <row r="54">
          <cell r="D54" t="e">
            <v>#N/A</v>
          </cell>
        </row>
        <row r="55">
          <cell r="C55" t="str">
            <v>Rinaldi Wicaksana</v>
          </cell>
          <cell r="D55">
            <v>98.785714290000001</v>
          </cell>
        </row>
        <row r="56">
          <cell r="C56" t="str">
            <v>Rinaldi Wicaksana</v>
          </cell>
          <cell r="D56">
            <v>98.709677420000006</v>
          </cell>
        </row>
        <row r="57">
          <cell r="C57" t="str">
            <v>Rinaldi Wicaksana</v>
          </cell>
          <cell r="D57">
            <v>95.925925930000005</v>
          </cell>
        </row>
        <row r="58">
          <cell r="C58" t="str">
            <v>Rinaldi Wicaksana</v>
          </cell>
          <cell r="D58">
            <v>97.31707317</v>
          </cell>
        </row>
        <row r="59">
          <cell r="C59" t="str">
            <v>Rinaldi Wicaksana</v>
          </cell>
          <cell r="D59">
            <v>95.479452050000006</v>
          </cell>
        </row>
        <row r="60">
          <cell r="C60" t="str">
            <v>Rinaldi Wicaksana</v>
          </cell>
          <cell r="D60">
            <v>97.59398496</v>
          </cell>
        </row>
        <row r="61">
          <cell r="C61" t="str">
            <v>Rinaldi Wicaksana</v>
          </cell>
          <cell r="D61">
            <v>98.451612900000001</v>
          </cell>
        </row>
        <row r="62">
          <cell r="C62" t="str">
            <v>Rinaldi Wicaksana</v>
          </cell>
          <cell r="D62">
            <v>97.920792079999998</v>
          </cell>
        </row>
        <row r="63">
          <cell r="C63" t="str">
            <v>Rinaldi Wicaksana</v>
          </cell>
          <cell r="D63">
            <v>98.226950349999996</v>
          </cell>
        </row>
        <row r="64">
          <cell r="C64" t="str">
            <v>Rinaldi Wicaksana</v>
          </cell>
          <cell r="D64">
            <v>95.964912279999993</v>
          </cell>
        </row>
        <row r="65">
          <cell r="C65" t="str">
            <v>Rinaldi Wicaksana</v>
          </cell>
          <cell r="D65">
            <v>98.504672900000003</v>
          </cell>
        </row>
        <row r="66">
          <cell r="C66" t="str">
            <v>Rinaldi Wicaksana</v>
          </cell>
          <cell r="D66">
            <v>98.260869569999997</v>
          </cell>
        </row>
        <row r="67">
          <cell r="C67" t="str">
            <v>Rinaldi Wicaksana</v>
          </cell>
          <cell r="D67">
            <v>97.971014490000002</v>
          </cell>
        </row>
        <row r="68">
          <cell r="D68" t="e">
            <v>#N/A</v>
          </cell>
        </row>
        <row r="69">
          <cell r="C69" t="str">
            <v>Imelda Mayestika P.</v>
          </cell>
          <cell r="D69">
            <v>92</v>
          </cell>
        </row>
        <row r="70">
          <cell r="C70" t="str">
            <v>Imelda Mayestika P.</v>
          </cell>
          <cell r="D70">
            <v>97.248322150000007</v>
          </cell>
        </row>
        <row r="71">
          <cell r="C71" t="str">
            <v>Imelda Mayestika P.</v>
          </cell>
          <cell r="D71">
            <v>91.25</v>
          </cell>
        </row>
        <row r="72">
          <cell r="C72" t="str">
            <v>Imelda Mayestika P.</v>
          </cell>
          <cell r="D72">
            <v>97.838709679999994</v>
          </cell>
        </row>
        <row r="73">
          <cell r="C73" t="str">
            <v>Imelda Mayestika P.</v>
          </cell>
          <cell r="D73">
            <v>97.4609375</v>
          </cell>
        </row>
        <row r="74">
          <cell r="C74" t="str">
            <v>Imelda Mayestika P.</v>
          </cell>
          <cell r="D74">
            <v>93.333333330000002</v>
          </cell>
        </row>
        <row r="75">
          <cell r="C75" t="str">
            <v>Imelda Mayestika P.</v>
          </cell>
          <cell r="D75">
            <v>96.33484163</v>
          </cell>
        </row>
        <row r="76">
          <cell r="C76" t="str">
            <v>Imelda Mayestika P.</v>
          </cell>
          <cell r="D76">
            <v>93.671497579999993</v>
          </cell>
        </row>
        <row r="77">
          <cell r="C77" t="str">
            <v>Imelda Mayestika P.</v>
          </cell>
          <cell r="D77">
            <v>97.710437709999994</v>
          </cell>
        </row>
        <row r="78">
          <cell r="C78" t="str">
            <v>Imelda Mayestika P.</v>
          </cell>
          <cell r="D78">
            <v>95.340909089999997</v>
          </cell>
        </row>
        <row r="79">
          <cell r="C79" t="str">
            <v>Imelda Mayestika P.</v>
          </cell>
          <cell r="D79">
            <v>93.703703700000005</v>
          </cell>
        </row>
        <row r="80">
          <cell r="C80" t="str">
            <v>Imelda Mayestika P.</v>
          </cell>
          <cell r="D80">
            <v>98.006329109999996</v>
          </cell>
        </row>
        <row r="81">
          <cell r="C81" t="str">
            <v>Imelda Mayestika P.</v>
          </cell>
          <cell r="D81">
            <v>95.142857140000004</v>
          </cell>
        </row>
        <row r="82">
          <cell r="C82" t="str">
            <v>Imelda Mayestika P.</v>
          </cell>
          <cell r="D82">
            <v>97.426470589999994</v>
          </cell>
        </row>
        <row r="83">
          <cell r="C83" t="str">
            <v>Imelda Mayestika P.</v>
          </cell>
          <cell r="D83">
            <v>96.785714290000001</v>
          </cell>
        </row>
        <row r="84">
          <cell r="C84" t="str">
            <v>Imelda Mayestika P.</v>
          </cell>
          <cell r="D84">
            <v>98.720930229999993</v>
          </cell>
        </row>
        <row r="85">
          <cell r="C85" t="str">
            <v>Imelda Mayestika P.</v>
          </cell>
          <cell r="D85">
            <v>97.647058819999998</v>
          </cell>
        </row>
        <row r="86">
          <cell r="C86" t="str">
            <v>Imelda Mayestika P.</v>
          </cell>
          <cell r="D86">
            <v>97.173913040000002</v>
          </cell>
        </row>
        <row r="87">
          <cell r="C87" t="str">
            <v>Imelda Mayestika P.</v>
          </cell>
          <cell r="D87">
            <v>97.333333330000002</v>
          </cell>
        </row>
        <row r="88">
          <cell r="C88" t="str">
            <v>Imelda Mayestika P.</v>
          </cell>
          <cell r="D88">
            <v>94.545454550000002</v>
          </cell>
        </row>
        <row r="89">
          <cell r="C89" t="str">
            <v>Imelda Mayestika P.</v>
          </cell>
          <cell r="D89">
            <v>97.839506170000007</v>
          </cell>
        </row>
        <row r="90">
          <cell r="C90" t="str">
            <v>Imelda Mayestika P.</v>
          </cell>
          <cell r="D90">
            <v>93.157894740000003</v>
          </cell>
        </row>
        <row r="91">
          <cell r="C91" t="str">
            <v>Imelda Mayestika P.</v>
          </cell>
          <cell r="D91">
            <v>94.178082189999998</v>
          </cell>
        </row>
        <row r="92">
          <cell r="C92" t="str">
            <v>Imelda Mayestika P.</v>
          </cell>
          <cell r="D92">
            <v>98.983050849999998</v>
          </cell>
        </row>
        <row r="93">
          <cell r="C93" t="str">
            <v>Imelda Mayestika P.</v>
          </cell>
          <cell r="D93">
            <v>97.710843370000006</v>
          </cell>
        </row>
        <row r="94">
          <cell r="C94" t="str">
            <v>Imelda Mayestika P.</v>
          </cell>
          <cell r="D94">
            <v>97.5</v>
          </cell>
        </row>
        <row r="95">
          <cell r="C95" t="str">
            <v>Imelda Mayestika P.</v>
          </cell>
          <cell r="D95">
            <v>97.56097561</v>
          </cell>
        </row>
        <row r="96">
          <cell r="C96" t="str">
            <v>Imelda Mayestika P.</v>
          </cell>
          <cell r="D96">
            <v>96.666666669999998</v>
          </cell>
        </row>
        <row r="97">
          <cell r="C97" t="str">
            <v>Imelda Mayestika P.</v>
          </cell>
          <cell r="D97">
            <v>97.125</v>
          </cell>
        </row>
        <row r="98">
          <cell r="C98" t="str">
            <v>Imelda Mayestika P.</v>
          </cell>
          <cell r="D98">
            <v>98.169014079999997</v>
          </cell>
        </row>
        <row r="99">
          <cell r="C99" t="str">
            <v>Imelda Mayestika P.</v>
          </cell>
          <cell r="D99">
            <v>98.219178080000006</v>
          </cell>
        </row>
        <row r="100">
          <cell r="C100" t="str">
            <v>Imelda Mayestika P.</v>
          </cell>
          <cell r="D100">
            <v>94.41176471</v>
          </cell>
        </row>
        <row r="101">
          <cell r="D101" t="e">
            <v>#N/A</v>
          </cell>
        </row>
        <row r="102">
          <cell r="C102" t="str">
            <v>Ida Bagus Pidada Manuaba</v>
          </cell>
          <cell r="D102">
            <v>97.671957669999998</v>
          </cell>
        </row>
        <row r="103">
          <cell r="C103" t="str">
            <v>I Made Budiartha</v>
          </cell>
          <cell r="D103">
            <v>96.904761899999997</v>
          </cell>
        </row>
        <row r="104">
          <cell r="C104" t="str">
            <v>I Made Budiartha</v>
          </cell>
          <cell r="D104">
            <v>95.447154470000001</v>
          </cell>
        </row>
        <row r="105">
          <cell r="C105" t="str">
            <v>Dewa Nyoman Wedana</v>
          </cell>
          <cell r="D105">
            <v>94.466019419999995</v>
          </cell>
        </row>
        <row r="106">
          <cell r="C106" t="str">
            <v>Dewa Nyoman Wedana</v>
          </cell>
          <cell r="D106">
            <v>97.803030300000003</v>
          </cell>
        </row>
        <row r="107">
          <cell r="C107" t="str">
            <v>Ida Bagus Pidada Manuaba</v>
          </cell>
          <cell r="D107">
            <v>98.582677169999997</v>
          </cell>
        </row>
        <row r="108">
          <cell r="C108" t="str">
            <v>Ida Bagus Pidada Manuaba</v>
          </cell>
          <cell r="D108">
            <v>96.717557249999999</v>
          </cell>
        </row>
        <row r="109">
          <cell r="C109" t="str">
            <v>Dewa Nyoman Wedana</v>
          </cell>
          <cell r="D109">
            <v>96.851851850000003</v>
          </cell>
        </row>
        <row r="110">
          <cell r="C110" t="str">
            <v>I Made Budiartha</v>
          </cell>
          <cell r="D110">
            <v>97.606837609999999</v>
          </cell>
        </row>
        <row r="111">
          <cell r="C111" t="str">
            <v>I Made Budiartha</v>
          </cell>
          <cell r="D111">
            <v>98.701298699999995</v>
          </cell>
        </row>
        <row r="112">
          <cell r="C112" t="str">
            <v>Dewa Nyoman Wedana</v>
          </cell>
          <cell r="D112">
            <v>99.245283020000002</v>
          </cell>
        </row>
        <row r="113">
          <cell r="C113" t="str">
            <v>Dewa Nyoman Wedana</v>
          </cell>
          <cell r="D113">
            <v>98.482142859999996</v>
          </cell>
        </row>
        <row r="114">
          <cell r="C114" t="str">
            <v>I Made Budiartha</v>
          </cell>
          <cell r="D114">
            <v>96.016949150000002</v>
          </cell>
        </row>
        <row r="115">
          <cell r="C115" t="str">
            <v>I Made Budiartha</v>
          </cell>
          <cell r="D115">
            <v>96.955128209999998</v>
          </cell>
        </row>
        <row r="116">
          <cell r="C116" t="str">
            <v>I Made Budiartha</v>
          </cell>
          <cell r="D116">
            <v>94.506172840000005</v>
          </cell>
        </row>
        <row r="117">
          <cell r="C117" t="str">
            <v>Ida Bagus Pidada Manuaba</v>
          </cell>
          <cell r="D117">
            <v>98.376623379999998</v>
          </cell>
        </row>
        <row r="118">
          <cell r="C118" t="str">
            <v>Ida Bagus Pidada Manuaba</v>
          </cell>
          <cell r="D118">
            <v>96.734693879999995</v>
          </cell>
        </row>
        <row r="119">
          <cell r="C119" t="str">
            <v>I Made Budiartha</v>
          </cell>
          <cell r="D119">
            <v>97.980769230000007</v>
          </cell>
        </row>
        <row r="120">
          <cell r="C120" t="str">
            <v>Dewa Nyoman Wedana</v>
          </cell>
          <cell r="D120">
            <v>97.151898729999999</v>
          </cell>
        </row>
        <row r="121">
          <cell r="C121" t="str">
            <v>Ida Bagus Pidada Manuaba</v>
          </cell>
          <cell r="D121">
            <v>98.271604940000003</v>
          </cell>
        </row>
        <row r="122">
          <cell r="C122" t="str">
            <v>Dewa Nyoman Wedana</v>
          </cell>
          <cell r="D122">
            <v>96.907216489999996</v>
          </cell>
        </row>
        <row r="123">
          <cell r="C123" t="str">
            <v>I Made Budiartha</v>
          </cell>
          <cell r="D123">
            <v>98.167539270000006</v>
          </cell>
        </row>
        <row r="124">
          <cell r="C124" t="str">
            <v>I Made Budiartha</v>
          </cell>
          <cell r="D124">
            <v>96.115702479999996</v>
          </cell>
        </row>
        <row r="125">
          <cell r="C125" t="str">
            <v>Ida Bagus Pidada Manuaba</v>
          </cell>
          <cell r="D125">
            <v>97.849056599999997</v>
          </cell>
        </row>
        <row r="126">
          <cell r="C126" t="str">
            <v>I Made Budiartha</v>
          </cell>
          <cell r="D126">
            <v>94.714285709999999</v>
          </cell>
        </row>
        <row r="127">
          <cell r="C127" t="str">
            <v>I Made Budiartha</v>
          </cell>
          <cell r="D127">
            <v>97.722772280000001</v>
          </cell>
        </row>
        <row r="128">
          <cell r="C128" t="str">
            <v>Dewa Nyoman Wedana</v>
          </cell>
          <cell r="D128">
            <v>98.24</v>
          </cell>
        </row>
        <row r="129">
          <cell r="C129" t="str">
            <v>I Made Budiartha</v>
          </cell>
          <cell r="D129">
            <v>98.181818179999993</v>
          </cell>
        </row>
        <row r="130">
          <cell r="C130" t="str">
            <v>Dewa Nyoman Wedana</v>
          </cell>
          <cell r="D130">
            <v>98.803418800000003</v>
          </cell>
        </row>
        <row r="131">
          <cell r="C131" t="str">
            <v>Dewa Nyoman Wedana</v>
          </cell>
          <cell r="D131">
            <v>98.522727270000004</v>
          </cell>
        </row>
        <row r="132">
          <cell r="C132" t="str">
            <v>Ida Bagus Pidada Manuaba</v>
          </cell>
          <cell r="D132">
            <v>96.25</v>
          </cell>
        </row>
        <row r="133">
          <cell r="C133" t="str">
            <v>Dewa Nyoman Wedana</v>
          </cell>
          <cell r="D133">
            <v>99.117647059999996</v>
          </cell>
        </row>
        <row r="134">
          <cell r="D134" t="e">
            <v>#N/A</v>
          </cell>
        </row>
        <row r="135">
          <cell r="C135" t="str">
            <v>Boby Sukmawijaya</v>
          </cell>
          <cell r="D135">
            <v>97.866666670000001</v>
          </cell>
        </row>
        <row r="136">
          <cell r="C136" t="str">
            <v>Boby Sukmawijaya</v>
          </cell>
          <cell r="D136">
            <v>95.656565659999998</v>
          </cell>
        </row>
        <row r="137">
          <cell r="C137" t="str">
            <v>Boby Sukmawijaya</v>
          </cell>
          <cell r="D137">
            <v>95.81300813</v>
          </cell>
        </row>
        <row r="138">
          <cell r="C138" t="str">
            <v>Boby Sukmawijaya</v>
          </cell>
          <cell r="D138">
            <v>94.61538462</v>
          </cell>
        </row>
        <row r="139">
          <cell r="C139" t="str">
            <v>Boby Sukmawijaya</v>
          </cell>
          <cell r="D139">
            <v>99.124087590000002</v>
          </cell>
        </row>
        <row r="140">
          <cell r="C140" t="str">
            <v>Boby Sukmawijaya</v>
          </cell>
          <cell r="D140">
            <v>95.945945949999995</v>
          </cell>
        </row>
        <row r="141">
          <cell r="C141" t="str">
            <v>Boby Sukmawijaya</v>
          </cell>
          <cell r="D141">
            <v>96.420454550000002</v>
          </cell>
        </row>
        <row r="142">
          <cell r="C142" t="str">
            <v>Boby Sukmawijaya</v>
          </cell>
          <cell r="D142">
            <v>98.473282440000006</v>
          </cell>
        </row>
        <row r="143">
          <cell r="C143" t="str">
            <v>Boby Sukmawijaya</v>
          </cell>
          <cell r="D143">
            <v>95.887096769999999</v>
          </cell>
        </row>
        <row r="144">
          <cell r="C144" t="str">
            <v>Boby Sukmawijaya</v>
          </cell>
          <cell r="D144">
            <v>99.252336450000001</v>
          </cell>
        </row>
        <row r="145">
          <cell r="C145" t="str">
            <v>Boby Sukmawijaya</v>
          </cell>
          <cell r="D145">
            <v>94.318181820000007</v>
          </cell>
        </row>
        <row r="146">
          <cell r="C146" t="str">
            <v>Boby Sukmawijaya</v>
          </cell>
          <cell r="D146">
            <v>96.19834711</v>
          </cell>
        </row>
        <row r="147">
          <cell r="C147" t="str">
            <v>Boby Sukmawijaya</v>
          </cell>
          <cell r="D147">
            <v>95.056179779999994</v>
          </cell>
        </row>
        <row r="148">
          <cell r="C148" t="str">
            <v>Boby Sukmawijaya</v>
          </cell>
          <cell r="D148">
            <v>95.15418502</v>
          </cell>
        </row>
        <row r="149">
          <cell r="C149" t="str">
            <v>Boby Sukmawijaya</v>
          </cell>
          <cell r="D149">
            <v>94.215686270000006</v>
          </cell>
        </row>
        <row r="150">
          <cell r="C150" t="str">
            <v>Boby Sukmawijaya</v>
          </cell>
          <cell r="D150">
            <v>98.933333329999996</v>
          </cell>
        </row>
        <row r="151">
          <cell r="C151" t="str">
            <v>Boby Sukmawijaya</v>
          </cell>
          <cell r="D151">
            <v>95.390625</v>
          </cell>
        </row>
        <row r="152">
          <cell r="C152" t="str">
            <v>Boby Sukmawijaya</v>
          </cell>
          <cell r="D152">
            <v>98.704453439999995</v>
          </cell>
        </row>
        <row r="153">
          <cell r="C153" t="str">
            <v>Boby Sukmawijaya</v>
          </cell>
          <cell r="D153">
            <v>93.119266060000001</v>
          </cell>
        </row>
        <row r="154">
          <cell r="C154" t="str">
            <v>Boby Sukmawijaya</v>
          </cell>
          <cell r="D154">
            <v>96.4</v>
          </cell>
        </row>
        <row r="155">
          <cell r="C155" t="str">
            <v>Boby Sukmawijaya</v>
          </cell>
          <cell r="D155">
            <v>98.4375</v>
          </cell>
        </row>
        <row r="156">
          <cell r="C156" t="str">
            <v>Boby Sukmawijaya</v>
          </cell>
          <cell r="D156">
            <v>97.727272729999996</v>
          </cell>
        </row>
        <row r="157">
          <cell r="C157" t="str">
            <v>Boby Sukmawijaya</v>
          </cell>
          <cell r="D157">
            <v>96.875</v>
          </cell>
        </row>
        <row r="158">
          <cell r="C158" t="str">
            <v>Boby Sukmawijaya</v>
          </cell>
          <cell r="D158">
            <v>98.034188029999996</v>
          </cell>
        </row>
        <row r="159">
          <cell r="C159" t="str">
            <v>Boby Sukmawijaya</v>
          </cell>
          <cell r="D159">
            <v>97.831325300000003</v>
          </cell>
        </row>
        <row r="160">
          <cell r="C160" t="str">
            <v>Boby Sukmawijaya</v>
          </cell>
          <cell r="D160">
            <v>96.918918919999996</v>
          </cell>
        </row>
        <row r="161">
          <cell r="C161" t="str">
            <v>Boby Sukmawijaya</v>
          </cell>
          <cell r="D161">
            <v>97.702702700000003</v>
          </cell>
        </row>
        <row r="162">
          <cell r="C162" t="str">
            <v>Boby Sukmawijaya</v>
          </cell>
          <cell r="D162">
            <v>97.840909089999997</v>
          </cell>
        </row>
        <row r="163">
          <cell r="C163" t="str">
            <v>Boby Sukmawijaya</v>
          </cell>
          <cell r="D163">
            <v>96.638655459999995</v>
          </cell>
        </row>
        <row r="164">
          <cell r="C164" t="str">
            <v>Boby Sukmawijaya</v>
          </cell>
          <cell r="D164">
            <v>96.690647479999996</v>
          </cell>
        </row>
        <row r="165">
          <cell r="C165" t="str">
            <v>Boby Sukmawijaya</v>
          </cell>
          <cell r="D165">
            <v>98.348623849999996</v>
          </cell>
        </row>
        <row r="166">
          <cell r="C166" t="str">
            <v>Boby Sukmawijaya</v>
          </cell>
          <cell r="D166">
            <v>94.742857139999998</v>
          </cell>
        </row>
        <row r="167">
          <cell r="C167" t="str">
            <v>Boby Sukmawijaya</v>
          </cell>
          <cell r="D167">
            <v>97.737226280000002</v>
          </cell>
        </row>
        <row r="168">
          <cell r="C168" t="str">
            <v>Boby Sukmawijaya</v>
          </cell>
          <cell r="D168">
            <v>98.846153849999993</v>
          </cell>
        </row>
        <row r="169">
          <cell r="C169" t="str">
            <v>Boby Sukmawijaya</v>
          </cell>
          <cell r="D169">
            <v>96.875</v>
          </cell>
        </row>
        <row r="170">
          <cell r="C170" t="str">
            <v>Boby Sukmawijaya</v>
          </cell>
          <cell r="D170">
            <v>98.68852459</v>
          </cell>
        </row>
        <row r="171">
          <cell r="C171" t="str">
            <v>Boby Sukmawijaya</v>
          </cell>
          <cell r="D171">
            <v>96.907894740000003</v>
          </cell>
        </row>
        <row r="172">
          <cell r="C172" t="str">
            <v>Boby Sukmawijaya</v>
          </cell>
          <cell r="D172">
            <v>98.211009169999997</v>
          </cell>
        </row>
        <row r="173">
          <cell r="C173" t="str">
            <v>Boby Sukmawijaya</v>
          </cell>
          <cell r="D173">
            <v>98.149350650000002</v>
          </cell>
        </row>
        <row r="174">
          <cell r="C174" t="str">
            <v>Boby Sukmawijaya</v>
          </cell>
          <cell r="D174">
            <v>98.3</v>
          </cell>
        </row>
        <row r="175">
          <cell r="D175" t="e">
            <v>#N/A</v>
          </cell>
        </row>
        <row r="176">
          <cell r="C176" t="str">
            <v>Ari</v>
          </cell>
          <cell r="D176">
            <v>95.581395349999994</v>
          </cell>
        </row>
        <row r="177">
          <cell r="C177" t="str">
            <v>Ari</v>
          </cell>
          <cell r="D177">
            <v>96.734693879999995</v>
          </cell>
        </row>
        <row r="178">
          <cell r="C178" t="str">
            <v>Ari</v>
          </cell>
          <cell r="D178">
            <v>96.733668339999994</v>
          </cell>
        </row>
        <row r="179">
          <cell r="C179" t="str">
            <v>Ari</v>
          </cell>
          <cell r="D179">
            <v>96.421052630000005</v>
          </cell>
        </row>
        <row r="180">
          <cell r="C180" t="str">
            <v>Ari</v>
          </cell>
          <cell r="D180">
            <v>97.60479042</v>
          </cell>
        </row>
        <row r="181">
          <cell r="C181" t="str">
            <v>Ari</v>
          </cell>
          <cell r="D181">
            <v>96.315789469999999</v>
          </cell>
        </row>
        <row r="182">
          <cell r="C182" t="str">
            <v>Ari</v>
          </cell>
          <cell r="D182">
            <v>97.83464567</v>
          </cell>
        </row>
        <row r="183">
          <cell r="C183" t="str">
            <v>Ari</v>
          </cell>
          <cell r="D183">
            <v>97.477477480000005</v>
          </cell>
        </row>
        <row r="184">
          <cell r="C184" t="str">
            <v>Ari</v>
          </cell>
          <cell r="D184">
            <v>96.696428569999995</v>
          </cell>
        </row>
        <row r="185">
          <cell r="C185" t="str">
            <v>Ari</v>
          </cell>
          <cell r="D185">
            <v>96.232876709999999</v>
          </cell>
        </row>
        <row r="186">
          <cell r="C186" t="str">
            <v>Helvi</v>
          </cell>
          <cell r="D186">
            <v>97.869565219999998</v>
          </cell>
        </row>
        <row r="187">
          <cell r="C187" t="str">
            <v>Helvi</v>
          </cell>
          <cell r="D187">
            <v>95.521885519999998</v>
          </cell>
        </row>
        <row r="188">
          <cell r="C188" t="str">
            <v>Helvi</v>
          </cell>
          <cell r="D188">
            <v>96.08</v>
          </cell>
        </row>
        <row r="189">
          <cell r="C189" t="str">
            <v>Helvi</v>
          </cell>
          <cell r="D189">
            <v>96.709401709999995</v>
          </cell>
        </row>
        <row r="190">
          <cell r="C190" t="str">
            <v>Helvi</v>
          </cell>
          <cell r="D190">
            <v>97.398373980000002</v>
          </cell>
        </row>
        <row r="191">
          <cell r="C191" t="str">
            <v>Helvi</v>
          </cell>
          <cell r="D191">
            <v>97.117117120000003</v>
          </cell>
        </row>
        <row r="192">
          <cell r="C192" t="str">
            <v>Helvi</v>
          </cell>
          <cell r="D192">
            <v>98.24</v>
          </cell>
        </row>
        <row r="193">
          <cell r="C193" t="str">
            <v>Helvi</v>
          </cell>
          <cell r="D193">
            <v>95</v>
          </cell>
        </row>
        <row r="194">
          <cell r="C194" t="str">
            <v>Helvi</v>
          </cell>
          <cell r="D194">
            <v>95.769230769999993</v>
          </cell>
        </row>
        <row r="195">
          <cell r="C195" t="str">
            <v>Helvi</v>
          </cell>
          <cell r="D195">
            <v>97.524271839999997</v>
          </cell>
        </row>
        <row r="196">
          <cell r="C196" t="str">
            <v>Helvi</v>
          </cell>
          <cell r="D196">
            <v>97.473684210000002</v>
          </cell>
        </row>
        <row r="197">
          <cell r="D197" t="e">
            <v>#N/A</v>
          </cell>
        </row>
        <row r="198">
          <cell r="C198" t="str">
            <v>Ferdi Setiawan</v>
          </cell>
          <cell r="D198">
            <v>97.605633800000007</v>
          </cell>
        </row>
        <row r="199">
          <cell r="C199" t="str">
            <v>Ferdi Setiawan</v>
          </cell>
          <cell r="D199">
            <v>97.697160879999998</v>
          </cell>
        </row>
        <row r="200">
          <cell r="C200" t="str">
            <v>Ferdi Setiawan</v>
          </cell>
          <cell r="D200">
            <v>96.594202899999999</v>
          </cell>
        </row>
        <row r="201">
          <cell r="C201" t="str">
            <v>Ferdi Setiawan</v>
          </cell>
          <cell r="D201">
            <v>98.538812789999994</v>
          </cell>
        </row>
        <row r="202">
          <cell r="C202" t="str">
            <v>Ferdi Setiawan</v>
          </cell>
          <cell r="D202">
            <v>97.737226280000002</v>
          </cell>
        </row>
        <row r="203">
          <cell r="C203" t="str">
            <v>Ferdi Setiawan</v>
          </cell>
          <cell r="D203">
            <v>97.401129940000004</v>
          </cell>
        </row>
        <row r="204">
          <cell r="C204" t="str">
            <v>Ferdi Setiawan</v>
          </cell>
          <cell r="D204">
            <v>97.967479670000003</v>
          </cell>
        </row>
        <row r="205">
          <cell r="C205" t="str">
            <v>Ferdi Setiawan</v>
          </cell>
          <cell r="D205">
            <v>96.587677729999996</v>
          </cell>
        </row>
        <row r="206">
          <cell r="C206" t="str">
            <v>Ferdi Setiawan</v>
          </cell>
          <cell r="D206">
            <v>96.551724140000005</v>
          </cell>
        </row>
        <row r="207">
          <cell r="C207" t="str">
            <v>Ferdi Setiawan</v>
          </cell>
          <cell r="D207">
            <v>98.440366969999999</v>
          </cell>
        </row>
        <row r="208">
          <cell r="C208" t="str">
            <v>Ferdi Setiawan</v>
          </cell>
          <cell r="D208">
            <v>97.75</v>
          </cell>
        </row>
        <row r="209">
          <cell r="C209" t="str">
            <v>Ferdi Setiawan</v>
          </cell>
          <cell r="D209">
            <v>95.955882349999996</v>
          </cell>
        </row>
        <row r="210">
          <cell r="C210" t="str">
            <v>Ferdi Setiawan</v>
          </cell>
          <cell r="D210">
            <v>96.977401130000004</v>
          </cell>
        </row>
        <row r="211">
          <cell r="C211" t="str">
            <v>Ferdi Setiawan</v>
          </cell>
          <cell r="D211">
            <v>97.684210530000001</v>
          </cell>
        </row>
        <row r="212">
          <cell r="D212" t="e">
            <v>#N/A</v>
          </cell>
        </row>
        <row r="213">
          <cell r="C213" t="str">
            <v>Gesang Jumadi</v>
          </cell>
          <cell r="D213">
            <v>93.181818179999993</v>
          </cell>
        </row>
        <row r="214">
          <cell r="C214" t="str">
            <v>Gesang Jumadi</v>
          </cell>
          <cell r="D214">
            <v>95.212121210000006</v>
          </cell>
        </row>
        <row r="215">
          <cell r="C215" t="str">
            <v>Gesang Jumadi</v>
          </cell>
          <cell r="D215">
            <v>96.444444439999998</v>
          </cell>
        </row>
        <row r="216">
          <cell r="C216" t="str">
            <v>Gesang Jumadi</v>
          </cell>
          <cell r="D216">
            <v>97.530120479999994</v>
          </cell>
        </row>
        <row r="217">
          <cell r="C217" t="str">
            <v>Gesang Jumadi</v>
          </cell>
          <cell r="D217">
            <v>95.555555560000002</v>
          </cell>
        </row>
        <row r="218">
          <cell r="C218" t="str">
            <v>Gesang Jumadi</v>
          </cell>
          <cell r="D218">
            <v>94.68</v>
          </cell>
        </row>
        <row r="219">
          <cell r="C219" t="str">
            <v>Gesang Jumadi</v>
          </cell>
          <cell r="D219">
            <v>96.225596530000004</v>
          </cell>
        </row>
        <row r="220">
          <cell r="C220" t="str">
            <v>Gesang Jumadi</v>
          </cell>
          <cell r="D220">
            <v>94.449339210000005</v>
          </cell>
        </row>
        <row r="221">
          <cell r="C221" t="str">
            <v>Gesang Jumadi</v>
          </cell>
          <cell r="D221">
            <v>91.779141100000004</v>
          </cell>
        </row>
        <row r="222">
          <cell r="C222" t="str">
            <v>Gesang Jumadi</v>
          </cell>
          <cell r="D222">
            <v>96.271186439999994</v>
          </cell>
        </row>
        <row r="223">
          <cell r="C223" t="str">
            <v>Gesang Jumadi</v>
          </cell>
          <cell r="D223">
            <v>96.721991700000004</v>
          </cell>
        </row>
        <row r="224">
          <cell r="C224" t="str">
            <v>Gesang Jumadi</v>
          </cell>
          <cell r="D224">
            <v>96.558891450000004</v>
          </cell>
        </row>
        <row r="225">
          <cell r="C225" t="str">
            <v>Gesang Jumadi</v>
          </cell>
          <cell r="D225">
            <v>97.285067870000006</v>
          </cell>
        </row>
        <row r="226">
          <cell r="C226" t="str">
            <v>Gesang Jumadi</v>
          </cell>
          <cell r="D226">
            <v>97.934782609999999</v>
          </cell>
        </row>
        <row r="227">
          <cell r="C227" t="str">
            <v>Gesang Jumadi</v>
          </cell>
          <cell r="D227">
            <v>96.487119440000001</v>
          </cell>
        </row>
        <row r="228">
          <cell r="C228" t="str">
            <v>Gumilar Rudimaya</v>
          </cell>
          <cell r="D228">
            <v>97.070707069999997</v>
          </cell>
        </row>
        <row r="229">
          <cell r="C229" t="str">
            <v>Gumilar Rudimaya</v>
          </cell>
          <cell r="D229">
            <v>96.012269939999996</v>
          </cell>
        </row>
        <row r="230">
          <cell r="C230" t="str">
            <v>Gumilar Rudimaya</v>
          </cell>
          <cell r="D230">
            <v>90.630630629999999</v>
          </cell>
        </row>
        <row r="231">
          <cell r="C231" t="str">
            <v>Gumilar Rudimaya</v>
          </cell>
          <cell r="D231">
            <v>97.738095240000007</v>
          </cell>
        </row>
        <row r="232">
          <cell r="C232" t="str">
            <v>Gumilar Rudimaya</v>
          </cell>
          <cell r="D232">
            <v>95.555555560000002</v>
          </cell>
        </row>
        <row r="233">
          <cell r="C233" t="str">
            <v>Gumilar Rudimaya</v>
          </cell>
          <cell r="D233">
            <v>91.704545449999998</v>
          </cell>
        </row>
        <row r="234">
          <cell r="C234" t="str">
            <v>Gumilar Rudimaya</v>
          </cell>
          <cell r="D234">
            <v>92.988505750000002</v>
          </cell>
        </row>
        <row r="235">
          <cell r="C235" t="str">
            <v>Gumilar Rudimaya</v>
          </cell>
          <cell r="D235">
            <v>93.379501390000001</v>
          </cell>
        </row>
        <row r="236">
          <cell r="C236" t="str">
            <v>Gumilar Rudimaya</v>
          </cell>
          <cell r="D236">
            <v>97.78846154</v>
          </cell>
        </row>
        <row r="237">
          <cell r="C237" t="str">
            <v>Gumilar Rudimaya</v>
          </cell>
          <cell r="D237">
            <v>96.844106460000006</v>
          </cell>
        </row>
        <row r="238">
          <cell r="C238" t="str">
            <v>Gumilar Rudimaya</v>
          </cell>
          <cell r="D238">
            <v>94.207920790000003</v>
          </cell>
        </row>
        <row r="239">
          <cell r="C239" t="str">
            <v>Gumilar Rudimaya</v>
          </cell>
          <cell r="D239">
            <v>96.327272730000004</v>
          </cell>
        </row>
        <row r="240">
          <cell r="C240" t="str">
            <v>Gumilar Rudimaya</v>
          </cell>
          <cell r="D240">
            <v>96.504297989999998</v>
          </cell>
        </row>
        <row r="241">
          <cell r="C241" t="str">
            <v>Gumilar Rudimaya</v>
          </cell>
          <cell r="D241">
            <v>96.534653469999995</v>
          </cell>
        </row>
        <row r="242">
          <cell r="C242" t="str">
            <v>Gumilar Rudimaya</v>
          </cell>
          <cell r="D242">
            <v>93.502824860000004</v>
          </cell>
        </row>
        <row r="243">
          <cell r="D243" t="e">
            <v>#N/A</v>
          </cell>
        </row>
        <row r="244">
          <cell r="C244" t="str">
            <v>Indra Jantana</v>
          </cell>
          <cell r="D244">
            <v>97.941176470000002</v>
          </cell>
        </row>
        <row r="245">
          <cell r="C245" t="str">
            <v>Indra Jantana</v>
          </cell>
          <cell r="D245">
            <v>95.289256199999997</v>
          </cell>
        </row>
        <row r="246">
          <cell r="C246" t="str">
            <v>Indra Jantana</v>
          </cell>
          <cell r="D246">
            <v>94.434782609999999</v>
          </cell>
        </row>
        <row r="247">
          <cell r="C247" t="str">
            <v>Indra Jantana</v>
          </cell>
          <cell r="D247">
            <v>94.428571430000005</v>
          </cell>
        </row>
        <row r="248">
          <cell r="C248" t="str">
            <v>Indra Jantana</v>
          </cell>
          <cell r="D248">
            <v>97.916666669999998</v>
          </cell>
        </row>
        <row r="249">
          <cell r="C249" t="str">
            <v>Indra Jantana</v>
          </cell>
          <cell r="D249">
            <v>94.859813079999995</v>
          </cell>
        </row>
        <row r="250">
          <cell r="C250" t="str">
            <v>Indra Jantana</v>
          </cell>
          <cell r="D250">
            <v>96.785714290000001</v>
          </cell>
        </row>
        <row r="251">
          <cell r="C251" t="str">
            <v>Indra Jantana</v>
          </cell>
          <cell r="D251">
            <v>95.777777779999994</v>
          </cell>
        </row>
        <row r="252">
          <cell r="C252" t="str">
            <v>Indra Jantana</v>
          </cell>
          <cell r="D252">
            <v>97.027027029999999</v>
          </cell>
        </row>
        <row r="253">
          <cell r="C253" t="str">
            <v>Indra Jantana</v>
          </cell>
          <cell r="D253">
            <v>97.910447759999997</v>
          </cell>
        </row>
        <row r="254">
          <cell r="C254" t="str">
            <v>Indra Jantana</v>
          </cell>
          <cell r="D254">
            <v>96.206896549999996</v>
          </cell>
        </row>
        <row r="255">
          <cell r="C255" t="str">
            <v>Indra Jantana</v>
          </cell>
          <cell r="D255">
            <v>97.868852459999999</v>
          </cell>
        </row>
        <row r="256">
          <cell r="C256" t="str">
            <v>Indra Jantana</v>
          </cell>
          <cell r="D256">
            <v>97.903225809999995</v>
          </cell>
        </row>
        <row r="257">
          <cell r="C257" t="str">
            <v>Indra Jantana</v>
          </cell>
          <cell r="D257">
            <v>97.52173913</v>
          </cell>
        </row>
        <row r="258">
          <cell r="C258" t="str">
            <v>Indra Jantana</v>
          </cell>
          <cell r="D258">
            <v>97.5</v>
          </cell>
        </row>
        <row r="259">
          <cell r="C259" t="str">
            <v>Indra Jantana</v>
          </cell>
          <cell r="D259">
            <v>96.081081080000004</v>
          </cell>
        </row>
        <row r="260">
          <cell r="C260" t="str">
            <v>Indra Jantana</v>
          </cell>
          <cell r="D260">
            <v>96.105263160000007</v>
          </cell>
        </row>
        <row r="261">
          <cell r="C261" t="str">
            <v>Indra Jantana</v>
          </cell>
          <cell r="D261">
            <v>93.647798739999999</v>
          </cell>
        </row>
        <row r="262">
          <cell r="C262" t="str">
            <v>Indra Jantana</v>
          </cell>
          <cell r="D262">
            <v>96.969696970000001</v>
          </cell>
        </row>
        <row r="263">
          <cell r="C263" t="str">
            <v>Indra Jantana</v>
          </cell>
          <cell r="D263">
            <v>95.080645160000003</v>
          </cell>
        </row>
        <row r="264">
          <cell r="C264" t="str">
            <v>Indra Jantana</v>
          </cell>
          <cell r="D264">
            <v>95.662100460000005</v>
          </cell>
        </row>
        <row r="265">
          <cell r="C265" t="str">
            <v>Indra Jantana</v>
          </cell>
          <cell r="D265">
            <v>96.595744679999996</v>
          </cell>
        </row>
        <row r="266">
          <cell r="C266" t="str">
            <v>Indra Jantana</v>
          </cell>
          <cell r="D266">
            <v>97.052631579999996</v>
          </cell>
        </row>
        <row r="267">
          <cell r="C267" t="str">
            <v>Indra Jantana</v>
          </cell>
          <cell r="D267">
            <v>97.25</v>
          </cell>
        </row>
        <row r="268">
          <cell r="D268" t="e">
            <v>#N/A</v>
          </cell>
        </row>
        <row r="269">
          <cell r="C269" t="str">
            <v>Yudi Wahyudi</v>
          </cell>
          <cell r="D269">
            <v>90.666666669999998</v>
          </cell>
        </row>
        <row r="270">
          <cell r="C270" t="str">
            <v>Yudi Wahyudi</v>
          </cell>
          <cell r="D270">
            <v>94.71153846</v>
          </cell>
        </row>
        <row r="271">
          <cell r="C271" t="str">
            <v>Yudi Wahyudi</v>
          </cell>
          <cell r="D271">
            <v>86.547619049999994</v>
          </cell>
        </row>
        <row r="272">
          <cell r="C272" t="str">
            <v>Yudi Wahyudi</v>
          </cell>
          <cell r="D272">
            <v>92.222222220000006</v>
          </cell>
        </row>
        <row r="273">
          <cell r="C273" t="str">
            <v>Yudi Wahyudi</v>
          </cell>
          <cell r="D273">
            <v>89.647887319999995</v>
          </cell>
        </row>
        <row r="274">
          <cell r="C274" t="str">
            <v>Yudi Wahyudi</v>
          </cell>
          <cell r="D274">
            <v>88.878504669999998</v>
          </cell>
        </row>
        <row r="275">
          <cell r="C275" t="str">
            <v>Yudi Wahyudi</v>
          </cell>
          <cell r="D275">
            <v>91.056338030000006</v>
          </cell>
        </row>
        <row r="276">
          <cell r="C276" t="str">
            <v>Yudi Wahyudi</v>
          </cell>
          <cell r="D276">
            <v>91.415094339999996</v>
          </cell>
        </row>
        <row r="277">
          <cell r="C277" t="str">
            <v>Yudi Wahyudi</v>
          </cell>
          <cell r="D277">
            <v>94.59459459</v>
          </cell>
        </row>
        <row r="278">
          <cell r="C278" t="str">
            <v>Yudi Wahyudi</v>
          </cell>
          <cell r="D278">
            <v>89.940119760000002</v>
          </cell>
        </row>
        <row r="279">
          <cell r="C279" t="str">
            <v>Yudi Wahyudi</v>
          </cell>
          <cell r="D279">
            <v>92.264150939999993</v>
          </cell>
        </row>
        <row r="280">
          <cell r="C280" t="str">
            <v>Yudi Wahyudi</v>
          </cell>
          <cell r="D280">
            <v>92.978723400000007</v>
          </cell>
        </row>
        <row r="281">
          <cell r="C281" t="str">
            <v>Yudi Wahyudi</v>
          </cell>
          <cell r="D281">
            <v>90.212765959999999</v>
          </cell>
        </row>
        <row r="282">
          <cell r="C282" t="str">
            <v>Yudi Wahyudi</v>
          </cell>
          <cell r="D282">
            <v>94.390243900000002</v>
          </cell>
        </row>
        <row r="283">
          <cell r="C283" t="str">
            <v>Yudi Wahyudi</v>
          </cell>
          <cell r="D283">
            <v>93.015873020000001</v>
          </cell>
        </row>
        <row r="284">
          <cell r="C284" t="str">
            <v>Yudi Wahyudi</v>
          </cell>
          <cell r="D284">
            <v>92.336448599999997</v>
          </cell>
        </row>
        <row r="285">
          <cell r="C285" t="str">
            <v>Yudi Wahyudi</v>
          </cell>
          <cell r="D285">
            <v>94.444444439999998</v>
          </cell>
        </row>
        <row r="286">
          <cell r="C286" t="str">
            <v>Yudi Wahyudi</v>
          </cell>
          <cell r="D286">
            <v>90.093457939999993</v>
          </cell>
        </row>
        <row r="287">
          <cell r="C287" t="str">
            <v>Yudi Wahyudi</v>
          </cell>
          <cell r="D287">
            <v>93</v>
          </cell>
        </row>
        <row r="288">
          <cell r="C288" t="str">
            <v>Yudi Wahyudi</v>
          </cell>
          <cell r="D288">
            <v>91.987179490000003</v>
          </cell>
        </row>
        <row r="289">
          <cell r="C289" t="str">
            <v>Yudi Wahyudi</v>
          </cell>
          <cell r="D289">
            <v>92.370370370000003</v>
          </cell>
        </row>
        <row r="290">
          <cell r="C290" t="str">
            <v>Yudi Wahyudi</v>
          </cell>
          <cell r="D290">
            <v>93.839285709999999</v>
          </cell>
        </row>
        <row r="291">
          <cell r="C291" t="str">
            <v>Yudi Wahyudi</v>
          </cell>
          <cell r="D291">
            <v>89.682539680000005</v>
          </cell>
        </row>
        <row r="292">
          <cell r="C292" t="str">
            <v>Yudi Wahyudi</v>
          </cell>
          <cell r="D292">
            <v>90</v>
          </cell>
        </row>
        <row r="293">
          <cell r="C293" t="str">
            <v>Yudi Wahyudi</v>
          </cell>
          <cell r="D293">
            <v>87.457627119999998</v>
          </cell>
        </row>
        <row r="294">
          <cell r="C294" t="str">
            <v>Yudi Wahyudi</v>
          </cell>
          <cell r="D294">
            <v>91.509433959999996</v>
          </cell>
        </row>
        <row r="295">
          <cell r="D295" t="e">
            <v>#N/A</v>
          </cell>
        </row>
        <row r="296">
          <cell r="C296" t="str">
            <v>Febri Dwi Prabowo</v>
          </cell>
          <cell r="D296">
            <v>94.487179490000003</v>
          </cell>
        </row>
        <row r="297">
          <cell r="C297" t="str">
            <v>Febri Dwi Prabowo</v>
          </cell>
          <cell r="D297">
            <v>95.172413789999993</v>
          </cell>
        </row>
        <row r="298">
          <cell r="C298" t="str">
            <v>Febri Dwi Prabowo</v>
          </cell>
          <cell r="D298">
            <v>93.521126760000001</v>
          </cell>
        </row>
        <row r="299">
          <cell r="C299" t="str">
            <v>Febri Dwi Prabowo</v>
          </cell>
          <cell r="D299">
            <v>90.616113740000003</v>
          </cell>
        </row>
        <row r="300">
          <cell r="C300" t="str">
            <v>Febri Dwi Prabowo</v>
          </cell>
          <cell r="D300">
            <v>92.215568860000005</v>
          </cell>
        </row>
        <row r="301">
          <cell r="C301" t="str">
            <v>Febri Dwi Prabowo</v>
          </cell>
          <cell r="D301">
            <v>94.787234040000001</v>
          </cell>
        </row>
        <row r="302">
          <cell r="C302" t="str">
            <v>Febri Dwi Prabowo</v>
          </cell>
          <cell r="D302">
            <v>93.851851850000003</v>
          </cell>
        </row>
        <row r="303">
          <cell r="C303" t="str">
            <v>Febri Dwi Prabowo</v>
          </cell>
          <cell r="D303">
            <v>92.480818409999998</v>
          </cell>
        </row>
        <row r="304">
          <cell r="C304" t="str">
            <v>Febri Dwi Prabowo</v>
          </cell>
          <cell r="D304">
            <v>90.267379680000005</v>
          </cell>
        </row>
        <row r="305">
          <cell r="C305" t="str">
            <v>Febri Dwi Prabowo</v>
          </cell>
          <cell r="D305">
            <v>93.814814810000001</v>
          </cell>
        </row>
        <row r="306">
          <cell r="C306" t="str">
            <v>Febri Dwi Prabowo</v>
          </cell>
          <cell r="D306">
            <v>90.223214290000001</v>
          </cell>
        </row>
        <row r="307">
          <cell r="C307" t="str">
            <v>Febri Dwi Prabowo</v>
          </cell>
          <cell r="D307">
            <v>94.837209299999998</v>
          </cell>
        </row>
        <row r="308">
          <cell r="C308" t="str">
            <v>Febri Dwi Prabowo</v>
          </cell>
          <cell r="D308">
            <v>90.151057399999999</v>
          </cell>
        </row>
        <row r="309">
          <cell r="C309" t="str">
            <v>Made Windu Kuntara</v>
          </cell>
          <cell r="D309">
            <v>92.22772277</v>
          </cell>
        </row>
        <row r="310">
          <cell r="C310" t="str">
            <v>Made Windu Kuntara</v>
          </cell>
          <cell r="D310">
            <v>92.04819277</v>
          </cell>
        </row>
        <row r="311">
          <cell r="C311" t="str">
            <v>Made Windu Kuntara</v>
          </cell>
          <cell r="D311">
            <v>92.438478750000002</v>
          </cell>
        </row>
        <row r="312">
          <cell r="C312" t="str">
            <v>Made Windu Kuntara</v>
          </cell>
          <cell r="D312">
            <v>95.776566759999994</v>
          </cell>
        </row>
        <row r="313">
          <cell r="C313" t="str">
            <v>Made Windu Kuntara</v>
          </cell>
          <cell r="D313">
            <v>92.045454550000002</v>
          </cell>
        </row>
        <row r="314">
          <cell r="C314" t="str">
            <v>Made Windu Kuntara</v>
          </cell>
          <cell r="D314">
            <v>88.4375</v>
          </cell>
        </row>
        <row r="315">
          <cell r="C315" t="str">
            <v>Made Windu Kuntara</v>
          </cell>
          <cell r="D315">
            <v>90.666666669999998</v>
          </cell>
        </row>
        <row r="316">
          <cell r="C316" t="str">
            <v>Made Windu Kuntara</v>
          </cell>
          <cell r="D316">
            <v>91.951219510000001</v>
          </cell>
        </row>
        <row r="317">
          <cell r="C317" t="str">
            <v>Made Windu Kuntara</v>
          </cell>
          <cell r="D317">
            <v>91.649746190000002</v>
          </cell>
        </row>
        <row r="318">
          <cell r="C318" t="str">
            <v>Made Windu Kuntara</v>
          </cell>
          <cell r="D318">
            <v>89.690140850000006</v>
          </cell>
        </row>
        <row r="319">
          <cell r="C319" t="str">
            <v>Made Windu Kuntara</v>
          </cell>
          <cell r="D319">
            <v>87.52380952</v>
          </cell>
        </row>
        <row r="320">
          <cell r="C320" t="str">
            <v>Made Windu Kuntara</v>
          </cell>
          <cell r="D320">
            <v>96.52173913</v>
          </cell>
        </row>
        <row r="321">
          <cell r="D321" t="e">
            <v>#N/A</v>
          </cell>
        </row>
        <row r="322">
          <cell r="C322" t="str">
            <v>Jusuf Charles Rumende (PN : 00059432)</v>
          </cell>
          <cell r="D322">
            <v>98.020304569999993</v>
          </cell>
        </row>
        <row r="323">
          <cell r="C323" t="str">
            <v>Jusuf Charles Rumende (PN : 00059432)</v>
          </cell>
          <cell r="D323">
            <v>96.63716814</v>
          </cell>
        </row>
        <row r="324">
          <cell r="C324" t="str">
            <v>Jusuf Charles Rumende (PN : 00059432)</v>
          </cell>
          <cell r="D324">
            <v>96.098484850000006</v>
          </cell>
        </row>
        <row r="325">
          <cell r="C325" t="str">
            <v>Jusuf Charles Rumende (PN : 00059432)</v>
          </cell>
          <cell r="D325">
            <v>98.537549409999997</v>
          </cell>
        </row>
        <row r="326">
          <cell r="C326" t="str">
            <v>Jusuf Charles Rumende (PN : 00059432)</v>
          </cell>
          <cell r="D326">
            <v>94.813278010000005</v>
          </cell>
        </row>
        <row r="327">
          <cell r="C327" t="str">
            <v>Jusuf Charles Rumende (PN : 00059432)</v>
          </cell>
          <cell r="D327">
            <v>98.181818179999993</v>
          </cell>
        </row>
        <row r="328">
          <cell r="C328" t="str">
            <v>Jusuf Charles Rumende (PN : 00059432)</v>
          </cell>
          <cell r="D328">
            <v>98.918918919999996</v>
          </cell>
        </row>
        <row r="329">
          <cell r="C329" t="str">
            <v>Jusuf Charles Rumende (PN : 00059432)</v>
          </cell>
          <cell r="D329">
            <v>97.476635509999994</v>
          </cell>
        </row>
        <row r="330">
          <cell r="C330" t="str">
            <v>Jusuf Charles Rumende (PN : 00059432)</v>
          </cell>
          <cell r="D330">
            <v>98.137931030000004</v>
          </cell>
        </row>
        <row r="331">
          <cell r="C331" t="str">
            <v>Jusuf Charles Rumende (PN : 00059432)</v>
          </cell>
          <cell r="D331">
            <v>98.371559629999993</v>
          </cell>
        </row>
        <row r="332">
          <cell r="C332" t="str">
            <v>Jusuf Charles Rumende (PN : 00059432)</v>
          </cell>
          <cell r="D332">
            <v>98.966942149999994</v>
          </cell>
        </row>
        <row r="333">
          <cell r="C333" t="str">
            <v>Jusuf Charles Rumende (PN : 00059432)</v>
          </cell>
          <cell r="D333">
            <v>97.529411760000002</v>
          </cell>
        </row>
        <row r="334">
          <cell r="C334" t="str">
            <v>Jusuf Charles Rumende (PN : 00059432)</v>
          </cell>
          <cell r="D334">
            <v>94.876033059999997</v>
          </cell>
        </row>
        <row r="335">
          <cell r="C335" t="str">
            <v>Jusuf Charles Rumende (PN : 00059432)</v>
          </cell>
          <cell r="D335">
            <v>98.607594939999998</v>
          </cell>
        </row>
        <row r="336">
          <cell r="C336" t="str">
            <v>Jusuf Charles Rumende (PN : 00059432)</v>
          </cell>
          <cell r="D336">
            <v>98.439306360000003</v>
          </cell>
        </row>
        <row r="337">
          <cell r="C337" t="str">
            <v>Jusuf Charles Rumende (PN : 00059432)</v>
          </cell>
          <cell r="D337">
            <v>96.351351350000002</v>
          </cell>
        </row>
        <row r="338">
          <cell r="C338" t="str">
            <v>Jusuf Charles Rumende (PN : 00059432)</v>
          </cell>
          <cell r="D338">
            <v>98.677685949999997</v>
          </cell>
        </row>
        <row r="339">
          <cell r="C339" t="str">
            <v>Jusuf Charles Rumende (PN : 00059432)</v>
          </cell>
          <cell r="D339">
            <v>98.582375479999996</v>
          </cell>
        </row>
        <row r="340">
          <cell r="C340" t="str">
            <v>Jusuf Charles Rumende (PN : 00059432)</v>
          </cell>
          <cell r="D340">
            <v>98.225806449999993</v>
          </cell>
        </row>
        <row r="341">
          <cell r="C341" t="str">
            <v>Jusuf Charles Rumende (PN : 00059432)</v>
          </cell>
          <cell r="D341">
            <v>99.285714290000001</v>
          </cell>
        </row>
        <row r="342">
          <cell r="D342" t="e">
            <v>#N/A</v>
          </cell>
        </row>
        <row r="343">
          <cell r="C343" t="str">
            <v>Syamsul Arifianto</v>
          </cell>
          <cell r="D343">
            <v>98.338762209999999</v>
          </cell>
        </row>
        <row r="344">
          <cell r="C344" t="str">
            <v>Syamsul Arifianto</v>
          </cell>
          <cell r="D344">
            <v>96.129032260000002</v>
          </cell>
        </row>
        <row r="345">
          <cell r="C345" t="str">
            <v>Syamsul Arifianto</v>
          </cell>
          <cell r="D345">
            <v>96.40625</v>
          </cell>
        </row>
        <row r="346">
          <cell r="C346" t="str">
            <v>Syamsul Arifianto</v>
          </cell>
          <cell r="D346">
            <v>98.128834359999999</v>
          </cell>
        </row>
        <row r="347">
          <cell r="C347" t="str">
            <v>Syamsul Arifianto</v>
          </cell>
          <cell r="D347">
            <v>97.387820509999997</v>
          </cell>
        </row>
        <row r="348">
          <cell r="C348" t="str">
            <v>Syamsul Arifianto</v>
          </cell>
          <cell r="D348">
            <v>98.401084010000005</v>
          </cell>
        </row>
        <row r="349">
          <cell r="C349" t="str">
            <v>Syamsul Arifianto</v>
          </cell>
          <cell r="D349">
            <v>98.681318680000004</v>
          </cell>
        </row>
        <row r="350">
          <cell r="C350" t="str">
            <v>Syamsul Arifianto</v>
          </cell>
          <cell r="D350">
            <v>97.519685039999999</v>
          </cell>
        </row>
        <row r="351">
          <cell r="C351" t="str">
            <v>Syamsul Arifianto</v>
          </cell>
          <cell r="D351">
            <v>98.07692308</v>
          </cell>
        </row>
        <row r="352">
          <cell r="C352" t="str">
            <v>Syamsul Arifianto</v>
          </cell>
          <cell r="D352">
            <v>98.481012660000005</v>
          </cell>
        </row>
        <row r="353">
          <cell r="C353" t="str">
            <v>Syamsul Arifianto</v>
          </cell>
          <cell r="D353">
            <v>96.046511629999998</v>
          </cell>
        </row>
        <row r="354">
          <cell r="C354" t="str">
            <v>Veronica Dwi Kurniasih</v>
          </cell>
          <cell r="D354">
            <v>98.97654584</v>
          </cell>
        </row>
        <row r="355">
          <cell r="C355" t="str">
            <v>Veronica Dwi Kurniasih</v>
          </cell>
          <cell r="D355">
            <v>97.24770642</v>
          </cell>
        </row>
        <row r="356">
          <cell r="C356" t="str">
            <v>Veronica Dwi Kurniasih</v>
          </cell>
          <cell r="D356">
            <v>97.794117650000004</v>
          </cell>
        </row>
        <row r="357">
          <cell r="C357" t="str">
            <v>Veronica Dwi Kurniasih</v>
          </cell>
          <cell r="D357">
            <v>96.603773579999995</v>
          </cell>
        </row>
        <row r="358">
          <cell r="C358" t="str">
            <v>Veronica Dwi Kurniasih</v>
          </cell>
          <cell r="D358">
            <v>95.081967210000002</v>
          </cell>
        </row>
        <row r="359">
          <cell r="C359" t="str">
            <v>Veronica Dwi Kurniasih</v>
          </cell>
          <cell r="D359">
            <v>98.339350179999997</v>
          </cell>
        </row>
        <row r="360">
          <cell r="C360" t="str">
            <v>Veronica Dwi Kurniasih</v>
          </cell>
          <cell r="D360">
            <v>95.776255710000001</v>
          </cell>
        </row>
        <row r="361">
          <cell r="C361" t="str">
            <v>Veronica Dwi Kurniasih</v>
          </cell>
          <cell r="D361">
            <v>98.07692308</v>
          </cell>
        </row>
        <row r="362">
          <cell r="C362" t="str">
            <v>Veronica Dwi Kurniasih</v>
          </cell>
          <cell r="D362">
            <v>98.888888890000004</v>
          </cell>
        </row>
        <row r="363">
          <cell r="C363" t="str">
            <v>Veronica Dwi Kurniasih</v>
          </cell>
          <cell r="D363">
            <v>99.071428569999995</v>
          </cell>
        </row>
        <row r="364">
          <cell r="C364" t="str">
            <v>Veronica Dwi Kurniasih</v>
          </cell>
          <cell r="D364">
            <v>97.151162790000001</v>
          </cell>
        </row>
        <row r="365">
          <cell r="D365" t="e">
            <v>#N/A</v>
          </cell>
        </row>
        <row r="366">
          <cell r="C366" t="str">
            <v>Asep Kristiono</v>
          </cell>
          <cell r="D366">
            <v>98.754208750000004</v>
          </cell>
        </row>
        <row r="367">
          <cell r="C367" t="str">
            <v>Asep Kristiono</v>
          </cell>
          <cell r="D367">
            <v>98.53470437</v>
          </cell>
        </row>
        <row r="368">
          <cell r="C368" t="str">
            <v>Asep Kristiono</v>
          </cell>
          <cell r="D368">
            <v>98.967136150000002</v>
          </cell>
        </row>
        <row r="369">
          <cell r="C369" t="str">
            <v>Asep Kristiono</v>
          </cell>
          <cell r="D369">
            <v>98.18897638</v>
          </cell>
        </row>
        <row r="370">
          <cell r="C370" t="str">
            <v>Asep Kristiono</v>
          </cell>
          <cell r="D370">
            <v>98.208333330000002</v>
          </cell>
        </row>
        <row r="371">
          <cell r="C371" t="str">
            <v>Asep Kristiono</v>
          </cell>
          <cell r="D371">
            <v>97.990654210000002</v>
          </cell>
        </row>
        <row r="372">
          <cell r="C372" t="str">
            <v>Asep Kristiono</v>
          </cell>
          <cell r="D372">
            <v>98.574610239999998</v>
          </cell>
        </row>
        <row r="373">
          <cell r="C373" t="str">
            <v>Asep Kristiono</v>
          </cell>
          <cell r="D373">
            <v>98.311111109999999</v>
          </cell>
        </row>
        <row r="374">
          <cell r="C374" t="str">
            <v>Asep Kristiono</v>
          </cell>
          <cell r="D374">
            <v>97.391304349999999</v>
          </cell>
        </row>
        <row r="375">
          <cell r="C375" t="str">
            <v>Asep Kristiono</v>
          </cell>
          <cell r="D375">
            <v>98.481012660000005</v>
          </cell>
        </row>
        <row r="376">
          <cell r="C376" t="str">
            <v>Asep Kristiono</v>
          </cell>
          <cell r="D376">
            <v>98.762886600000002</v>
          </cell>
        </row>
        <row r="377">
          <cell r="C377" t="str">
            <v>Dian Septianti</v>
          </cell>
          <cell r="D377">
            <v>98.502024289999994</v>
          </cell>
        </row>
        <row r="378">
          <cell r="C378" t="str">
            <v>Dian Septianti</v>
          </cell>
          <cell r="D378">
            <v>98.772563180000006</v>
          </cell>
        </row>
        <row r="379">
          <cell r="C379" t="str">
            <v>Dian Septianti</v>
          </cell>
          <cell r="D379">
            <v>98.932038829999996</v>
          </cell>
        </row>
        <row r="380">
          <cell r="C380" t="str">
            <v>Dian Septianti</v>
          </cell>
          <cell r="D380">
            <v>98.613861389999997</v>
          </cell>
        </row>
        <row r="381">
          <cell r="C381" t="str">
            <v>Dian Septianti</v>
          </cell>
          <cell r="D381">
            <v>98.986175119999999</v>
          </cell>
        </row>
        <row r="382">
          <cell r="C382" t="str">
            <v>Dian Septianti</v>
          </cell>
          <cell r="D382">
            <v>98.438818569999995</v>
          </cell>
        </row>
        <row r="383">
          <cell r="C383" t="str">
            <v>Dian Septianti</v>
          </cell>
          <cell r="D383">
            <v>97.621145369999994</v>
          </cell>
        </row>
        <row r="384">
          <cell r="C384" t="str">
            <v>Dian Septianti</v>
          </cell>
          <cell r="D384">
            <v>98.962962959999999</v>
          </cell>
        </row>
        <row r="385">
          <cell r="C385" t="str">
            <v>Dian Septianti</v>
          </cell>
          <cell r="D385">
            <v>98.4</v>
          </cell>
        </row>
        <row r="386">
          <cell r="C386" t="str">
            <v>Dian Septianti</v>
          </cell>
          <cell r="D386">
            <v>98.078602619999998</v>
          </cell>
        </row>
        <row r="387">
          <cell r="C387" t="str">
            <v>Dian Septianti</v>
          </cell>
          <cell r="D387">
            <v>98.129496399999994</v>
          </cell>
        </row>
        <row r="388">
          <cell r="C388" t="str">
            <v>Waras Suyitno</v>
          </cell>
          <cell r="D388">
            <v>98.902077149999997</v>
          </cell>
        </row>
        <row r="389">
          <cell r="C389" t="str">
            <v>Waras Suyitno</v>
          </cell>
          <cell r="D389">
            <v>98.84057971</v>
          </cell>
        </row>
        <row r="390">
          <cell r="C390" t="str">
            <v>Waras Suyitno</v>
          </cell>
          <cell r="D390">
            <v>98.675213679999999</v>
          </cell>
        </row>
        <row r="391">
          <cell r="C391" t="str">
            <v>Waras Suyitno</v>
          </cell>
          <cell r="D391">
            <v>98.496732030000004</v>
          </cell>
        </row>
        <row r="392">
          <cell r="C392" t="str">
            <v>Waras Suyitno</v>
          </cell>
          <cell r="D392">
            <v>98.314285709999993</v>
          </cell>
        </row>
        <row r="393">
          <cell r="C393" t="str">
            <v>Waras Suyitno</v>
          </cell>
          <cell r="D393">
            <v>97.868852459999999</v>
          </cell>
        </row>
        <row r="394">
          <cell r="C394" t="str">
            <v>Waras Suyitno</v>
          </cell>
          <cell r="D394">
            <v>97.610062889999995</v>
          </cell>
        </row>
        <row r="395">
          <cell r="C395" t="str">
            <v>Waras Suyitno</v>
          </cell>
          <cell r="D395">
            <v>98.4375</v>
          </cell>
        </row>
        <row r="396">
          <cell r="C396" t="str">
            <v>Waras Suyitno</v>
          </cell>
          <cell r="D396">
            <v>98.584615380000002</v>
          </cell>
        </row>
        <row r="397">
          <cell r="C397" t="str">
            <v>Waras Suyitno</v>
          </cell>
          <cell r="D397">
            <v>98.46153846</v>
          </cell>
        </row>
        <row r="398">
          <cell r="C398" t="str">
            <v>Waras Suyitno</v>
          </cell>
          <cell r="D398">
            <v>98.626760559999994</v>
          </cell>
        </row>
        <row r="399">
          <cell r="D399" t="e">
            <v>#N/A</v>
          </cell>
        </row>
        <row r="400">
          <cell r="C400" t="str">
            <v>Moch. Arief Budiman</v>
          </cell>
          <cell r="D400">
            <v>96.684782609999999</v>
          </cell>
        </row>
        <row r="401">
          <cell r="C401" t="str">
            <v>Moch. Arief Budiman</v>
          </cell>
          <cell r="D401">
            <v>96.255506609999998</v>
          </cell>
        </row>
        <row r="402">
          <cell r="C402" t="str">
            <v>Moch. Arief Budiman</v>
          </cell>
          <cell r="D402">
            <v>96.813417189999996</v>
          </cell>
        </row>
        <row r="403">
          <cell r="C403" t="str">
            <v>Moch. Arief Budiman</v>
          </cell>
          <cell r="D403">
            <v>96.631016040000006</v>
          </cell>
        </row>
        <row r="404">
          <cell r="C404" t="str">
            <v>Moch. Arief Budiman</v>
          </cell>
          <cell r="D404">
            <v>96.381909550000003</v>
          </cell>
        </row>
        <row r="405">
          <cell r="C405" t="str">
            <v>Moch. Arief Budiman</v>
          </cell>
          <cell r="D405">
            <v>91</v>
          </cell>
        </row>
        <row r="406">
          <cell r="C406" t="str">
            <v>Moch. Arief Budiman</v>
          </cell>
          <cell r="D406">
            <v>97.41258741</v>
          </cell>
        </row>
        <row r="407">
          <cell r="C407" t="str">
            <v>Moch. Arief Budiman</v>
          </cell>
          <cell r="D407">
            <v>96.335877859999997</v>
          </cell>
        </row>
        <row r="408">
          <cell r="C408" t="str">
            <v>Rukiyat Prihantoko</v>
          </cell>
          <cell r="D408">
            <v>99.162790700000002</v>
          </cell>
        </row>
        <row r="409">
          <cell r="C409" t="str">
            <v>Rukiyat Prihantoko</v>
          </cell>
          <cell r="D409">
            <v>95.853658539999998</v>
          </cell>
        </row>
        <row r="410">
          <cell r="C410" t="str">
            <v>Rukiyat Prihantoko</v>
          </cell>
          <cell r="D410">
            <v>97.857142859999996</v>
          </cell>
        </row>
        <row r="411">
          <cell r="C411" t="str">
            <v>Rukiyat Prihantoko</v>
          </cell>
          <cell r="D411">
            <v>96.115702479999996</v>
          </cell>
        </row>
        <row r="412">
          <cell r="C412" t="str">
            <v>Rukiyat Prihantoko</v>
          </cell>
          <cell r="D412">
            <v>97.066666670000004</v>
          </cell>
        </row>
        <row r="413">
          <cell r="C413" t="str">
            <v>Rukiyat Prihantoko</v>
          </cell>
          <cell r="D413">
            <v>95.420560750000007</v>
          </cell>
        </row>
        <row r="414">
          <cell r="C414" t="str">
            <v>Rukiyat Prihantoko</v>
          </cell>
          <cell r="D414">
            <v>95.8</v>
          </cell>
        </row>
        <row r="415">
          <cell r="C415" t="str">
            <v>Rukiyat Prihantoko</v>
          </cell>
          <cell r="D415">
            <v>95.116279070000004</v>
          </cell>
        </row>
        <row r="416">
          <cell r="C416" t="str">
            <v>Rukiyat Prihantoko</v>
          </cell>
          <cell r="D416">
            <v>97.833333330000002</v>
          </cell>
        </row>
        <row r="417">
          <cell r="C417" t="str">
            <v>Sutrisno Hadi Pranoto</v>
          </cell>
          <cell r="D417">
            <v>97.255369930000001</v>
          </cell>
        </row>
        <row r="418">
          <cell r="C418" t="str">
            <v>Sutrisno Hadi Pranoto</v>
          </cell>
          <cell r="D418">
            <v>96.738660909999993</v>
          </cell>
        </row>
        <row r="419">
          <cell r="C419" t="str">
            <v>Sutrisno Hadi Pranoto</v>
          </cell>
          <cell r="D419">
            <v>96.909090910000003</v>
          </cell>
        </row>
        <row r="420">
          <cell r="C420" t="str">
            <v>Sutrisno Hadi Pranoto</v>
          </cell>
          <cell r="D420">
            <v>92.918660290000005</v>
          </cell>
        </row>
        <row r="421">
          <cell r="C421" t="str">
            <v>Sutrisno Hadi Pranoto</v>
          </cell>
          <cell r="D421">
            <v>92.727272729999996</v>
          </cell>
        </row>
        <row r="422">
          <cell r="C422" t="str">
            <v>Sutrisno Hadi Pranoto</v>
          </cell>
          <cell r="D422">
            <v>95.723684210000002</v>
          </cell>
        </row>
        <row r="423">
          <cell r="C423" t="str">
            <v>Sutrisno Hadi Pranoto</v>
          </cell>
          <cell r="D423">
            <v>91.627906980000006</v>
          </cell>
        </row>
        <row r="424">
          <cell r="C424" t="str">
            <v>Sutrisno Hadi Pranoto</v>
          </cell>
          <cell r="D424">
            <v>96.403508770000002</v>
          </cell>
        </row>
        <row r="425">
          <cell r="D425" t="e">
            <v>#N/A</v>
          </cell>
        </row>
        <row r="426">
          <cell r="C426" t="str">
            <v>Bambang Dwi Raharjo</v>
          </cell>
          <cell r="D426">
            <v>98.439716309999994</v>
          </cell>
        </row>
        <row r="427">
          <cell r="C427" t="str">
            <v>Bambang Dwi Raharjo</v>
          </cell>
          <cell r="D427">
            <v>97.482014390000003</v>
          </cell>
        </row>
        <row r="428">
          <cell r="C428" t="str">
            <v>Bambang Dwi Raharjo</v>
          </cell>
          <cell r="D428">
            <v>96.300813009999999</v>
          </cell>
        </row>
        <row r="429">
          <cell r="C429" t="str">
            <v>Bambang Dwi Raharjo</v>
          </cell>
          <cell r="D429">
            <v>97.350746270000002</v>
          </cell>
        </row>
        <row r="430">
          <cell r="C430" t="str">
            <v>Bambang Dwi Raharjo</v>
          </cell>
          <cell r="D430">
            <v>98.592592589999995</v>
          </cell>
        </row>
        <row r="431">
          <cell r="C431" t="str">
            <v>Bambang Dwi Raharjo</v>
          </cell>
          <cell r="D431">
            <v>96.666666669999998</v>
          </cell>
        </row>
        <row r="432">
          <cell r="C432" t="str">
            <v>Herry Kurniawan</v>
          </cell>
          <cell r="D432">
            <v>97.815384620000003</v>
          </cell>
        </row>
        <row r="433">
          <cell r="C433" t="str">
            <v>Herry Kurniawan</v>
          </cell>
          <cell r="D433">
            <v>96.271186439999994</v>
          </cell>
        </row>
        <row r="434">
          <cell r="C434" t="str">
            <v>Herry Kurniawan</v>
          </cell>
          <cell r="D434">
            <v>96.744186049999996</v>
          </cell>
        </row>
        <row r="435">
          <cell r="C435" t="str">
            <v>Herry Kurniawan</v>
          </cell>
          <cell r="D435">
            <v>98.348623849999996</v>
          </cell>
        </row>
        <row r="436">
          <cell r="C436" t="str">
            <v>Herry Kurniawan</v>
          </cell>
          <cell r="D436">
            <v>94.537037040000001</v>
          </cell>
        </row>
        <row r="437">
          <cell r="C437" t="str">
            <v>Herry Kurniawan</v>
          </cell>
          <cell r="D437">
            <v>96.683417090000006</v>
          </cell>
        </row>
        <row r="438">
          <cell r="C438" t="str">
            <v>Richard Siburian</v>
          </cell>
          <cell r="D438">
            <v>97.101449279999997</v>
          </cell>
        </row>
        <row r="439">
          <cell r="C439" t="str">
            <v>Richard Siburian</v>
          </cell>
          <cell r="D439">
            <v>97.5</v>
          </cell>
        </row>
        <row r="440">
          <cell r="C440" t="str">
            <v>Richard Siburian</v>
          </cell>
          <cell r="D440">
            <v>99.338842979999995</v>
          </cell>
        </row>
        <row r="441">
          <cell r="C441" t="str">
            <v>Richard Siburian</v>
          </cell>
          <cell r="D441">
            <v>96.322314050000003</v>
          </cell>
        </row>
        <row r="442">
          <cell r="C442" t="str">
            <v>Richard Siburian</v>
          </cell>
          <cell r="D442">
            <v>97.916666669999998</v>
          </cell>
        </row>
        <row r="443">
          <cell r="C443" t="str">
            <v>Richard Siburian</v>
          </cell>
          <cell r="D443">
            <v>96.124401910000003</v>
          </cell>
        </row>
        <row r="444">
          <cell r="C444" t="str">
            <v>Zulkarnain</v>
          </cell>
          <cell r="D444">
            <v>94.556962029999994</v>
          </cell>
        </row>
        <row r="445">
          <cell r="C445" t="str">
            <v>Zulkarnain</v>
          </cell>
          <cell r="D445">
            <v>94.45</v>
          </cell>
        </row>
        <row r="446">
          <cell r="C446" t="str">
            <v>Zulkarnain</v>
          </cell>
          <cell r="D446">
            <v>95.953757229999994</v>
          </cell>
        </row>
        <row r="447">
          <cell r="C447" t="str">
            <v>Zulkarnain</v>
          </cell>
          <cell r="D447">
            <v>95.148514849999998</v>
          </cell>
        </row>
        <row r="448">
          <cell r="C448" t="str">
            <v>Zulkarnain</v>
          </cell>
          <cell r="D448">
            <v>97.777777779999994</v>
          </cell>
        </row>
        <row r="449">
          <cell r="C449" t="str">
            <v>Zulkarnain</v>
          </cell>
          <cell r="D449">
            <v>95.321100920000006</v>
          </cell>
        </row>
        <row r="450">
          <cell r="D450" t="e">
            <v>#N/A</v>
          </cell>
        </row>
        <row r="451">
          <cell r="C451" t="str">
            <v>Hany Pratiwi</v>
          </cell>
          <cell r="D451">
            <v>96.77248677</v>
          </cell>
        </row>
        <row r="452">
          <cell r="C452" t="str">
            <v>Hany Pratiwi</v>
          </cell>
          <cell r="D452">
            <v>95.779220780000003</v>
          </cell>
        </row>
        <row r="453">
          <cell r="C453" t="str">
            <v>Hany Pratiwi</v>
          </cell>
          <cell r="D453">
            <v>97.008547010000001</v>
          </cell>
        </row>
        <row r="454">
          <cell r="C454" t="str">
            <v>Hany Pratiwi</v>
          </cell>
          <cell r="D454">
            <v>96.978417269999994</v>
          </cell>
        </row>
        <row r="455">
          <cell r="C455" t="str">
            <v>Hany Pratiwi</v>
          </cell>
          <cell r="D455">
            <v>96.170212770000006</v>
          </cell>
        </row>
        <row r="456">
          <cell r="C456" t="str">
            <v>Hany Pratiwi</v>
          </cell>
          <cell r="D456">
            <v>96.896551720000005</v>
          </cell>
        </row>
        <row r="457">
          <cell r="C457" t="str">
            <v>Hany Pratiwi</v>
          </cell>
          <cell r="D457">
            <v>97.53846154</v>
          </cell>
        </row>
        <row r="458">
          <cell r="C458" t="str">
            <v>Hany Pratiwi</v>
          </cell>
          <cell r="D458">
            <v>95.946843849999993</v>
          </cell>
        </row>
        <row r="459">
          <cell r="C459" t="str">
            <v>Hany Pratiwi</v>
          </cell>
          <cell r="D459">
            <v>97.359550560000002</v>
          </cell>
        </row>
        <row r="460">
          <cell r="C460" t="str">
            <v>Hany Pratiwi</v>
          </cell>
          <cell r="D460">
            <v>96.725146199999998</v>
          </cell>
        </row>
        <row r="461">
          <cell r="C461" t="str">
            <v>Hany Pratiwi</v>
          </cell>
          <cell r="D461">
            <v>96.25</v>
          </cell>
        </row>
        <row r="462">
          <cell r="C462" t="str">
            <v>Reifika Dekrin</v>
          </cell>
          <cell r="D462">
            <v>98.363636360000001</v>
          </cell>
        </row>
        <row r="463">
          <cell r="C463" t="str">
            <v>Reifika Dekrin</v>
          </cell>
          <cell r="D463">
            <v>96.030534349999996</v>
          </cell>
        </row>
        <row r="464">
          <cell r="C464" t="str">
            <v>Reifika Dekrin</v>
          </cell>
          <cell r="D464">
            <v>96</v>
          </cell>
        </row>
        <row r="465">
          <cell r="C465" t="str">
            <v>Reifika Dekrin</v>
          </cell>
          <cell r="D465">
            <v>96.933333329999996</v>
          </cell>
        </row>
        <row r="466">
          <cell r="C466" t="str">
            <v>Reifika Dekrin</v>
          </cell>
          <cell r="D466">
            <v>97.344632770000004</v>
          </cell>
        </row>
        <row r="467">
          <cell r="C467" t="str">
            <v>Reifika Dekrin</v>
          </cell>
          <cell r="D467">
            <v>96.627218929999998</v>
          </cell>
        </row>
        <row r="468">
          <cell r="C468" t="str">
            <v>Reifika Dekrin</v>
          </cell>
          <cell r="D468">
            <v>97.142857140000004</v>
          </cell>
        </row>
        <row r="469">
          <cell r="C469" t="str">
            <v>Reifika Dekrin</v>
          </cell>
          <cell r="D469">
            <v>97.958115179999993</v>
          </cell>
        </row>
        <row r="470">
          <cell r="C470" t="str">
            <v>Reifika Dekrin</v>
          </cell>
          <cell r="D470">
            <v>96.946107780000006</v>
          </cell>
        </row>
        <row r="471">
          <cell r="C471" t="str">
            <v>Reifika Dekrin</v>
          </cell>
          <cell r="D471">
            <v>95.333333330000002</v>
          </cell>
        </row>
        <row r="472">
          <cell r="C472" t="str">
            <v>Reifika Dekrin</v>
          </cell>
          <cell r="D472">
            <v>96.323529410000006</v>
          </cell>
        </row>
      </sheetData>
      <sheetData sheetId="9">
        <row r="2">
          <cell r="C2" t="str">
            <v>Andi Faisal Putra</v>
          </cell>
          <cell r="D2">
            <v>0.52747252747252749</v>
          </cell>
        </row>
        <row r="3">
          <cell r="C3" t="str">
            <v>Andi Faisal Putra</v>
          </cell>
          <cell r="D3">
            <v>0.62962962962962965</v>
          </cell>
        </row>
        <row r="4">
          <cell r="C4" t="str">
            <v>Andi Faisal Putra</v>
          </cell>
          <cell r="D4">
            <v>0.97159090909090906</v>
          </cell>
        </row>
        <row r="5">
          <cell r="C5" t="str">
            <v>Andi Faisal Putra</v>
          </cell>
          <cell r="D5">
            <v>0.67785234899328861</v>
          </cell>
        </row>
        <row r="6">
          <cell r="C6" t="str">
            <v>Andi Faisal Putra</v>
          </cell>
          <cell r="D6">
            <v>0.5</v>
          </cell>
        </row>
        <row r="7">
          <cell r="C7" t="str">
            <v>Andi Faisal Putra</v>
          </cell>
          <cell r="D7">
            <v>0.63636363636363635</v>
          </cell>
        </row>
        <row r="8">
          <cell r="C8" t="str">
            <v>Andi Faisal Putra</v>
          </cell>
          <cell r="D8">
            <v>0.58375634517766495</v>
          </cell>
        </row>
        <row r="9">
          <cell r="C9" t="str">
            <v>Andi Faisal Putra</v>
          </cell>
          <cell r="D9">
            <v>0.60869565217391308</v>
          </cell>
        </row>
        <row r="10">
          <cell r="C10" t="str">
            <v>Andi Faisal Putra</v>
          </cell>
          <cell r="D10">
            <v>0.22289156626506024</v>
          </cell>
        </row>
        <row r="11">
          <cell r="C11" t="str">
            <v>Andi Faisal Putra</v>
          </cell>
          <cell r="D11">
            <v>0.8545454545454545</v>
          </cell>
        </row>
        <row r="12">
          <cell r="C12" t="str">
            <v>Andi Perkasa</v>
          </cell>
          <cell r="D12">
            <v>1</v>
          </cell>
        </row>
        <row r="13">
          <cell r="C13" t="str">
            <v>Andi Perkasa</v>
          </cell>
          <cell r="D13">
            <v>0.8045977011494253</v>
          </cell>
        </row>
        <row r="14">
          <cell r="C14" t="str">
            <v>Andi Perkasa</v>
          </cell>
          <cell r="D14">
            <v>0.75151515151515147</v>
          </cell>
        </row>
        <row r="15">
          <cell r="C15" t="str">
            <v>Andi Perkasa</v>
          </cell>
          <cell r="D15">
            <v>0.57936507936507942</v>
          </cell>
        </row>
        <row r="16">
          <cell r="C16" t="str">
            <v>Andi Perkasa</v>
          </cell>
          <cell r="D16">
            <v>0.7142857142857143</v>
          </cell>
        </row>
        <row r="17">
          <cell r="C17" t="str">
            <v>Andi Perkasa</v>
          </cell>
          <cell r="D17">
            <v>7.792207792207792E-2</v>
          </cell>
        </row>
        <row r="18">
          <cell r="C18" t="str">
            <v>Andi Perkasa</v>
          </cell>
          <cell r="D18">
            <v>0.82901554404145072</v>
          </cell>
        </row>
        <row r="19">
          <cell r="C19" t="str">
            <v>Andi Perkasa</v>
          </cell>
          <cell r="D19">
            <v>0.23529411764705882</v>
          </cell>
        </row>
        <row r="20">
          <cell r="C20" t="str">
            <v>Andi Perkasa</v>
          </cell>
          <cell r="D20">
            <v>0.51091703056768556</v>
          </cell>
        </row>
        <row r="21">
          <cell r="C21" t="str">
            <v>Janse Paburru</v>
          </cell>
          <cell r="D21">
            <v>0.63921568627450975</v>
          </cell>
        </row>
        <row r="22">
          <cell r="C22" t="str">
            <v>Janse Paburru</v>
          </cell>
          <cell r="D22">
            <v>0.4375</v>
          </cell>
        </row>
        <row r="23">
          <cell r="C23" t="str">
            <v>Janse Paburru</v>
          </cell>
          <cell r="D23">
            <v>0.85798816568047342</v>
          </cell>
        </row>
        <row r="24">
          <cell r="C24" t="str">
            <v>Janse Paburru</v>
          </cell>
          <cell r="D24">
            <v>0.796875</v>
          </cell>
        </row>
        <row r="25">
          <cell r="C25" t="str">
            <v>Janse Paburru</v>
          </cell>
          <cell r="D25">
            <v>0.54978354978354982</v>
          </cell>
        </row>
        <row r="26">
          <cell r="C26" t="str">
            <v>Janse Paburru</v>
          </cell>
          <cell r="D26">
            <v>0.64192139737991272</v>
          </cell>
        </row>
        <row r="27">
          <cell r="C27" t="str">
            <v>Janse Paburru</v>
          </cell>
          <cell r="D27">
            <v>0.93069306930693074</v>
          </cell>
        </row>
        <row r="28">
          <cell r="C28" t="str">
            <v>Janse Paburru</v>
          </cell>
          <cell r="D28">
            <v>0.93939393939393945</v>
          </cell>
        </row>
        <row r="29">
          <cell r="C29" t="str">
            <v>M Sardi Rampo</v>
          </cell>
          <cell r="D29">
            <v>0.96124031007751942</v>
          </cell>
        </row>
        <row r="30">
          <cell r="C30" t="str">
            <v>M Sardi Rampo</v>
          </cell>
          <cell r="D30">
            <v>0.99056603773584906</v>
          </cell>
        </row>
        <row r="31">
          <cell r="C31" t="str">
            <v>M Sardi Rampo</v>
          </cell>
          <cell r="D31">
            <v>0.71563981042654023</v>
          </cell>
        </row>
        <row r="32">
          <cell r="C32" t="str">
            <v>M Sardi Rampo</v>
          </cell>
          <cell r="D32">
            <v>0.96071428571428574</v>
          </cell>
        </row>
        <row r="33">
          <cell r="C33" t="str">
            <v>M Sardi Rampo</v>
          </cell>
          <cell r="D33">
            <v>0.60924369747899154</v>
          </cell>
        </row>
        <row r="34">
          <cell r="C34" t="str">
            <v>M Sardi Rampo</v>
          </cell>
          <cell r="D34">
            <v>0.99465240641711228</v>
          </cell>
        </row>
        <row r="35">
          <cell r="C35" t="str">
            <v>M Sardi Rampo</v>
          </cell>
          <cell r="D35">
            <v>0.94581280788177335</v>
          </cell>
        </row>
        <row r="36">
          <cell r="C36" t="str">
            <v>M Sardi Rampo</v>
          </cell>
          <cell r="D36">
            <v>0.87562189054726369</v>
          </cell>
        </row>
        <row r="37">
          <cell r="C37" t="str">
            <v>M Sardi Rampo</v>
          </cell>
          <cell r="D37">
            <v>0.91256830601092898</v>
          </cell>
        </row>
        <row r="38">
          <cell r="C38" t="str">
            <v>M Sardi Rampo</v>
          </cell>
          <cell r="D38">
            <v>0.875</v>
          </cell>
        </row>
        <row r="40">
          <cell r="C40" t="str">
            <v>Ariyanto B</v>
          </cell>
          <cell r="D40">
            <v>1</v>
          </cell>
        </row>
        <row r="41">
          <cell r="C41" t="str">
            <v>Ariyanto B</v>
          </cell>
          <cell r="D41">
            <v>0.98909090909090913</v>
          </cell>
        </row>
        <row r="42">
          <cell r="C42" t="str">
            <v>Ariyanto B</v>
          </cell>
          <cell r="D42">
            <v>0.99090909090909096</v>
          </cell>
        </row>
        <row r="43">
          <cell r="C43" t="str">
            <v>Ariyanto B</v>
          </cell>
          <cell r="D43">
            <v>1</v>
          </cell>
        </row>
        <row r="44">
          <cell r="C44" t="str">
            <v>Ariyanto B</v>
          </cell>
          <cell r="D44">
            <v>0.96354166666666663</v>
          </cell>
        </row>
        <row r="45">
          <cell r="C45" t="str">
            <v>Ariyanto B</v>
          </cell>
          <cell r="D45">
            <v>0.99545454545454548</v>
          </cell>
        </row>
        <row r="46">
          <cell r="C46" t="str">
            <v>Ariyanto B</v>
          </cell>
          <cell r="D46">
            <v>0.9882352941176471</v>
          </cell>
        </row>
        <row r="47">
          <cell r="C47" t="str">
            <v>Ryan Fabella Lisa</v>
          </cell>
          <cell r="D47">
            <v>1</v>
          </cell>
        </row>
        <row r="48">
          <cell r="C48" t="str">
            <v>Ryan Fabella Lisa</v>
          </cell>
          <cell r="D48">
            <v>1</v>
          </cell>
        </row>
        <row r="49">
          <cell r="C49" t="str">
            <v>Ryan Fabella Lisa</v>
          </cell>
          <cell r="D49">
            <v>1</v>
          </cell>
        </row>
        <row r="50">
          <cell r="C50" t="str">
            <v>Ryan Fabella Lisa</v>
          </cell>
          <cell r="D50">
            <v>1</v>
          </cell>
        </row>
        <row r="51">
          <cell r="C51" t="str">
            <v>Ryan Fabella Lisa</v>
          </cell>
          <cell r="D51">
            <v>1</v>
          </cell>
        </row>
        <row r="52">
          <cell r="C52" t="str">
            <v>Ryan Fabella Lisa</v>
          </cell>
          <cell r="D52">
            <v>0.98479087452471481</v>
          </cell>
        </row>
        <row r="53">
          <cell r="C53" t="str">
            <v>Ryan Fabella Lisa</v>
          </cell>
          <cell r="D53">
            <v>1</v>
          </cell>
        </row>
        <row r="55">
          <cell r="C55" t="str">
            <v>Rinaldi Wicaksana</v>
          </cell>
          <cell r="D55">
            <v>0.83832335329341312</v>
          </cell>
        </row>
        <row r="56">
          <cell r="C56" t="str">
            <v>Rinaldi Wicaksana</v>
          </cell>
          <cell r="D56">
            <v>0.71264367816091956</v>
          </cell>
        </row>
        <row r="57">
          <cell r="C57" t="str">
            <v>Rinaldi Wicaksana</v>
          </cell>
          <cell r="D57">
            <v>0.9642857142857143</v>
          </cell>
        </row>
        <row r="58">
          <cell r="C58" t="str">
            <v>Rinaldi Wicaksana</v>
          </cell>
          <cell r="D58">
            <v>0.9213483146067416</v>
          </cell>
        </row>
        <row r="59">
          <cell r="C59" t="str">
            <v>Rinaldi Wicaksana</v>
          </cell>
          <cell r="D59">
            <v>0.9358974358974359</v>
          </cell>
        </row>
        <row r="60">
          <cell r="C60" t="str">
            <v>Rinaldi Wicaksana</v>
          </cell>
          <cell r="D60">
            <v>0.91095890410958902</v>
          </cell>
        </row>
        <row r="61">
          <cell r="C61" t="str">
            <v>Rinaldi Wicaksana</v>
          </cell>
          <cell r="D61">
            <v>0.74162679425837319</v>
          </cell>
        </row>
        <row r="62">
          <cell r="C62" t="str">
            <v>Rinaldi Wicaksana</v>
          </cell>
          <cell r="D62">
            <v>0.83471074380165289</v>
          </cell>
        </row>
        <row r="63">
          <cell r="C63" t="str">
            <v>Rinaldi Wicaksana</v>
          </cell>
          <cell r="D63">
            <v>0.97241379310344822</v>
          </cell>
        </row>
        <row r="64">
          <cell r="C64" t="str">
            <v>Rinaldi Wicaksana</v>
          </cell>
          <cell r="D64">
            <v>0.96610169491525422</v>
          </cell>
        </row>
        <row r="65">
          <cell r="C65" t="str">
            <v>Rinaldi Wicaksana</v>
          </cell>
          <cell r="D65">
            <v>0.94273127753303965</v>
          </cell>
        </row>
        <row r="66">
          <cell r="C66" t="str">
            <v>Rinaldi Wicaksana</v>
          </cell>
          <cell r="D66">
            <v>0.86466165413533835</v>
          </cell>
        </row>
        <row r="67">
          <cell r="C67" t="str">
            <v>Rinaldi Wicaksana</v>
          </cell>
          <cell r="D67">
            <v>0.83132530120481929</v>
          </cell>
        </row>
        <row r="68">
          <cell r="D68" t="e">
            <v>#N/A</v>
          </cell>
        </row>
        <row r="69">
          <cell r="C69" t="str">
            <v>Imelda Mayestika P.</v>
          </cell>
          <cell r="D69">
            <v>1</v>
          </cell>
        </row>
        <row r="70">
          <cell r="C70" t="str">
            <v>Imelda Mayestika P.</v>
          </cell>
          <cell r="D70">
            <v>0.94904458598726116</v>
          </cell>
        </row>
        <row r="71">
          <cell r="C71" t="str">
            <v>Imelda Mayestika P.</v>
          </cell>
          <cell r="D71">
            <v>0.98245614035087714</v>
          </cell>
        </row>
        <row r="72">
          <cell r="C72" t="str">
            <v>Imelda Mayestika P.</v>
          </cell>
          <cell r="D72">
            <v>0.98726114649681529</v>
          </cell>
        </row>
        <row r="73">
          <cell r="C73" t="str">
            <v>Imelda Mayestika P.</v>
          </cell>
          <cell r="D73">
            <v>0.93430656934306566</v>
          </cell>
        </row>
        <row r="74">
          <cell r="C74" t="str">
            <v>Imelda Mayestika P.</v>
          </cell>
          <cell r="D74">
            <v>1</v>
          </cell>
        </row>
        <row r="75">
          <cell r="C75" t="str">
            <v>Imelda Mayestika P.</v>
          </cell>
          <cell r="D75">
            <v>0.96506550218340614</v>
          </cell>
        </row>
        <row r="76">
          <cell r="C76" t="str">
            <v>Imelda Mayestika P.</v>
          </cell>
          <cell r="D76">
            <v>0.86974789915966388</v>
          </cell>
        </row>
        <row r="77">
          <cell r="C77" t="str">
            <v>Imelda Mayestika P.</v>
          </cell>
          <cell r="D77">
            <v>0.99331103678929766</v>
          </cell>
        </row>
        <row r="78">
          <cell r="C78" t="str">
            <v>Imelda Mayestika P.</v>
          </cell>
          <cell r="D78">
            <v>0.91034482758620694</v>
          </cell>
        </row>
        <row r="79">
          <cell r="C79" t="str">
            <v>Imelda Mayestika P.</v>
          </cell>
          <cell r="D79">
            <v>1</v>
          </cell>
        </row>
        <row r="80">
          <cell r="C80" t="str">
            <v>Imelda Mayestika P.</v>
          </cell>
          <cell r="D80">
            <v>0.99059561128526641</v>
          </cell>
        </row>
        <row r="81">
          <cell r="C81" t="str">
            <v>Imelda Mayestika P.</v>
          </cell>
          <cell r="D81">
            <v>1</v>
          </cell>
        </row>
        <row r="82">
          <cell r="C82" t="str">
            <v>Imelda Mayestika P.</v>
          </cell>
          <cell r="D82">
            <v>0.97841726618705038</v>
          </cell>
        </row>
        <row r="83">
          <cell r="C83" t="str">
            <v>Imelda Mayestika P.</v>
          </cell>
          <cell r="D83">
            <v>1</v>
          </cell>
        </row>
        <row r="84">
          <cell r="C84" t="str">
            <v>Imelda Mayestika P.</v>
          </cell>
          <cell r="D84">
            <v>1</v>
          </cell>
        </row>
        <row r="85">
          <cell r="C85" t="str">
            <v>Imelda Mayestika P.</v>
          </cell>
          <cell r="D85">
            <v>0.98076923076923073</v>
          </cell>
        </row>
        <row r="86">
          <cell r="C86" t="str">
            <v>Imelda Mayestika P.</v>
          </cell>
          <cell r="D86">
            <v>0.93243243243243246</v>
          </cell>
        </row>
        <row r="87">
          <cell r="C87" t="str">
            <v>Imelda Mayestika P.</v>
          </cell>
          <cell r="D87">
            <v>0.98360655737704916</v>
          </cell>
        </row>
        <row r="88">
          <cell r="C88" t="str">
            <v>Imelda Mayestika P.</v>
          </cell>
          <cell r="D88">
            <v>1</v>
          </cell>
        </row>
        <row r="89">
          <cell r="C89" t="str">
            <v>Imelda Mayestika P.</v>
          </cell>
          <cell r="D89">
            <v>0.97005988023952094</v>
          </cell>
        </row>
        <row r="90">
          <cell r="C90" t="str">
            <v>Imelda Mayestika P.</v>
          </cell>
          <cell r="D90">
            <v>1</v>
          </cell>
        </row>
        <row r="91">
          <cell r="C91" t="str">
            <v>Imelda Mayestika P.</v>
          </cell>
          <cell r="D91">
            <v>0.95424836601307195</v>
          </cell>
        </row>
        <row r="92">
          <cell r="C92" t="str">
            <v>Imelda Mayestika P.</v>
          </cell>
          <cell r="D92">
            <v>1</v>
          </cell>
        </row>
        <row r="93">
          <cell r="C93" t="str">
            <v>Imelda Mayestika P.</v>
          </cell>
          <cell r="D93">
            <v>0.97647058823529409</v>
          </cell>
        </row>
        <row r="94">
          <cell r="C94" t="str">
            <v>Imelda Mayestika P.</v>
          </cell>
          <cell r="D94">
            <v>0.75</v>
          </cell>
        </row>
        <row r="95">
          <cell r="C95" t="str">
            <v>Imelda Mayestika P.</v>
          </cell>
          <cell r="D95">
            <v>0.91111111111111109</v>
          </cell>
        </row>
        <row r="96">
          <cell r="C96" t="str">
            <v>Imelda Mayestika P.</v>
          </cell>
          <cell r="D96">
            <v>0.98684210526315785</v>
          </cell>
        </row>
        <row r="97">
          <cell r="C97" t="str">
            <v>Imelda Mayestika P.</v>
          </cell>
          <cell r="D97">
            <v>1</v>
          </cell>
        </row>
        <row r="98">
          <cell r="C98" t="str">
            <v>Imelda Mayestika P.</v>
          </cell>
          <cell r="D98">
            <v>0.95945945945945943</v>
          </cell>
        </row>
        <row r="99">
          <cell r="C99" t="str">
            <v>Imelda Mayestika P.</v>
          </cell>
          <cell r="D99">
            <v>1</v>
          </cell>
        </row>
        <row r="100">
          <cell r="C100" t="str">
            <v>Imelda Mayestika P.</v>
          </cell>
          <cell r="D100">
            <v>0.97142857142857142</v>
          </cell>
        </row>
        <row r="101">
          <cell r="D101" t="e">
            <v>#N/A</v>
          </cell>
        </row>
        <row r="102">
          <cell r="C102" t="str">
            <v>Ida Bagus Pidada Manuaba</v>
          </cell>
          <cell r="D102">
            <v>0.984375</v>
          </cell>
        </row>
        <row r="103">
          <cell r="C103" t="str">
            <v>I Made Budiartha</v>
          </cell>
          <cell r="D103">
            <v>0.984375</v>
          </cell>
        </row>
        <row r="104">
          <cell r="C104" t="str">
            <v>I Made Budiartha</v>
          </cell>
          <cell r="D104">
            <v>0.80921052631578949</v>
          </cell>
        </row>
        <row r="105">
          <cell r="C105" t="str">
            <v>Dewa Nyoman Wedana</v>
          </cell>
          <cell r="D105">
            <v>0.97169811320754718</v>
          </cell>
        </row>
        <row r="106">
          <cell r="C106" t="str">
            <v>Dewa Nyoman Wedana</v>
          </cell>
          <cell r="D106">
            <v>0.95306859205776173</v>
          </cell>
        </row>
        <row r="107">
          <cell r="C107" t="str">
            <v>Ida Bagus Pidada Manuaba</v>
          </cell>
          <cell r="D107">
            <v>0.98069498069498073</v>
          </cell>
        </row>
        <row r="108">
          <cell r="C108" t="str">
            <v>Ida Bagus Pidada Manuaba</v>
          </cell>
          <cell r="D108">
            <v>0.95620437956204385</v>
          </cell>
        </row>
        <row r="109">
          <cell r="C109" t="str">
            <v>Dewa Nyoman Wedana</v>
          </cell>
          <cell r="D109">
            <v>0.99082568807339455</v>
          </cell>
        </row>
        <row r="110">
          <cell r="C110" t="str">
            <v>I Made Budiartha</v>
          </cell>
          <cell r="D110">
            <v>0.81818181818181823</v>
          </cell>
        </row>
        <row r="111">
          <cell r="C111" t="str">
            <v>I Made Budiartha</v>
          </cell>
          <cell r="D111">
            <v>0.97468354430379744</v>
          </cell>
        </row>
        <row r="112">
          <cell r="C112" t="str">
            <v>Dewa Nyoman Wedana</v>
          </cell>
          <cell r="D112">
            <v>0.48181818181818181</v>
          </cell>
        </row>
        <row r="113">
          <cell r="C113" t="str">
            <v>Dewa Nyoman Wedana</v>
          </cell>
          <cell r="D113">
            <v>0.97391304347826091</v>
          </cell>
        </row>
        <row r="114">
          <cell r="C114" t="str">
            <v>I Made Budiartha</v>
          </cell>
          <cell r="D114">
            <v>0.39202657807308972</v>
          </cell>
        </row>
        <row r="115">
          <cell r="C115" t="str">
            <v>I Made Budiartha</v>
          </cell>
          <cell r="D115">
            <v>0.94545454545454544</v>
          </cell>
        </row>
        <row r="116">
          <cell r="C116" t="str">
            <v>I Made Budiartha</v>
          </cell>
          <cell r="D116">
            <v>0.85263157894736841</v>
          </cell>
        </row>
        <row r="117">
          <cell r="C117" t="str">
            <v>Ida Bagus Pidada Manuaba</v>
          </cell>
          <cell r="D117">
            <v>0.93902439024390238</v>
          </cell>
        </row>
        <row r="118">
          <cell r="C118" t="str">
            <v>Ida Bagus Pidada Manuaba</v>
          </cell>
          <cell r="D118">
            <v>0.84482758620689657</v>
          </cell>
        </row>
        <row r="119">
          <cell r="C119" t="str">
            <v>I Made Budiartha</v>
          </cell>
          <cell r="D119">
            <v>0.98113207547169812</v>
          </cell>
        </row>
        <row r="120">
          <cell r="C120" t="str">
            <v>Dewa Nyoman Wedana</v>
          </cell>
          <cell r="D120">
            <v>0.80612244897959184</v>
          </cell>
        </row>
        <row r="121">
          <cell r="C121" t="str">
            <v>Ida Bagus Pidada Manuaba</v>
          </cell>
          <cell r="D121">
            <v>0.98780487804878048</v>
          </cell>
        </row>
        <row r="122">
          <cell r="C122" t="str">
            <v>Dewa Nyoman Wedana</v>
          </cell>
          <cell r="D122">
            <v>0.62179487179487181</v>
          </cell>
        </row>
        <row r="123">
          <cell r="C123" t="str">
            <v>I Made Budiartha</v>
          </cell>
          <cell r="D123">
            <v>0.81276595744680846</v>
          </cell>
        </row>
        <row r="124">
          <cell r="C124" t="str">
            <v>I Made Budiartha</v>
          </cell>
          <cell r="D124">
            <v>0.92366412213740456</v>
          </cell>
        </row>
        <row r="125">
          <cell r="C125" t="str">
            <v>Ida Bagus Pidada Manuaba</v>
          </cell>
          <cell r="D125">
            <v>0.97069597069597069</v>
          </cell>
        </row>
        <row r="126">
          <cell r="C126" t="str">
            <v>I Made Budiartha</v>
          </cell>
          <cell r="D126">
            <v>0.59322033898305082</v>
          </cell>
        </row>
        <row r="127">
          <cell r="C127" t="str">
            <v>I Made Budiartha</v>
          </cell>
          <cell r="D127">
            <v>0.7890625</v>
          </cell>
        </row>
        <row r="128">
          <cell r="C128" t="str">
            <v>Dewa Nyoman Wedana</v>
          </cell>
          <cell r="D128">
            <v>0.91911764705882348</v>
          </cell>
        </row>
        <row r="129">
          <cell r="C129" t="str">
            <v>I Made Budiartha</v>
          </cell>
          <cell r="D129">
            <v>1</v>
          </cell>
        </row>
        <row r="130">
          <cell r="C130" t="str">
            <v>Dewa Nyoman Wedana</v>
          </cell>
          <cell r="D130">
            <v>0.9</v>
          </cell>
        </row>
        <row r="131">
          <cell r="C131" t="str">
            <v>Dewa Nyoman Wedana</v>
          </cell>
          <cell r="D131">
            <v>0.93617021276595747</v>
          </cell>
        </row>
        <row r="132">
          <cell r="C132" t="str">
            <v>Ida Bagus Pidada Manuaba</v>
          </cell>
          <cell r="D132">
            <v>0.5663716814159292</v>
          </cell>
        </row>
        <row r="133">
          <cell r="C133" t="str">
            <v>Dewa Nyoman Wedana</v>
          </cell>
          <cell r="D133">
            <v>0.68</v>
          </cell>
        </row>
        <row r="134">
          <cell r="D134" t="e">
            <v>#N/A</v>
          </cell>
        </row>
        <row r="135">
          <cell r="C135" t="str">
            <v>Boby Sukmawijaya</v>
          </cell>
          <cell r="D135">
            <v>0.98684210526315785</v>
          </cell>
        </row>
        <row r="136">
          <cell r="C136" t="str">
            <v>Boby Sukmawijaya</v>
          </cell>
          <cell r="D136">
            <v>0.85344827586206895</v>
          </cell>
        </row>
        <row r="137">
          <cell r="C137" t="str">
            <v>Boby Sukmawijaya</v>
          </cell>
          <cell r="D137">
            <v>0.98007968127490042</v>
          </cell>
        </row>
        <row r="138">
          <cell r="C138" t="str">
            <v>Boby Sukmawijaya</v>
          </cell>
          <cell r="D138">
            <v>1</v>
          </cell>
        </row>
        <row r="139">
          <cell r="C139" t="str">
            <v>Boby Sukmawijaya</v>
          </cell>
          <cell r="D139">
            <v>1</v>
          </cell>
        </row>
        <row r="140">
          <cell r="C140" t="str">
            <v>Boby Sukmawijaya</v>
          </cell>
          <cell r="D140">
            <v>0.98230088495575218</v>
          </cell>
        </row>
        <row r="141">
          <cell r="C141" t="str">
            <v>Boby Sukmawijaya</v>
          </cell>
          <cell r="D141">
            <v>0.9513513513513514</v>
          </cell>
        </row>
        <row r="142">
          <cell r="C142" t="str">
            <v>Boby Sukmawijaya</v>
          </cell>
          <cell r="D142">
            <v>0.92907801418439717</v>
          </cell>
        </row>
        <row r="143">
          <cell r="C143" t="str">
            <v>Boby Sukmawijaya</v>
          </cell>
          <cell r="D143">
            <v>0.99199999999999999</v>
          </cell>
        </row>
        <row r="144">
          <cell r="C144" t="str">
            <v>Boby Sukmawijaya</v>
          </cell>
          <cell r="D144">
            <v>0.98165137614678899</v>
          </cell>
        </row>
        <row r="145">
          <cell r="C145" t="str">
            <v>Boby Sukmawijaya</v>
          </cell>
          <cell r="D145">
            <v>0.94623655913978499</v>
          </cell>
        </row>
        <row r="146">
          <cell r="C146" t="str">
            <v>Boby Sukmawijaya</v>
          </cell>
          <cell r="D146">
            <v>0.99180327868852458</v>
          </cell>
        </row>
        <row r="147">
          <cell r="C147" t="str">
            <v>Boby Sukmawijaya</v>
          </cell>
          <cell r="D147">
            <v>0.94680851063829785</v>
          </cell>
        </row>
        <row r="148">
          <cell r="C148" t="str">
            <v>Boby Sukmawijaya</v>
          </cell>
          <cell r="D148">
            <v>0.95378151260504207</v>
          </cell>
        </row>
        <row r="149">
          <cell r="C149" t="str">
            <v>Boby Sukmawijaya</v>
          </cell>
          <cell r="D149">
            <v>0.96226415094339623</v>
          </cell>
        </row>
        <row r="150">
          <cell r="C150" t="str">
            <v>Boby Sukmawijaya</v>
          </cell>
          <cell r="D150">
            <v>1</v>
          </cell>
        </row>
        <row r="151">
          <cell r="C151" t="str">
            <v>Boby Sukmawijaya</v>
          </cell>
          <cell r="D151">
            <v>0.96240601503759393</v>
          </cell>
        </row>
        <row r="152">
          <cell r="C152" t="str">
            <v>Boby Sukmawijaya</v>
          </cell>
          <cell r="D152">
            <v>0.97244094488188981</v>
          </cell>
        </row>
        <row r="153">
          <cell r="C153" t="str">
            <v>Boby Sukmawijaya</v>
          </cell>
          <cell r="D153">
            <v>0.79562043795620441</v>
          </cell>
        </row>
        <row r="154">
          <cell r="C154" t="str">
            <v>Boby Sukmawijaya</v>
          </cell>
          <cell r="D154">
            <v>0.96153846153846156</v>
          </cell>
        </row>
        <row r="155">
          <cell r="C155" t="str">
            <v>Boby Sukmawijaya</v>
          </cell>
          <cell r="D155">
            <v>1</v>
          </cell>
        </row>
        <row r="156">
          <cell r="C156" t="str">
            <v>Boby Sukmawijaya</v>
          </cell>
          <cell r="D156">
            <v>0.58666666666666667</v>
          </cell>
        </row>
        <row r="157">
          <cell r="C157" t="str">
            <v>Boby Sukmawijaya</v>
          </cell>
          <cell r="D157">
            <v>1</v>
          </cell>
        </row>
        <row r="158">
          <cell r="C158" t="str">
            <v>Boby Sukmawijaya</v>
          </cell>
          <cell r="D158">
            <v>0.92125984251968507</v>
          </cell>
        </row>
        <row r="159">
          <cell r="C159" t="str">
            <v>Boby Sukmawijaya</v>
          </cell>
          <cell r="D159">
            <v>1</v>
          </cell>
        </row>
        <row r="160">
          <cell r="C160" t="str">
            <v>Boby Sukmawijaya</v>
          </cell>
          <cell r="D160">
            <v>0.95360824742268047</v>
          </cell>
        </row>
        <row r="161">
          <cell r="C161" t="str">
            <v>Boby Sukmawijaya</v>
          </cell>
          <cell r="D161">
            <v>1</v>
          </cell>
        </row>
        <row r="162">
          <cell r="C162" t="str">
            <v>Boby Sukmawijaya</v>
          </cell>
          <cell r="D162">
            <v>0.9887640449438202</v>
          </cell>
        </row>
        <row r="163">
          <cell r="C163" t="str">
            <v>Boby Sukmawijaya</v>
          </cell>
          <cell r="D163">
            <v>0.9296875</v>
          </cell>
        </row>
        <row r="164">
          <cell r="C164" t="str">
            <v>Boby Sukmawijaya</v>
          </cell>
          <cell r="D164">
            <v>0.98581560283687941</v>
          </cell>
        </row>
        <row r="165">
          <cell r="C165" t="str">
            <v>Boby Sukmawijaya</v>
          </cell>
          <cell r="D165">
            <v>0.59562841530054644</v>
          </cell>
        </row>
        <row r="166">
          <cell r="C166" t="str">
            <v>Boby Sukmawijaya</v>
          </cell>
          <cell r="D166">
            <v>0.98870056497175141</v>
          </cell>
        </row>
        <row r="167">
          <cell r="C167" t="str">
            <v>Boby Sukmawijaya</v>
          </cell>
          <cell r="D167">
            <v>0.99636363636363634</v>
          </cell>
        </row>
        <row r="168">
          <cell r="C168" t="str">
            <v>Boby Sukmawijaya</v>
          </cell>
          <cell r="D168">
            <v>0.66666666666666663</v>
          </cell>
        </row>
        <row r="169">
          <cell r="C169" t="str">
            <v>Boby Sukmawijaya</v>
          </cell>
          <cell r="D169">
            <v>0.78431372549019607</v>
          </cell>
        </row>
        <row r="170">
          <cell r="C170" t="str">
            <v>Boby Sukmawijaya</v>
          </cell>
          <cell r="D170">
            <v>0.96825396825396826</v>
          </cell>
        </row>
        <row r="171">
          <cell r="C171" t="str">
            <v>Boby Sukmawijaya</v>
          </cell>
          <cell r="D171">
            <v>0.89411764705882357</v>
          </cell>
        </row>
        <row r="172">
          <cell r="C172" t="str">
            <v>Boby Sukmawijaya</v>
          </cell>
          <cell r="D172">
            <v>0.99543378995433784</v>
          </cell>
        </row>
        <row r="173">
          <cell r="C173" t="str">
            <v>Boby Sukmawijaya</v>
          </cell>
          <cell r="D173">
            <v>0.98717948717948723</v>
          </cell>
        </row>
        <row r="174">
          <cell r="C174" t="str">
            <v>Boby Sukmawijaya</v>
          </cell>
          <cell r="D174">
            <v>0.75187969924812026</v>
          </cell>
        </row>
        <row r="175">
          <cell r="D175" t="e">
            <v>#N/A</v>
          </cell>
        </row>
        <row r="176">
          <cell r="C176" t="str">
            <v>Ari</v>
          </cell>
          <cell r="D176">
            <v>0.9555555555555556</v>
          </cell>
        </row>
        <row r="177">
          <cell r="C177" t="str">
            <v>Ari</v>
          </cell>
          <cell r="D177">
            <v>1</v>
          </cell>
        </row>
        <row r="178">
          <cell r="C178" t="str">
            <v>Ari</v>
          </cell>
          <cell r="D178">
            <v>0.98029556650246308</v>
          </cell>
        </row>
        <row r="179">
          <cell r="C179" t="str">
            <v>Ari</v>
          </cell>
          <cell r="D179">
            <v>0.95477386934673369</v>
          </cell>
        </row>
        <row r="180">
          <cell r="C180" t="str">
            <v>Ari</v>
          </cell>
          <cell r="D180">
            <v>0.98235294117647054</v>
          </cell>
        </row>
        <row r="181">
          <cell r="C181" t="str">
            <v>Ari</v>
          </cell>
          <cell r="D181">
            <v>0.83823529411764708</v>
          </cell>
        </row>
        <row r="182">
          <cell r="C182" t="str">
            <v>Ari</v>
          </cell>
          <cell r="D182">
            <v>0.82467532467532467</v>
          </cell>
        </row>
        <row r="183">
          <cell r="C183" t="str">
            <v>Ari</v>
          </cell>
          <cell r="D183">
            <v>0.79856115107913672</v>
          </cell>
        </row>
        <row r="184">
          <cell r="C184" t="str">
            <v>Ari</v>
          </cell>
          <cell r="D184">
            <v>0.90322580645161288</v>
          </cell>
        </row>
        <row r="185">
          <cell r="C185" t="str">
            <v>Ari</v>
          </cell>
          <cell r="D185">
            <v>0.98648648648648651</v>
          </cell>
        </row>
        <row r="186">
          <cell r="C186" t="str">
            <v>Helvi</v>
          </cell>
          <cell r="D186">
            <v>0.93117408906882593</v>
          </cell>
        </row>
        <row r="187">
          <cell r="C187" t="str">
            <v>Helvi</v>
          </cell>
          <cell r="D187">
            <v>1</v>
          </cell>
        </row>
        <row r="188">
          <cell r="C188" t="str">
            <v>Helvi</v>
          </cell>
          <cell r="D188">
            <v>0.88652482269503541</v>
          </cell>
        </row>
        <row r="189">
          <cell r="C189" t="str">
            <v>Helvi</v>
          </cell>
          <cell r="D189">
            <v>0.99574468085106382</v>
          </cell>
        </row>
        <row r="190">
          <cell r="C190" t="str">
            <v>Helvi</v>
          </cell>
          <cell r="D190">
            <v>0.83673469387755106</v>
          </cell>
        </row>
        <row r="191">
          <cell r="C191" t="str">
            <v>Helvi</v>
          </cell>
          <cell r="D191">
            <v>0.9910714285714286</v>
          </cell>
        </row>
        <row r="192">
          <cell r="C192" t="str">
            <v>Helvi</v>
          </cell>
          <cell r="D192">
            <v>0.60386473429951693</v>
          </cell>
        </row>
        <row r="193">
          <cell r="C193" t="str">
            <v>Helvi</v>
          </cell>
          <cell r="D193">
            <v>0.95061728395061729</v>
          </cell>
        </row>
        <row r="194">
          <cell r="C194" t="str">
            <v>Helvi</v>
          </cell>
          <cell r="D194">
            <v>1</v>
          </cell>
        </row>
        <row r="195">
          <cell r="C195" t="str">
            <v>Helvi</v>
          </cell>
          <cell r="D195">
            <v>0.97169811320754718</v>
          </cell>
        </row>
        <row r="196">
          <cell r="C196" t="str">
            <v>Helvi</v>
          </cell>
          <cell r="D196">
            <v>0.98958333333333337</v>
          </cell>
        </row>
        <row r="197">
          <cell r="D197" t="e">
            <v>#N/A</v>
          </cell>
        </row>
        <row r="198">
          <cell r="C198" t="str">
            <v>Ferdi Setiawan</v>
          </cell>
          <cell r="D198">
            <v>1</v>
          </cell>
        </row>
        <row r="199">
          <cell r="C199" t="str">
            <v>Ferdi Setiawan</v>
          </cell>
          <cell r="D199">
            <v>1</v>
          </cell>
        </row>
        <row r="200">
          <cell r="C200" t="str">
            <v>Ferdi Setiawan</v>
          </cell>
          <cell r="D200">
            <v>0.9928057553956835</v>
          </cell>
        </row>
        <row r="201">
          <cell r="C201" t="str">
            <v>Ferdi Setiawan</v>
          </cell>
          <cell r="D201">
            <v>1</v>
          </cell>
        </row>
        <row r="202">
          <cell r="C202" t="str">
            <v>Ferdi Setiawan</v>
          </cell>
          <cell r="D202">
            <v>0.99275362318840576</v>
          </cell>
        </row>
        <row r="203">
          <cell r="C203" t="str">
            <v>Ferdi Setiawan</v>
          </cell>
          <cell r="D203">
            <v>0.98607242339832868</v>
          </cell>
        </row>
        <row r="204">
          <cell r="C204" t="str">
            <v>Ferdi Setiawan</v>
          </cell>
          <cell r="D204">
            <v>1</v>
          </cell>
        </row>
        <row r="205">
          <cell r="C205" t="str">
            <v>Ferdi Setiawan</v>
          </cell>
          <cell r="D205">
            <v>1</v>
          </cell>
        </row>
        <row r="206">
          <cell r="C206" t="str">
            <v>Ferdi Setiawan</v>
          </cell>
          <cell r="D206">
            <v>0.98976109215017061</v>
          </cell>
        </row>
        <row r="207">
          <cell r="C207" t="str">
            <v>Ferdi Setiawan</v>
          </cell>
          <cell r="D207">
            <v>0.99090909090909096</v>
          </cell>
        </row>
        <row r="208">
          <cell r="C208" t="str">
            <v>Ferdi Setiawan</v>
          </cell>
          <cell r="D208">
            <v>1</v>
          </cell>
        </row>
        <row r="209">
          <cell r="C209" t="str">
            <v>Ferdi Setiawan</v>
          </cell>
          <cell r="D209">
            <v>0.97841726618705038</v>
          </cell>
        </row>
        <row r="210">
          <cell r="C210" t="str">
            <v>Ferdi Setiawan</v>
          </cell>
          <cell r="D210">
            <v>0.98882681564245811</v>
          </cell>
        </row>
        <row r="211">
          <cell r="C211" t="str">
            <v>Ferdi Setiawan</v>
          </cell>
          <cell r="D211">
            <v>1</v>
          </cell>
        </row>
        <row r="212">
          <cell r="D212" t="e">
            <v>#N/A</v>
          </cell>
        </row>
        <row r="213">
          <cell r="C213" t="str">
            <v>Gesang Jumadi</v>
          </cell>
          <cell r="D213">
            <v>0.6470588235294118</v>
          </cell>
        </row>
        <row r="214">
          <cell r="C214" t="str">
            <v>Gesang Jumadi</v>
          </cell>
          <cell r="D214">
            <v>0.96491228070175439</v>
          </cell>
        </row>
        <row r="215">
          <cell r="C215" t="str">
            <v>Gesang Jumadi</v>
          </cell>
          <cell r="D215">
            <v>0.97826086956521741</v>
          </cell>
        </row>
        <row r="216">
          <cell r="C216" t="str">
            <v>Gesang Jumadi</v>
          </cell>
          <cell r="D216">
            <v>0.95402298850574707</v>
          </cell>
        </row>
        <row r="217">
          <cell r="C217" t="str">
            <v>Gesang Jumadi</v>
          </cell>
          <cell r="D217">
            <v>0.26765799256505574</v>
          </cell>
        </row>
        <row r="218">
          <cell r="C218" t="str">
            <v>Gesang Jumadi</v>
          </cell>
          <cell r="D218">
            <v>0.65274151436031336</v>
          </cell>
        </row>
        <row r="219">
          <cell r="C219" t="str">
            <v>Gesang Jumadi</v>
          </cell>
          <cell r="D219">
            <v>0.87977099236641221</v>
          </cell>
        </row>
        <row r="220">
          <cell r="C220" t="str">
            <v>Gesang Jumadi</v>
          </cell>
          <cell r="D220">
            <v>0.71835443037974689</v>
          </cell>
        </row>
        <row r="221">
          <cell r="C221" t="str">
            <v>Gesang Jumadi</v>
          </cell>
          <cell r="D221">
            <v>0.4808259587020649</v>
          </cell>
        </row>
        <row r="222">
          <cell r="C222" t="str">
            <v>Gesang Jumadi</v>
          </cell>
          <cell r="D222">
            <v>0.79945799457994582</v>
          </cell>
        </row>
        <row r="223">
          <cell r="C223" t="str">
            <v>Gesang Jumadi</v>
          </cell>
          <cell r="D223">
            <v>0.73700305810397548</v>
          </cell>
        </row>
        <row r="224">
          <cell r="C224" t="str">
            <v>Gesang Jumadi</v>
          </cell>
          <cell r="D224">
            <v>0.9173728813559322</v>
          </cell>
        </row>
        <row r="225">
          <cell r="C225" t="str">
            <v>Gesang Jumadi</v>
          </cell>
          <cell r="D225">
            <v>0.94444444444444442</v>
          </cell>
        </row>
        <row r="226">
          <cell r="C226" t="str">
            <v>Gesang Jumadi</v>
          </cell>
          <cell r="D226">
            <v>0.99638989169675085</v>
          </cell>
        </row>
        <row r="227">
          <cell r="C227" t="str">
            <v>Gesang Jumadi</v>
          </cell>
          <cell r="D227">
            <v>0.90658174097664546</v>
          </cell>
        </row>
        <row r="228">
          <cell r="C228" t="str">
            <v>Gumilar Rudimaya</v>
          </cell>
          <cell r="D228">
            <v>1</v>
          </cell>
        </row>
        <row r="229">
          <cell r="C229" t="str">
            <v>Gumilar Rudimaya</v>
          </cell>
          <cell r="D229">
            <v>0.69957081545064381</v>
          </cell>
        </row>
        <row r="230">
          <cell r="C230" t="str">
            <v>Gumilar Rudimaya</v>
          </cell>
          <cell r="D230">
            <v>0.76551724137931032</v>
          </cell>
        </row>
        <row r="231">
          <cell r="C231" t="str">
            <v>Gumilar Rudimaya</v>
          </cell>
          <cell r="D231">
            <v>0.92817679558011046</v>
          </cell>
        </row>
        <row r="232">
          <cell r="C232" t="str">
            <v>Gumilar Rudimaya</v>
          </cell>
          <cell r="D232">
            <v>0.88888888888888884</v>
          </cell>
        </row>
        <row r="233">
          <cell r="C233" t="str">
            <v>Gumilar Rudimaya</v>
          </cell>
          <cell r="D233">
            <v>0.77647058823529413</v>
          </cell>
        </row>
        <row r="234">
          <cell r="C234" t="str">
            <v>Gumilar Rudimaya</v>
          </cell>
          <cell r="D234">
            <v>0.8635235732009926</v>
          </cell>
        </row>
        <row r="235">
          <cell r="C235" t="str">
            <v>Gumilar Rudimaya</v>
          </cell>
          <cell r="D235">
            <v>0.62891986062717775</v>
          </cell>
        </row>
        <row r="236">
          <cell r="C236" t="str">
            <v>Gumilar Rudimaya</v>
          </cell>
          <cell r="D236">
            <v>0.39393939393939392</v>
          </cell>
        </row>
        <row r="237">
          <cell r="C237" t="str">
            <v>Gumilar Rudimaya</v>
          </cell>
          <cell r="D237">
            <v>0.86229508196721316</v>
          </cell>
        </row>
        <row r="238">
          <cell r="C238" t="str">
            <v>Gumilar Rudimaya</v>
          </cell>
          <cell r="D238">
            <v>0.55191256830601088</v>
          </cell>
        </row>
        <row r="239">
          <cell r="C239" t="str">
            <v>Gumilar Rudimaya</v>
          </cell>
          <cell r="D239">
            <v>0.9821428571428571</v>
          </cell>
        </row>
        <row r="240">
          <cell r="C240" t="str">
            <v>Gumilar Rudimaya</v>
          </cell>
          <cell r="D240">
            <v>0.97214484679665736</v>
          </cell>
        </row>
        <row r="241">
          <cell r="C241" t="str">
            <v>Gumilar Rudimaya</v>
          </cell>
          <cell r="D241">
            <v>0.64331210191082799</v>
          </cell>
        </row>
        <row r="242">
          <cell r="C242" t="str">
            <v>Gumilar Rudimaya</v>
          </cell>
          <cell r="D242">
            <v>0.63101604278074863</v>
          </cell>
        </row>
        <row r="243">
          <cell r="D243">
            <v>0</v>
          </cell>
        </row>
        <row r="244">
          <cell r="C244" t="str">
            <v>Indra Jantana</v>
          </cell>
          <cell r="D244">
            <v>1</v>
          </cell>
        </row>
        <row r="245">
          <cell r="C245" t="str">
            <v>Indra Jantana</v>
          </cell>
          <cell r="D245">
            <v>1</v>
          </cell>
        </row>
        <row r="246">
          <cell r="C246" t="str">
            <v>Indra Jantana</v>
          </cell>
          <cell r="D246">
            <v>0.99137931034482762</v>
          </cell>
        </row>
        <row r="247">
          <cell r="C247" t="str">
            <v>Indra Jantana</v>
          </cell>
          <cell r="D247">
            <v>0.95890410958904104</v>
          </cell>
        </row>
        <row r="248">
          <cell r="C248" t="str">
            <v>Indra Jantana</v>
          </cell>
          <cell r="D248">
            <v>1</v>
          </cell>
        </row>
        <row r="249">
          <cell r="C249" t="str">
            <v>Indra Jantana</v>
          </cell>
          <cell r="D249">
            <v>0.963963963963964</v>
          </cell>
        </row>
        <row r="250">
          <cell r="C250" t="str">
            <v>Indra Jantana</v>
          </cell>
          <cell r="D250">
            <v>0.98245614035087714</v>
          </cell>
        </row>
        <row r="251">
          <cell r="C251" t="str">
            <v>Indra Jantana</v>
          </cell>
          <cell r="D251">
            <v>0.9375</v>
          </cell>
        </row>
        <row r="252">
          <cell r="C252" t="str">
            <v>Indra Jantana</v>
          </cell>
          <cell r="D252">
            <v>1</v>
          </cell>
        </row>
        <row r="253">
          <cell r="C253" t="str">
            <v>Indra Jantana</v>
          </cell>
          <cell r="D253">
            <v>1</v>
          </cell>
        </row>
        <row r="254">
          <cell r="C254" t="str">
            <v>Indra Jantana</v>
          </cell>
          <cell r="D254">
            <v>0.95709570957095713</v>
          </cell>
        </row>
        <row r="255">
          <cell r="C255" t="str">
            <v>Indra Jantana</v>
          </cell>
          <cell r="D255">
            <v>0.97599999999999998</v>
          </cell>
        </row>
        <row r="256">
          <cell r="C256" t="str">
            <v>Indra Jantana</v>
          </cell>
          <cell r="D256">
            <v>1</v>
          </cell>
        </row>
        <row r="257">
          <cell r="C257" t="str">
            <v>Indra Jantana</v>
          </cell>
          <cell r="D257">
            <v>0.97872340425531912</v>
          </cell>
        </row>
        <row r="258">
          <cell r="C258" t="str">
            <v>Indra Jantana</v>
          </cell>
          <cell r="D258">
            <v>0.94915254237288138</v>
          </cell>
        </row>
        <row r="259">
          <cell r="C259" t="str">
            <v>Indra Jantana</v>
          </cell>
          <cell r="D259">
            <v>0.86549707602339176</v>
          </cell>
        </row>
        <row r="260">
          <cell r="C260" t="str">
            <v>Indra Jantana</v>
          </cell>
          <cell r="D260">
            <v>0.94059405940594054</v>
          </cell>
        </row>
        <row r="261">
          <cell r="C261" t="str">
            <v>Indra Jantana</v>
          </cell>
          <cell r="D261">
            <v>0.93529411764705883</v>
          </cell>
        </row>
        <row r="262">
          <cell r="C262" t="str">
            <v>Indra Jantana</v>
          </cell>
          <cell r="D262">
            <v>1</v>
          </cell>
        </row>
        <row r="263">
          <cell r="C263" t="str">
            <v>Indra Jantana</v>
          </cell>
          <cell r="D263">
            <v>0.96875</v>
          </cell>
        </row>
        <row r="264">
          <cell r="C264" t="str">
            <v>Indra Jantana</v>
          </cell>
          <cell r="D264">
            <v>0.89754098360655743</v>
          </cell>
        </row>
        <row r="265">
          <cell r="C265" t="str">
            <v>Indra Jantana</v>
          </cell>
          <cell r="D265">
            <v>0.98947368421052628</v>
          </cell>
        </row>
        <row r="266">
          <cell r="C266" t="str">
            <v>Indra Jantana</v>
          </cell>
          <cell r="D266">
            <v>1</v>
          </cell>
        </row>
        <row r="267">
          <cell r="C267" t="str">
            <v>Indra Jantana</v>
          </cell>
          <cell r="D267">
            <v>1</v>
          </cell>
        </row>
        <row r="268">
          <cell r="D268">
            <v>0</v>
          </cell>
        </row>
        <row r="269">
          <cell r="C269" t="str">
            <v>Yudi Wahyudi</v>
          </cell>
          <cell r="D269">
            <v>0.81521739130434778</v>
          </cell>
        </row>
        <row r="270">
          <cell r="C270" t="str">
            <v>Yudi Wahyudi</v>
          </cell>
          <cell r="D270">
            <v>0.99047619047619051</v>
          </cell>
        </row>
        <row r="271">
          <cell r="C271" t="str">
            <v>Yudi Wahyudi</v>
          </cell>
          <cell r="D271">
            <v>0.97674418604651159</v>
          </cell>
        </row>
        <row r="272">
          <cell r="C272" t="str">
            <v>Yudi Wahyudi</v>
          </cell>
          <cell r="D272">
            <v>0.83333333333333337</v>
          </cell>
        </row>
        <row r="273">
          <cell r="C273" t="str">
            <v>Yudi Wahyudi</v>
          </cell>
          <cell r="D273">
            <v>0.75132275132275128</v>
          </cell>
        </row>
        <row r="274">
          <cell r="C274" t="str">
            <v>Yudi Wahyudi</v>
          </cell>
          <cell r="D274">
            <v>0.9553571428571429</v>
          </cell>
        </row>
        <row r="275">
          <cell r="C275" t="str">
            <v>Yudi Wahyudi</v>
          </cell>
          <cell r="D275">
            <v>0.91025641025641024</v>
          </cell>
        </row>
        <row r="276">
          <cell r="C276" t="str">
            <v>Yudi Wahyudi</v>
          </cell>
          <cell r="D276">
            <v>0.85483870967741937</v>
          </cell>
        </row>
        <row r="277">
          <cell r="C277" t="str">
            <v>Yudi Wahyudi</v>
          </cell>
          <cell r="D277">
            <v>0.94871794871794868</v>
          </cell>
        </row>
        <row r="278">
          <cell r="C278" t="str">
            <v>Yudi Wahyudi</v>
          </cell>
          <cell r="D278">
            <v>0.97093023255813948</v>
          </cell>
        </row>
        <row r="279">
          <cell r="C279" t="str">
            <v>Yudi Wahyudi</v>
          </cell>
          <cell r="D279">
            <v>0.81538461538461537</v>
          </cell>
        </row>
        <row r="280">
          <cell r="C280" t="str">
            <v>Yudi Wahyudi</v>
          </cell>
          <cell r="D280">
            <v>0.72307692307692306</v>
          </cell>
        </row>
        <row r="281">
          <cell r="C281" t="str">
            <v>Yudi Wahyudi</v>
          </cell>
          <cell r="D281">
            <v>0.97916666666666663</v>
          </cell>
        </row>
        <row r="282">
          <cell r="C282" t="str">
            <v>Yudi Wahyudi</v>
          </cell>
          <cell r="D282">
            <v>0.97619047619047616</v>
          </cell>
        </row>
        <row r="283">
          <cell r="C283" t="str">
            <v>Yudi Wahyudi</v>
          </cell>
          <cell r="D283">
            <v>0.94029850746268662</v>
          </cell>
        </row>
        <row r="284">
          <cell r="C284" t="str">
            <v>Yudi Wahyudi</v>
          </cell>
          <cell r="D284">
            <v>0.69032258064516128</v>
          </cell>
        </row>
        <row r="285">
          <cell r="C285" t="str">
            <v>Yudi Wahyudi</v>
          </cell>
          <cell r="D285">
            <v>1</v>
          </cell>
        </row>
        <row r="286">
          <cell r="C286" t="str">
            <v>Yudi Wahyudi</v>
          </cell>
          <cell r="D286">
            <v>0.98165137614678899</v>
          </cell>
        </row>
        <row r="287">
          <cell r="C287" t="str">
            <v>Yudi Wahyudi</v>
          </cell>
          <cell r="D287">
            <v>0.68965517241379315</v>
          </cell>
        </row>
        <row r="288">
          <cell r="C288" t="str">
            <v>Yudi Wahyudi</v>
          </cell>
          <cell r="D288">
            <v>0.72558139534883725</v>
          </cell>
        </row>
        <row r="289">
          <cell r="C289" t="str">
            <v>Yudi Wahyudi</v>
          </cell>
          <cell r="D289">
            <v>0.93103448275862066</v>
          </cell>
        </row>
        <row r="290">
          <cell r="C290" t="str">
            <v>Yudi Wahyudi</v>
          </cell>
          <cell r="D290">
            <v>0.96551724137931039</v>
          </cell>
        </row>
        <row r="291">
          <cell r="C291" t="str">
            <v>Yudi Wahyudi</v>
          </cell>
          <cell r="D291">
            <v>0.81818181818181823</v>
          </cell>
        </row>
        <row r="292">
          <cell r="C292" t="str">
            <v>Yudi Wahyudi</v>
          </cell>
          <cell r="D292">
            <v>0.86224489795918369</v>
          </cell>
        </row>
        <row r="293">
          <cell r="C293" t="str">
            <v>Yudi Wahyudi</v>
          </cell>
          <cell r="D293">
            <v>0.79729729729729726</v>
          </cell>
        </row>
        <row r="294">
          <cell r="C294" t="str">
            <v>Yudi Wahyudi</v>
          </cell>
          <cell r="D294">
            <v>0.96363636363636362</v>
          </cell>
        </row>
        <row r="295">
          <cell r="D295">
            <v>0</v>
          </cell>
        </row>
        <row r="296">
          <cell r="C296" t="str">
            <v>Febri Dwi Prabowo</v>
          </cell>
          <cell r="D296">
            <v>0.99574468085106382</v>
          </cell>
        </row>
        <row r="297">
          <cell r="C297" t="str">
            <v>Febri Dwi Prabowo</v>
          </cell>
          <cell r="D297">
            <v>0.98305084745762716</v>
          </cell>
        </row>
        <row r="298">
          <cell r="C298" t="str">
            <v>Febri Dwi Prabowo</v>
          </cell>
          <cell r="D298">
            <v>0.95945945945945943</v>
          </cell>
        </row>
        <row r="299">
          <cell r="C299" t="str">
            <v>Febri Dwi Prabowo</v>
          </cell>
          <cell r="D299">
            <v>0.98139534883720925</v>
          </cell>
        </row>
        <row r="300">
          <cell r="C300" t="str">
            <v>Febri Dwi Prabowo</v>
          </cell>
          <cell r="D300">
            <v>0.96253602305475505</v>
          </cell>
        </row>
        <row r="301">
          <cell r="C301" t="str">
            <v>Febri Dwi Prabowo</v>
          </cell>
          <cell r="D301">
            <v>1</v>
          </cell>
        </row>
        <row r="302">
          <cell r="C302" t="str">
            <v>Febri Dwi Prabowo</v>
          </cell>
          <cell r="D302">
            <v>0.97826086956521741</v>
          </cell>
        </row>
        <row r="303">
          <cell r="C303" t="str">
            <v>Febri Dwi Prabowo</v>
          </cell>
          <cell r="D303">
            <v>0.99238578680203049</v>
          </cell>
        </row>
        <row r="304">
          <cell r="C304" t="str">
            <v>Febri Dwi Prabowo</v>
          </cell>
          <cell r="D304">
            <v>1</v>
          </cell>
        </row>
        <row r="305">
          <cell r="C305" t="str">
            <v>Febri Dwi Prabowo</v>
          </cell>
          <cell r="D305">
            <v>0.99630996309963105</v>
          </cell>
        </row>
        <row r="306">
          <cell r="C306" t="str">
            <v>Febri Dwi Prabowo</v>
          </cell>
          <cell r="D306">
            <v>0.97391304347826091</v>
          </cell>
        </row>
        <row r="307">
          <cell r="C307" t="str">
            <v>Febri Dwi Prabowo</v>
          </cell>
          <cell r="D307">
            <v>0.99537037037037035</v>
          </cell>
        </row>
        <row r="308">
          <cell r="C308" t="str">
            <v>Febri Dwi Prabowo</v>
          </cell>
          <cell r="D308">
            <v>0.79567307692307687</v>
          </cell>
        </row>
        <row r="309">
          <cell r="C309" t="str">
            <v>Made Windu Kuntara</v>
          </cell>
          <cell r="D309">
            <v>0.93518518518518523</v>
          </cell>
        </row>
        <row r="310">
          <cell r="C310" t="str">
            <v>Made Windu Kuntara</v>
          </cell>
          <cell r="D310">
            <v>0.97647058823529409</v>
          </cell>
        </row>
        <row r="311">
          <cell r="C311" t="str">
            <v>Made Windu Kuntara</v>
          </cell>
          <cell r="D311">
            <v>0.86293436293436299</v>
          </cell>
        </row>
        <row r="312">
          <cell r="C312" t="str">
            <v>Made Windu Kuntara</v>
          </cell>
          <cell r="D312">
            <v>1</v>
          </cell>
        </row>
        <row r="313">
          <cell r="C313" t="str">
            <v>Made Windu Kuntara</v>
          </cell>
          <cell r="D313">
            <v>0.99099099099099097</v>
          </cell>
        </row>
        <row r="314">
          <cell r="C314" t="str">
            <v>Made Windu Kuntara</v>
          </cell>
          <cell r="D314">
            <v>0.94117647058823528</v>
          </cell>
        </row>
        <row r="315">
          <cell r="C315" t="str">
            <v>Made Windu Kuntara</v>
          </cell>
          <cell r="D315">
            <v>0.97472924187725629</v>
          </cell>
        </row>
        <row r="316">
          <cell r="C316" t="str">
            <v>Made Windu Kuntara</v>
          </cell>
          <cell r="D316">
            <v>0.96596858638743455</v>
          </cell>
        </row>
        <row r="317">
          <cell r="C317" t="str">
            <v>Made Windu Kuntara</v>
          </cell>
          <cell r="D317">
            <v>0.8995433789954338</v>
          </cell>
        </row>
        <row r="318">
          <cell r="C318" t="str">
            <v>Made Windu Kuntara</v>
          </cell>
          <cell r="D318">
            <v>0.99162011173184361</v>
          </cell>
        </row>
        <row r="319">
          <cell r="C319" t="str">
            <v>Made Windu Kuntara</v>
          </cell>
          <cell r="D319">
            <v>0.95454545454545459</v>
          </cell>
        </row>
        <row r="320">
          <cell r="C320" t="str">
            <v>Made Windu Kuntara</v>
          </cell>
          <cell r="D320">
            <v>1</v>
          </cell>
        </row>
        <row r="321">
          <cell r="D321">
            <v>0</v>
          </cell>
        </row>
        <row r="322">
          <cell r="C322" t="str">
            <v>Jusuf Charles Rumende (PN : 00059432)</v>
          </cell>
          <cell r="D322">
            <v>1</v>
          </cell>
        </row>
        <row r="323">
          <cell r="C323" t="str">
            <v>Jusuf Charles Rumende (PN : 00059432)</v>
          </cell>
          <cell r="D323">
            <v>0.99122807017543857</v>
          </cell>
        </row>
        <row r="324">
          <cell r="C324" t="str">
            <v>Jusuf Charles Rumende (PN : 00059432)</v>
          </cell>
          <cell r="D324">
            <v>0.95652173913043481</v>
          </cell>
        </row>
        <row r="325">
          <cell r="C325" t="str">
            <v>Jusuf Charles Rumende (PN : 00059432)</v>
          </cell>
          <cell r="D325">
            <v>0.99606299212598426</v>
          </cell>
        </row>
        <row r="326">
          <cell r="C326" t="str">
            <v>Jusuf Charles Rumende (PN : 00059432)</v>
          </cell>
          <cell r="D326">
            <v>0.98770491803278693</v>
          </cell>
        </row>
        <row r="327">
          <cell r="C327" t="str">
            <v>Jusuf Charles Rumende (PN : 00059432)</v>
          </cell>
          <cell r="D327">
            <v>0.98717948717948723</v>
          </cell>
        </row>
        <row r="328">
          <cell r="C328" t="str">
            <v>Jusuf Charles Rumende (PN : 00059432)</v>
          </cell>
          <cell r="D328">
            <v>1</v>
          </cell>
        </row>
        <row r="329">
          <cell r="C329" t="str">
            <v>Jusuf Charles Rumende (PN : 00059432)</v>
          </cell>
          <cell r="D329">
            <v>0.9907407407407407</v>
          </cell>
        </row>
        <row r="330">
          <cell r="C330" t="str">
            <v>Jusuf Charles Rumende (PN : 00059432)</v>
          </cell>
          <cell r="D330">
            <v>1</v>
          </cell>
        </row>
        <row r="331">
          <cell r="C331" t="str">
            <v>Jusuf Charles Rumende (PN : 00059432)</v>
          </cell>
          <cell r="D331">
            <v>0.97104677060133626</v>
          </cell>
        </row>
        <row r="332">
          <cell r="C332" t="str">
            <v>Jusuf Charles Rumende (PN : 00059432)</v>
          </cell>
          <cell r="D332">
            <v>1</v>
          </cell>
        </row>
        <row r="333">
          <cell r="C333" t="str">
            <v>Jusuf Charles Rumende (PN : 00059432)</v>
          </cell>
          <cell r="D333">
            <v>1</v>
          </cell>
        </row>
        <row r="334">
          <cell r="C334" t="str">
            <v>Jusuf Charles Rumende (PN : 00059432)</v>
          </cell>
          <cell r="D334">
            <v>0.99180327868852458</v>
          </cell>
        </row>
        <row r="335">
          <cell r="C335" t="str">
            <v>Jusuf Charles Rumende (PN : 00059432)</v>
          </cell>
          <cell r="D335">
            <v>0.98136645962732916</v>
          </cell>
        </row>
        <row r="336">
          <cell r="C336" t="str">
            <v>Jusuf Charles Rumende (PN : 00059432)</v>
          </cell>
          <cell r="D336">
            <v>0.97740112994350281</v>
          </cell>
        </row>
        <row r="337">
          <cell r="C337" t="str">
            <v>Jusuf Charles Rumende (PN : 00059432)</v>
          </cell>
          <cell r="D337">
            <v>1</v>
          </cell>
        </row>
        <row r="338">
          <cell r="C338" t="str">
            <v>Jusuf Charles Rumende (PN : 00059432)</v>
          </cell>
          <cell r="D338">
            <v>0.98373983739837401</v>
          </cell>
        </row>
        <row r="339">
          <cell r="C339" t="str">
            <v>Jusuf Charles Rumende (PN : 00059432)</v>
          </cell>
          <cell r="D339">
            <v>0.99239543726235746</v>
          </cell>
        </row>
        <row r="340">
          <cell r="C340" t="str">
            <v>Jusuf Charles Rumende (PN : 00059432)</v>
          </cell>
          <cell r="D340">
            <v>0.98412698412698407</v>
          </cell>
        </row>
        <row r="341">
          <cell r="C341" t="str">
            <v>Jusuf Charles Rumende (PN : 00059432)</v>
          </cell>
          <cell r="D341">
            <v>1</v>
          </cell>
        </row>
        <row r="342">
          <cell r="D342" t="e">
            <v>#N/A</v>
          </cell>
        </row>
        <row r="343">
          <cell r="C343" t="str">
            <v>Syamsul Arifianto</v>
          </cell>
          <cell r="D343">
            <v>0.9504643962848297</v>
          </cell>
        </row>
        <row r="344">
          <cell r="C344" t="str">
            <v>Syamsul Arifianto</v>
          </cell>
          <cell r="D344">
            <v>0.75151515151515147</v>
          </cell>
        </row>
        <row r="345">
          <cell r="C345" t="str">
            <v>Syamsul Arifianto</v>
          </cell>
          <cell r="D345">
            <v>0.96482412060301503</v>
          </cell>
        </row>
        <row r="346">
          <cell r="C346" t="str">
            <v>Syamsul Arifianto</v>
          </cell>
          <cell r="D346">
            <v>0.95882352941176474</v>
          </cell>
        </row>
        <row r="347">
          <cell r="C347" t="str">
            <v>Syamsul Arifianto</v>
          </cell>
          <cell r="D347">
            <v>0.9889064976228209</v>
          </cell>
        </row>
        <row r="348">
          <cell r="C348" t="str">
            <v>Syamsul Arifianto</v>
          </cell>
          <cell r="D348">
            <v>1</v>
          </cell>
        </row>
        <row r="349">
          <cell r="C349" t="str">
            <v>Syamsul Arifianto</v>
          </cell>
          <cell r="D349">
            <v>0.99344978165938869</v>
          </cell>
        </row>
        <row r="350">
          <cell r="C350" t="str">
            <v>Syamsul Arifianto</v>
          </cell>
          <cell r="D350">
            <v>0.99607843137254903</v>
          </cell>
        </row>
        <row r="351">
          <cell r="C351" t="str">
            <v>Syamsul Arifianto</v>
          </cell>
          <cell r="D351">
            <v>0.96694214876033058</v>
          </cell>
        </row>
        <row r="352">
          <cell r="C352" t="str">
            <v>Syamsul Arifianto</v>
          </cell>
          <cell r="D352">
            <v>1</v>
          </cell>
        </row>
        <row r="353">
          <cell r="C353" t="str">
            <v>Syamsul Arifianto</v>
          </cell>
          <cell r="D353">
            <v>1</v>
          </cell>
        </row>
        <row r="354">
          <cell r="C354" t="str">
            <v>Veronica Dwi Kurniasih</v>
          </cell>
          <cell r="D354">
            <v>1</v>
          </cell>
        </row>
        <row r="355">
          <cell r="C355" t="str">
            <v>Veronica Dwi Kurniasih</v>
          </cell>
          <cell r="D355">
            <v>0.9732142857142857</v>
          </cell>
        </row>
        <row r="356">
          <cell r="C356" t="str">
            <v>Veronica Dwi Kurniasih</v>
          </cell>
          <cell r="D356">
            <v>0.69152542372881354</v>
          </cell>
        </row>
        <row r="357">
          <cell r="C357" t="str">
            <v>Veronica Dwi Kurniasih</v>
          </cell>
          <cell r="D357">
            <v>1</v>
          </cell>
        </row>
        <row r="358">
          <cell r="C358" t="str">
            <v>Veronica Dwi Kurniasih</v>
          </cell>
          <cell r="D358">
            <v>0.99348534201954397</v>
          </cell>
        </row>
        <row r="359">
          <cell r="C359" t="str">
            <v>Veronica Dwi Kurniasih</v>
          </cell>
          <cell r="D359">
            <v>0.97707231040564368</v>
          </cell>
        </row>
        <row r="360">
          <cell r="C360" t="str">
            <v>Veronica Dwi Kurniasih</v>
          </cell>
          <cell r="D360">
            <v>0.96475770925110127</v>
          </cell>
        </row>
        <row r="361">
          <cell r="C361" t="str">
            <v>Veronica Dwi Kurniasih</v>
          </cell>
          <cell r="D361">
            <v>0.99363057324840764</v>
          </cell>
        </row>
        <row r="362">
          <cell r="C362" t="str">
            <v>Veronica Dwi Kurniasih</v>
          </cell>
          <cell r="D362">
            <v>0.99212598425196852</v>
          </cell>
        </row>
        <row r="363">
          <cell r="C363" t="str">
            <v>Veronica Dwi Kurniasih</v>
          </cell>
          <cell r="D363">
            <v>0.99762470308788598</v>
          </cell>
        </row>
        <row r="364">
          <cell r="C364" t="str">
            <v>Veronica Dwi Kurniasih</v>
          </cell>
          <cell r="D364">
            <v>0.69635627530364375</v>
          </cell>
        </row>
        <row r="365">
          <cell r="D365" t="e">
            <v>#N/A</v>
          </cell>
        </row>
        <row r="366">
          <cell r="C366" t="str">
            <v>Asep Kristiono</v>
          </cell>
          <cell r="D366">
            <v>0.99664429530201337</v>
          </cell>
        </row>
        <row r="367">
          <cell r="C367" t="str">
            <v>Asep Kristiono</v>
          </cell>
          <cell r="D367">
            <v>0.99488491048593353</v>
          </cell>
        </row>
        <row r="368">
          <cell r="C368" t="str">
            <v>Asep Kristiono</v>
          </cell>
          <cell r="D368">
            <v>1</v>
          </cell>
        </row>
        <row r="369">
          <cell r="C369" t="str">
            <v>Asep Kristiono</v>
          </cell>
          <cell r="D369">
            <v>1</v>
          </cell>
        </row>
        <row r="370">
          <cell r="C370" t="str">
            <v>Asep Kristiono</v>
          </cell>
          <cell r="D370">
            <v>0.99173553719008267</v>
          </cell>
        </row>
        <row r="371">
          <cell r="C371" t="str">
            <v>Asep Kristiono</v>
          </cell>
          <cell r="D371">
            <v>0.99534883720930234</v>
          </cell>
        </row>
        <row r="372">
          <cell r="C372" t="str">
            <v>Asep Kristiono</v>
          </cell>
          <cell r="D372">
            <v>0.99556541019955658</v>
          </cell>
        </row>
        <row r="373">
          <cell r="C373" t="str">
            <v>Asep Kristiono</v>
          </cell>
          <cell r="D373">
            <v>1</v>
          </cell>
        </row>
        <row r="374">
          <cell r="C374" t="str">
            <v>Asep Kristiono</v>
          </cell>
          <cell r="D374">
            <v>1</v>
          </cell>
        </row>
        <row r="375">
          <cell r="C375" t="str">
            <v>Asep Kristiono</v>
          </cell>
          <cell r="D375">
            <v>1</v>
          </cell>
        </row>
        <row r="376">
          <cell r="C376" t="str">
            <v>Asep Kristiono</v>
          </cell>
          <cell r="D376">
            <v>1</v>
          </cell>
        </row>
        <row r="377">
          <cell r="C377" t="str">
            <v>Dian Septianti</v>
          </cell>
          <cell r="D377">
            <v>1</v>
          </cell>
        </row>
        <row r="378">
          <cell r="C378" t="str">
            <v>Dian Septianti</v>
          </cell>
          <cell r="D378">
            <v>0.99640287769784175</v>
          </cell>
        </row>
        <row r="379">
          <cell r="C379" t="str">
            <v>Dian Septianti</v>
          </cell>
          <cell r="D379">
            <v>1</v>
          </cell>
        </row>
        <row r="380">
          <cell r="C380" t="str">
            <v>Dian Septianti</v>
          </cell>
          <cell r="D380">
            <v>0.9975308641975309</v>
          </cell>
        </row>
        <row r="381">
          <cell r="C381" t="str">
            <v>Dian Septianti</v>
          </cell>
          <cell r="D381">
            <v>1</v>
          </cell>
        </row>
        <row r="382">
          <cell r="C382" t="str">
            <v>Dian Septianti</v>
          </cell>
          <cell r="D382">
            <v>1</v>
          </cell>
        </row>
        <row r="383">
          <cell r="C383" t="str">
            <v>Dian Septianti</v>
          </cell>
          <cell r="D383">
            <v>0.99561403508771928</v>
          </cell>
        </row>
        <row r="384">
          <cell r="C384" t="str">
            <v>Dian Septianti</v>
          </cell>
          <cell r="D384">
            <v>1</v>
          </cell>
        </row>
        <row r="385">
          <cell r="C385" t="str">
            <v>Dian Septianti</v>
          </cell>
          <cell r="D385">
            <v>1</v>
          </cell>
        </row>
        <row r="386">
          <cell r="C386" t="str">
            <v>Dian Septianti</v>
          </cell>
          <cell r="D386">
            <v>0.9956521739130435</v>
          </cell>
        </row>
        <row r="387">
          <cell r="C387" t="str">
            <v>Dian Septianti</v>
          </cell>
          <cell r="D387">
            <v>0.99285714285714288</v>
          </cell>
        </row>
        <row r="388">
          <cell r="C388" t="str">
            <v>Waras Suyitno</v>
          </cell>
          <cell r="D388">
            <v>1</v>
          </cell>
        </row>
        <row r="389">
          <cell r="C389" t="str">
            <v>Waras Suyitno</v>
          </cell>
          <cell r="D389">
            <v>0.99638989169675085</v>
          </cell>
        </row>
        <row r="390">
          <cell r="C390" t="str">
            <v>Waras Suyitno</v>
          </cell>
          <cell r="D390">
            <v>1</v>
          </cell>
        </row>
        <row r="391">
          <cell r="C391" t="str">
            <v>Waras Suyitno</v>
          </cell>
          <cell r="D391">
            <v>1</v>
          </cell>
        </row>
        <row r="392">
          <cell r="C392" t="str">
            <v>Waras Suyitno</v>
          </cell>
          <cell r="D392">
            <v>0.9859154929577465</v>
          </cell>
        </row>
        <row r="393">
          <cell r="C393" t="str">
            <v>Waras Suyitno</v>
          </cell>
          <cell r="D393">
            <v>1</v>
          </cell>
        </row>
        <row r="394">
          <cell r="C394" t="str">
            <v>Waras Suyitno</v>
          </cell>
          <cell r="D394">
            <v>1</v>
          </cell>
        </row>
        <row r="395">
          <cell r="C395" t="str">
            <v>Waras Suyitno</v>
          </cell>
          <cell r="D395">
            <v>1</v>
          </cell>
        </row>
        <row r="396">
          <cell r="C396" t="str">
            <v>Waras Suyitno</v>
          </cell>
          <cell r="D396">
            <v>0.98187311178247738</v>
          </cell>
        </row>
        <row r="397">
          <cell r="C397" t="str">
            <v>Waras Suyitno</v>
          </cell>
          <cell r="D397">
            <v>0.99363057324840764</v>
          </cell>
        </row>
        <row r="398">
          <cell r="C398" t="str">
            <v>Waras Suyitno</v>
          </cell>
          <cell r="D398">
            <v>1</v>
          </cell>
        </row>
        <row r="399">
          <cell r="D399" t="e">
            <v>#N/A</v>
          </cell>
        </row>
        <row r="400">
          <cell r="C400" t="str">
            <v>Moch. Arief Budiman</v>
          </cell>
          <cell r="D400">
            <v>0.97354497354497349</v>
          </cell>
        </row>
        <row r="401">
          <cell r="C401" t="str">
            <v>Moch. Arief Budiman</v>
          </cell>
          <cell r="D401">
            <v>0.89723320158102771</v>
          </cell>
        </row>
        <row r="402">
          <cell r="C402" t="str">
            <v>Moch. Arief Budiman</v>
          </cell>
          <cell r="D402">
            <v>0.99168399168399168</v>
          </cell>
        </row>
        <row r="403">
          <cell r="C403" t="str">
            <v>Moch. Arief Budiman</v>
          </cell>
          <cell r="D403">
            <v>0.97395833333333337</v>
          </cell>
        </row>
        <row r="404">
          <cell r="C404" t="str">
            <v>Moch. Arief Budiman</v>
          </cell>
          <cell r="D404">
            <v>0.99251870324189528</v>
          </cell>
        </row>
        <row r="405">
          <cell r="C405" t="str">
            <v>Moch. Arief Budiman</v>
          </cell>
          <cell r="D405">
            <v>0.93023255813953487</v>
          </cell>
        </row>
        <row r="406">
          <cell r="C406" t="str">
            <v>Moch. Arief Budiman</v>
          </cell>
          <cell r="D406">
            <v>0.90506329113924056</v>
          </cell>
        </row>
        <row r="407">
          <cell r="C407" t="str">
            <v>Moch. Arief Budiman</v>
          </cell>
          <cell r="D407">
            <v>0.90344827586206899</v>
          </cell>
        </row>
        <row r="408">
          <cell r="C408" t="str">
            <v>Rukiyat Prihantoko</v>
          </cell>
          <cell r="D408">
            <v>1</v>
          </cell>
        </row>
        <row r="409">
          <cell r="C409" t="str">
            <v>Rukiyat Prihantoko</v>
          </cell>
          <cell r="D409">
            <v>0.91111111111111109</v>
          </cell>
        </row>
        <row r="410">
          <cell r="C410" t="str">
            <v>Rukiyat Prihantoko</v>
          </cell>
          <cell r="D410">
            <v>0.99644128113879005</v>
          </cell>
        </row>
        <row r="411">
          <cell r="C411" t="str">
            <v>Rukiyat Prihantoko</v>
          </cell>
          <cell r="D411">
            <v>0.89629629629629626</v>
          </cell>
        </row>
        <row r="412">
          <cell r="C412" t="str">
            <v>Rukiyat Prihantoko</v>
          </cell>
          <cell r="D412">
            <v>0.98684210526315785</v>
          </cell>
        </row>
        <row r="413">
          <cell r="C413" t="str">
            <v>Rukiyat Prihantoko</v>
          </cell>
          <cell r="D413">
            <v>0.76978417266187049</v>
          </cell>
        </row>
        <row r="414">
          <cell r="C414" t="str">
            <v>Rukiyat Prihantoko</v>
          </cell>
          <cell r="D414">
            <v>0.94339622641509435</v>
          </cell>
        </row>
        <row r="415">
          <cell r="C415" t="str">
            <v>Rukiyat Prihantoko</v>
          </cell>
          <cell r="D415">
            <v>0.94160583941605835</v>
          </cell>
        </row>
        <row r="416">
          <cell r="C416" t="str">
            <v>Rukiyat Prihantoko</v>
          </cell>
          <cell r="D416">
            <v>0.7407407407407407</v>
          </cell>
        </row>
        <row r="417">
          <cell r="C417" t="str">
            <v>Sutrisno Hadi Pranoto</v>
          </cell>
          <cell r="D417">
            <v>0.95444191343963558</v>
          </cell>
        </row>
        <row r="418">
          <cell r="C418" t="str">
            <v>Sutrisno Hadi Pranoto</v>
          </cell>
          <cell r="D418">
            <v>0.99569892473118282</v>
          </cell>
        </row>
        <row r="419">
          <cell r="C419" t="str">
            <v>Sutrisno Hadi Pranoto</v>
          </cell>
          <cell r="D419">
            <v>0.93220338983050843</v>
          </cell>
        </row>
        <row r="420">
          <cell r="C420" t="str">
            <v>Sutrisno Hadi Pranoto</v>
          </cell>
          <cell r="D420">
            <v>0.97209302325581393</v>
          </cell>
        </row>
        <row r="421">
          <cell r="C421" t="str">
            <v>Sutrisno Hadi Pranoto</v>
          </cell>
          <cell r="D421">
            <v>0.9821428571428571</v>
          </cell>
        </row>
        <row r="422">
          <cell r="C422" t="str">
            <v>Sutrisno Hadi Pranoto</v>
          </cell>
          <cell r="D422">
            <v>1</v>
          </cell>
        </row>
        <row r="423">
          <cell r="C423" t="str">
            <v>Sutrisno Hadi Pranoto</v>
          </cell>
          <cell r="D423">
            <v>0.9322493224932249</v>
          </cell>
        </row>
        <row r="424">
          <cell r="C424" t="str">
            <v>Sutrisno Hadi Pranoto</v>
          </cell>
          <cell r="D424">
            <v>0.80851063829787229</v>
          </cell>
        </row>
        <row r="425">
          <cell r="D425" t="e">
            <v>#N/A</v>
          </cell>
        </row>
        <row r="426">
          <cell r="C426" t="str">
            <v>Bambang Dwi Raharjo</v>
          </cell>
          <cell r="D426">
            <v>0.93377483443708609</v>
          </cell>
        </row>
        <row r="427">
          <cell r="C427" t="str">
            <v>Bambang Dwi Raharjo</v>
          </cell>
          <cell r="D427">
            <v>0.98581560283687941</v>
          </cell>
        </row>
        <row r="428">
          <cell r="C428" t="str">
            <v>Bambang Dwi Raharjo</v>
          </cell>
          <cell r="D428">
            <v>0.99193548387096775</v>
          </cell>
        </row>
        <row r="429">
          <cell r="C429" t="str">
            <v>Bambang Dwi Raharjo</v>
          </cell>
          <cell r="D429">
            <v>0.99628252788104088</v>
          </cell>
        </row>
        <row r="430">
          <cell r="C430" t="str">
            <v>Bambang Dwi Raharjo</v>
          </cell>
          <cell r="D430">
            <v>0.91216216216216217</v>
          </cell>
        </row>
        <row r="431">
          <cell r="C431" t="str">
            <v>Bambang Dwi Raharjo</v>
          </cell>
          <cell r="D431">
            <v>0.75</v>
          </cell>
        </row>
        <row r="432">
          <cell r="C432" t="str">
            <v>Herry Kurniawan</v>
          </cell>
          <cell r="D432">
            <v>0.83762886597938147</v>
          </cell>
        </row>
        <row r="433">
          <cell r="C433" t="str">
            <v>Herry Kurniawan</v>
          </cell>
          <cell r="D433">
            <v>0.7814569536423841</v>
          </cell>
        </row>
        <row r="434">
          <cell r="C434" t="str">
            <v>Herry Kurniawan</v>
          </cell>
          <cell r="D434">
            <v>0.90845070422535212</v>
          </cell>
        </row>
        <row r="435">
          <cell r="C435" t="str">
            <v>Herry Kurniawan</v>
          </cell>
          <cell r="D435">
            <v>0.98198198198198194</v>
          </cell>
        </row>
        <row r="436">
          <cell r="C436" t="str">
            <v>Herry Kurniawan</v>
          </cell>
          <cell r="D436">
            <v>0.51184834123222744</v>
          </cell>
        </row>
        <row r="437">
          <cell r="C437" t="str">
            <v>Herry Kurniawan</v>
          </cell>
          <cell r="D437">
            <v>0.93427230046948362</v>
          </cell>
        </row>
        <row r="438">
          <cell r="C438" t="str">
            <v>Richard Siburian</v>
          </cell>
          <cell r="D438">
            <v>0.9928057553956835</v>
          </cell>
        </row>
        <row r="439">
          <cell r="C439" t="str">
            <v>Richard Siburian</v>
          </cell>
          <cell r="D439">
            <v>0.70476190476190481</v>
          </cell>
        </row>
        <row r="440">
          <cell r="C440" t="str">
            <v>Richard Siburian</v>
          </cell>
          <cell r="D440">
            <v>1</v>
          </cell>
        </row>
        <row r="441">
          <cell r="C441" t="str">
            <v>Richard Siburian</v>
          </cell>
          <cell r="D441">
            <v>0.96031746031746035</v>
          </cell>
        </row>
        <row r="442">
          <cell r="C442" t="str">
            <v>Richard Siburian</v>
          </cell>
          <cell r="D442">
            <v>0.97109826589595372</v>
          </cell>
        </row>
        <row r="443">
          <cell r="C443" t="str">
            <v>Richard Siburian</v>
          </cell>
          <cell r="D443">
            <v>0.97663551401869164</v>
          </cell>
        </row>
        <row r="444">
          <cell r="C444" t="str">
            <v>Zulkarnain</v>
          </cell>
          <cell r="D444">
            <v>0.97530864197530864</v>
          </cell>
        </row>
        <row r="445">
          <cell r="C445" t="str">
            <v>Zulkarnain</v>
          </cell>
          <cell r="D445">
            <v>0.81632653061224492</v>
          </cell>
        </row>
        <row r="446">
          <cell r="C446" t="str">
            <v>Zulkarnain</v>
          </cell>
          <cell r="D446">
            <v>0.68924302788844627</v>
          </cell>
        </row>
        <row r="447">
          <cell r="C447" t="str">
            <v>Zulkarnain</v>
          </cell>
          <cell r="D447">
            <v>0.77692307692307694</v>
          </cell>
        </row>
        <row r="448">
          <cell r="C448" t="str">
            <v>Zulkarnain</v>
          </cell>
          <cell r="D448" t="e">
            <v>#N/A</v>
          </cell>
        </row>
        <row r="449">
          <cell r="C449" t="str">
            <v>Zulkarnain</v>
          </cell>
          <cell r="D449">
            <v>0.99090909090909096</v>
          </cell>
        </row>
        <row r="450">
          <cell r="D450">
            <v>0</v>
          </cell>
        </row>
        <row r="451">
          <cell r="C451" t="str">
            <v>Hany Pratiwi</v>
          </cell>
          <cell r="D451">
            <v>0.984375</v>
          </cell>
        </row>
        <row r="452">
          <cell r="C452" t="str">
            <v>Hany Pratiwi</v>
          </cell>
          <cell r="D452">
            <v>0.99354838709677418</v>
          </cell>
        </row>
        <row r="453">
          <cell r="C453" t="str">
            <v>Hany Pratiwi</v>
          </cell>
          <cell r="D453">
            <v>1</v>
          </cell>
        </row>
        <row r="454">
          <cell r="C454" t="str">
            <v>Hany Pratiwi</v>
          </cell>
          <cell r="D454">
            <v>0.99285714285714288</v>
          </cell>
        </row>
        <row r="455">
          <cell r="C455" t="str">
            <v>Hany Pratiwi</v>
          </cell>
          <cell r="D455">
            <v>0.98429319371727753</v>
          </cell>
        </row>
        <row r="456">
          <cell r="C456" t="str">
            <v>Hany Pratiwi</v>
          </cell>
          <cell r="D456">
            <v>1</v>
          </cell>
        </row>
        <row r="457">
          <cell r="C457" t="str">
            <v>Hany Pratiwi</v>
          </cell>
          <cell r="D457">
            <v>1</v>
          </cell>
        </row>
        <row r="458">
          <cell r="C458" t="str">
            <v>Hany Pratiwi</v>
          </cell>
          <cell r="D458">
            <v>1</v>
          </cell>
        </row>
        <row r="459">
          <cell r="C459" t="str">
            <v>Hany Pratiwi</v>
          </cell>
          <cell r="D459">
            <v>0.98888888888888893</v>
          </cell>
        </row>
        <row r="460">
          <cell r="C460" t="str">
            <v>Hany Pratiwi</v>
          </cell>
          <cell r="D460">
            <v>1</v>
          </cell>
        </row>
        <row r="461">
          <cell r="C461" t="str">
            <v>Hany Pratiwi</v>
          </cell>
          <cell r="D461">
            <v>1</v>
          </cell>
        </row>
        <row r="462">
          <cell r="C462" t="str">
            <v>Reifika Dekrin</v>
          </cell>
          <cell r="D462">
            <v>1</v>
          </cell>
        </row>
        <row r="463">
          <cell r="C463" t="str">
            <v>Reifika Dekrin</v>
          </cell>
          <cell r="D463">
            <v>1</v>
          </cell>
        </row>
        <row r="464">
          <cell r="C464" t="str">
            <v>Reifika Dekrin</v>
          </cell>
          <cell r="D464">
            <v>0.98684210526315785</v>
          </cell>
        </row>
        <row r="465">
          <cell r="C465" t="str">
            <v>Reifika Dekrin</v>
          </cell>
          <cell r="D465">
            <v>1</v>
          </cell>
        </row>
        <row r="466">
          <cell r="C466" t="str">
            <v>Reifika Dekrin</v>
          </cell>
          <cell r="D466">
            <v>1</v>
          </cell>
        </row>
        <row r="467">
          <cell r="C467" t="str">
            <v>Reifika Dekrin</v>
          </cell>
          <cell r="D467">
            <v>0.99411764705882355</v>
          </cell>
        </row>
        <row r="468">
          <cell r="C468" t="str">
            <v>Reifika Dekrin</v>
          </cell>
          <cell r="D468">
            <v>1</v>
          </cell>
        </row>
        <row r="469">
          <cell r="C469" t="str">
            <v>Reifika Dekrin</v>
          </cell>
          <cell r="D469">
            <v>0.99479166666666663</v>
          </cell>
        </row>
        <row r="470">
          <cell r="C470" t="str">
            <v>Reifika Dekrin</v>
          </cell>
          <cell r="D470">
            <v>1</v>
          </cell>
        </row>
        <row r="471">
          <cell r="C471" t="str">
            <v>Reifika Dekrin</v>
          </cell>
          <cell r="D471">
            <v>1</v>
          </cell>
        </row>
        <row r="472">
          <cell r="C472" t="str">
            <v>Reifika Dekrin</v>
          </cell>
          <cell r="D472">
            <v>1</v>
          </cell>
        </row>
      </sheetData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XVOANLUE45FBCKNR3DS4OMOOKZ">
      <xxl21:absoluteUrl r:id="rId2"/>
      <xxl21:relativeUrl r:id="rId3"/>
    </xxl21:alternateUrls>
    <sheetNames>
      <sheetName val="STR-2026-8-2026-8"/>
      <sheetName val="Status Uker"/>
      <sheetName val="%Status Uker"/>
      <sheetName val="Region"/>
    </sheetNames>
    <sheetDataSet>
      <sheetData sheetId="0">
        <row r="1">
          <cell r="A1" t="str">
            <v>POSISI</v>
          </cell>
          <cell r="B1" t="str">
            <v>NAMA</v>
          </cell>
          <cell r="C1" t="str">
            <v>CIF</v>
          </cell>
          <cell r="D1" t="str">
            <v>No Rek/ Kartu Kredit</v>
          </cell>
          <cell r="E1" t="str">
            <v>RESIKO</v>
          </cell>
          <cell r="F1" t="str">
            <v>BRILINK</v>
          </cell>
          <cell r="G1" t="str">
            <v>STATUS PEKERJA</v>
          </cell>
          <cell r="H1" t="str">
            <v>DIGITAL SAVING</v>
          </cell>
          <cell r="I1" t="str">
            <v>SKENARIO</v>
          </cell>
          <cell r="J1" t="str">
            <v>SCORING</v>
          </cell>
          <cell r="K1" t="str">
            <v>INFO PARAM</v>
          </cell>
          <cell r="L1" t="str">
            <v>KATEGORI</v>
          </cell>
          <cell r="M1" t="str">
            <v>UNIT KERJA</v>
          </cell>
          <cell r="N1" t="str">
            <v>KANTOR CABANG</v>
          </cell>
          <cell r="O1" t="str">
            <v>KANTOR KANWIL</v>
          </cell>
          <cell r="P1" t="str">
            <v>REKOMENDASI UKER</v>
          </cell>
          <cell r="Q1" t="str">
            <v>REKOMENDASI UKK</v>
          </cell>
          <cell r="R1" t="str">
            <v>STATUS UKER</v>
          </cell>
          <cell r="S1" t="str">
            <v>STATUS</v>
          </cell>
          <cell r="T1" t="str">
            <v>DISPOSISI</v>
          </cell>
          <cell r="U1" t="str">
            <v>INFO LAINNYA</v>
          </cell>
        </row>
        <row r="2">
          <cell r="A2">
            <v>46265</v>
          </cell>
          <cell r="B2" t="str">
            <v>WAHYU AGUNG SANTOSO</v>
          </cell>
          <cell r="C2">
            <v>0</v>
          </cell>
          <cell r="D2">
            <v>13001001861305</v>
          </cell>
          <cell r="F2" t="str">
            <v>Tidak</v>
          </cell>
          <cell r="G2" t="str">
            <v>Tidak</v>
          </cell>
          <cell r="H2" t="str">
            <v>Tidak</v>
          </cell>
          <cell r="I2" t="str">
            <v>Money Mules</v>
          </cell>
          <cell r="J2">
            <v>29</v>
          </cell>
          <cell r="K2">
            <v>77</v>
          </cell>
          <cell r="L2" t="str">
            <v>Narkotika/Judi Online</v>
          </cell>
          <cell r="M2" t="str">
            <v xml:space="preserve">Kas Kanpus                              </v>
          </cell>
          <cell r="N2" t="str">
            <v xml:space="preserve">Kas Kanpus                              </v>
          </cell>
          <cell r="O2" t="str">
            <v xml:space="preserve">KAS KANPUS                              </v>
          </cell>
          <cell r="R2" t="str">
            <v>Belum TL</v>
          </cell>
          <cell r="S2" t="str">
            <v>Belum TL</v>
          </cell>
          <cell r="T2" t="str">
            <v>00336949 - Mochammad Al Farabi</v>
          </cell>
          <cell r="U2" t="str">
            <v>"-"</v>
          </cell>
        </row>
        <row r="3">
          <cell r="A3">
            <v>46265</v>
          </cell>
          <cell r="B3" t="str">
            <v>PT HUMA INDO KELAPA</v>
          </cell>
          <cell r="C3">
            <v>0</v>
          </cell>
          <cell r="D3">
            <v>2001006461303</v>
          </cell>
          <cell r="F3" t="str">
            <v>Tidak</v>
          </cell>
          <cell r="G3" t="str">
            <v>Tidak</v>
          </cell>
          <cell r="H3" t="str">
            <v>Tidak</v>
          </cell>
          <cell r="I3" t="str">
            <v>Money Mules</v>
          </cell>
          <cell r="J3">
            <v>27</v>
          </cell>
          <cell r="K3">
            <v>77</v>
          </cell>
          <cell r="L3" t="str">
            <v>Narkotika/Judi Online</v>
          </cell>
          <cell r="M3" t="str">
            <v xml:space="preserve">Kas Kanpus                              </v>
          </cell>
          <cell r="N3" t="str">
            <v xml:space="preserve">Kas Kanpus                              </v>
          </cell>
          <cell r="O3" t="str">
            <v xml:space="preserve">KAS KANPUS                              </v>
          </cell>
          <cell r="R3" t="str">
            <v>Belum TL</v>
          </cell>
          <cell r="S3" t="str">
            <v>Belum TL</v>
          </cell>
          <cell r="T3" t="str">
            <v>90186796 - Devito Arya Wiradila</v>
          </cell>
          <cell r="U3" t="str">
            <v>"-"</v>
          </cell>
        </row>
        <row r="4">
          <cell r="A4">
            <v>46265</v>
          </cell>
          <cell r="B4" t="str">
            <v>ANUGERAH KARUNIA MES</v>
          </cell>
          <cell r="C4">
            <v>0</v>
          </cell>
          <cell r="D4">
            <v>211701000328300</v>
          </cell>
          <cell r="F4" t="str">
            <v>Tidak</v>
          </cell>
          <cell r="G4" t="str">
            <v>Tidak</v>
          </cell>
          <cell r="H4" t="str">
            <v>Tidak</v>
          </cell>
          <cell r="I4" t="str">
            <v>Money Mules</v>
          </cell>
          <cell r="J4">
            <v>29</v>
          </cell>
          <cell r="K4">
            <v>77</v>
          </cell>
          <cell r="L4" t="str">
            <v>Narkotika/Judi Online</v>
          </cell>
          <cell r="M4" t="str">
            <v xml:space="preserve">Kas Kanpus                              </v>
          </cell>
          <cell r="N4" t="str">
            <v xml:space="preserve">Kas Kanpus                              </v>
          </cell>
          <cell r="O4" t="str">
            <v xml:space="preserve">KAS KANPUS                              </v>
          </cell>
          <cell r="R4" t="str">
            <v>Belum TL</v>
          </cell>
          <cell r="S4" t="str">
            <v>Belum TL</v>
          </cell>
          <cell r="T4" t="str">
            <v>90171841 - Rifqi Aziz</v>
          </cell>
          <cell r="U4" t="str">
            <v>"-"</v>
          </cell>
        </row>
        <row r="5">
          <cell r="A5">
            <v>46265</v>
          </cell>
          <cell r="B5" t="str">
            <v>KARYA PRIMA VALASIND</v>
          </cell>
          <cell r="C5">
            <v>0</v>
          </cell>
          <cell r="D5">
            <v>211701888222304</v>
          </cell>
          <cell r="F5" t="str">
            <v>Tidak</v>
          </cell>
          <cell r="G5" t="str">
            <v>Tidak</v>
          </cell>
          <cell r="H5" t="str">
            <v>Tidak</v>
          </cell>
          <cell r="I5" t="str">
            <v>Money Mules</v>
          </cell>
          <cell r="J5">
            <v>29</v>
          </cell>
          <cell r="K5">
            <v>77</v>
          </cell>
          <cell r="L5" t="str">
            <v>Narkotika/Judi Online</v>
          </cell>
          <cell r="M5" t="str">
            <v xml:space="preserve">Kas Kanpus                              </v>
          </cell>
          <cell r="N5" t="str">
            <v xml:space="preserve">Kas Kanpus                              </v>
          </cell>
          <cell r="O5" t="str">
            <v xml:space="preserve">KAS KANPUS                              </v>
          </cell>
          <cell r="R5" t="str">
            <v>Belum TL</v>
          </cell>
          <cell r="S5" t="str">
            <v>Belum TL</v>
          </cell>
          <cell r="T5" t="str">
            <v>00336949 - Mochammad Al Farabi</v>
          </cell>
          <cell r="U5" t="str">
            <v>"-"</v>
          </cell>
        </row>
        <row r="6">
          <cell r="A6">
            <v>46265</v>
          </cell>
          <cell r="B6" t="str">
            <v>RONI</v>
          </cell>
          <cell r="C6">
            <v>0</v>
          </cell>
          <cell r="D6">
            <v>2171061105900000</v>
          </cell>
          <cell r="F6" t="str">
            <v>Tidak</v>
          </cell>
          <cell r="G6" t="str">
            <v>Tidak</v>
          </cell>
          <cell r="H6" t="str">
            <v>Tidak</v>
          </cell>
          <cell r="I6" t="str">
            <v>Money Mules</v>
          </cell>
          <cell r="J6">
            <v>27</v>
          </cell>
          <cell r="K6">
            <v>77</v>
          </cell>
          <cell r="L6" t="str">
            <v>Narkotika/Judi Online</v>
          </cell>
          <cell r="M6" t="str">
            <v xml:space="preserve">Kas Kanpus                              </v>
          </cell>
          <cell r="N6" t="str">
            <v xml:space="preserve">Kas Kanpus                              </v>
          </cell>
          <cell r="O6" t="str">
            <v xml:space="preserve">KAS KANPUS                              </v>
          </cell>
          <cell r="R6" t="str">
            <v>Belum TL</v>
          </cell>
          <cell r="S6" t="str">
            <v>Belum TL</v>
          </cell>
          <cell r="T6" t="str">
            <v>90170665 - Mutiara Ayuningtyas</v>
          </cell>
          <cell r="U6" t="str">
            <v>"-"</v>
          </cell>
        </row>
        <row r="7">
          <cell r="A7">
            <v>46265</v>
          </cell>
          <cell r="B7" t="str">
            <v>HATONDUHAN DEARMA SA</v>
          </cell>
          <cell r="C7">
            <v>0</v>
          </cell>
          <cell r="D7">
            <v>28301689689300</v>
          </cell>
          <cell r="F7" t="str">
            <v>Tidak</v>
          </cell>
          <cell r="G7" t="str">
            <v>Tidak</v>
          </cell>
          <cell r="H7" t="str">
            <v>Tidak</v>
          </cell>
          <cell r="I7" t="str">
            <v>Money Mules</v>
          </cell>
          <cell r="J7">
            <v>27</v>
          </cell>
          <cell r="K7">
            <v>77</v>
          </cell>
          <cell r="L7" t="str">
            <v>Narkotika/Judi Online</v>
          </cell>
          <cell r="M7" t="str">
            <v xml:space="preserve">Kas Kanpus                              </v>
          </cell>
          <cell r="N7" t="str">
            <v xml:space="preserve">Kas Kanpus                              </v>
          </cell>
          <cell r="O7" t="str">
            <v xml:space="preserve">KAS KANPUS                              </v>
          </cell>
          <cell r="R7" t="str">
            <v>Belum TL</v>
          </cell>
          <cell r="S7" t="str">
            <v>Belum TL</v>
          </cell>
          <cell r="T7" t="str">
            <v>90186790 - Muhammad Alfin Farha</v>
          </cell>
          <cell r="U7" t="str">
            <v>"-"</v>
          </cell>
        </row>
        <row r="8">
          <cell r="A8">
            <v>46265</v>
          </cell>
          <cell r="B8" t="str">
            <v>SUWARTO</v>
          </cell>
          <cell r="C8">
            <v>0</v>
          </cell>
          <cell r="D8">
            <v>34001130275501</v>
          </cell>
          <cell r="F8" t="str">
            <v>Tidak</v>
          </cell>
          <cell r="G8" t="str">
            <v>Tidak</v>
          </cell>
          <cell r="H8" t="str">
            <v>Tidak</v>
          </cell>
          <cell r="I8" t="str">
            <v>Money Mules</v>
          </cell>
          <cell r="J8">
            <v>27</v>
          </cell>
          <cell r="K8">
            <v>77</v>
          </cell>
          <cell r="L8" t="str">
            <v>Narkotika/Judi Online</v>
          </cell>
          <cell r="M8" t="str">
            <v xml:space="preserve">Kas Kanpus                              </v>
          </cell>
          <cell r="N8" t="str">
            <v xml:space="preserve">Kas Kanpus                              </v>
          </cell>
          <cell r="O8" t="str">
            <v xml:space="preserve">KAS KANPUS                              </v>
          </cell>
          <cell r="R8" t="str">
            <v>Belum TL</v>
          </cell>
          <cell r="S8" t="str">
            <v>Belum TL</v>
          </cell>
          <cell r="T8" t="str">
            <v>90185537 - Moh.Khoerul Fajar Ar</v>
          </cell>
          <cell r="U8" t="str">
            <v>"-"</v>
          </cell>
        </row>
        <row r="9">
          <cell r="A9">
            <v>46265</v>
          </cell>
          <cell r="B9" t="str">
            <v>PT BRINKS SOLUTIONS</v>
          </cell>
          <cell r="C9">
            <v>0</v>
          </cell>
          <cell r="D9">
            <v>36201000290300</v>
          </cell>
          <cell r="F9" t="str">
            <v>Tidak</v>
          </cell>
          <cell r="G9" t="str">
            <v>Tidak</v>
          </cell>
          <cell r="H9" t="str">
            <v>Tidak</v>
          </cell>
          <cell r="I9" t="str">
            <v>Money Mules</v>
          </cell>
          <cell r="J9">
            <v>28</v>
          </cell>
          <cell r="K9">
            <v>77</v>
          </cell>
          <cell r="L9" t="str">
            <v>Narkotika/Judi Online</v>
          </cell>
          <cell r="M9" t="str">
            <v xml:space="preserve">Kas Kanpus                              </v>
          </cell>
          <cell r="N9" t="str">
            <v xml:space="preserve">Kas Kanpus                              </v>
          </cell>
          <cell r="O9" t="str">
            <v xml:space="preserve">KAS KANPUS                              </v>
          </cell>
          <cell r="R9" t="str">
            <v>Belum TL</v>
          </cell>
          <cell r="S9" t="str">
            <v>Belum TL</v>
          </cell>
          <cell r="T9" t="str">
            <v>90186796 - Devito Arya Wiradila</v>
          </cell>
          <cell r="U9" t="str">
            <v>"-"</v>
          </cell>
        </row>
        <row r="10">
          <cell r="A10">
            <v>46265</v>
          </cell>
          <cell r="B10" t="str">
            <v>SAUKI RIDWAN NURSAID</v>
          </cell>
          <cell r="C10">
            <v>0</v>
          </cell>
          <cell r="D10">
            <v>4359720200330900</v>
          </cell>
          <cell r="F10" t="str">
            <v>Tidak</v>
          </cell>
          <cell r="G10" t="str">
            <v>Tidak</v>
          </cell>
          <cell r="H10" t="str">
            <v>Tidak</v>
          </cell>
          <cell r="I10" t="str">
            <v>Penghindaran Pajak (Transaksi Fiktif)/Penyuapan CC</v>
          </cell>
          <cell r="J10">
            <v>30</v>
          </cell>
          <cell r="K10">
            <v>118</v>
          </cell>
          <cell r="L10" t="str">
            <v>Penyuapan / Penghindaran Pajak CC View</v>
          </cell>
          <cell r="M10" t="str">
            <v xml:space="preserve">Kas Kanpus                              </v>
          </cell>
          <cell r="N10" t="str">
            <v xml:space="preserve">Kas Kanpus                              </v>
          </cell>
          <cell r="O10" t="str">
            <v xml:space="preserve">KAS KANPUS                              </v>
          </cell>
          <cell r="R10" t="str">
            <v>Belum TL</v>
          </cell>
          <cell r="S10" t="str">
            <v>Belum TL</v>
          </cell>
          <cell r="T10" t="str">
            <v>00394521 - Muhammad Hibbanduta</v>
          </cell>
          <cell r="U10" t="str">
            <v>"-"</v>
          </cell>
        </row>
        <row r="11">
          <cell r="A11">
            <v>46265</v>
          </cell>
          <cell r="B11" t="str">
            <v>ARSITIARANI</v>
          </cell>
          <cell r="C11">
            <v>0</v>
          </cell>
          <cell r="D11">
            <v>4359720203295300</v>
          </cell>
          <cell r="F11" t="str">
            <v>Tidak</v>
          </cell>
          <cell r="G11" t="str">
            <v>Tidak</v>
          </cell>
          <cell r="H11" t="str">
            <v>Tidak</v>
          </cell>
          <cell r="I11" t="str">
            <v>Penghindaran Pajak (Transaksi Fiktif)/Penyuapan CC</v>
          </cell>
          <cell r="J11">
            <v>30</v>
          </cell>
          <cell r="K11">
            <v>118</v>
          </cell>
          <cell r="L11" t="str">
            <v>Penyuapan / Penghindaran Pajak CC View</v>
          </cell>
          <cell r="M11" t="str">
            <v xml:space="preserve">Kas Kanpus                              </v>
          </cell>
          <cell r="N11" t="str">
            <v xml:space="preserve">Kas Kanpus                              </v>
          </cell>
          <cell r="O11" t="str">
            <v xml:space="preserve">KAS KANPUS                              </v>
          </cell>
          <cell r="R11" t="str">
            <v>Belum TL</v>
          </cell>
          <cell r="S11" t="str">
            <v>Belum TL</v>
          </cell>
          <cell r="T11" t="str">
            <v>90171841 - Rifqi Aziz</v>
          </cell>
          <cell r="U11" t="str">
            <v>"-"</v>
          </cell>
        </row>
        <row r="12">
          <cell r="A12">
            <v>46265</v>
          </cell>
          <cell r="B12" t="str">
            <v>VERA SURYATA</v>
          </cell>
          <cell r="C12">
            <v>0</v>
          </cell>
          <cell r="D12">
            <v>4359720205813100</v>
          </cell>
          <cell r="F12" t="str">
            <v>Tidak</v>
          </cell>
          <cell r="G12" t="str">
            <v>Tidak</v>
          </cell>
          <cell r="H12" t="str">
            <v>Tidak</v>
          </cell>
          <cell r="I12" t="str">
            <v>Penghindaran Pajak (Transaksi Fiktif)/Penyuapan CC</v>
          </cell>
          <cell r="J12">
            <v>30</v>
          </cell>
          <cell r="K12">
            <v>118</v>
          </cell>
          <cell r="L12" t="str">
            <v>Penyuapan / Penghindaran Pajak CC View</v>
          </cell>
          <cell r="M12" t="str">
            <v xml:space="preserve">Kas Kanpus                              </v>
          </cell>
          <cell r="N12" t="str">
            <v xml:space="preserve">Kas Kanpus                              </v>
          </cell>
          <cell r="O12" t="str">
            <v xml:space="preserve">KAS KANPUS                              </v>
          </cell>
          <cell r="R12" t="str">
            <v>Belum TL</v>
          </cell>
          <cell r="S12" t="str">
            <v>Belum TL</v>
          </cell>
          <cell r="T12" t="str">
            <v>90185538 - Muhammad Fahikal Auz</v>
          </cell>
          <cell r="U12" t="str">
            <v>"-"</v>
          </cell>
        </row>
        <row r="13">
          <cell r="A13">
            <v>46265</v>
          </cell>
          <cell r="B13" t="str">
            <v>CANDRA DJOHARSJAH</v>
          </cell>
          <cell r="C13">
            <v>0</v>
          </cell>
          <cell r="D13">
            <v>4359720209487200</v>
          </cell>
          <cell r="F13" t="str">
            <v>Tidak</v>
          </cell>
          <cell r="G13" t="str">
            <v>Tidak</v>
          </cell>
          <cell r="H13" t="str">
            <v>Tidak</v>
          </cell>
          <cell r="I13" t="str">
            <v>Penghindaran Pajak (Transaksi Fiktif)/Penyuapan CC</v>
          </cell>
          <cell r="J13">
            <v>30</v>
          </cell>
          <cell r="K13">
            <v>118</v>
          </cell>
          <cell r="L13" t="str">
            <v>Penyuapan / Penghindaran Pajak CC View</v>
          </cell>
          <cell r="M13" t="str">
            <v xml:space="preserve">Kas Kanpus                              </v>
          </cell>
          <cell r="N13" t="str">
            <v xml:space="preserve">Kas Kanpus                              </v>
          </cell>
          <cell r="O13" t="str">
            <v xml:space="preserve">KAS KANPUS                              </v>
          </cell>
          <cell r="R13" t="str">
            <v>Belum TL</v>
          </cell>
          <cell r="S13" t="str">
            <v>Belum TL</v>
          </cell>
          <cell r="T13" t="str">
            <v>00394521 - Muhammad Hibbanduta</v>
          </cell>
          <cell r="U13" t="str">
            <v>"-"</v>
          </cell>
        </row>
        <row r="14">
          <cell r="A14">
            <v>46265</v>
          </cell>
          <cell r="B14" t="str">
            <v>ZANDER TAN ADITYA</v>
          </cell>
          <cell r="C14">
            <v>0</v>
          </cell>
          <cell r="D14">
            <v>4359720210112100</v>
          </cell>
          <cell r="F14" t="str">
            <v>Tidak</v>
          </cell>
          <cell r="G14" t="str">
            <v>Tidak</v>
          </cell>
          <cell r="H14" t="str">
            <v>Tidak</v>
          </cell>
          <cell r="I14" t="str">
            <v>Penghindaran Pajak (Transaksi Fiktif)/Penyuapan CC</v>
          </cell>
          <cell r="J14">
            <v>30</v>
          </cell>
          <cell r="K14">
            <v>118</v>
          </cell>
          <cell r="L14" t="str">
            <v>Penyuapan / Penghindaran Pajak CC View</v>
          </cell>
          <cell r="M14" t="str">
            <v xml:space="preserve">Kas Kanpus                              </v>
          </cell>
          <cell r="N14" t="str">
            <v xml:space="preserve">Kas Kanpus                              </v>
          </cell>
          <cell r="O14" t="str">
            <v xml:space="preserve">KAS KANPUS                              </v>
          </cell>
          <cell r="R14" t="str">
            <v>Belum TL</v>
          </cell>
          <cell r="S14" t="str">
            <v>Belum TL</v>
          </cell>
          <cell r="T14" t="str">
            <v>90186790 - Muhammad Alfin Farha</v>
          </cell>
          <cell r="U14" t="str">
            <v>"-"</v>
          </cell>
        </row>
        <row r="15">
          <cell r="A15">
            <v>46265</v>
          </cell>
          <cell r="B15" t="str">
            <v>FUNG NJIT TJHAI</v>
          </cell>
          <cell r="C15">
            <v>0</v>
          </cell>
          <cell r="D15">
            <v>4359720210268400</v>
          </cell>
          <cell r="F15" t="str">
            <v>Tidak</v>
          </cell>
          <cell r="G15" t="str">
            <v>Tidak</v>
          </cell>
          <cell r="H15" t="str">
            <v>Tidak</v>
          </cell>
          <cell r="I15" t="str">
            <v>Penghindaran Pajak (Transaksi Fiktif)/Penyuapan CC</v>
          </cell>
          <cell r="J15">
            <v>30</v>
          </cell>
          <cell r="K15">
            <v>118</v>
          </cell>
          <cell r="L15" t="str">
            <v>Penyuapan / Penghindaran Pajak CC View</v>
          </cell>
          <cell r="M15" t="str">
            <v xml:space="preserve">Kas Kanpus                              </v>
          </cell>
          <cell r="N15" t="str">
            <v xml:space="preserve">Kas Kanpus                              </v>
          </cell>
          <cell r="O15" t="str">
            <v xml:space="preserve">KAS KANPUS                              </v>
          </cell>
          <cell r="R15" t="str">
            <v>Belum TL</v>
          </cell>
          <cell r="S15" t="str">
            <v>Belum TL</v>
          </cell>
          <cell r="T15" t="str">
            <v>90186790 - Muhammad Alfin Farha</v>
          </cell>
          <cell r="U15" t="str">
            <v>"-"</v>
          </cell>
        </row>
        <row r="16">
          <cell r="A16">
            <v>46265</v>
          </cell>
          <cell r="B16" t="str">
            <v>RADEN EDWIN SETJODININGRAT</v>
          </cell>
          <cell r="C16">
            <v>0</v>
          </cell>
          <cell r="D16">
            <v>4359720210664700</v>
          </cell>
          <cell r="F16" t="str">
            <v>Tidak</v>
          </cell>
          <cell r="G16" t="str">
            <v>Tidak</v>
          </cell>
          <cell r="H16" t="str">
            <v>Tidak</v>
          </cell>
          <cell r="I16" t="str">
            <v>Penghindaran Pajak (Transaksi Fiktif)/Penyuapan CC</v>
          </cell>
          <cell r="J16">
            <v>30</v>
          </cell>
          <cell r="K16">
            <v>118</v>
          </cell>
          <cell r="L16" t="str">
            <v>Penyuapan / Penghindaran Pajak CC View</v>
          </cell>
          <cell r="M16" t="str">
            <v xml:space="preserve">Kas Kanpus                              </v>
          </cell>
          <cell r="N16" t="str">
            <v xml:space="preserve">Kas Kanpus                              </v>
          </cell>
          <cell r="O16" t="str">
            <v xml:space="preserve">KAS KANPUS                              </v>
          </cell>
          <cell r="R16" t="str">
            <v>Belum TL</v>
          </cell>
          <cell r="S16" t="str">
            <v>Belum TL</v>
          </cell>
          <cell r="T16" t="str">
            <v>90185538 - Muhammad Fahikal Auz</v>
          </cell>
          <cell r="U16" t="str">
            <v>"-"</v>
          </cell>
        </row>
        <row r="17">
          <cell r="A17">
            <v>46265</v>
          </cell>
          <cell r="B17" t="str">
            <v>DANIEL LAWY</v>
          </cell>
          <cell r="C17">
            <v>0</v>
          </cell>
          <cell r="D17">
            <v>4359720211737900</v>
          </cell>
          <cell r="F17" t="str">
            <v>Tidak</v>
          </cell>
          <cell r="G17" t="str">
            <v>Tidak</v>
          </cell>
          <cell r="H17" t="str">
            <v>Tidak</v>
          </cell>
          <cell r="I17" t="str">
            <v>Penghindaran Pajak (Transaksi Fiktif)/Penyuapan CC</v>
          </cell>
          <cell r="J17">
            <v>30</v>
          </cell>
          <cell r="K17">
            <v>118</v>
          </cell>
          <cell r="L17" t="str">
            <v>Penyuapan / Penghindaran Pajak CC View</v>
          </cell>
          <cell r="M17" t="str">
            <v xml:space="preserve">Kas Kanpus                              </v>
          </cell>
          <cell r="N17" t="str">
            <v xml:space="preserve">Kas Kanpus                              </v>
          </cell>
          <cell r="O17" t="str">
            <v xml:space="preserve">KAS KANPUS                              </v>
          </cell>
          <cell r="R17" t="str">
            <v>Belum TL</v>
          </cell>
          <cell r="S17" t="str">
            <v>Belum TL</v>
          </cell>
          <cell r="T17" t="str">
            <v>90150130 - Intan Aida Pratiwi</v>
          </cell>
          <cell r="U17" t="str">
            <v>"-"</v>
          </cell>
        </row>
        <row r="18">
          <cell r="A18">
            <v>46265</v>
          </cell>
          <cell r="B18" t="str">
            <v>KRISTIAN</v>
          </cell>
          <cell r="C18">
            <v>0</v>
          </cell>
          <cell r="D18">
            <v>4359720211787100</v>
          </cell>
          <cell r="F18" t="str">
            <v>Tidak</v>
          </cell>
          <cell r="G18" t="str">
            <v>Tidak</v>
          </cell>
          <cell r="H18" t="str">
            <v>Tidak</v>
          </cell>
          <cell r="I18" t="str">
            <v>Penghindaran Pajak (Transaksi Fiktif)/Penyuapan CC</v>
          </cell>
          <cell r="J18">
            <v>30</v>
          </cell>
          <cell r="K18">
            <v>118</v>
          </cell>
          <cell r="L18" t="str">
            <v>Penyuapan / Penghindaran Pajak CC View</v>
          </cell>
          <cell r="M18" t="str">
            <v xml:space="preserve">Kas Kanpus                              </v>
          </cell>
          <cell r="N18" t="str">
            <v xml:space="preserve">Kas Kanpus                              </v>
          </cell>
          <cell r="O18" t="str">
            <v xml:space="preserve">KAS KANPUS                              </v>
          </cell>
          <cell r="R18" t="str">
            <v>Belum TL</v>
          </cell>
          <cell r="S18" t="str">
            <v>Belum TL</v>
          </cell>
          <cell r="T18" t="str">
            <v>90185537 - Moh.Khoerul Fajar Ar</v>
          </cell>
          <cell r="U18" t="str">
            <v>"-"</v>
          </cell>
        </row>
        <row r="19">
          <cell r="A19">
            <v>46265</v>
          </cell>
          <cell r="B19" t="str">
            <v>ROSIAH ROSIAH</v>
          </cell>
          <cell r="C19">
            <v>0</v>
          </cell>
          <cell r="D19">
            <v>4359720214983200</v>
          </cell>
          <cell r="F19" t="str">
            <v>Tidak</v>
          </cell>
          <cell r="G19" t="str">
            <v>Tidak</v>
          </cell>
          <cell r="H19" t="str">
            <v>Tidak</v>
          </cell>
          <cell r="I19" t="str">
            <v>Penghindaran Pajak (Transaksi Fiktif)/Penyuapan CC</v>
          </cell>
          <cell r="J19">
            <v>30</v>
          </cell>
          <cell r="K19">
            <v>118</v>
          </cell>
          <cell r="L19" t="str">
            <v>Penyuapan / Penghindaran Pajak CC View</v>
          </cell>
          <cell r="M19" t="str">
            <v xml:space="preserve">Kas Kanpus                              </v>
          </cell>
          <cell r="N19" t="str">
            <v xml:space="preserve">Kas Kanpus                              </v>
          </cell>
          <cell r="O19" t="str">
            <v xml:space="preserve">KAS KANPUS                              </v>
          </cell>
          <cell r="R19" t="str">
            <v>Belum TL</v>
          </cell>
          <cell r="S19" t="str">
            <v>Belum TL</v>
          </cell>
          <cell r="T19" t="str">
            <v>90170665 - Mutiara Ayuningtyas</v>
          </cell>
          <cell r="U19" t="str">
            <v>"-"</v>
          </cell>
        </row>
        <row r="20">
          <cell r="A20">
            <v>46265</v>
          </cell>
          <cell r="B20" t="str">
            <v>IRWAN TENG</v>
          </cell>
          <cell r="C20">
            <v>0</v>
          </cell>
          <cell r="D20">
            <v>4359720215216700</v>
          </cell>
          <cell r="F20" t="str">
            <v>Tidak</v>
          </cell>
          <cell r="G20" t="str">
            <v>Tidak</v>
          </cell>
          <cell r="H20" t="str">
            <v>Tidak</v>
          </cell>
          <cell r="I20" t="str">
            <v>Penghindaran Pajak (Transaksi Fiktif)/Penyuapan CC</v>
          </cell>
          <cell r="J20">
            <v>30</v>
          </cell>
          <cell r="K20">
            <v>118</v>
          </cell>
          <cell r="L20" t="str">
            <v>Penyuapan / Penghindaran Pajak CC View</v>
          </cell>
          <cell r="M20" t="str">
            <v xml:space="preserve">Kas Kanpus                              </v>
          </cell>
          <cell r="N20" t="str">
            <v xml:space="preserve">Kas Kanpus                              </v>
          </cell>
          <cell r="O20" t="str">
            <v xml:space="preserve">KAS KANPUS                              </v>
          </cell>
          <cell r="R20" t="str">
            <v>Belum TL</v>
          </cell>
          <cell r="S20" t="str">
            <v>Belum TL</v>
          </cell>
          <cell r="T20" t="str">
            <v>90171841 - Rifqi Aziz</v>
          </cell>
          <cell r="U20" t="str">
            <v>"-"</v>
          </cell>
        </row>
        <row r="21">
          <cell r="A21">
            <v>46265</v>
          </cell>
          <cell r="B21" t="str">
            <v>ANDIKA SETIA BUDI</v>
          </cell>
          <cell r="C21">
            <v>0</v>
          </cell>
          <cell r="D21">
            <v>4359720219271200</v>
          </cell>
          <cell r="F21" t="str">
            <v>Tidak</v>
          </cell>
          <cell r="G21" t="str">
            <v>Tidak</v>
          </cell>
          <cell r="H21" t="str">
            <v>Tidak</v>
          </cell>
          <cell r="I21" t="str">
            <v>Penghindaran Pajak (Transaksi Fiktif)/Penyuapan CC</v>
          </cell>
          <cell r="J21">
            <v>30</v>
          </cell>
          <cell r="K21">
            <v>118</v>
          </cell>
          <cell r="L21" t="str">
            <v>Penyuapan / Penghindaran Pajak CC View</v>
          </cell>
          <cell r="M21" t="str">
            <v xml:space="preserve">Kas Kanpus                              </v>
          </cell>
          <cell r="N21" t="str">
            <v xml:space="preserve">Kas Kanpus                              </v>
          </cell>
          <cell r="O21" t="str">
            <v xml:space="preserve">KAS KANPUS                              </v>
          </cell>
          <cell r="R21" t="str">
            <v>Belum TL</v>
          </cell>
          <cell r="S21" t="str">
            <v>Belum TL</v>
          </cell>
          <cell r="T21" t="str">
            <v>90150130 - Intan Aida Pratiwi</v>
          </cell>
          <cell r="U21" t="str">
            <v>"-"</v>
          </cell>
        </row>
        <row r="22">
          <cell r="A22">
            <v>46265</v>
          </cell>
          <cell r="B22" t="str">
            <v>GRACE ANGSONO</v>
          </cell>
          <cell r="C22">
            <v>0</v>
          </cell>
          <cell r="D22">
            <v>4359720233312500</v>
          </cell>
          <cell r="F22" t="str">
            <v>Tidak</v>
          </cell>
          <cell r="G22" t="str">
            <v>Tidak</v>
          </cell>
          <cell r="H22" t="str">
            <v>Tidak</v>
          </cell>
          <cell r="I22" t="str">
            <v>Penghindaran Pajak (Transaksi Fiktif)/Penyuapan CC</v>
          </cell>
          <cell r="J22">
            <v>30</v>
          </cell>
          <cell r="K22">
            <v>118</v>
          </cell>
          <cell r="L22" t="str">
            <v>Penyuapan / Penghindaran Pajak CC View</v>
          </cell>
          <cell r="M22" t="str">
            <v xml:space="preserve">Kas Kanpus                              </v>
          </cell>
          <cell r="N22" t="str">
            <v xml:space="preserve">Kas Kanpus                              </v>
          </cell>
          <cell r="O22" t="str">
            <v xml:space="preserve">KAS KANPUS                              </v>
          </cell>
          <cell r="R22" t="str">
            <v>Belum TL</v>
          </cell>
          <cell r="S22" t="str">
            <v>Belum TL</v>
          </cell>
          <cell r="T22" t="str">
            <v>00394520 - Frida Akbar Rani</v>
          </cell>
          <cell r="U22" t="str">
            <v>"-"</v>
          </cell>
        </row>
        <row r="23">
          <cell r="A23">
            <v>46265</v>
          </cell>
          <cell r="B23" t="str">
            <v>MARLINAH</v>
          </cell>
          <cell r="C23">
            <v>0</v>
          </cell>
          <cell r="D23">
            <v>4359720233566900</v>
          </cell>
          <cell r="F23" t="str">
            <v>Tidak</v>
          </cell>
          <cell r="G23" t="str">
            <v>Tidak</v>
          </cell>
          <cell r="H23" t="str">
            <v>Tidak</v>
          </cell>
          <cell r="I23" t="str">
            <v>Penghindaran Pajak (Transaksi Fiktif)/Penyuapan CC</v>
          </cell>
          <cell r="J23">
            <v>30</v>
          </cell>
          <cell r="K23">
            <v>118</v>
          </cell>
          <cell r="L23" t="str">
            <v>Penyuapan / Penghindaran Pajak CC View</v>
          </cell>
          <cell r="M23" t="str">
            <v xml:space="preserve">Kas Kanpus                              </v>
          </cell>
          <cell r="N23" t="str">
            <v xml:space="preserve">Kas Kanpus                              </v>
          </cell>
          <cell r="O23" t="str">
            <v xml:space="preserve">KAS KANPUS                              </v>
          </cell>
          <cell r="R23" t="str">
            <v>Belum TL</v>
          </cell>
          <cell r="S23" t="str">
            <v>Belum TL</v>
          </cell>
          <cell r="T23" t="str">
            <v>90170665 - Mutiara Ayuningtyas</v>
          </cell>
          <cell r="U23" t="str">
            <v>"-"</v>
          </cell>
        </row>
        <row r="24">
          <cell r="A24">
            <v>46265</v>
          </cell>
          <cell r="B24" t="str">
            <v>PANDU WIHARTO</v>
          </cell>
          <cell r="C24">
            <v>0</v>
          </cell>
          <cell r="D24">
            <v>4359720234416800</v>
          </cell>
          <cell r="F24" t="str">
            <v>Tidak</v>
          </cell>
          <cell r="G24" t="str">
            <v>Tidak</v>
          </cell>
          <cell r="H24" t="str">
            <v>Tidak</v>
          </cell>
          <cell r="I24" t="str">
            <v>Penghindaran Pajak (Transaksi Fiktif)/Penyuapan CC</v>
          </cell>
          <cell r="J24">
            <v>30</v>
          </cell>
          <cell r="K24">
            <v>118</v>
          </cell>
          <cell r="L24" t="str">
            <v>Penyuapan / Penghindaran Pajak CC View</v>
          </cell>
          <cell r="M24" t="str">
            <v xml:space="preserve">Kas Kanpus                              </v>
          </cell>
          <cell r="N24" t="str">
            <v xml:space="preserve">Kas Kanpus                              </v>
          </cell>
          <cell r="O24" t="str">
            <v xml:space="preserve">KAS KANPUS                              </v>
          </cell>
          <cell r="R24" t="str">
            <v>Belum TL</v>
          </cell>
          <cell r="S24" t="str">
            <v>Belum TL</v>
          </cell>
          <cell r="T24" t="str">
            <v>90171841 - Rifqi Aziz</v>
          </cell>
          <cell r="U24" t="str">
            <v>"-"</v>
          </cell>
        </row>
        <row r="25">
          <cell r="A25">
            <v>46265</v>
          </cell>
          <cell r="B25" t="str">
            <v>MOCH</v>
          </cell>
          <cell r="C25">
            <v>0</v>
          </cell>
          <cell r="D25">
            <v>4359720281822300</v>
          </cell>
          <cell r="F25" t="str">
            <v>Tidak</v>
          </cell>
          <cell r="G25" t="str">
            <v>Tidak</v>
          </cell>
          <cell r="H25" t="str">
            <v>Tidak</v>
          </cell>
          <cell r="I25" t="str">
            <v>Anomali Transaksi Kartu Kredit</v>
          </cell>
          <cell r="J25">
            <v>30</v>
          </cell>
          <cell r="K25">
            <v>117</v>
          </cell>
          <cell r="L25" t="str">
            <v>Anomali Transaksi Kartu Kredit</v>
          </cell>
          <cell r="M25" t="str">
            <v xml:space="preserve">Kas Kanpus                              </v>
          </cell>
          <cell r="N25" t="str">
            <v xml:space="preserve">Kas Kanpus                              </v>
          </cell>
          <cell r="O25" t="str">
            <v xml:space="preserve">KAS KANPUS                              </v>
          </cell>
          <cell r="R25" t="str">
            <v>Belum TL</v>
          </cell>
          <cell r="S25" t="str">
            <v>Belum TL</v>
          </cell>
          <cell r="T25" t="str">
            <v>90185538 - Muhammad Fahikal Auz</v>
          </cell>
          <cell r="U25" t="str">
            <v>"-"</v>
          </cell>
        </row>
        <row r="26">
          <cell r="A26">
            <v>46265</v>
          </cell>
          <cell r="B26" t="str">
            <v>MOCH ROFIUDDIN</v>
          </cell>
          <cell r="C26">
            <v>0</v>
          </cell>
          <cell r="D26">
            <v>4359720281822300</v>
          </cell>
          <cell r="F26" t="str">
            <v>Tidak</v>
          </cell>
          <cell r="G26" t="str">
            <v>Tidak</v>
          </cell>
          <cell r="H26" t="str">
            <v>Tidak</v>
          </cell>
          <cell r="I26" t="str">
            <v>Penghindaran Pajak (Transaksi Fiktif)/Penyuapan CC</v>
          </cell>
          <cell r="J26">
            <v>30</v>
          </cell>
          <cell r="K26">
            <v>118</v>
          </cell>
          <cell r="L26" t="str">
            <v>Penyuapan / Penghindaran Pajak CC View</v>
          </cell>
          <cell r="M26" t="str">
            <v xml:space="preserve">Kas Kanpus                              </v>
          </cell>
          <cell r="N26" t="str">
            <v xml:space="preserve">Kas Kanpus                              </v>
          </cell>
          <cell r="O26" t="str">
            <v xml:space="preserve">KAS KANPUS                              </v>
          </cell>
          <cell r="R26" t="str">
            <v>Belum TL</v>
          </cell>
          <cell r="S26" t="str">
            <v>Belum TL</v>
          </cell>
          <cell r="T26" t="str">
            <v>90185538 - Muhammad Fahikal Auz</v>
          </cell>
          <cell r="U26" t="str">
            <v>"-"</v>
          </cell>
        </row>
        <row r="27">
          <cell r="A27">
            <v>46265</v>
          </cell>
          <cell r="B27" t="str">
            <v>SJARIFUDDIN TEH</v>
          </cell>
          <cell r="C27">
            <v>0</v>
          </cell>
          <cell r="D27">
            <v>4359720282392700</v>
          </cell>
          <cell r="F27" t="str">
            <v>Tidak</v>
          </cell>
          <cell r="G27" t="str">
            <v>Tidak</v>
          </cell>
          <cell r="H27" t="str">
            <v>Tidak</v>
          </cell>
          <cell r="I27" t="str">
            <v>Penghindaran Pajak (Transaksi Fiktif)/Penyuapan CC</v>
          </cell>
          <cell r="J27">
            <v>30</v>
          </cell>
          <cell r="K27">
            <v>118</v>
          </cell>
          <cell r="L27" t="str">
            <v>Penyuapan / Penghindaran Pajak CC View</v>
          </cell>
          <cell r="M27" t="str">
            <v xml:space="preserve">Kas Kanpus                              </v>
          </cell>
          <cell r="N27" t="str">
            <v xml:space="preserve">Kas Kanpus                              </v>
          </cell>
          <cell r="O27" t="str">
            <v xml:space="preserve">KAS KANPUS                              </v>
          </cell>
          <cell r="R27" t="str">
            <v>Belum TL</v>
          </cell>
          <cell r="S27" t="str">
            <v>Belum TL</v>
          </cell>
          <cell r="T27" t="str">
            <v>90185537 - Moh.Khoerul Fajar Ar</v>
          </cell>
          <cell r="U27" t="str">
            <v>"-"</v>
          </cell>
        </row>
        <row r="28">
          <cell r="A28">
            <v>46265</v>
          </cell>
          <cell r="B28" t="str">
            <v>CENTRAL REZEKI AGRIN</v>
          </cell>
          <cell r="C28">
            <v>0</v>
          </cell>
          <cell r="D28">
            <v>5301003821301</v>
          </cell>
          <cell r="F28" t="str">
            <v>Tidak</v>
          </cell>
          <cell r="G28" t="str">
            <v>Tidak</v>
          </cell>
          <cell r="H28" t="str">
            <v>Tidak</v>
          </cell>
          <cell r="I28" t="str">
            <v>Money Mules</v>
          </cell>
          <cell r="J28">
            <v>29</v>
          </cell>
          <cell r="K28">
            <v>77</v>
          </cell>
          <cell r="L28" t="str">
            <v>Narkotika/Judi Online</v>
          </cell>
          <cell r="M28" t="str">
            <v xml:space="preserve">Kas Kanpus                              </v>
          </cell>
          <cell r="N28" t="str">
            <v xml:space="preserve">Kas Kanpus                              </v>
          </cell>
          <cell r="O28" t="str">
            <v xml:space="preserve">KAS KANPUS                              </v>
          </cell>
          <cell r="R28" t="str">
            <v>Belum TL</v>
          </cell>
          <cell r="S28" t="str">
            <v>Belum TL</v>
          </cell>
          <cell r="T28" t="str">
            <v>90185537 - Moh.Khoerul Fajar Ar</v>
          </cell>
          <cell r="U28" t="str">
            <v>"-"</v>
          </cell>
        </row>
        <row r="29">
          <cell r="A29">
            <v>46265</v>
          </cell>
          <cell r="B29" t="str">
            <v>SAMA SAMA ROOFMART</v>
          </cell>
          <cell r="C29">
            <v>0</v>
          </cell>
          <cell r="D29">
            <v>62301000666303</v>
          </cell>
          <cell r="F29" t="str">
            <v>Tidak</v>
          </cell>
          <cell r="G29" t="str">
            <v>Tidak</v>
          </cell>
          <cell r="H29" t="str">
            <v>Tidak</v>
          </cell>
          <cell r="I29" t="str">
            <v>Money Mules</v>
          </cell>
          <cell r="J29">
            <v>29</v>
          </cell>
          <cell r="K29">
            <v>77</v>
          </cell>
          <cell r="L29" t="str">
            <v>Narkotika/Judi Online</v>
          </cell>
          <cell r="M29" t="str">
            <v xml:space="preserve">Kas Kanpus                              </v>
          </cell>
          <cell r="N29" t="str">
            <v xml:space="preserve">Kas Kanpus                              </v>
          </cell>
          <cell r="O29" t="str">
            <v xml:space="preserve">KAS KANPUS                              </v>
          </cell>
          <cell r="R29" t="str">
            <v>Belum TL</v>
          </cell>
          <cell r="S29" t="str">
            <v>Belum TL</v>
          </cell>
          <cell r="T29" t="str">
            <v>90185538 - Muhammad Fahikal Auz</v>
          </cell>
          <cell r="U29" t="str">
            <v>"-"</v>
          </cell>
        </row>
        <row r="30">
          <cell r="A30">
            <v>46265</v>
          </cell>
          <cell r="B30" t="str">
            <v>HANSEN</v>
          </cell>
          <cell r="C30">
            <v>0</v>
          </cell>
          <cell r="D30">
            <v>69601059321505</v>
          </cell>
          <cell r="F30" t="str">
            <v>Tidak</v>
          </cell>
          <cell r="G30" t="str">
            <v>Tidak</v>
          </cell>
          <cell r="H30" t="str">
            <v>Tidak</v>
          </cell>
          <cell r="I30" t="str">
            <v>Money Mules</v>
          </cell>
          <cell r="J30">
            <v>27</v>
          </cell>
          <cell r="K30">
            <v>77</v>
          </cell>
          <cell r="L30" t="str">
            <v>Narkotika/Judi Online</v>
          </cell>
          <cell r="M30" t="str">
            <v xml:space="preserve">Kas Kanpus                              </v>
          </cell>
          <cell r="N30" t="str">
            <v xml:space="preserve">Kas Kanpus                              </v>
          </cell>
          <cell r="O30" t="str">
            <v xml:space="preserve">KAS KANPUS                              </v>
          </cell>
          <cell r="R30" t="str">
            <v>Belum TL</v>
          </cell>
          <cell r="S30" t="str">
            <v>Belum TL</v>
          </cell>
          <cell r="T30" t="str">
            <v>90186790 - Muhammad Alfin Farha</v>
          </cell>
          <cell r="U30" t="str">
            <v>"-"</v>
          </cell>
        </row>
        <row r="31">
          <cell r="A31">
            <v>46265</v>
          </cell>
          <cell r="B31" t="str">
            <v>BPR BINA SEJAHTERA I</v>
          </cell>
          <cell r="C31">
            <v>0</v>
          </cell>
          <cell r="D31">
            <v>9701000664300</v>
          </cell>
          <cell r="F31" t="str">
            <v>Tidak</v>
          </cell>
          <cell r="G31" t="str">
            <v>Tidak</v>
          </cell>
          <cell r="H31" t="str">
            <v>Tidak</v>
          </cell>
          <cell r="I31" t="str">
            <v>Money Mules</v>
          </cell>
          <cell r="J31">
            <v>29</v>
          </cell>
          <cell r="K31">
            <v>77</v>
          </cell>
          <cell r="L31" t="str">
            <v>Narkotika/Judi Online</v>
          </cell>
          <cell r="M31" t="str">
            <v xml:space="preserve">Kas Kanpus                              </v>
          </cell>
          <cell r="N31" t="str">
            <v xml:space="preserve">Kas Kanpus                              </v>
          </cell>
          <cell r="O31" t="str">
            <v xml:space="preserve">KAS KANPUS                              </v>
          </cell>
          <cell r="R31" t="str">
            <v>Belum TL</v>
          </cell>
          <cell r="S31" t="str">
            <v>Belum TL</v>
          </cell>
          <cell r="T31" t="str">
            <v>00394521 - Muhammad Hibbanduta</v>
          </cell>
          <cell r="U31" t="str">
            <v>"-"</v>
          </cell>
        </row>
        <row r="32">
          <cell r="A32">
            <v>46265</v>
          </cell>
          <cell r="B32" t="str">
            <v xml:space="preserve">ANDRES PANDJI ERAWAN                    </v>
          </cell>
          <cell r="C32" t="str">
            <v>A002350</v>
          </cell>
          <cell r="D32">
            <v>53801028423506</v>
          </cell>
          <cell r="E32" t="str">
            <v>TINGGI</v>
          </cell>
          <cell r="F32" t="str">
            <v>Tidak</v>
          </cell>
          <cell r="G32" t="str">
            <v>Tidak</v>
          </cell>
          <cell r="H32" t="str">
            <v>Tidak</v>
          </cell>
          <cell r="I32" t="str">
            <v>Korupsi - Significant Trx View</v>
          </cell>
          <cell r="J32">
            <v>83</v>
          </cell>
          <cell r="K32">
            <v>1.19</v>
          </cell>
          <cell r="L32" t="str">
            <v>Korupsi</v>
          </cell>
          <cell r="M32" t="str">
            <v>Kas Kanpus</v>
          </cell>
          <cell r="N32" t="str">
            <v>Kas Kanpus</v>
          </cell>
          <cell r="O32" t="str">
            <v>KAS KANPUS</v>
          </cell>
          <cell r="R32" t="str">
            <v>Belum TL</v>
          </cell>
          <cell r="S32" t="str">
            <v>Belum TL</v>
          </cell>
          <cell r="T32" t="str">
            <v>00394520 - Frida Akbar Rani</v>
          </cell>
          <cell r="U32" t="str">
            <v>"-"</v>
          </cell>
        </row>
        <row r="33">
          <cell r="A33">
            <v>46265</v>
          </cell>
          <cell r="B33" t="str">
            <v xml:space="preserve">ADIPUTRO WIRASEJATI PT.                 </v>
          </cell>
          <cell r="C33" t="str">
            <v>A274622</v>
          </cell>
          <cell r="D33">
            <v>5101005001569</v>
          </cell>
          <cell r="E33" t="str">
            <v>SEDANG</v>
          </cell>
          <cell r="F33" t="str">
            <v>Tidak</v>
          </cell>
          <cell r="G33" t="str">
            <v>Tidak</v>
          </cell>
          <cell r="H33" t="str">
            <v>Tidak</v>
          </cell>
          <cell r="I33" t="str">
            <v>Perpajakan</v>
          </cell>
          <cell r="J33">
            <v>48</v>
          </cell>
          <cell r="K33">
            <v>1.33</v>
          </cell>
          <cell r="L33" t="str">
            <v>Perpajakan</v>
          </cell>
          <cell r="M33" t="str">
            <v xml:space="preserve">KC Malang Kawi                          </v>
          </cell>
          <cell r="N33" t="str">
            <v xml:space="preserve">KC Malang Kawi                          </v>
          </cell>
          <cell r="O33" t="str">
            <v xml:space="preserve">KANWIL MALANG                           </v>
          </cell>
          <cell r="R33" t="str">
            <v>Belum TL</v>
          </cell>
          <cell r="S33" t="str">
            <v>Belum TL</v>
          </cell>
          <cell r="T33" t="str">
            <v>00336949 - Mochammad Al Farabi</v>
          </cell>
          <cell r="U33" t="str">
            <v>"-"</v>
          </cell>
        </row>
        <row r="34">
          <cell r="A34">
            <v>46265</v>
          </cell>
          <cell r="B34" t="str">
            <v xml:space="preserve">ACHIRUDIN                               </v>
          </cell>
          <cell r="C34" t="str">
            <v>A284033</v>
          </cell>
          <cell r="D34">
            <v>20601371465109</v>
          </cell>
          <cell r="E34" t="str">
            <v>SEDANG</v>
          </cell>
          <cell r="F34" t="str">
            <v>Tidak</v>
          </cell>
          <cell r="G34" t="str">
            <v>Ya</v>
          </cell>
          <cell r="H34" t="str">
            <v>Tidak</v>
          </cell>
          <cell r="I34" t="str">
            <v>Korupsi - Loan View</v>
          </cell>
          <cell r="J34">
            <v>68</v>
          </cell>
          <cell r="K34">
            <v>15</v>
          </cell>
          <cell r="L34" t="str">
            <v>Korupsi</v>
          </cell>
          <cell r="M34" t="str">
            <v>Kas Kanpus</v>
          </cell>
          <cell r="N34" t="str">
            <v>Kas Kanpus</v>
          </cell>
          <cell r="O34" t="str">
            <v>KAS KANPUS</v>
          </cell>
          <cell r="R34" t="str">
            <v>Belum TL</v>
          </cell>
          <cell r="S34" t="str">
            <v>Belum TL</v>
          </cell>
          <cell r="T34" t="str">
            <v>90185537 - Moh.Khoerul Fajar Ar</v>
          </cell>
          <cell r="U34" t="str">
            <v>"-"</v>
          </cell>
        </row>
        <row r="35">
          <cell r="A35">
            <v>46265</v>
          </cell>
          <cell r="B35" t="str">
            <v xml:space="preserve">AMAM SUKRIYANTO                         </v>
          </cell>
          <cell r="C35" t="str">
            <v>A564673</v>
          </cell>
          <cell r="D35">
            <v>5326599000010510</v>
          </cell>
          <cell r="E35" t="str">
            <v>TINGGI</v>
          </cell>
          <cell r="F35" t="str">
            <v>Tidak</v>
          </cell>
          <cell r="G35" t="str">
            <v>Ya</v>
          </cell>
          <cell r="H35" t="str">
            <v>Tidak</v>
          </cell>
          <cell r="I35" t="str">
            <v>Private or Priority Customer Investment</v>
          </cell>
          <cell r="J35">
            <v>93</v>
          </cell>
          <cell r="K35">
            <v>93</v>
          </cell>
          <cell r="L35" t="str">
            <v>Pasar Modal</v>
          </cell>
          <cell r="M35" t="str">
            <v xml:space="preserve">Jkt KCK                                 </v>
          </cell>
          <cell r="N35" t="str">
            <v xml:space="preserve">Jkt KCK                                 </v>
          </cell>
          <cell r="O35" t="str">
            <v xml:space="preserve">DKI                                     </v>
          </cell>
          <cell r="R35" t="str">
            <v>Belum TL</v>
          </cell>
          <cell r="S35" t="str">
            <v>Belum TL</v>
          </cell>
          <cell r="T35" t="str">
            <v>00336949 - Mochammad Al Farabi</v>
          </cell>
          <cell r="U35" t="str">
            <v>"-"</v>
          </cell>
        </row>
        <row r="36">
          <cell r="A36">
            <v>46265</v>
          </cell>
          <cell r="B36" t="str">
            <v xml:space="preserve">ANDI FATMAWATI                          </v>
          </cell>
          <cell r="C36" t="str">
            <v>A844550</v>
          </cell>
          <cell r="D36">
            <v>22101018880103</v>
          </cell>
          <cell r="E36" t="str">
            <v>SEDANG</v>
          </cell>
          <cell r="F36" t="str">
            <v>Tidak</v>
          </cell>
          <cell r="G36" t="str">
            <v>Tidak</v>
          </cell>
          <cell r="H36" t="str">
            <v>Tidak</v>
          </cell>
          <cell r="I36" t="str">
            <v>Korupsi - Loan View</v>
          </cell>
          <cell r="J36">
            <v>48</v>
          </cell>
          <cell r="K36">
            <v>15</v>
          </cell>
          <cell r="L36" t="str">
            <v>Korupsi</v>
          </cell>
          <cell r="M36" t="str">
            <v>Kas Kanpus</v>
          </cell>
          <cell r="N36" t="str">
            <v>Kas Kanpus</v>
          </cell>
          <cell r="O36" t="str">
            <v>KAS KANPUS</v>
          </cell>
          <cell r="R36" t="str">
            <v>Belum TL</v>
          </cell>
          <cell r="S36" t="str">
            <v>Belum TL</v>
          </cell>
          <cell r="T36" t="str">
            <v>90170665 - Mutiara Ayuningtyas</v>
          </cell>
          <cell r="U36" t="str">
            <v>"-"</v>
          </cell>
        </row>
        <row r="37">
          <cell r="A37">
            <v>46265</v>
          </cell>
          <cell r="B37" t="str">
            <v xml:space="preserve">ASMINI TAMALU                           </v>
          </cell>
          <cell r="C37" t="str">
            <v>A992023</v>
          </cell>
          <cell r="D37">
            <v>22701025146104</v>
          </cell>
          <cell r="E37" t="str">
            <v>RENDAH</v>
          </cell>
          <cell r="F37" t="str">
            <v>Tidak</v>
          </cell>
          <cell r="G37" t="str">
            <v>Tidak</v>
          </cell>
          <cell r="H37" t="str">
            <v>Tidak</v>
          </cell>
          <cell r="I37" t="str">
            <v>Korupsi - Loan View</v>
          </cell>
          <cell r="J37">
            <v>33</v>
          </cell>
          <cell r="K37">
            <v>15</v>
          </cell>
          <cell r="L37" t="str">
            <v>Korupsi</v>
          </cell>
          <cell r="M37" t="str">
            <v>Kas Kanpus</v>
          </cell>
          <cell r="N37" t="str">
            <v>Kas Kanpus</v>
          </cell>
          <cell r="O37" t="str">
            <v>KAS KANPUS</v>
          </cell>
          <cell r="R37" t="str">
            <v>Belum TL</v>
          </cell>
          <cell r="S37" t="str">
            <v>Belum TL</v>
          </cell>
          <cell r="T37" t="str">
            <v>90185537 - Moh.Khoerul Fajar Ar</v>
          </cell>
          <cell r="U37" t="str">
            <v>"-"</v>
          </cell>
        </row>
        <row r="38">
          <cell r="A38">
            <v>46265</v>
          </cell>
          <cell r="B38" t="str">
            <v xml:space="preserve">ARIS FIANTO S.SOS                       </v>
          </cell>
          <cell r="C38" t="str">
            <v>AAAZI82</v>
          </cell>
          <cell r="D38">
            <v>334201021090102</v>
          </cell>
          <cell r="E38" t="str">
            <v>TINGGI</v>
          </cell>
          <cell r="F38" t="str">
            <v>Tidak</v>
          </cell>
          <cell r="G38" t="str">
            <v>Tidak</v>
          </cell>
          <cell r="H38" t="str">
            <v>Tidak</v>
          </cell>
          <cell r="I38" t="str">
            <v>Korupsi - Loan View</v>
          </cell>
          <cell r="J38">
            <v>73</v>
          </cell>
          <cell r="K38">
            <v>15</v>
          </cell>
          <cell r="L38" t="str">
            <v>Korupsi</v>
          </cell>
          <cell r="M38" t="str">
            <v>Kas Kanpus</v>
          </cell>
          <cell r="N38" t="str">
            <v>Kas Kanpus</v>
          </cell>
          <cell r="O38" t="str">
            <v>KAS KANPUS</v>
          </cell>
          <cell r="R38" t="str">
            <v>Belum TL</v>
          </cell>
          <cell r="S38" t="str">
            <v>Belum TL</v>
          </cell>
          <cell r="T38" t="str">
            <v>90186790 - Muhammad Alfin Farha</v>
          </cell>
          <cell r="U38" t="str">
            <v>"-"</v>
          </cell>
        </row>
        <row r="39">
          <cell r="A39">
            <v>46265</v>
          </cell>
          <cell r="B39" t="str">
            <v xml:space="preserve">AZIS IMANSYAH                           </v>
          </cell>
          <cell r="C39" t="str">
            <v>AAIMT48</v>
          </cell>
          <cell r="D39">
            <v>4359720234492000</v>
          </cell>
          <cell r="E39" t="str">
            <v>SEDANG</v>
          </cell>
          <cell r="F39" t="str">
            <v>Tidak</v>
          </cell>
          <cell r="G39" t="str">
            <v>Tidak</v>
          </cell>
          <cell r="H39" t="str">
            <v>Tidak</v>
          </cell>
          <cell r="I39" t="str">
            <v>Penghindaran Pajak (Transaksi Fiktif)/Penyuapan CC</v>
          </cell>
          <cell r="J39">
            <v>45</v>
          </cell>
          <cell r="K39">
            <v>118</v>
          </cell>
          <cell r="L39" t="str">
            <v>Penyuapan / Penghindaran Pajak CC View</v>
          </cell>
          <cell r="M39" t="str">
            <v xml:space="preserve">Kas Kanpus                              </v>
          </cell>
          <cell r="N39" t="str">
            <v xml:space="preserve">Kas Kanpus                              </v>
          </cell>
          <cell r="O39" t="str">
            <v xml:space="preserve">KAS KANPUS                              </v>
          </cell>
          <cell r="R39" t="str">
            <v>Belum TL</v>
          </cell>
          <cell r="S39" t="str">
            <v>Belum TL</v>
          </cell>
          <cell r="T39" t="str">
            <v>90170665 - Mutiara Ayuningtyas</v>
          </cell>
          <cell r="U39" t="str">
            <v>"-"</v>
          </cell>
        </row>
        <row r="40">
          <cell r="A40">
            <v>46265</v>
          </cell>
          <cell r="B40" t="str">
            <v xml:space="preserve">ASWAR RAHMAT                            </v>
          </cell>
          <cell r="C40" t="str">
            <v>AAIRR09</v>
          </cell>
          <cell r="D40">
            <v>4359720283427800</v>
          </cell>
          <cell r="E40" t="str">
            <v>SEDANG</v>
          </cell>
          <cell r="F40" t="str">
            <v>Tidak</v>
          </cell>
          <cell r="G40" t="str">
            <v>Tidak</v>
          </cell>
          <cell r="H40" t="str">
            <v>Tidak</v>
          </cell>
          <cell r="I40" t="str">
            <v>Penghindaran Pajak (Transaksi Fiktif)/Penyuapan CC</v>
          </cell>
          <cell r="J40">
            <v>45</v>
          </cell>
          <cell r="K40">
            <v>118</v>
          </cell>
          <cell r="L40" t="str">
            <v>Penyuapan / Penghindaran Pajak CC View</v>
          </cell>
          <cell r="M40" t="str">
            <v xml:space="preserve">Kas Kanpus                              </v>
          </cell>
          <cell r="N40" t="str">
            <v xml:space="preserve">Kas Kanpus                              </v>
          </cell>
          <cell r="O40" t="str">
            <v xml:space="preserve">KAS KANPUS                              </v>
          </cell>
          <cell r="R40" t="str">
            <v>Belum TL</v>
          </cell>
          <cell r="S40" t="str">
            <v>Belum TL</v>
          </cell>
          <cell r="T40" t="str">
            <v>00394521 - Muhammad Hibbanduta</v>
          </cell>
          <cell r="U40" t="str">
            <v>"-"</v>
          </cell>
        </row>
        <row r="41">
          <cell r="A41">
            <v>46237</v>
          </cell>
          <cell r="B41" t="str">
            <v xml:space="preserve">AHMAD FARIHIN                           </v>
          </cell>
          <cell r="C41" t="str">
            <v>AAKEW21</v>
          </cell>
          <cell r="D41">
            <v>389801046753530</v>
          </cell>
          <cell r="E41" t="str">
            <v>SEDANG</v>
          </cell>
          <cell r="F41" t="str">
            <v>Tidak</v>
          </cell>
          <cell r="G41" t="str">
            <v>Tidak</v>
          </cell>
          <cell r="I41" t="str">
            <v>Teroris - Remark</v>
          </cell>
          <cell r="J41">
            <v>168</v>
          </cell>
          <cell r="K41">
            <v>50</v>
          </cell>
          <cell r="L41" t="str">
            <v>Terorisme</v>
          </cell>
          <cell r="M41" t="str">
            <v xml:space="preserve">Kas Kanpus                              </v>
          </cell>
          <cell r="N41" t="str">
            <v xml:space="preserve">Kas Kanpus                              </v>
          </cell>
          <cell r="O41" t="str">
            <v xml:space="preserve">KAS KANPUS                              </v>
          </cell>
          <cell r="R41" t="str">
            <v>Belum TL</v>
          </cell>
          <cell r="S41" t="str">
            <v>Belum TL</v>
          </cell>
          <cell r="T41" t="str">
            <v>00394521 - Muhammad Hibbanduta</v>
          </cell>
          <cell r="U41" t="str">
            <v>"-"</v>
          </cell>
        </row>
        <row r="42">
          <cell r="A42">
            <v>46265</v>
          </cell>
          <cell r="B42" t="str">
            <v xml:space="preserve">ADANG FERRI UTOMO                       </v>
          </cell>
          <cell r="C42" t="str">
            <v>AAKRU21</v>
          </cell>
          <cell r="D42">
            <v>600401025631539</v>
          </cell>
          <cell r="E42" t="str">
            <v>SEDANG</v>
          </cell>
          <cell r="F42" t="str">
            <v>Tidak</v>
          </cell>
          <cell r="G42" t="str">
            <v>Tidak</v>
          </cell>
          <cell r="H42" t="str">
            <v>Tidak</v>
          </cell>
          <cell r="I42" t="str">
            <v>Narkotika - Area Lapas</v>
          </cell>
          <cell r="J42">
            <v>63</v>
          </cell>
          <cell r="K42">
            <v>48</v>
          </cell>
          <cell r="L42" t="str">
            <v>Narkotika</v>
          </cell>
          <cell r="M42" t="str">
            <v>UNIT PENGKOL PURWODADI</v>
          </cell>
          <cell r="N42" t="str">
            <v>KC Purwodadi</v>
          </cell>
          <cell r="O42" t="str">
            <v>Semarang</v>
          </cell>
          <cell r="R42" t="str">
            <v>Belum TL</v>
          </cell>
          <cell r="S42" t="str">
            <v>Belum TL</v>
          </cell>
          <cell r="T42" t="str">
            <v>90186796 - Devito Arya Wiradila</v>
          </cell>
          <cell r="U42" t="str">
            <v>"-"</v>
          </cell>
        </row>
        <row r="43">
          <cell r="A43">
            <v>46265</v>
          </cell>
          <cell r="B43" t="str">
            <v xml:space="preserve">ALMAS JAYA PERKASA                      </v>
          </cell>
          <cell r="C43" t="str">
            <v>AALOI13</v>
          </cell>
          <cell r="D43">
            <v>31901001634152</v>
          </cell>
          <cell r="E43" t="str">
            <v>SEDANG</v>
          </cell>
          <cell r="F43" t="str">
            <v>Tidak</v>
          </cell>
          <cell r="G43" t="str">
            <v>Tidak</v>
          </cell>
          <cell r="H43" t="str">
            <v>Tidak</v>
          </cell>
          <cell r="I43" t="str">
            <v>Korupsi - Loan View</v>
          </cell>
          <cell r="J43">
            <v>48</v>
          </cell>
          <cell r="K43">
            <v>15</v>
          </cell>
          <cell r="L43" t="str">
            <v>Korupsi</v>
          </cell>
          <cell r="M43" t="str">
            <v>Kas Kanpus</v>
          </cell>
          <cell r="N43" t="str">
            <v>Kas Kanpus</v>
          </cell>
          <cell r="O43" t="str">
            <v>KAS KANPUS</v>
          </cell>
          <cell r="R43" t="str">
            <v>Belum TL</v>
          </cell>
          <cell r="S43" t="str">
            <v>Belum TL</v>
          </cell>
          <cell r="T43" t="str">
            <v>90185538 - Muhammad Fahikal Auz</v>
          </cell>
          <cell r="U43" t="str">
            <v>"-"</v>
          </cell>
        </row>
        <row r="44">
          <cell r="A44">
            <v>46265</v>
          </cell>
          <cell r="B44" t="str">
            <v xml:space="preserve">ABDUL AZIS USMAN                        </v>
          </cell>
          <cell r="C44" t="str">
            <v>AAMEQ41</v>
          </cell>
          <cell r="D44">
            <v>356501020426100</v>
          </cell>
          <cell r="E44" t="str">
            <v>RENDAH</v>
          </cell>
          <cell r="F44" t="str">
            <v>Tidak</v>
          </cell>
          <cell r="G44" t="str">
            <v>Tidak</v>
          </cell>
          <cell r="H44" t="str">
            <v>Tidak</v>
          </cell>
          <cell r="I44" t="str">
            <v>Korupsi - Loan View</v>
          </cell>
          <cell r="J44">
            <v>33</v>
          </cell>
          <cell r="K44">
            <v>15</v>
          </cell>
          <cell r="L44" t="str">
            <v>Korupsi</v>
          </cell>
          <cell r="M44" t="str">
            <v>Kas Kanpus</v>
          </cell>
          <cell r="N44" t="str">
            <v>Kas Kanpus</v>
          </cell>
          <cell r="O44" t="str">
            <v>KAS KANPUS</v>
          </cell>
          <cell r="R44" t="str">
            <v>Belum TL</v>
          </cell>
          <cell r="S44" t="str">
            <v>Belum TL</v>
          </cell>
          <cell r="T44" t="str">
            <v>90186796 - Devito Arya Wiradila</v>
          </cell>
          <cell r="U44" t="str">
            <v>"-"</v>
          </cell>
        </row>
        <row r="45">
          <cell r="A45">
            <v>46265</v>
          </cell>
          <cell r="B45" t="str">
            <v xml:space="preserve">ANDALAS MITRA BERLIAN                   </v>
          </cell>
          <cell r="C45" t="str">
            <v>AAMNO49</v>
          </cell>
          <cell r="D45">
            <v>30601777777306</v>
          </cell>
          <cell r="E45" t="str">
            <v>SEDANG</v>
          </cell>
          <cell r="F45" t="str">
            <v>Tidak</v>
          </cell>
          <cell r="G45" t="str">
            <v>Tidak</v>
          </cell>
          <cell r="H45" t="str">
            <v>Tidak</v>
          </cell>
          <cell r="I45" t="str">
            <v>Korupsi - Cash &amp; Amount</v>
          </cell>
          <cell r="J45">
            <v>48</v>
          </cell>
          <cell r="K45" t="str">
            <v>1,2,20</v>
          </cell>
          <cell r="L45" t="str">
            <v>Korupsi</v>
          </cell>
          <cell r="M45" t="str">
            <v>Kas Kanpus</v>
          </cell>
          <cell r="N45" t="str">
            <v>Kas Kanpus</v>
          </cell>
          <cell r="O45" t="str">
            <v>KAS KANPUS</v>
          </cell>
          <cell r="R45" t="str">
            <v>Belum TL</v>
          </cell>
          <cell r="S45" t="str">
            <v>Belum TL</v>
          </cell>
          <cell r="T45" t="str">
            <v>90186790 - Muhammad Alfin Farha</v>
          </cell>
          <cell r="U45" t="str">
            <v>"-"</v>
          </cell>
        </row>
        <row r="46">
          <cell r="A46">
            <v>46265</v>
          </cell>
          <cell r="B46" t="str">
            <v xml:space="preserve">AHSANUN NASEH KHUDORI                   </v>
          </cell>
          <cell r="C46" t="str">
            <v>AANA352</v>
          </cell>
          <cell r="D46">
            <v>5188280235013400</v>
          </cell>
          <cell r="E46" t="str">
            <v>SEDANG</v>
          </cell>
          <cell r="F46" t="str">
            <v>Tidak</v>
          </cell>
          <cell r="G46" t="str">
            <v>Tidak</v>
          </cell>
          <cell r="H46" t="str">
            <v>Tidak</v>
          </cell>
          <cell r="I46" t="str">
            <v>Penyuapan - CC View</v>
          </cell>
          <cell r="J46">
            <v>45</v>
          </cell>
          <cell r="K46">
            <v>16.170000000000002</v>
          </cell>
          <cell r="L46" t="str">
            <v>Penyuapan</v>
          </cell>
          <cell r="M46" t="str">
            <v xml:space="preserve">Kas Kanpus                              </v>
          </cell>
          <cell r="N46" t="str">
            <v xml:space="preserve">Kas Kanpus                              </v>
          </cell>
          <cell r="O46" t="str">
            <v xml:space="preserve">KAS KANPUS                              </v>
          </cell>
          <cell r="R46" t="str">
            <v>Belum TL</v>
          </cell>
          <cell r="S46" t="str">
            <v>Belum TL</v>
          </cell>
          <cell r="T46" t="str">
            <v>90186796 - Devito Arya Wiradila</v>
          </cell>
          <cell r="U46" t="str">
            <v>"-"</v>
          </cell>
        </row>
        <row r="47">
          <cell r="A47">
            <v>46265</v>
          </cell>
          <cell r="B47" t="str">
            <v xml:space="preserve">AHSANUN NASEH KHUDORI                   </v>
          </cell>
          <cell r="C47" t="str">
            <v>AANA352</v>
          </cell>
          <cell r="D47">
            <v>5188280235013400</v>
          </cell>
          <cell r="E47" t="str">
            <v>SEDANG</v>
          </cell>
          <cell r="F47" t="str">
            <v>Tidak</v>
          </cell>
          <cell r="G47" t="str">
            <v>Tidak</v>
          </cell>
          <cell r="H47" t="str">
            <v>Tidak</v>
          </cell>
          <cell r="I47" t="str">
            <v>Penghindaran Pajak (Transaksi Fiktif)/Penyuapan CC</v>
          </cell>
          <cell r="J47">
            <v>45</v>
          </cell>
          <cell r="K47">
            <v>118</v>
          </cell>
          <cell r="L47" t="str">
            <v>Penyuapan / Penghindaran Pajak CC View</v>
          </cell>
          <cell r="M47" t="str">
            <v xml:space="preserve">Kas Kanpus                              </v>
          </cell>
          <cell r="N47" t="str">
            <v xml:space="preserve">Kas Kanpus                              </v>
          </cell>
          <cell r="O47" t="str">
            <v xml:space="preserve">KAS KANPUS                              </v>
          </cell>
          <cell r="R47" t="str">
            <v>Belum TL</v>
          </cell>
          <cell r="S47" t="str">
            <v>Belum TL</v>
          </cell>
          <cell r="T47" t="str">
            <v>90150130 - Intan Aida Pratiwi</v>
          </cell>
          <cell r="U47" t="str">
            <v>"-"</v>
          </cell>
        </row>
        <row r="48">
          <cell r="A48">
            <v>46265</v>
          </cell>
          <cell r="B48" t="str">
            <v xml:space="preserve">ADHA LOKA HARDITAMA                     </v>
          </cell>
          <cell r="C48" t="str">
            <v>AAOCR70</v>
          </cell>
          <cell r="D48">
            <v>379601007118507</v>
          </cell>
          <cell r="E48" t="str">
            <v>SEDANG</v>
          </cell>
          <cell r="F48" t="str">
            <v>Tidak</v>
          </cell>
          <cell r="G48" t="str">
            <v>Tidak</v>
          </cell>
          <cell r="H48" t="str">
            <v>Ya</v>
          </cell>
          <cell r="I48" t="str">
            <v>Bandar Judol Withdrawal</v>
          </cell>
          <cell r="J48">
            <v>50</v>
          </cell>
          <cell r="K48" t="str">
            <v>86,88,87</v>
          </cell>
          <cell r="L48" t="str">
            <v>Judi Online</v>
          </cell>
          <cell r="M48" t="str">
            <v xml:space="preserve">Kas Kanpus                              </v>
          </cell>
          <cell r="N48" t="str">
            <v xml:space="preserve">Kas Kanpus                              </v>
          </cell>
          <cell r="O48" t="str">
            <v xml:space="preserve">KAS KANPUS                              </v>
          </cell>
          <cell r="R48" t="str">
            <v>Belum TL</v>
          </cell>
          <cell r="S48" t="str">
            <v>Belum TL</v>
          </cell>
          <cell r="T48" t="str">
            <v>90185537 - Moh.Khoerul Fajar Ar</v>
          </cell>
          <cell r="U48" t="str">
            <v>"-"</v>
          </cell>
        </row>
        <row r="49">
          <cell r="A49">
            <v>46265</v>
          </cell>
          <cell r="B49" t="str">
            <v xml:space="preserve">AMRUL HAKIM                             </v>
          </cell>
          <cell r="C49" t="str">
            <v>AAOMC83</v>
          </cell>
          <cell r="D49">
            <v>32901058514102</v>
          </cell>
          <cell r="E49" t="str">
            <v>SEDANG</v>
          </cell>
          <cell r="F49" t="str">
            <v>Tidak</v>
          </cell>
          <cell r="G49" t="str">
            <v>Tidak</v>
          </cell>
          <cell r="H49" t="str">
            <v>Tidak</v>
          </cell>
          <cell r="I49" t="str">
            <v>Korupsi - Loan View</v>
          </cell>
          <cell r="J49">
            <v>58</v>
          </cell>
          <cell r="K49">
            <v>15</v>
          </cell>
          <cell r="L49" t="str">
            <v>Korupsi</v>
          </cell>
          <cell r="M49" t="str">
            <v>Kas Kanpus</v>
          </cell>
          <cell r="N49" t="str">
            <v>Kas Kanpus</v>
          </cell>
          <cell r="O49" t="str">
            <v>KAS KANPUS</v>
          </cell>
          <cell r="R49" t="str">
            <v>Belum TL</v>
          </cell>
          <cell r="S49" t="str">
            <v>Belum TL</v>
          </cell>
          <cell r="T49" t="str">
            <v>90185537 - Moh.Khoerul Fajar Ar</v>
          </cell>
          <cell r="U49" t="str">
            <v>"-"</v>
          </cell>
        </row>
        <row r="50">
          <cell r="A50">
            <v>46265</v>
          </cell>
          <cell r="B50" t="str">
            <v xml:space="preserve">ARTHA BAHARI PRATAMA                    </v>
          </cell>
          <cell r="C50" t="str">
            <v>AADXB70</v>
          </cell>
          <cell r="D50">
            <v>58701002887561</v>
          </cell>
          <cell r="E50" t="str">
            <v>SEDANG</v>
          </cell>
          <cell r="F50" t="str">
            <v>Tidak</v>
          </cell>
          <cell r="G50" t="str">
            <v>Tidak</v>
          </cell>
          <cell r="H50" t="str">
            <v>Tidak</v>
          </cell>
          <cell r="I50" t="str">
            <v>Korupsi - Cash &amp; Amount</v>
          </cell>
          <cell r="J50">
            <v>48</v>
          </cell>
          <cell r="K50" t="str">
            <v>1,2,20</v>
          </cell>
          <cell r="L50" t="str">
            <v>Korupsi</v>
          </cell>
          <cell r="M50" t="str">
            <v>Kas Kanpus</v>
          </cell>
          <cell r="N50" t="str">
            <v>Kas Kanpus</v>
          </cell>
          <cell r="O50" t="str">
            <v>KAS KANPUS</v>
          </cell>
          <cell r="R50" t="str">
            <v>Belum TL</v>
          </cell>
          <cell r="S50" t="str">
            <v>Belum TL</v>
          </cell>
          <cell r="T50" t="str">
            <v>90185538 - Muhammad Fahikal Auz</v>
          </cell>
          <cell r="U50" t="str">
            <v>"-"</v>
          </cell>
        </row>
        <row r="51">
          <cell r="A51">
            <v>46265</v>
          </cell>
          <cell r="B51" t="str">
            <v xml:space="preserve">ACHMAD BUDHIARTO                        </v>
          </cell>
          <cell r="C51" t="str">
            <v>AAGP099</v>
          </cell>
          <cell r="D51">
            <v>3201043814500</v>
          </cell>
          <cell r="E51" t="str">
            <v>TINGGI</v>
          </cell>
          <cell r="F51" t="str">
            <v>Tidak</v>
          </cell>
          <cell r="G51" t="str">
            <v>Tidak</v>
          </cell>
          <cell r="H51" t="str">
            <v>Tidak</v>
          </cell>
          <cell r="I51" t="str">
            <v>Terorisme - SIPENDAR</v>
          </cell>
          <cell r="J51">
            <v>186</v>
          </cell>
          <cell r="K51">
            <v>36</v>
          </cell>
          <cell r="L51" t="str">
            <v>Terorisme</v>
          </cell>
          <cell r="M51" t="str">
            <v xml:space="preserve">Kas Kanpus                              </v>
          </cell>
          <cell r="N51" t="str">
            <v xml:space="preserve">Kas Kanpus                              </v>
          </cell>
          <cell r="O51" t="str">
            <v xml:space="preserve">KAS KANPUS                              </v>
          </cell>
          <cell r="R51" t="str">
            <v>Belum TL</v>
          </cell>
          <cell r="S51" t="str">
            <v>Belum TL</v>
          </cell>
          <cell r="T51" t="str">
            <v>00394520 - Frida Akbar Rani</v>
          </cell>
          <cell r="U51" t="str">
            <v>"-"</v>
          </cell>
        </row>
        <row r="52">
          <cell r="A52">
            <v>46265</v>
          </cell>
          <cell r="B52" t="str">
            <v xml:space="preserve">AGUS HARIYONO                           </v>
          </cell>
          <cell r="C52" t="str">
            <v>AAOVZ45</v>
          </cell>
          <cell r="D52">
            <v>137801008211508</v>
          </cell>
          <cell r="E52" t="str">
            <v>SEDANG</v>
          </cell>
          <cell r="F52" t="str">
            <v>Tidak</v>
          </cell>
          <cell r="G52" t="str">
            <v>Tidak</v>
          </cell>
          <cell r="H52" t="str">
            <v>Tidak</v>
          </cell>
          <cell r="I52" t="str">
            <v>Bandar Judol Withdrawal</v>
          </cell>
          <cell r="J52">
            <v>50</v>
          </cell>
          <cell r="K52" t="str">
            <v>86,88,87</v>
          </cell>
          <cell r="L52" t="str">
            <v>Judi Online</v>
          </cell>
          <cell r="M52" t="str">
            <v xml:space="preserve">Kas Kanpus                              </v>
          </cell>
          <cell r="N52" t="str">
            <v xml:space="preserve">Kas Kanpus                              </v>
          </cell>
          <cell r="O52" t="str">
            <v xml:space="preserve">KAS KANPUS                              </v>
          </cell>
          <cell r="R52" t="str">
            <v>Belum TL</v>
          </cell>
          <cell r="S52" t="str">
            <v>Belum TL</v>
          </cell>
          <cell r="T52" t="str">
            <v>90185538 - Muhammad Fahikal Auz</v>
          </cell>
          <cell r="U52" t="str">
            <v>"-"</v>
          </cell>
        </row>
        <row r="53">
          <cell r="A53">
            <v>46265</v>
          </cell>
          <cell r="B53" t="str">
            <v xml:space="preserve">ABRAHAM BUDIMAN                         </v>
          </cell>
          <cell r="C53" t="str">
            <v>AAOZB77</v>
          </cell>
          <cell r="D53">
            <v>4359720209235100</v>
          </cell>
          <cell r="E53" t="str">
            <v>TINGGI</v>
          </cell>
          <cell r="F53" t="str">
            <v>Tidak</v>
          </cell>
          <cell r="G53" t="str">
            <v>Tidak</v>
          </cell>
          <cell r="H53" t="str">
            <v>Tidak</v>
          </cell>
          <cell r="I53" t="str">
            <v>Penghindaran Pajak (Transaksi Fiktif)/Penyuapan CC</v>
          </cell>
          <cell r="J53">
            <v>60</v>
          </cell>
          <cell r="K53">
            <v>118</v>
          </cell>
          <cell r="L53" t="str">
            <v>Penyuapan / Penghindaran Pajak CC View</v>
          </cell>
          <cell r="M53" t="str">
            <v xml:space="preserve">Kas Kanpus                              </v>
          </cell>
          <cell r="N53" t="str">
            <v xml:space="preserve">Kas Kanpus                              </v>
          </cell>
          <cell r="O53" t="str">
            <v xml:space="preserve">KAS KANPUS                              </v>
          </cell>
          <cell r="R53" t="str">
            <v>Belum TL</v>
          </cell>
          <cell r="S53" t="str">
            <v>Belum TL</v>
          </cell>
          <cell r="T53" t="str">
            <v>90186796 - Devito Arya Wiradila</v>
          </cell>
          <cell r="U53" t="str">
            <v>"-"</v>
          </cell>
        </row>
        <row r="54">
          <cell r="A54">
            <v>46265</v>
          </cell>
          <cell r="B54" t="str">
            <v xml:space="preserve">ANDRY PARDOMUAN HUWAE                   </v>
          </cell>
          <cell r="C54" t="str">
            <v>AAPF298</v>
          </cell>
          <cell r="D54">
            <v>489701014687106</v>
          </cell>
          <cell r="E54" t="str">
            <v>SEDANG</v>
          </cell>
          <cell r="F54" t="str">
            <v>Tidak</v>
          </cell>
          <cell r="G54" t="str">
            <v>Tidak</v>
          </cell>
          <cell r="H54" t="str">
            <v>Tidak</v>
          </cell>
          <cell r="I54" t="str">
            <v>Korupsi - Loan View</v>
          </cell>
          <cell r="J54">
            <v>48</v>
          </cell>
          <cell r="K54">
            <v>15</v>
          </cell>
          <cell r="L54" t="str">
            <v>Korupsi</v>
          </cell>
          <cell r="M54" t="str">
            <v>Kas Kanpus</v>
          </cell>
          <cell r="N54" t="str">
            <v>Kas Kanpus</v>
          </cell>
          <cell r="O54" t="str">
            <v>KAS KANPUS</v>
          </cell>
          <cell r="R54" t="str">
            <v>Belum TL</v>
          </cell>
          <cell r="S54" t="str">
            <v>Belum TL</v>
          </cell>
          <cell r="T54" t="str">
            <v>00394520 - Frida Akbar Rani</v>
          </cell>
          <cell r="U54" t="str">
            <v>"-"</v>
          </cell>
        </row>
        <row r="55">
          <cell r="A55">
            <v>46265</v>
          </cell>
          <cell r="B55" t="str">
            <v xml:space="preserve">AMAS YANI                               </v>
          </cell>
          <cell r="C55" t="str">
            <v>AATJP61</v>
          </cell>
          <cell r="D55">
            <v>112201012018507</v>
          </cell>
          <cell r="E55" t="str">
            <v>SEDANG</v>
          </cell>
          <cell r="F55" t="str">
            <v>Tidak</v>
          </cell>
          <cell r="G55" t="str">
            <v>Tidak</v>
          </cell>
          <cell r="H55" t="str">
            <v>Ya</v>
          </cell>
          <cell r="I55" t="str">
            <v>Bandar Judol Withdrawal</v>
          </cell>
          <cell r="J55">
            <v>50</v>
          </cell>
          <cell r="K55" t="str">
            <v>86,88,87</v>
          </cell>
          <cell r="L55" t="str">
            <v>Judi Online</v>
          </cell>
          <cell r="M55" t="str">
            <v xml:space="preserve">Kas Kanpus                              </v>
          </cell>
          <cell r="N55" t="str">
            <v xml:space="preserve">Kas Kanpus                              </v>
          </cell>
          <cell r="O55" t="str">
            <v xml:space="preserve">KAS KANPUS                              </v>
          </cell>
          <cell r="R55" t="str">
            <v>Belum TL</v>
          </cell>
          <cell r="S55" t="str">
            <v>Belum TL</v>
          </cell>
          <cell r="T55" t="str">
            <v>90185537 - Moh.Khoerul Fajar Ar</v>
          </cell>
          <cell r="U55" t="str">
            <v>"-"</v>
          </cell>
        </row>
        <row r="56">
          <cell r="A56">
            <v>46265</v>
          </cell>
          <cell r="B56" t="str">
            <v xml:space="preserve">BRI ASURANSI INDONESIA                  </v>
          </cell>
          <cell r="C56" t="str">
            <v>AAVH029</v>
          </cell>
          <cell r="D56">
            <v>34101001274307</v>
          </cell>
          <cell r="E56" t="str">
            <v>SEDANG</v>
          </cell>
          <cell r="F56" t="str">
            <v>Tidak</v>
          </cell>
          <cell r="G56" t="str">
            <v>Tidak</v>
          </cell>
          <cell r="H56" t="str">
            <v>Tidak</v>
          </cell>
          <cell r="I56" t="str">
            <v>Korupsi - Cash &amp; Amount</v>
          </cell>
          <cell r="J56">
            <v>50</v>
          </cell>
          <cell r="K56" t="str">
            <v>1,2,20</v>
          </cell>
          <cell r="L56" t="str">
            <v>Korupsi</v>
          </cell>
          <cell r="M56" t="str">
            <v>Kas Kanpus</v>
          </cell>
          <cell r="N56" t="str">
            <v>Kas Kanpus</v>
          </cell>
          <cell r="O56" t="str">
            <v>KAS KANPUS</v>
          </cell>
          <cell r="R56" t="str">
            <v>Belum TL</v>
          </cell>
          <cell r="S56" t="str">
            <v>Belum TL</v>
          </cell>
          <cell r="T56" t="str">
            <v>90186796 - Devito Arya Wiradila</v>
          </cell>
          <cell r="U56" t="str">
            <v>"-"</v>
          </cell>
        </row>
        <row r="57">
          <cell r="A57">
            <v>46265</v>
          </cell>
          <cell r="B57" t="str">
            <v xml:space="preserve">ASSALAM KARYA MANUNGGAL                 </v>
          </cell>
          <cell r="C57" t="str">
            <v>AAWBG69</v>
          </cell>
          <cell r="D57">
            <v>13901502159150</v>
          </cell>
          <cell r="E57" t="str">
            <v>SEDANG</v>
          </cell>
          <cell r="F57" t="str">
            <v>Tidak</v>
          </cell>
          <cell r="G57" t="str">
            <v>Tidak</v>
          </cell>
          <cell r="H57" t="str">
            <v>Tidak</v>
          </cell>
          <cell r="I57" t="str">
            <v>Korupsi - Loan View</v>
          </cell>
          <cell r="J57">
            <v>48</v>
          </cell>
          <cell r="K57">
            <v>15</v>
          </cell>
          <cell r="L57" t="str">
            <v>Korupsi</v>
          </cell>
          <cell r="M57" t="str">
            <v>Kas Kanpus</v>
          </cell>
          <cell r="N57" t="str">
            <v>Kas Kanpus</v>
          </cell>
          <cell r="O57" t="str">
            <v>KAS KANPUS</v>
          </cell>
          <cell r="R57" t="str">
            <v>Belum TL</v>
          </cell>
          <cell r="S57" t="str">
            <v>Belum TL</v>
          </cell>
          <cell r="T57" t="str">
            <v>00394521 - Muhammad Hibbanduta</v>
          </cell>
          <cell r="U57" t="str">
            <v>"-"</v>
          </cell>
        </row>
        <row r="58">
          <cell r="A58">
            <v>46265</v>
          </cell>
          <cell r="B58" t="str">
            <v xml:space="preserve">ADHI SURYA BAKTI LAUT PERMATA KSO       </v>
          </cell>
          <cell r="C58" t="str">
            <v>AAZGJ58</v>
          </cell>
          <cell r="D58">
            <v>63001303030309</v>
          </cell>
          <cell r="E58" t="str">
            <v>SEDANG</v>
          </cell>
          <cell r="F58" t="str">
            <v>Tidak</v>
          </cell>
          <cell r="G58" t="str">
            <v>Tidak</v>
          </cell>
          <cell r="H58" t="str">
            <v>Tidak</v>
          </cell>
          <cell r="I58" t="str">
            <v>Korupsi - Cash &amp; Amount</v>
          </cell>
          <cell r="J58">
            <v>48</v>
          </cell>
          <cell r="K58" t="str">
            <v>1,2,20</v>
          </cell>
          <cell r="L58" t="str">
            <v>Korupsi</v>
          </cell>
          <cell r="M58" t="str">
            <v>Kas Kanpus</v>
          </cell>
          <cell r="N58" t="str">
            <v>Kas Kanpus</v>
          </cell>
          <cell r="O58" t="str">
            <v>KAS KANPUS</v>
          </cell>
          <cell r="R58" t="str">
            <v>Belum TL</v>
          </cell>
          <cell r="S58" t="str">
            <v>Belum TL</v>
          </cell>
          <cell r="T58" t="str">
            <v>90185537 - Moh.Khoerul Fajar Ar</v>
          </cell>
          <cell r="U58" t="str">
            <v>"-"</v>
          </cell>
        </row>
        <row r="59">
          <cell r="A59">
            <v>46265</v>
          </cell>
          <cell r="B59" t="str">
            <v xml:space="preserve">ADE                                     </v>
          </cell>
          <cell r="C59" t="str">
            <v>ABACO14</v>
          </cell>
          <cell r="D59">
            <v>207201003716536</v>
          </cell>
          <cell r="E59" t="str">
            <v>SEDANG</v>
          </cell>
          <cell r="F59" t="str">
            <v>Tidak</v>
          </cell>
          <cell r="G59" t="str">
            <v>Tidak</v>
          </cell>
          <cell r="H59" t="str">
            <v>Tidak</v>
          </cell>
          <cell r="I59" t="str">
            <v>Bandar Judol Depo</v>
          </cell>
          <cell r="J59">
            <v>50</v>
          </cell>
          <cell r="K59" t="str">
            <v>86,74,87</v>
          </cell>
          <cell r="L59" t="str">
            <v>Judi Online</v>
          </cell>
          <cell r="M59" t="str">
            <v xml:space="preserve">Kas Kanpus                              </v>
          </cell>
          <cell r="N59" t="str">
            <v xml:space="preserve">Kas Kanpus                              </v>
          </cell>
          <cell r="O59" t="str">
            <v xml:space="preserve">KAS KANPUS                              </v>
          </cell>
          <cell r="R59" t="str">
            <v>Belum TL</v>
          </cell>
          <cell r="S59" t="str">
            <v>Belum TL</v>
          </cell>
          <cell r="T59" t="str">
            <v>00336949 - Mochammad Al Farabi</v>
          </cell>
          <cell r="U59" t="str">
            <v>"-"</v>
          </cell>
        </row>
        <row r="60">
          <cell r="A60">
            <v>46265</v>
          </cell>
          <cell r="B60" t="str">
            <v xml:space="preserve">ANUGERAH REGENCY HOLTEKAMP              </v>
          </cell>
          <cell r="C60" t="str">
            <v>ABBWB49</v>
          </cell>
          <cell r="D60">
            <v>30701004063309</v>
          </cell>
          <cell r="E60" t="str">
            <v>SEDANG</v>
          </cell>
          <cell r="F60" t="str">
            <v>Tidak</v>
          </cell>
          <cell r="G60" t="str">
            <v>Tidak</v>
          </cell>
          <cell r="H60" t="str">
            <v>Tidak</v>
          </cell>
          <cell r="I60" t="str">
            <v>Perpajakan</v>
          </cell>
          <cell r="J60">
            <v>53</v>
          </cell>
          <cell r="K60">
            <v>41</v>
          </cell>
          <cell r="L60" t="str">
            <v>Perpajakan</v>
          </cell>
          <cell r="M60" t="str">
            <v xml:space="preserve">KC Jayapura                             </v>
          </cell>
          <cell r="N60" t="str">
            <v xml:space="preserve">KC Jayapura                             </v>
          </cell>
          <cell r="O60" t="str">
            <v xml:space="preserve">KANWIL JAYAPURA                         </v>
          </cell>
          <cell r="R60" t="str">
            <v>Belum TL</v>
          </cell>
          <cell r="S60" t="str">
            <v>Belum TL</v>
          </cell>
          <cell r="T60" t="str">
            <v>00336949 - Mochammad Al Farabi</v>
          </cell>
          <cell r="U60" t="str">
            <v>"-"</v>
          </cell>
        </row>
        <row r="61">
          <cell r="A61">
            <v>46265</v>
          </cell>
          <cell r="B61" t="str">
            <v xml:space="preserve">AULIA ROHMAN ROKHIM                     </v>
          </cell>
          <cell r="C61" t="str">
            <v>AAWQ591</v>
          </cell>
          <cell r="D61">
            <v>42701000492306</v>
          </cell>
          <cell r="E61" t="str">
            <v>SEDANG</v>
          </cell>
          <cell r="F61" t="str">
            <v>Tidak</v>
          </cell>
          <cell r="G61" t="str">
            <v>Tidak</v>
          </cell>
          <cell r="H61" t="str">
            <v>Tidak</v>
          </cell>
          <cell r="I61" t="str">
            <v>Perpajakan</v>
          </cell>
          <cell r="J61">
            <v>51</v>
          </cell>
          <cell r="K61">
            <v>41</v>
          </cell>
          <cell r="L61" t="str">
            <v>Perpajakan</v>
          </cell>
          <cell r="M61" t="str">
            <v xml:space="preserve">KC Jakarta Gatot Subroto                </v>
          </cell>
          <cell r="N61" t="str">
            <v xml:space="preserve">KC Jakarta Gatot Subroto                </v>
          </cell>
          <cell r="O61" t="str">
            <v xml:space="preserve">DKI2                                    </v>
          </cell>
          <cell r="R61" t="str">
            <v>Belum TL</v>
          </cell>
          <cell r="S61" t="str">
            <v>Belum TL</v>
          </cell>
          <cell r="T61" t="str">
            <v>90186796 - Devito Arya Wiradila</v>
          </cell>
          <cell r="U61" t="str">
            <v>"-"</v>
          </cell>
        </row>
        <row r="62">
          <cell r="A62">
            <v>46265</v>
          </cell>
          <cell r="B62" t="str">
            <v xml:space="preserve">AHMAD WARANG                            </v>
          </cell>
          <cell r="C62" t="str">
            <v>AAX7233</v>
          </cell>
          <cell r="D62">
            <v>66101005753109</v>
          </cell>
          <cell r="E62" t="str">
            <v>RENDAH</v>
          </cell>
          <cell r="F62" t="str">
            <v>Tidak</v>
          </cell>
          <cell r="G62" t="str">
            <v>Tidak</v>
          </cell>
          <cell r="H62" t="str">
            <v>Tidak</v>
          </cell>
          <cell r="I62" t="str">
            <v>Korupsi - Loan View</v>
          </cell>
          <cell r="J62">
            <v>33</v>
          </cell>
          <cell r="K62">
            <v>15</v>
          </cell>
          <cell r="L62" t="str">
            <v>Korupsi</v>
          </cell>
          <cell r="M62" t="str">
            <v>Kas Kanpus</v>
          </cell>
          <cell r="N62" t="str">
            <v>Kas Kanpus</v>
          </cell>
          <cell r="O62" t="str">
            <v>KAS KANPUS</v>
          </cell>
          <cell r="R62" t="str">
            <v>Belum TL</v>
          </cell>
          <cell r="S62" t="str">
            <v>Belum TL</v>
          </cell>
          <cell r="T62" t="str">
            <v>90185538 - Muhammad Fahikal Auz</v>
          </cell>
          <cell r="U62" t="str">
            <v>"-"</v>
          </cell>
        </row>
        <row r="63">
          <cell r="A63">
            <v>46265</v>
          </cell>
          <cell r="B63" t="str">
            <v xml:space="preserve">AHMAD SOBANDI                           </v>
          </cell>
          <cell r="C63" t="str">
            <v>ABCCR40</v>
          </cell>
          <cell r="D63">
            <v>4359720206361600</v>
          </cell>
          <cell r="E63" t="str">
            <v>TINGGI</v>
          </cell>
          <cell r="F63" t="str">
            <v>Tidak</v>
          </cell>
          <cell r="G63" t="str">
            <v>Tidak</v>
          </cell>
          <cell r="H63" t="str">
            <v>Tidak</v>
          </cell>
          <cell r="I63" t="str">
            <v>Penghindaran Pajak (Transaksi Fiktif)/Penyuapan CC</v>
          </cell>
          <cell r="J63">
            <v>60</v>
          </cell>
          <cell r="K63">
            <v>118</v>
          </cell>
          <cell r="L63" t="str">
            <v>Penyuapan / Penghindaran Pajak CC View</v>
          </cell>
          <cell r="M63" t="str">
            <v xml:space="preserve">Kas Kanpus                              </v>
          </cell>
          <cell r="N63" t="str">
            <v xml:space="preserve">Kas Kanpus                              </v>
          </cell>
          <cell r="O63" t="str">
            <v xml:space="preserve">KAS KANPUS                              </v>
          </cell>
          <cell r="R63" t="str">
            <v>Belum TL</v>
          </cell>
          <cell r="S63" t="str">
            <v>Belum TL</v>
          </cell>
          <cell r="T63" t="str">
            <v>90185538 - Muhammad Fahikal Auz</v>
          </cell>
          <cell r="U63" t="str">
            <v>"-"</v>
          </cell>
        </row>
        <row r="64">
          <cell r="A64">
            <v>46265</v>
          </cell>
          <cell r="B64" t="str">
            <v xml:space="preserve">AI HERLINA                              </v>
          </cell>
          <cell r="C64" t="str">
            <v>ABOVZ10</v>
          </cell>
          <cell r="D64">
            <v>1201302249501</v>
          </cell>
          <cell r="E64" t="str">
            <v>SEDANG</v>
          </cell>
          <cell r="F64" t="str">
            <v>Tidak</v>
          </cell>
          <cell r="G64" t="str">
            <v>Tidak</v>
          </cell>
          <cell r="H64" t="str">
            <v>Tidak</v>
          </cell>
          <cell r="I64" t="str">
            <v>Bandar Judol Withdrawal</v>
          </cell>
          <cell r="J64">
            <v>50</v>
          </cell>
          <cell r="K64" t="str">
            <v>86,88,87</v>
          </cell>
          <cell r="L64" t="str">
            <v>Judi Online</v>
          </cell>
          <cell r="M64" t="str">
            <v xml:space="preserve">Kas Kanpus                              </v>
          </cell>
          <cell r="N64" t="str">
            <v xml:space="preserve">Kas Kanpus                              </v>
          </cell>
          <cell r="O64" t="str">
            <v xml:space="preserve">KAS KANPUS                              </v>
          </cell>
          <cell r="R64" t="str">
            <v>Belum TL</v>
          </cell>
          <cell r="S64" t="str">
            <v>Belum TL</v>
          </cell>
          <cell r="T64" t="str">
            <v>90185538 - Muhammad Fahikal Auz</v>
          </cell>
          <cell r="U64" t="str">
            <v>"-"</v>
          </cell>
        </row>
        <row r="65">
          <cell r="A65">
            <v>46265</v>
          </cell>
          <cell r="B65" t="str">
            <v xml:space="preserve">ADIBOGA MAKMUR ALAM WIRA                </v>
          </cell>
          <cell r="C65" t="str">
            <v>ABPIY33</v>
          </cell>
          <cell r="D65">
            <v>44301001260150</v>
          </cell>
          <cell r="E65" t="str">
            <v>SEDANG</v>
          </cell>
          <cell r="F65" t="str">
            <v>Tidak</v>
          </cell>
          <cell r="G65" t="str">
            <v>Tidak</v>
          </cell>
          <cell r="H65" t="str">
            <v>Tidak</v>
          </cell>
          <cell r="I65" t="str">
            <v>Korupsi - Loan View</v>
          </cell>
          <cell r="J65">
            <v>48</v>
          </cell>
          <cell r="K65">
            <v>15</v>
          </cell>
          <cell r="L65" t="str">
            <v>Korupsi</v>
          </cell>
          <cell r="M65" t="str">
            <v>Kas Kanpus</v>
          </cell>
          <cell r="N65" t="str">
            <v>Kas Kanpus</v>
          </cell>
          <cell r="O65" t="str">
            <v>KAS KANPUS</v>
          </cell>
          <cell r="R65" t="str">
            <v>Belum TL</v>
          </cell>
          <cell r="S65" t="str">
            <v>Belum TL</v>
          </cell>
          <cell r="T65" t="str">
            <v>00394520 - Frida Akbar Rani</v>
          </cell>
          <cell r="U65" t="str">
            <v>"-"</v>
          </cell>
        </row>
        <row r="66">
          <cell r="A66">
            <v>46265</v>
          </cell>
          <cell r="B66" t="str">
            <v xml:space="preserve">ANDI FAHRUL ROZI                        </v>
          </cell>
          <cell r="C66" t="str">
            <v>ABQYY82</v>
          </cell>
          <cell r="D66">
            <v>401030437538</v>
          </cell>
          <cell r="E66" t="str">
            <v>SEDANG</v>
          </cell>
          <cell r="F66" t="str">
            <v>Tidak</v>
          </cell>
          <cell r="G66" t="str">
            <v>Tidak</v>
          </cell>
          <cell r="H66" t="str">
            <v>Tidak</v>
          </cell>
          <cell r="I66" t="str">
            <v>Bandar Judol Withdrawal</v>
          </cell>
          <cell r="J66">
            <v>50</v>
          </cell>
          <cell r="K66" t="str">
            <v>86,88,87</v>
          </cell>
          <cell r="L66" t="str">
            <v>Judi Online</v>
          </cell>
          <cell r="M66" t="str">
            <v xml:space="preserve">Kas Kanpus                              </v>
          </cell>
          <cell r="N66" t="str">
            <v xml:space="preserve">Kas Kanpus                              </v>
          </cell>
          <cell r="O66" t="str">
            <v xml:space="preserve">KAS KANPUS                              </v>
          </cell>
          <cell r="R66" t="str">
            <v>Belum TL</v>
          </cell>
          <cell r="S66" t="str">
            <v>Belum TL</v>
          </cell>
          <cell r="T66" t="str">
            <v>90150130 - Intan Aida Pratiwi</v>
          </cell>
          <cell r="U66" t="str">
            <v>"-"</v>
          </cell>
        </row>
        <row r="67">
          <cell r="A67">
            <v>46265</v>
          </cell>
          <cell r="B67" t="str">
            <v xml:space="preserve">AHMAD RAMADAN LUBIS                     </v>
          </cell>
          <cell r="C67" t="str">
            <v>ABMM666</v>
          </cell>
          <cell r="D67">
            <v>108701018438501</v>
          </cell>
          <cell r="E67" t="str">
            <v>RENDAH</v>
          </cell>
          <cell r="F67" t="str">
            <v>Tidak</v>
          </cell>
          <cell r="G67" t="str">
            <v>Tidak</v>
          </cell>
          <cell r="H67" t="str">
            <v>Tidak</v>
          </cell>
          <cell r="I67" t="str">
            <v>Bandar Judol Withdrawal</v>
          </cell>
          <cell r="J67">
            <v>35</v>
          </cell>
          <cell r="K67" t="str">
            <v>86,88,87</v>
          </cell>
          <cell r="L67" t="str">
            <v>Judi Online</v>
          </cell>
          <cell r="M67" t="str">
            <v xml:space="preserve">Kas Kanpus                              </v>
          </cell>
          <cell r="N67" t="str">
            <v xml:space="preserve">Kas Kanpus                              </v>
          </cell>
          <cell r="O67" t="str">
            <v xml:space="preserve">KAS KANPUS                              </v>
          </cell>
          <cell r="R67" t="str">
            <v>Belum TL</v>
          </cell>
          <cell r="S67" t="str">
            <v>Belum TL</v>
          </cell>
          <cell r="T67" t="str">
            <v>90186796 - Devito Arya Wiradila</v>
          </cell>
          <cell r="U67" t="str">
            <v>"-"</v>
          </cell>
        </row>
        <row r="68">
          <cell r="A68">
            <v>46265</v>
          </cell>
          <cell r="B68" t="str">
            <v xml:space="preserve">ABD MUIN                                </v>
          </cell>
          <cell r="C68" t="str">
            <v>ABNPC38</v>
          </cell>
          <cell r="D68">
            <v>39301057402503</v>
          </cell>
          <cell r="F68" t="str">
            <v>Tidak</v>
          </cell>
          <cell r="G68" t="str">
            <v>Tidak</v>
          </cell>
          <cell r="I68" t="str">
            <v>Jual Beli Rekening - E channel Trx</v>
          </cell>
          <cell r="J68">
            <v>33</v>
          </cell>
          <cell r="K68">
            <v>113</v>
          </cell>
          <cell r="L68" t="str">
            <v>Narkotika/Judi Online/Penipuan</v>
          </cell>
          <cell r="M68" t="str">
            <v xml:space="preserve">KC Bintaro                              </v>
          </cell>
          <cell r="N68" t="str">
            <v xml:space="preserve">KC Bintaro                              </v>
          </cell>
          <cell r="O68" t="str">
            <v xml:space="preserve">KANWIL JAKARTA 3                        </v>
          </cell>
          <cell r="R68" t="str">
            <v>Belum TL</v>
          </cell>
          <cell r="S68" t="str">
            <v>Belum TL</v>
          </cell>
          <cell r="U68" t="str">
            <v>"-"</v>
          </cell>
        </row>
        <row r="69">
          <cell r="A69">
            <v>46236</v>
          </cell>
          <cell r="B69" t="str">
            <v xml:space="preserve">ANDIKA                                  </v>
          </cell>
          <cell r="C69" t="str">
            <v>ABWD889</v>
          </cell>
          <cell r="D69">
            <v>552601024050533</v>
          </cell>
          <cell r="E69" t="str">
            <v>SEDANG</v>
          </cell>
          <cell r="F69" t="str">
            <v>Tidak</v>
          </cell>
          <cell r="G69" t="str">
            <v>Tidak</v>
          </cell>
          <cell r="I69" t="str">
            <v>Teroris - Remark</v>
          </cell>
          <cell r="J69">
            <v>168</v>
          </cell>
          <cell r="K69">
            <v>50</v>
          </cell>
          <cell r="L69" t="str">
            <v>Terorisme</v>
          </cell>
          <cell r="M69" t="str">
            <v xml:space="preserve">Kas Kanpus                              </v>
          </cell>
          <cell r="N69" t="str">
            <v xml:space="preserve">Kas Kanpus                              </v>
          </cell>
          <cell r="O69" t="str">
            <v xml:space="preserve">KAS KANPUS                              </v>
          </cell>
          <cell r="R69" t="str">
            <v>Belum TL</v>
          </cell>
          <cell r="S69" t="str">
            <v>Belum TL</v>
          </cell>
          <cell r="T69" t="str">
            <v>00394520 - Frida Akbar Rani</v>
          </cell>
          <cell r="U69" t="str">
            <v>"-"</v>
          </cell>
        </row>
        <row r="70">
          <cell r="A70">
            <v>46265</v>
          </cell>
          <cell r="B70" t="str">
            <v xml:space="preserve">ALBERTUS YOHANES WOGHE                  </v>
          </cell>
          <cell r="C70" t="str">
            <v>ABZG402</v>
          </cell>
          <cell r="D70">
            <v>462201012678104</v>
          </cell>
          <cell r="E70" t="str">
            <v>SEDANG</v>
          </cell>
          <cell r="F70" t="str">
            <v>Tidak</v>
          </cell>
          <cell r="G70" t="str">
            <v>Tidak</v>
          </cell>
          <cell r="H70" t="str">
            <v>Tidak</v>
          </cell>
          <cell r="I70" t="str">
            <v>Korupsi - Loan View</v>
          </cell>
          <cell r="J70">
            <v>48</v>
          </cell>
          <cell r="K70">
            <v>15</v>
          </cell>
          <cell r="L70" t="str">
            <v>Korupsi</v>
          </cell>
          <cell r="M70" t="str">
            <v>Kas Kanpus</v>
          </cell>
          <cell r="N70" t="str">
            <v>Kas Kanpus</v>
          </cell>
          <cell r="O70" t="str">
            <v>KAS KANPUS</v>
          </cell>
          <cell r="R70" t="str">
            <v>Belum TL</v>
          </cell>
          <cell r="S70" t="str">
            <v>Belum TL</v>
          </cell>
          <cell r="T70" t="str">
            <v>90171841 - Rifqi Aziz</v>
          </cell>
          <cell r="U70" t="str">
            <v>"-"</v>
          </cell>
        </row>
        <row r="71">
          <cell r="A71">
            <v>46265</v>
          </cell>
          <cell r="B71" t="str">
            <v xml:space="preserve">AGUS LUTFI ANDI                         </v>
          </cell>
          <cell r="C71" t="str">
            <v>ACCX065</v>
          </cell>
          <cell r="D71">
            <v>58401002559108</v>
          </cell>
          <cell r="E71" t="str">
            <v>SEDANG</v>
          </cell>
          <cell r="F71" t="str">
            <v>Tidak</v>
          </cell>
          <cell r="G71" t="str">
            <v>Tidak</v>
          </cell>
          <cell r="H71" t="str">
            <v>Tidak</v>
          </cell>
          <cell r="I71" t="str">
            <v>Korupsi - Loan View</v>
          </cell>
          <cell r="J71">
            <v>48</v>
          </cell>
          <cell r="K71">
            <v>15</v>
          </cell>
          <cell r="L71" t="str">
            <v>Korupsi</v>
          </cell>
          <cell r="M71" t="str">
            <v>Kas Kanpus</v>
          </cell>
          <cell r="N71" t="str">
            <v>Kas Kanpus</v>
          </cell>
          <cell r="O71" t="str">
            <v>KAS KANPUS</v>
          </cell>
          <cell r="R71" t="str">
            <v>Belum TL</v>
          </cell>
          <cell r="S71" t="str">
            <v>Belum TL</v>
          </cell>
          <cell r="T71" t="str">
            <v>00394520 - Frida Akbar Rani</v>
          </cell>
          <cell r="U71" t="str">
            <v>"-"</v>
          </cell>
        </row>
        <row r="72">
          <cell r="A72">
            <v>46265</v>
          </cell>
          <cell r="B72" t="str">
            <v xml:space="preserve">ARDOVI INDO TRAVEL                      </v>
          </cell>
          <cell r="C72" t="str">
            <v>ACDMR55</v>
          </cell>
          <cell r="D72">
            <v>42601002117306</v>
          </cell>
          <cell r="E72" t="str">
            <v>SEDANG</v>
          </cell>
          <cell r="F72" t="str">
            <v>Tidak</v>
          </cell>
          <cell r="G72" t="str">
            <v>Tidak</v>
          </cell>
          <cell r="H72" t="str">
            <v>Tidak</v>
          </cell>
          <cell r="I72" t="str">
            <v>Perpajakan</v>
          </cell>
          <cell r="J72">
            <v>48</v>
          </cell>
          <cell r="K72">
            <v>41</v>
          </cell>
          <cell r="L72" t="str">
            <v>Perpajakan</v>
          </cell>
          <cell r="M72" t="str">
            <v xml:space="preserve">KC BRI Jakarta Menara Brilian           </v>
          </cell>
          <cell r="N72" t="str">
            <v xml:space="preserve">KC BRI Jakarta Menara Brilian           </v>
          </cell>
          <cell r="O72" t="str">
            <v xml:space="preserve">DKI2                                    </v>
          </cell>
          <cell r="R72" t="str">
            <v>Belum TL</v>
          </cell>
          <cell r="S72" t="str">
            <v>Belum TL</v>
          </cell>
          <cell r="T72" t="str">
            <v>90186790 - Muhammad Alfin Farha</v>
          </cell>
          <cell r="U72" t="str">
            <v>"-"</v>
          </cell>
        </row>
        <row r="73">
          <cell r="A73">
            <v>46265</v>
          </cell>
          <cell r="B73" t="str">
            <v xml:space="preserve">AMANDA MAULIDINAH                       </v>
          </cell>
          <cell r="C73" t="str">
            <v>ACDRH90</v>
          </cell>
          <cell r="D73">
            <v>23001151003504</v>
          </cell>
          <cell r="E73" t="str">
            <v>SEDANG</v>
          </cell>
          <cell r="F73" t="str">
            <v>Tidak</v>
          </cell>
          <cell r="G73" t="str">
            <v>Tidak</v>
          </cell>
          <cell r="H73" t="str">
            <v>Tidak</v>
          </cell>
          <cell r="I73" t="str">
            <v>Bandar Judol Withdrawal</v>
          </cell>
          <cell r="J73">
            <v>50</v>
          </cell>
          <cell r="K73" t="str">
            <v>86,88,87</v>
          </cell>
          <cell r="L73" t="str">
            <v>Judi Online</v>
          </cell>
          <cell r="M73" t="str">
            <v xml:space="preserve">Kas Kanpus                              </v>
          </cell>
          <cell r="N73" t="str">
            <v xml:space="preserve">Kas Kanpus                              </v>
          </cell>
          <cell r="O73" t="str">
            <v xml:space="preserve">KAS KANPUS                              </v>
          </cell>
          <cell r="R73" t="str">
            <v>Belum TL</v>
          </cell>
          <cell r="S73" t="str">
            <v>Belum TL</v>
          </cell>
          <cell r="T73" t="str">
            <v>90171841 - Rifqi Aziz</v>
          </cell>
          <cell r="U73" t="str">
            <v>"-"</v>
          </cell>
        </row>
        <row r="74">
          <cell r="A74">
            <v>46265</v>
          </cell>
          <cell r="B74" t="str">
            <v xml:space="preserve">ANTONI                                  </v>
          </cell>
          <cell r="C74" t="str">
            <v>ACFAA79</v>
          </cell>
          <cell r="D74">
            <v>43801003339562</v>
          </cell>
          <cell r="E74" t="str">
            <v>SEDANG</v>
          </cell>
          <cell r="F74" t="str">
            <v>Tidak</v>
          </cell>
          <cell r="G74" t="str">
            <v>Tidak</v>
          </cell>
          <cell r="H74" t="str">
            <v>Tidak</v>
          </cell>
          <cell r="I74" t="str">
            <v>Bandar Judol Withdrawal</v>
          </cell>
          <cell r="J74">
            <v>50</v>
          </cell>
          <cell r="K74" t="str">
            <v>86,88,87</v>
          </cell>
          <cell r="L74" t="str">
            <v>Judi Online</v>
          </cell>
          <cell r="M74" t="str">
            <v xml:space="preserve">Kas Kanpus                              </v>
          </cell>
          <cell r="N74" t="str">
            <v xml:space="preserve">Kas Kanpus                              </v>
          </cell>
          <cell r="O74" t="str">
            <v xml:space="preserve">KAS KANPUS                              </v>
          </cell>
          <cell r="R74" t="str">
            <v>Belum TL</v>
          </cell>
          <cell r="S74" t="str">
            <v>Belum TL</v>
          </cell>
          <cell r="T74" t="str">
            <v>90171841 - Rifqi Aziz</v>
          </cell>
          <cell r="U74" t="str">
            <v>"-"</v>
          </cell>
        </row>
        <row r="75">
          <cell r="A75">
            <v>46265</v>
          </cell>
          <cell r="B75" t="str">
            <v xml:space="preserve">ANDRI                                   </v>
          </cell>
          <cell r="C75" t="str">
            <v>ACFPA48</v>
          </cell>
          <cell r="D75">
            <v>50901004807561</v>
          </cell>
          <cell r="E75" t="str">
            <v>SEDANG</v>
          </cell>
          <cell r="F75" t="str">
            <v>Tidak</v>
          </cell>
          <cell r="G75" t="str">
            <v>Tidak</v>
          </cell>
          <cell r="H75" t="str">
            <v>Tidak</v>
          </cell>
          <cell r="I75" t="str">
            <v>Bandar Judol Depo</v>
          </cell>
          <cell r="J75">
            <v>50</v>
          </cell>
          <cell r="K75" t="str">
            <v>86,74,87</v>
          </cell>
          <cell r="L75" t="str">
            <v>Judi Online</v>
          </cell>
          <cell r="M75" t="str">
            <v xml:space="preserve">Kas Kanpus                              </v>
          </cell>
          <cell r="N75" t="str">
            <v xml:space="preserve">Kas Kanpus                              </v>
          </cell>
          <cell r="O75" t="str">
            <v xml:space="preserve">KAS KANPUS                              </v>
          </cell>
          <cell r="R75" t="str">
            <v>Belum TL</v>
          </cell>
          <cell r="S75" t="str">
            <v>Belum TL</v>
          </cell>
          <cell r="T75" t="str">
            <v>90150130 - Intan Aida Pratiwi</v>
          </cell>
          <cell r="U75" t="str">
            <v>"-"</v>
          </cell>
        </row>
        <row r="76">
          <cell r="A76">
            <v>46265</v>
          </cell>
          <cell r="B76" t="str">
            <v xml:space="preserve">ARIF KARYANTO                           </v>
          </cell>
          <cell r="C76" t="str">
            <v>ACFPC87</v>
          </cell>
          <cell r="D76">
            <v>222101031943502</v>
          </cell>
          <cell r="E76" t="str">
            <v>SEDANG</v>
          </cell>
          <cell r="F76" t="str">
            <v>Tidak</v>
          </cell>
          <cell r="G76" t="str">
            <v>Tidak</v>
          </cell>
          <cell r="H76" t="str">
            <v>Tidak</v>
          </cell>
          <cell r="I76" t="str">
            <v>Bandar Judol Withdrawal</v>
          </cell>
          <cell r="J76">
            <v>50</v>
          </cell>
          <cell r="K76" t="str">
            <v>86,88,87</v>
          </cell>
          <cell r="L76" t="str">
            <v>Judi Online</v>
          </cell>
          <cell r="M76" t="str">
            <v xml:space="preserve">Kas Kanpus                              </v>
          </cell>
          <cell r="N76" t="str">
            <v xml:space="preserve">Kas Kanpus                              </v>
          </cell>
          <cell r="O76" t="str">
            <v xml:space="preserve">KAS KANPUS                              </v>
          </cell>
          <cell r="R76" t="str">
            <v>Belum TL</v>
          </cell>
          <cell r="S76" t="str">
            <v>Belum TL</v>
          </cell>
          <cell r="T76" t="str">
            <v>00336949 - Mochammad Al Farabi</v>
          </cell>
          <cell r="U76" t="str">
            <v>"-"</v>
          </cell>
        </row>
        <row r="77">
          <cell r="A77">
            <v>46265</v>
          </cell>
          <cell r="B77" t="str">
            <v xml:space="preserve">ANAK BINJAI GROUP                       </v>
          </cell>
          <cell r="C77" t="str">
            <v>ACFRL16</v>
          </cell>
          <cell r="D77">
            <v>210401000765565</v>
          </cell>
          <cell r="E77" t="str">
            <v>SEDANG</v>
          </cell>
          <cell r="F77" t="str">
            <v>Tidak</v>
          </cell>
          <cell r="G77" t="str">
            <v>Tidak</v>
          </cell>
          <cell r="H77" t="str">
            <v>Tidak</v>
          </cell>
          <cell r="I77" t="str">
            <v>Perpajakan</v>
          </cell>
          <cell r="J77">
            <v>49</v>
          </cell>
          <cell r="K77">
            <v>41</v>
          </cell>
          <cell r="L77" t="str">
            <v>Perpajakan</v>
          </cell>
          <cell r="M77" t="str">
            <v xml:space="preserve">KCP RIAU                                </v>
          </cell>
          <cell r="N77" t="str">
            <v xml:space="preserve">KC Bandung Martadinata                  </v>
          </cell>
          <cell r="O77" t="str">
            <v xml:space="preserve">Bandung                                 </v>
          </cell>
          <cell r="R77" t="str">
            <v>Belum TL</v>
          </cell>
          <cell r="S77" t="str">
            <v>Belum TL</v>
          </cell>
          <cell r="T77" t="str">
            <v>90185537 - Moh.Khoerul Fajar Ar</v>
          </cell>
          <cell r="U77" t="str">
            <v>"-"</v>
          </cell>
        </row>
        <row r="78">
          <cell r="A78">
            <v>46265</v>
          </cell>
          <cell r="B78" t="str">
            <v xml:space="preserve">ACHMAD NOFFITRIANTO                     </v>
          </cell>
          <cell r="C78" t="str">
            <v>ACFW795</v>
          </cell>
          <cell r="D78">
            <v>1501242424564</v>
          </cell>
          <cell r="E78" t="str">
            <v>TINGGI</v>
          </cell>
          <cell r="F78" t="str">
            <v>Tidak</v>
          </cell>
          <cell r="G78" t="str">
            <v>Tidak</v>
          </cell>
          <cell r="H78" t="str">
            <v>Tidak</v>
          </cell>
          <cell r="I78" t="str">
            <v>Korupsi - Significant Trx View</v>
          </cell>
          <cell r="J78">
            <v>85</v>
          </cell>
          <cell r="K78">
            <v>1.19</v>
          </cell>
          <cell r="L78" t="str">
            <v>Korupsi</v>
          </cell>
          <cell r="M78" t="str">
            <v>Kas Kanpus</v>
          </cell>
          <cell r="N78" t="str">
            <v>Kas Kanpus</v>
          </cell>
          <cell r="O78" t="str">
            <v>KAS KANPUS</v>
          </cell>
          <cell r="R78" t="str">
            <v>Belum TL</v>
          </cell>
          <cell r="S78" t="str">
            <v>Belum TL</v>
          </cell>
          <cell r="T78" t="str">
            <v>90185537 - Moh.Khoerul Fajar Ar</v>
          </cell>
          <cell r="U78" t="str">
            <v>"-"</v>
          </cell>
        </row>
        <row r="79">
          <cell r="A79">
            <v>46265</v>
          </cell>
          <cell r="B79" t="str">
            <v xml:space="preserve">ADE SETYA BUDI                          </v>
          </cell>
          <cell r="C79" t="str">
            <v>ACFWP66</v>
          </cell>
          <cell r="D79">
            <v>24301001937565</v>
          </cell>
          <cell r="E79" t="str">
            <v>SEDANG</v>
          </cell>
          <cell r="F79" t="str">
            <v>Tidak</v>
          </cell>
          <cell r="G79" t="str">
            <v>Tidak</v>
          </cell>
          <cell r="H79" t="str">
            <v>Tidak</v>
          </cell>
          <cell r="I79" t="str">
            <v>Bandar Judol Withdrawal</v>
          </cell>
          <cell r="J79">
            <v>50</v>
          </cell>
          <cell r="K79" t="str">
            <v>86,88,87</v>
          </cell>
          <cell r="L79" t="str">
            <v>Judi Online</v>
          </cell>
          <cell r="M79" t="str">
            <v xml:space="preserve">Kas Kanpus                              </v>
          </cell>
          <cell r="N79" t="str">
            <v xml:space="preserve">Kas Kanpus                              </v>
          </cell>
          <cell r="O79" t="str">
            <v xml:space="preserve">KAS KANPUS                              </v>
          </cell>
          <cell r="R79" t="str">
            <v>Belum TL</v>
          </cell>
          <cell r="S79" t="str">
            <v>Belum TL</v>
          </cell>
          <cell r="T79" t="str">
            <v>90185538 - Muhammad Fahikal Auz</v>
          </cell>
          <cell r="U79" t="str">
            <v>"-"</v>
          </cell>
        </row>
        <row r="80">
          <cell r="A80">
            <v>46265</v>
          </cell>
          <cell r="B80" t="str">
            <v xml:space="preserve">ADE SETYA BUDI                          </v>
          </cell>
          <cell r="C80" t="str">
            <v>ACFWP66</v>
          </cell>
          <cell r="D80">
            <v>24301002091566</v>
          </cell>
          <cell r="E80" t="str">
            <v>SEDANG</v>
          </cell>
          <cell r="F80" t="str">
            <v>Tidak</v>
          </cell>
          <cell r="G80" t="str">
            <v>Tidak</v>
          </cell>
          <cell r="H80" t="str">
            <v>Tidak</v>
          </cell>
          <cell r="I80" t="str">
            <v>Perpajakan</v>
          </cell>
          <cell r="J80">
            <v>50</v>
          </cell>
          <cell r="K80">
            <v>1.33</v>
          </cell>
          <cell r="L80" t="str">
            <v>Perpajakan</v>
          </cell>
          <cell r="M80" t="str">
            <v xml:space="preserve">KC Palangkaraya                         </v>
          </cell>
          <cell r="N80" t="str">
            <v xml:space="preserve">KC Palangkaraya                         </v>
          </cell>
          <cell r="O80" t="str">
            <v xml:space="preserve">Banjarmasin                             </v>
          </cell>
          <cell r="R80" t="str">
            <v>Belum TL</v>
          </cell>
          <cell r="S80" t="str">
            <v>Belum TL</v>
          </cell>
          <cell r="T80" t="str">
            <v>90185538 - Muhammad Fahikal Auz</v>
          </cell>
          <cell r="U80" t="str">
            <v>"-"</v>
          </cell>
        </row>
        <row r="81">
          <cell r="A81">
            <v>46265</v>
          </cell>
          <cell r="B81" t="str">
            <v xml:space="preserve">AGRI BEEF INDONESIA                     </v>
          </cell>
          <cell r="C81" t="str">
            <v>ACGSQ30</v>
          </cell>
          <cell r="D81">
            <v>34401002712300</v>
          </cell>
          <cell r="E81" t="str">
            <v>SEDANG</v>
          </cell>
          <cell r="F81" t="str">
            <v>Tidak</v>
          </cell>
          <cell r="G81" t="str">
            <v>Tidak</v>
          </cell>
          <cell r="H81" t="str">
            <v>Tidak</v>
          </cell>
          <cell r="I81" t="str">
            <v>Korupsi - Cash &amp; Amount</v>
          </cell>
          <cell r="J81">
            <v>48</v>
          </cell>
          <cell r="K81" t="str">
            <v>1,2,20</v>
          </cell>
          <cell r="L81" t="str">
            <v>Korupsi</v>
          </cell>
          <cell r="M81" t="str">
            <v>Kas Kanpus</v>
          </cell>
          <cell r="N81" t="str">
            <v>Kas Kanpus</v>
          </cell>
          <cell r="O81" t="str">
            <v>KAS KANPUS</v>
          </cell>
          <cell r="R81" t="str">
            <v>Belum TL</v>
          </cell>
          <cell r="S81" t="str">
            <v>Belum TL</v>
          </cell>
          <cell r="T81" t="str">
            <v>90186790 - Muhammad Alfin Farha</v>
          </cell>
          <cell r="U81" t="str">
            <v>"-"</v>
          </cell>
        </row>
        <row r="82">
          <cell r="A82">
            <v>46265</v>
          </cell>
          <cell r="B82" t="str">
            <v xml:space="preserve">ARI SAFITRI                             </v>
          </cell>
          <cell r="C82" t="str">
            <v>ACGTI69</v>
          </cell>
          <cell r="D82">
            <v>91801065830532</v>
          </cell>
          <cell r="E82" t="str">
            <v>SEDANG</v>
          </cell>
          <cell r="F82" t="str">
            <v>Tidak</v>
          </cell>
          <cell r="G82" t="str">
            <v>Tidak</v>
          </cell>
          <cell r="H82" t="str">
            <v>Tidak</v>
          </cell>
          <cell r="I82" t="str">
            <v>Bandar Judol Withdrawal</v>
          </cell>
          <cell r="J82">
            <v>50</v>
          </cell>
          <cell r="K82" t="str">
            <v>86,88,87</v>
          </cell>
          <cell r="L82" t="str">
            <v>Judi Online</v>
          </cell>
          <cell r="M82" t="str">
            <v xml:space="preserve">Kas Kanpus                              </v>
          </cell>
          <cell r="N82" t="str">
            <v xml:space="preserve">Kas Kanpus                              </v>
          </cell>
          <cell r="O82" t="str">
            <v xml:space="preserve">KAS KANPUS                              </v>
          </cell>
          <cell r="R82" t="str">
            <v>Belum TL</v>
          </cell>
          <cell r="S82" t="str">
            <v>Belum TL</v>
          </cell>
          <cell r="T82" t="str">
            <v>90171841 - Rifqi Aziz</v>
          </cell>
          <cell r="U82" t="str">
            <v>"-"</v>
          </cell>
        </row>
        <row r="83">
          <cell r="A83">
            <v>46265</v>
          </cell>
          <cell r="B83" t="str">
            <v xml:space="preserve">ADYVAN JAYA                             </v>
          </cell>
          <cell r="C83" t="str">
            <v>ACJU460</v>
          </cell>
          <cell r="D83">
            <v>34401502213157</v>
          </cell>
          <cell r="E83" t="str">
            <v>SEDANG</v>
          </cell>
          <cell r="F83" t="str">
            <v>Tidak</v>
          </cell>
          <cell r="G83" t="str">
            <v>Tidak</v>
          </cell>
          <cell r="H83" t="str">
            <v>Tidak</v>
          </cell>
          <cell r="I83" t="str">
            <v>Korupsi - Loan View</v>
          </cell>
          <cell r="J83">
            <v>48</v>
          </cell>
          <cell r="K83">
            <v>15</v>
          </cell>
          <cell r="L83" t="str">
            <v>Korupsi</v>
          </cell>
          <cell r="M83" t="str">
            <v>Kas Kanpus</v>
          </cell>
          <cell r="N83" t="str">
            <v>Kas Kanpus</v>
          </cell>
          <cell r="O83" t="str">
            <v>KAS KANPUS</v>
          </cell>
          <cell r="R83" t="str">
            <v>Belum TL</v>
          </cell>
          <cell r="S83" t="str">
            <v>Belum TL</v>
          </cell>
          <cell r="T83" t="str">
            <v>90170665 - Mutiara Ayuningtyas</v>
          </cell>
          <cell r="U83" t="str">
            <v>"-"</v>
          </cell>
        </row>
        <row r="84">
          <cell r="A84">
            <v>46265</v>
          </cell>
          <cell r="B84" t="str">
            <v xml:space="preserve">AHMAD                                   </v>
          </cell>
          <cell r="C84" t="str">
            <v>ACOXP26</v>
          </cell>
          <cell r="D84">
            <v>530201024169538</v>
          </cell>
          <cell r="E84" t="str">
            <v>SEDANG</v>
          </cell>
          <cell r="F84" t="str">
            <v>Tidak</v>
          </cell>
          <cell r="G84" t="str">
            <v>Tidak</v>
          </cell>
          <cell r="H84" t="str">
            <v>Tidak</v>
          </cell>
          <cell r="I84" t="str">
            <v>Bandar Judol Withdrawal</v>
          </cell>
          <cell r="J84">
            <v>50</v>
          </cell>
          <cell r="K84" t="str">
            <v>86,88,87</v>
          </cell>
          <cell r="L84" t="str">
            <v>Judi Online</v>
          </cell>
          <cell r="M84" t="str">
            <v xml:space="preserve">Kas Kanpus                              </v>
          </cell>
          <cell r="N84" t="str">
            <v xml:space="preserve">Kas Kanpus                              </v>
          </cell>
          <cell r="O84" t="str">
            <v xml:space="preserve">KAS KANPUS                              </v>
          </cell>
          <cell r="R84" t="str">
            <v>Belum TL</v>
          </cell>
          <cell r="S84" t="str">
            <v>Belum TL</v>
          </cell>
          <cell r="T84" t="str">
            <v>00394520 - Frida Akbar Rani</v>
          </cell>
          <cell r="U84" t="str">
            <v>"-"</v>
          </cell>
        </row>
        <row r="85">
          <cell r="A85">
            <v>46265</v>
          </cell>
          <cell r="B85" t="str">
            <v xml:space="preserve">ARIF MAHFUDHI                           </v>
          </cell>
          <cell r="C85" t="str">
            <v>ACPCI76</v>
          </cell>
          <cell r="D85">
            <v>92401008770502</v>
          </cell>
          <cell r="E85" t="str">
            <v>SEDANG</v>
          </cell>
          <cell r="F85" t="str">
            <v>Tidak</v>
          </cell>
          <cell r="G85" t="str">
            <v>Tidak</v>
          </cell>
          <cell r="H85" t="str">
            <v>Tidak</v>
          </cell>
          <cell r="I85" t="str">
            <v>Bandar Judol Withdrawal</v>
          </cell>
          <cell r="J85">
            <v>50</v>
          </cell>
          <cell r="K85" t="str">
            <v>86,88,87</v>
          </cell>
          <cell r="L85" t="str">
            <v>Judi Online</v>
          </cell>
          <cell r="M85" t="str">
            <v xml:space="preserve">Kas Kanpus                              </v>
          </cell>
          <cell r="N85" t="str">
            <v xml:space="preserve">Kas Kanpus                              </v>
          </cell>
          <cell r="O85" t="str">
            <v xml:space="preserve">KAS KANPUS                              </v>
          </cell>
          <cell r="R85" t="str">
            <v>Belum TL</v>
          </cell>
          <cell r="S85" t="str">
            <v>Belum TL</v>
          </cell>
          <cell r="T85" t="str">
            <v>00394521 - Muhammad Hibbanduta</v>
          </cell>
          <cell r="U85" t="str">
            <v>"-"</v>
          </cell>
        </row>
        <row r="86">
          <cell r="A86">
            <v>46265</v>
          </cell>
          <cell r="B86" t="str">
            <v xml:space="preserve">AMRI NANTA WIBOWO                       </v>
          </cell>
          <cell r="C86" t="str">
            <v>ACPEE47</v>
          </cell>
          <cell r="D86">
            <v>204901018289507</v>
          </cell>
          <cell r="E86" t="str">
            <v>RENDAH</v>
          </cell>
          <cell r="F86" t="str">
            <v>Tidak</v>
          </cell>
          <cell r="G86" t="str">
            <v>Tidak</v>
          </cell>
          <cell r="H86" t="str">
            <v>Tidak</v>
          </cell>
          <cell r="I86" t="str">
            <v>Bandar Judol Withdrawal</v>
          </cell>
          <cell r="J86">
            <v>35</v>
          </cell>
          <cell r="K86" t="str">
            <v>86,88,87</v>
          </cell>
          <cell r="L86" t="str">
            <v>Judi Online</v>
          </cell>
          <cell r="M86" t="str">
            <v xml:space="preserve">Kas Kanpus                              </v>
          </cell>
          <cell r="N86" t="str">
            <v xml:space="preserve">Kas Kanpus                              </v>
          </cell>
          <cell r="O86" t="str">
            <v xml:space="preserve">KAS KANPUS                              </v>
          </cell>
          <cell r="R86" t="str">
            <v>Belum TL</v>
          </cell>
          <cell r="S86" t="str">
            <v>Belum TL</v>
          </cell>
          <cell r="T86" t="str">
            <v>90185538 - Muhammad Fahikal Auz</v>
          </cell>
          <cell r="U86" t="str">
            <v>"-"</v>
          </cell>
        </row>
        <row r="87">
          <cell r="A87">
            <v>46265</v>
          </cell>
          <cell r="B87" t="str">
            <v xml:space="preserve">ANNISA TRI OCTAVIANI                    </v>
          </cell>
          <cell r="C87" t="str">
            <v>ACPLB31</v>
          </cell>
          <cell r="D87">
            <v>5534790101135500</v>
          </cell>
          <cell r="E87" t="str">
            <v>SEDANG</v>
          </cell>
          <cell r="F87" t="str">
            <v>Tidak</v>
          </cell>
          <cell r="G87" t="str">
            <v>Tidak</v>
          </cell>
          <cell r="H87" t="str">
            <v>Tidak</v>
          </cell>
          <cell r="I87" t="str">
            <v>Anomali Transaksi Kartu Kredit</v>
          </cell>
          <cell r="J87">
            <v>45</v>
          </cell>
          <cell r="K87">
            <v>117</v>
          </cell>
          <cell r="L87" t="str">
            <v>Anomali Transaksi Kartu Kredit</v>
          </cell>
          <cell r="M87" t="str">
            <v xml:space="preserve">Kas Kanpus                              </v>
          </cell>
          <cell r="N87" t="str">
            <v xml:space="preserve">Kas Kanpus                              </v>
          </cell>
          <cell r="O87" t="str">
            <v xml:space="preserve">KAS KANPUS                              </v>
          </cell>
          <cell r="R87" t="str">
            <v>Belum TL</v>
          </cell>
          <cell r="S87" t="str">
            <v>Belum TL</v>
          </cell>
          <cell r="T87" t="str">
            <v>00336949 - Mochammad Al Farabi</v>
          </cell>
          <cell r="U87" t="str">
            <v>"-"</v>
          </cell>
        </row>
        <row r="88">
          <cell r="A88">
            <v>46265</v>
          </cell>
          <cell r="B88" t="str">
            <v xml:space="preserve">ANNISA TRI OCTAVIANI                    </v>
          </cell>
          <cell r="C88" t="str">
            <v>ACPLB31</v>
          </cell>
          <cell r="D88">
            <v>5534790101135600</v>
          </cell>
          <cell r="E88" t="str">
            <v>SEDANG</v>
          </cell>
          <cell r="F88" t="str">
            <v>Tidak</v>
          </cell>
          <cell r="G88" t="str">
            <v>Tidak</v>
          </cell>
          <cell r="H88" t="str">
            <v>Tidak</v>
          </cell>
          <cell r="I88" t="str">
            <v>Anomali Transaksi Kartu Kredit</v>
          </cell>
          <cell r="J88">
            <v>45</v>
          </cell>
          <cell r="K88">
            <v>117</v>
          </cell>
          <cell r="L88" t="str">
            <v>Anomali Transaksi Kartu Kredit</v>
          </cell>
          <cell r="M88" t="str">
            <v xml:space="preserve">Kas Kanpus                              </v>
          </cell>
          <cell r="N88" t="str">
            <v xml:space="preserve">Kas Kanpus                              </v>
          </cell>
          <cell r="O88" t="str">
            <v xml:space="preserve">KAS KANPUS                              </v>
          </cell>
          <cell r="R88" t="str">
            <v>Belum TL</v>
          </cell>
          <cell r="S88" t="str">
            <v>Belum TL</v>
          </cell>
          <cell r="T88" t="str">
            <v>00394520 - Frida Akbar Rani</v>
          </cell>
          <cell r="U88" t="str">
            <v>"-"</v>
          </cell>
        </row>
        <row r="89">
          <cell r="A89">
            <v>46265</v>
          </cell>
          <cell r="B89" t="str">
            <v xml:space="preserve">ANNISA TRI OCTAVIANI                    </v>
          </cell>
          <cell r="C89" t="str">
            <v>ACPLB31</v>
          </cell>
          <cell r="D89">
            <v>5534790101135700</v>
          </cell>
          <cell r="E89" t="str">
            <v>SEDANG</v>
          </cell>
          <cell r="F89" t="str">
            <v>Tidak</v>
          </cell>
          <cell r="G89" t="str">
            <v>Tidak</v>
          </cell>
          <cell r="H89" t="str">
            <v>Tidak</v>
          </cell>
          <cell r="I89" t="str">
            <v>Anomali Transaksi Kartu Kredit</v>
          </cell>
          <cell r="J89">
            <v>45</v>
          </cell>
          <cell r="K89">
            <v>117</v>
          </cell>
          <cell r="L89" t="str">
            <v>Anomali Transaksi Kartu Kredit</v>
          </cell>
          <cell r="M89" t="str">
            <v xml:space="preserve">Kas Kanpus                              </v>
          </cell>
          <cell r="N89" t="str">
            <v xml:space="preserve">Kas Kanpus                              </v>
          </cell>
          <cell r="O89" t="str">
            <v xml:space="preserve">KAS KANPUS                              </v>
          </cell>
          <cell r="R89" t="str">
            <v>Belum TL</v>
          </cell>
          <cell r="S89" t="str">
            <v>Belum TL</v>
          </cell>
          <cell r="T89" t="str">
            <v>00394521 - Muhammad Hibbanduta</v>
          </cell>
          <cell r="U89" t="str">
            <v>"-"</v>
          </cell>
        </row>
        <row r="90">
          <cell r="A90">
            <v>46265</v>
          </cell>
          <cell r="B90" t="str">
            <v xml:space="preserve">ANNISA TRI OCTAVIANI                    </v>
          </cell>
          <cell r="C90" t="str">
            <v>ACPLB31</v>
          </cell>
          <cell r="D90">
            <v>5534790101135800</v>
          </cell>
          <cell r="E90" t="str">
            <v>SEDANG</v>
          </cell>
          <cell r="F90" t="str">
            <v>Tidak</v>
          </cell>
          <cell r="G90" t="str">
            <v>Tidak</v>
          </cell>
          <cell r="H90" t="str">
            <v>Tidak</v>
          </cell>
          <cell r="I90" t="str">
            <v>Anomali Transaksi Kartu Kredit</v>
          </cell>
          <cell r="J90">
            <v>45</v>
          </cell>
          <cell r="K90">
            <v>117</v>
          </cell>
          <cell r="L90" t="str">
            <v>Anomali Transaksi Kartu Kredit</v>
          </cell>
          <cell r="M90" t="str">
            <v xml:space="preserve">Kas Kanpus                              </v>
          </cell>
          <cell r="N90" t="str">
            <v xml:space="preserve">Kas Kanpus                              </v>
          </cell>
          <cell r="O90" t="str">
            <v xml:space="preserve">KAS KANPUS                              </v>
          </cell>
          <cell r="R90" t="str">
            <v>Belum TL</v>
          </cell>
          <cell r="S90" t="str">
            <v>Belum TL</v>
          </cell>
          <cell r="T90" t="str">
            <v>90150130 - Intan Aida Pratiwi</v>
          </cell>
          <cell r="U90" t="str">
            <v>"-"</v>
          </cell>
        </row>
        <row r="91">
          <cell r="A91">
            <v>46265</v>
          </cell>
          <cell r="B91" t="str">
            <v xml:space="preserve">AMAL JUM'AT MASJID AL MANAR             </v>
          </cell>
          <cell r="C91" t="str">
            <v>ACPMC89</v>
          </cell>
          <cell r="D91">
            <v>612901000004565</v>
          </cell>
          <cell r="E91" t="str">
            <v>SEDANG</v>
          </cell>
          <cell r="F91" t="str">
            <v>Tidak</v>
          </cell>
          <cell r="G91" t="str">
            <v>Tidak</v>
          </cell>
          <cell r="H91" t="str">
            <v>Tidak</v>
          </cell>
          <cell r="I91" t="str">
            <v>Perpajakan</v>
          </cell>
          <cell r="J91">
            <v>48</v>
          </cell>
          <cell r="K91">
            <v>41</v>
          </cell>
          <cell r="L91" t="str">
            <v>Perpajakan</v>
          </cell>
          <cell r="M91" t="str">
            <v xml:space="preserve">UNIT SAMBIREJO BANYUWANGI               </v>
          </cell>
          <cell r="N91" t="str">
            <v xml:space="preserve">KC Banyuwangi                           </v>
          </cell>
          <cell r="O91" t="str">
            <v xml:space="preserve">KANWIL MALANG                           </v>
          </cell>
          <cell r="R91" t="str">
            <v>Belum TL</v>
          </cell>
          <cell r="S91" t="str">
            <v>Belum TL</v>
          </cell>
          <cell r="T91" t="str">
            <v>90170665 - Mutiara Ayuningtyas</v>
          </cell>
          <cell r="U91" t="str">
            <v>"-"</v>
          </cell>
        </row>
        <row r="92">
          <cell r="A92">
            <v>46265</v>
          </cell>
          <cell r="B92" t="str">
            <v xml:space="preserve">ALDO MARIVIN                            </v>
          </cell>
          <cell r="C92" t="str">
            <v>ACOPD08</v>
          </cell>
          <cell r="D92">
            <v>549001001105502</v>
          </cell>
          <cell r="E92" t="str">
            <v>SEDANG</v>
          </cell>
          <cell r="F92" t="str">
            <v>Tidak</v>
          </cell>
          <cell r="G92" t="str">
            <v>Tidak</v>
          </cell>
          <cell r="H92" t="str">
            <v>Tidak</v>
          </cell>
          <cell r="I92" t="str">
            <v>Bandar Judol Depo</v>
          </cell>
          <cell r="J92">
            <v>50</v>
          </cell>
          <cell r="K92" t="str">
            <v>86,74,87</v>
          </cell>
          <cell r="L92" t="str">
            <v>Judi Online</v>
          </cell>
          <cell r="M92" t="str">
            <v xml:space="preserve">Kas Kanpus                              </v>
          </cell>
          <cell r="N92" t="str">
            <v xml:space="preserve">Kas Kanpus                              </v>
          </cell>
          <cell r="O92" t="str">
            <v xml:space="preserve">KAS KANPUS                              </v>
          </cell>
          <cell r="R92" t="str">
            <v>Belum TL</v>
          </cell>
          <cell r="S92" t="str">
            <v>Belum TL</v>
          </cell>
          <cell r="T92" t="str">
            <v>90170665 - Mutiara Ayuningtyas</v>
          </cell>
          <cell r="U92" t="str">
            <v>"-"</v>
          </cell>
        </row>
        <row r="93">
          <cell r="A93">
            <v>46265</v>
          </cell>
          <cell r="B93" t="str">
            <v xml:space="preserve">ADE KAMARIAH                            </v>
          </cell>
          <cell r="C93" t="str">
            <v>ACQC552</v>
          </cell>
          <cell r="D93">
            <v>52201017702504</v>
          </cell>
          <cell r="E93" t="str">
            <v>SEDANG</v>
          </cell>
          <cell r="F93" t="str">
            <v>Tidak</v>
          </cell>
          <cell r="G93" t="str">
            <v>Tidak</v>
          </cell>
          <cell r="H93" t="str">
            <v>Tidak</v>
          </cell>
          <cell r="I93" t="str">
            <v>Bandar Judol Withdrawal</v>
          </cell>
          <cell r="J93">
            <v>50</v>
          </cell>
          <cell r="K93" t="str">
            <v>86,88,87</v>
          </cell>
          <cell r="L93" t="str">
            <v>Judi Online</v>
          </cell>
          <cell r="M93" t="str">
            <v xml:space="preserve">Kas Kanpus                              </v>
          </cell>
          <cell r="N93" t="str">
            <v xml:space="preserve">Kas Kanpus                              </v>
          </cell>
          <cell r="O93" t="str">
            <v xml:space="preserve">KAS KANPUS                              </v>
          </cell>
          <cell r="R93" t="str">
            <v>Belum TL</v>
          </cell>
          <cell r="S93" t="str">
            <v>Belum TL</v>
          </cell>
          <cell r="T93" t="str">
            <v>90170665 - Mutiara Ayuningtyas</v>
          </cell>
          <cell r="U93" t="str">
            <v>"-"</v>
          </cell>
        </row>
        <row r="94">
          <cell r="A94">
            <v>46265</v>
          </cell>
          <cell r="B94" t="str">
            <v xml:space="preserve">AHMAD EFENDI                            </v>
          </cell>
          <cell r="C94" t="str">
            <v>ACRB203</v>
          </cell>
          <cell r="D94">
            <v>4359720200902400</v>
          </cell>
          <cell r="E94" t="str">
            <v>SEDANG</v>
          </cell>
          <cell r="F94" t="str">
            <v>Tidak</v>
          </cell>
          <cell r="G94" t="str">
            <v>Tidak</v>
          </cell>
          <cell r="H94" t="str">
            <v>Tidak</v>
          </cell>
          <cell r="I94" t="str">
            <v>Penghindaran Pajak (Transaksi Fiktif)/Penyuapan CC</v>
          </cell>
          <cell r="J94">
            <v>45</v>
          </cell>
          <cell r="K94">
            <v>118</v>
          </cell>
          <cell r="L94" t="str">
            <v>Penyuapan / Penghindaran Pajak CC View</v>
          </cell>
          <cell r="M94" t="str">
            <v xml:space="preserve">Kas Kanpus                              </v>
          </cell>
          <cell r="N94" t="str">
            <v xml:space="preserve">Kas Kanpus                              </v>
          </cell>
          <cell r="O94" t="str">
            <v xml:space="preserve">KAS KANPUS                              </v>
          </cell>
          <cell r="R94" t="str">
            <v>Belum TL</v>
          </cell>
          <cell r="S94" t="str">
            <v>Belum TL</v>
          </cell>
          <cell r="T94" t="str">
            <v>90171841 - Rifqi Aziz</v>
          </cell>
          <cell r="U94" t="str">
            <v>"-"</v>
          </cell>
        </row>
        <row r="95">
          <cell r="A95">
            <v>46265</v>
          </cell>
          <cell r="B95" t="str">
            <v xml:space="preserve">AYODA GLOBAL RAYA                       </v>
          </cell>
          <cell r="C95" t="str">
            <v>ACXAN21</v>
          </cell>
          <cell r="D95">
            <v>50505000001501</v>
          </cell>
          <cell r="F95" t="str">
            <v>Tidak</v>
          </cell>
          <cell r="G95" t="str">
            <v>Tidak</v>
          </cell>
          <cell r="H95" t="str">
            <v>Tidak</v>
          </cell>
          <cell r="I95" t="str">
            <v>Perpajakan</v>
          </cell>
          <cell r="J95">
            <v>33</v>
          </cell>
          <cell r="K95">
            <v>41</v>
          </cell>
          <cell r="L95" t="str">
            <v>Perpajakan</v>
          </cell>
          <cell r="M95" t="str">
            <v xml:space="preserve">KCP Central Park                        </v>
          </cell>
          <cell r="N95" t="str">
            <v xml:space="preserve">KC Jakarta Tanjung Duren                </v>
          </cell>
          <cell r="O95" t="str">
            <v xml:space="preserve">KANWIL JAKARTA 3                        </v>
          </cell>
          <cell r="R95" t="str">
            <v>Belum TL</v>
          </cell>
          <cell r="S95" t="str">
            <v>Belum TL</v>
          </cell>
          <cell r="T95" t="str">
            <v>90170665 - Mutiara Ayuningtyas</v>
          </cell>
          <cell r="U95" t="str">
            <v>"-"</v>
          </cell>
        </row>
        <row r="96">
          <cell r="A96">
            <v>46265</v>
          </cell>
          <cell r="B96" t="str">
            <v xml:space="preserve">AYODA DATA ADIWANGSA                    </v>
          </cell>
          <cell r="C96" t="str">
            <v>ACXLF60</v>
          </cell>
          <cell r="D96">
            <v>50501000650306</v>
          </cell>
          <cell r="F96" t="str">
            <v>Tidak</v>
          </cell>
          <cell r="G96" t="str">
            <v>Tidak</v>
          </cell>
          <cell r="H96" t="str">
            <v>Tidak</v>
          </cell>
          <cell r="I96" t="str">
            <v>Perpajakan</v>
          </cell>
          <cell r="J96">
            <v>36</v>
          </cell>
          <cell r="K96">
            <v>41</v>
          </cell>
          <cell r="L96" t="str">
            <v>Perpajakan</v>
          </cell>
          <cell r="M96" t="str">
            <v xml:space="preserve">KCP Central Park                        </v>
          </cell>
          <cell r="N96" t="str">
            <v xml:space="preserve">KC Jakarta Tanjung Duren                </v>
          </cell>
          <cell r="O96" t="str">
            <v xml:space="preserve">KANWIL JAKARTA 3                        </v>
          </cell>
          <cell r="R96" t="str">
            <v>Belum TL</v>
          </cell>
          <cell r="S96" t="str">
            <v>Belum TL</v>
          </cell>
          <cell r="T96" t="str">
            <v>90185537 - Moh.Khoerul Fajar Ar</v>
          </cell>
          <cell r="U96" t="str">
            <v>"-"</v>
          </cell>
        </row>
        <row r="97">
          <cell r="A97">
            <v>46265</v>
          </cell>
          <cell r="B97" t="str">
            <v xml:space="preserve">AGUNG SUSENO TRI WIBOWO                 </v>
          </cell>
          <cell r="C97" t="str">
            <v>ACUW140</v>
          </cell>
          <cell r="D97">
            <v>51201000608156</v>
          </cell>
          <cell r="E97" t="str">
            <v>SEDANG</v>
          </cell>
          <cell r="F97" t="str">
            <v>Tidak</v>
          </cell>
          <cell r="G97" t="str">
            <v>Tidak</v>
          </cell>
          <cell r="H97" t="str">
            <v>Tidak</v>
          </cell>
          <cell r="I97" t="str">
            <v>Korupsi - Loan View</v>
          </cell>
          <cell r="J97">
            <v>48</v>
          </cell>
          <cell r="K97">
            <v>15</v>
          </cell>
          <cell r="L97" t="str">
            <v>Korupsi</v>
          </cell>
          <cell r="M97" t="str">
            <v>Kas Kanpus</v>
          </cell>
          <cell r="N97" t="str">
            <v>Kas Kanpus</v>
          </cell>
          <cell r="O97" t="str">
            <v>KAS KANPUS</v>
          </cell>
          <cell r="R97" t="str">
            <v>Belum TL</v>
          </cell>
          <cell r="S97" t="str">
            <v>Belum TL</v>
          </cell>
          <cell r="T97" t="str">
            <v>90170665 - Mutiara Ayuningtyas</v>
          </cell>
          <cell r="U97" t="str">
            <v>"-"</v>
          </cell>
        </row>
        <row r="98">
          <cell r="A98">
            <v>46265</v>
          </cell>
          <cell r="B98" t="str">
            <v xml:space="preserve">ANDIS RACHMADAN                         </v>
          </cell>
          <cell r="C98" t="str">
            <v>ACYU848</v>
          </cell>
          <cell r="D98">
            <v>4359720235029600</v>
          </cell>
          <cell r="E98" t="str">
            <v>SEDANG</v>
          </cell>
          <cell r="F98" t="str">
            <v>Tidak</v>
          </cell>
          <cell r="G98" t="str">
            <v>Tidak</v>
          </cell>
          <cell r="H98" t="str">
            <v>Tidak</v>
          </cell>
          <cell r="I98" t="str">
            <v>Anomali Transaksi Kartu Kredit</v>
          </cell>
          <cell r="J98">
            <v>45</v>
          </cell>
          <cell r="K98">
            <v>117</v>
          </cell>
          <cell r="L98" t="str">
            <v>Anomali Transaksi Kartu Kredit</v>
          </cell>
          <cell r="M98" t="str">
            <v xml:space="preserve">Kas Kanpus                              </v>
          </cell>
          <cell r="N98" t="str">
            <v xml:space="preserve">Kas Kanpus                              </v>
          </cell>
          <cell r="O98" t="str">
            <v xml:space="preserve">KAS KANPUS                              </v>
          </cell>
          <cell r="R98" t="str">
            <v>Belum TL</v>
          </cell>
          <cell r="S98" t="str">
            <v>Belum TL</v>
          </cell>
          <cell r="T98" t="str">
            <v>90170665 - Mutiara Ayuningtyas</v>
          </cell>
          <cell r="U98" t="str">
            <v>"-"</v>
          </cell>
        </row>
        <row r="99">
          <cell r="A99">
            <v>46265</v>
          </cell>
          <cell r="B99" t="str">
            <v xml:space="preserve">ANDREAN SANJAYA                         </v>
          </cell>
          <cell r="C99" t="str">
            <v>ADBDR60</v>
          </cell>
          <cell r="D99">
            <v>134201001335536</v>
          </cell>
          <cell r="F99" t="str">
            <v>Tidak</v>
          </cell>
          <cell r="G99" t="str">
            <v>Tidak</v>
          </cell>
          <cell r="H99" t="str">
            <v>Tidak</v>
          </cell>
          <cell r="I99" t="str">
            <v>Bandar Judol Withdrawal</v>
          </cell>
          <cell r="J99">
            <v>35</v>
          </cell>
          <cell r="K99" t="str">
            <v>86,88,87</v>
          </cell>
          <cell r="L99" t="str">
            <v>Judi Online</v>
          </cell>
          <cell r="M99" t="str">
            <v xml:space="preserve">Kas Kanpus                              </v>
          </cell>
          <cell r="N99" t="str">
            <v xml:space="preserve">Kas Kanpus                              </v>
          </cell>
          <cell r="O99" t="str">
            <v xml:space="preserve">KAS KANPUS                              </v>
          </cell>
          <cell r="R99" t="str">
            <v>Belum TL</v>
          </cell>
          <cell r="S99" t="str">
            <v>Belum TL</v>
          </cell>
          <cell r="T99" t="str">
            <v>90185537 - Moh.Khoerul Fajar Ar</v>
          </cell>
          <cell r="U99" t="str">
            <v>"-"</v>
          </cell>
        </row>
        <row r="100">
          <cell r="A100">
            <v>46265</v>
          </cell>
          <cell r="B100" t="str">
            <v xml:space="preserve">ANISAH                                  </v>
          </cell>
          <cell r="C100" t="str">
            <v>ADBUS07</v>
          </cell>
          <cell r="D100">
            <v>417301023650504</v>
          </cell>
          <cell r="F100" t="str">
            <v>Tidak</v>
          </cell>
          <cell r="G100" t="str">
            <v>Tidak</v>
          </cell>
          <cell r="H100" t="str">
            <v>Tidak</v>
          </cell>
          <cell r="I100" t="str">
            <v>Bandar Judol Withdrawal</v>
          </cell>
          <cell r="J100">
            <v>35</v>
          </cell>
          <cell r="K100" t="str">
            <v>86,88,87</v>
          </cell>
          <cell r="L100" t="str">
            <v>Judi Online</v>
          </cell>
          <cell r="M100" t="str">
            <v xml:space="preserve">Kas Kanpus                              </v>
          </cell>
          <cell r="N100" t="str">
            <v xml:space="preserve">Kas Kanpus                              </v>
          </cell>
          <cell r="O100" t="str">
            <v xml:space="preserve">KAS KANPUS                              </v>
          </cell>
          <cell r="R100" t="str">
            <v>Belum TL</v>
          </cell>
          <cell r="S100" t="str">
            <v>Belum TL</v>
          </cell>
          <cell r="T100" t="str">
            <v>00394520 - Frida Akbar Rani</v>
          </cell>
          <cell r="U100" t="str">
            <v>"-"</v>
          </cell>
        </row>
        <row r="101">
          <cell r="A101">
            <v>46265</v>
          </cell>
          <cell r="B101" t="str">
            <v xml:space="preserve">AVELINUS IRENIUS FAHIBEREK              </v>
          </cell>
          <cell r="C101" t="str">
            <v>ADCC679</v>
          </cell>
          <cell r="D101">
            <v>26701014050100</v>
          </cell>
          <cell r="E101" t="str">
            <v>RENDAH</v>
          </cell>
          <cell r="F101" t="str">
            <v>Tidak</v>
          </cell>
          <cell r="G101" t="str">
            <v>Tidak</v>
          </cell>
          <cell r="H101" t="str">
            <v>Tidak</v>
          </cell>
          <cell r="I101" t="str">
            <v>Korupsi - Loan View</v>
          </cell>
          <cell r="J101">
            <v>33</v>
          </cell>
          <cell r="K101">
            <v>15</v>
          </cell>
          <cell r="L101" t="str">
            <v>Korupsi</v>
          </cell>
          <cell r="M101" t="str">
            <v>Kas Kanpus</v>
          </cell>
          <cell r="N101" t="str">
            <v>Kas Kanpus</v>
          </cell>
          <cell r="O101" t="str">
            <v>KAS KANPUS</v>
          </cell>
          <cell r="R101" t="str">
            <v>Belum TL</v>
          </cell>
          <cell r="S101" t="str">
            <v>Belum TL</v>
          </cell>
          <cell r="T101" t="str">
            <v>00394520 - Frida Akbar Rani</v>
          </cell>
          <cell r="U101" t="str">
            <v>"-"</v>
          </cell>
        </row>
        <row r="102">
          <cell r="A102">
            <v>46265</v>
          </cell>
          <cell r="B102" t="str">
            <v xml:space="preserve">ANTONIUS                                </v>
          </cell>
          <cell r="C102" t="str">
            <v>ADELM68</v>
          </cell>
          <cell r="D102">
            <v>354101025287509</v>
          </cell>
          <cell r="F102" t="str">
            <v>Tidak</v>
          </cell>
          <cell r="G102" t="str">
            <v>Tidak</v>
          </cell>
          <cell r="H102" t="str">
            <v>Tidak</v>
          </cell>
          <cell r="I102" t="str">
            <v>Bandar Judol Withdrawal</v>
          </cell>
          <cell r="J102">
            <v>35</v>
          </cell>
          <cell r="K102" t="str">
            <v>86,88,87</v>
          </cell>
          <cell r="L102" t="str">
            <v>Judi Online</v>
          </cell>
          <cell r="M102" t="str">
            <v xml:space="preserve">Kas Kanpus                              </v>
          </cell>
          <cell r="N102" t="str">
            <v xml:space="preserve">Kas Kanpus                              </v>
          </cell>
          <cell r="O102" t="str">
            <v xml:space="preserve">KAS KANPUS                              </v>
          </cell>
          <cell r="R102" t="str">
            <v>Belum TL</v>
          </cell>
          <cell r="S102" t="str">
            <v>Belum TL</v>
          </cell>
          <cell r="T102" t="str">
            <v>90185538 - Muhammad Fahikal Auz</v>
          </cell>
          <cell r="U102" t="str">
            <v>"-"</v>
          </cell>
        </row>
        <row r="103">
          <cell r="A103">
            <v>46265</v>
          </cell>
          <cell r="B103" t="str">
            <v xml:space="preserve">ANDRE EFFENDI                           </v>
          </cell>
          <cell r="C103" t="str">
            <v>ADERD39</v>
          </cell>
          <cell r="D103">
            <v>40401061574509</v>
          </cell>
          <cell r="F103" t="str">
            <v>Tidak</v>
          </cell>
          <cell r="G103" t="str">
            <v>Tidak</v>
          </cell>
          <cell r="H103" t="str">
            <v>Tidak</v>
          </cell>
          <cell r="I103" t="str">
            <v>Bandar Judol Withdrawal</v>
          </cell>
          <cell r="J103">
            <v>35</v>
          </cell>
          <cell r="K103" t="str">
            <v>86,88,87</v>
          </cell>
          <cell r="L103" t="str">
            <v>Judi Online</v>
          </cell>
          <cell r="M103" t="str">
            <v xml:space="preserve">Kas Kanpus                              </v>
          </cell>
          <cell r="N103" t="str">
            <v xml:space="preserve">Kas Kanpus                              </v>
          </cell>
          <cell r="O103" t="str">
            <v xml:space="preserve">KAS KANPUS                              </v>
          </cell>
          <cell r="R103" t="str">
            <v>Belum TL</v>
          </cell>
          <cell r="S103" t="str">
            <v>Belum TL</v>
          </cell>
          <cell r="T103" t="str">
            <v>00394521 - Muhammad Hibbanduta</v>
          </cell>
          <cell r="U103" t="str">
            <v>"-"</v>
          </cell>
        </row>
        <row r="104">
          <cell r="A104">
            <v>46265</v>
          </cell>
          <cell r="B104" t="str">
            <v xml:space="preserve">AHMAD YUSRI                             </v>
          </cell>
          <cell r="C104" t="str">
            <v>ADDKA30</v>
          </cell>
          <cell r="D104">
            <v>60501002962561</v>
          </cell>
          <cell r="F104" t="str">
            <v>Tidak</v>
          </cell>
          <cell r="G104" t="str">
            <v>Tidak</v>
          </cell>
          <cell r="H104" t="str">
            <v>Tidak</v>
          </cell>
          <cell r="I104" t="str">
            <v>Bandar Judol Withdrawal</v>
          </cell>
          <cell r="J104">
            <v>35</v>
          </cell>
          <cell r="K104" t="str">
            <v>86,88,87</v>
          </cell>
          <cell r="L104" t="str">
            <v>Judi Online</v>
          </cell>
          <cell r="M104" t="str">
            <v xml:space="preserve">Kas Kanpus                              </v>
          </cell>
          <cell r="N104" t="str">
            <v xml:space="preserve">Kas Kanpus                              </v>
          </cell>
          <cell r="O104" t="str">
            <v xml:space="preserve">KAS KANPUS                              </v>
          </cell>
          <cell r="R104" t="str">
            <v>Belum TL</v>
          </cell>
          <cell r="S104" t="str">
            <v>Belum TL</v>
          </cell>
          <cell r="T104" t="str">
            <v>00394521 - Muhammad Hibbanduta</v>
          </cell>
          <cell r="U104" t="str">
            <v>"-"</v>
          </cell>
        </row>
        <row r="105">
          <cell r="A105">
            <v>46265</v>
          </cell>
          <cell r="B105" t="str">
            <v>ADHIBALARAJA INTERNATIONAL INDUSTRIAL PA</v>
          </cell>
          <cell r="C105" t="str">
            <v>ADEWK77</v>
          </cell>
          <cell r="D105">
            <v>1801004656309</v>
          </cell>
          <cell r="F105" t="str">
            <v>Tidak</v>
          </cell>
          <cell r="G105" t="str">
            <v>Tidak</v>
          </cell>
          <cell r="H105" t="str">
            <v>Tidak</v>
          </cell>
          <cell r="I105" t="str">
            <v>Perpajakan</v>
          </cell>
          <cell r="J105">
            <v>33</v>
          </cell>
          <cell r="K105">
            <v>41</v>
          </cell>
          <cell r="L105" t="str">
            <v>Perpajakan</v>
          </cell>
          <cell r="M105" t="str">
            <v xml:space="preserve">KC Jakarta Tanah Abang                  </v>
          </cell>
          <cell r="N105" t="str">
            <v xml:space="preserve">KC Jakarta Tanah Abang                  </v>
          </cell>
          <cell r="O105" t="str">
            <v xml:space="preserve">DKI                                     </v>
          </cell>
          <cell r="R105" t="str">
            <v>Belum TL</v>
          </cell>
          <cell r="S105" t="str">
            <v>Belum TL</v>
          </cell>
          <cell r="T105" t="str">
            <v>90150130 - Intan Aida Pratiwi</v>
          </cell>
          <cell r="U105" t="str">
            <v>"-"</v>
          </cell>
        </row>
        <row r="106">
          <cell r="A106">
            <v>46265</v>
          </cell>
          <cell r="B106" t="str">
            <v xml:space="preserve">ARDANA ARDIYANTO                        </v>
          </cell>
          <cell r="C106" t="str">
            <v>ADEZ936</v>
          </cell>
          <cell r="D106">
            <v>4359720207312900</v>
          </cell>
          <cell r="E106" t="str">
            <v>SEDANG</v>
          </cell>
          <cell r="F106" t="str">
            <v>Tidak</v>
          </cell>
          <cell r="G106" t="str">
            <v>Tidak</v>
          </cell>
          <cell r="H106" t="str">
            <v>Tidak</v>
          </cell>
          <cell r="I106" t="str">
            <v>Penyuapan - CC View</v>
          </cell>
          <cell r="J106">
            <v>45</v>
          </cell>
          <cell r="K106">
            <v>16.170000000000002</v>
          </cell>
          <cell r="L106" t="str">
            <v>Penyuapan</v>
          </cell>
          <cell r="M106" t="str">
            <v xml:space="preserve">Kas Kanpus                              </v>
          </cell>
          <cell r="N106" t="str">
            <v xml:space="preserve">Kas Kanpus                              </v>
          </cell>
          <cell r="O106" t="str">
            <v xml:space="preserve">KAS KANPUS                              </v>
          </cell>
          <cell r="R106" t="str">
            <v>Belum TL</v>
          </cell>
          <cell r="S106" t="str">
            <v>Belum TL</v>
          </cell>
          <cell r="T106" t="str">
            <v>90171841 - Rifqi Aziz</v>
          </cell>
          <cell r="U106" t="str">
            <v>"-"</v>
          </cell>
        </row>
        <row r="107">
          <cell r="A107">
            <v>46265</v>
          </cell>
          <cell r="B107" t="str">
            <v xml:space="preserve">ADE NUR REZAH                           </v>
          </cell>
          <cell r="C107" t="str">
            <v>ADFKK89</v>
          </cell>
          <cell r="D107">
            <v>81701000046560</v>
          </cell>
          <cell r="F107" t="str">
            <v>Tidak</v>
          </cell>
          <cell r="G107" t="str">
            <v>Tidak</v>
          </cell>
          <cell r="H107" t="str">
            <v>Tidak</v>
          </cell>
          <cell r="I107" t="str">
            <v>Bandar Judol Withdrawal</v>
          </cell>
          <cell r="J107">
            <v>35</v>
          </cell>
          <cell r="K107" t="str">
            <v>86,88,87</v>
          </cell>
          <cell r="L107" t="str">
            <v>Judi Online</v>
          </cell>
          <cell r="M107" t="str">
            <v xml:space="preserve">Kas Kanpus                              </v>
          </cell>
          <cell r="N107" t="str">
            <v xml:space="preserve">Kas Kanpus                              </v>
          </cell>
          <cell r="O107" t="str">
            <v xml:space="preserve">KAS KANPUS                              </v>
          </cell>
          <cell r="R107" t="str">
            <v>Belum TL</v>
          </cell>
          <cell r="S107" t="str">
            <v>Belum TL</v>
          </cell>
          <cell r="T107" t="str">
            <v>00336949 - Mochammad Al Farabi</v>
          </cell>
          <cell r="U107" t="str">
            <v>"-"</v>
          </cell>
        </row>
        <row r="108">
          <cell r="A108">
            <v>46265</v>
          </cell>
          <cell r="B108" t="str">
            <v xml:space="preserve">ALEX FERONICA                           </v>
          </cell>
          <cell r="C108" t="str">
            <v>ADGOF71</v>
          </cell>
          <cell r="D108">
            <v>35601091089503</v>
          </cell>
          <cell r="F108" t="str">
            <v>Tidak</v>
          </cell>
          <cell r="G108" t="str">
            <v>Tidak</v>
          </cell>
          <cell r="H108" t="str">
            <v>Tidak</v>
          </cell>
          <cell r="I108" t="str">
            <v>Bandar Judol Withdrawal</v>
          </cell>
          <cell r="J108">
            <v>35</v>
          </cell>
          <cell r="K108" t="str">
            <v>86,88,87</v>
          </cell>
          <cell r="L108" t="str">
            <v>Judi Online</v>
          </cell>
          <cell r="M108" t="str">
            <v xml:space="preserve">Kas Kanpus                              </v>
          </cell>
          <cell r="N108" t="str">
            <v xml:space="preserve">Kas Kanpus                              </v>
          </cell>
          <cell r="O108" t="str">
            <v xml:space="preserve">KAS KANPUS                              </v>
          </cell>
          <cell r="R108" t="str">
            <v>Belum TL</v>
          </cell>
          <cell r="S108" t="str">
            <v>Belum TL</v>
          </cell>
          <cell r="T108" t="str">
            <v>90185537 - Moh.Khoerul Fajar Ar</v>
          </cell>
          <cell r="U108" t="str">
            <v>"-"</v>
          </cell>
        </row>
        <row r="109">
          <cell r="A109">
            <v>46265</v>
          </cell>
          <cell r="B109" t="str">
            <v xml:space="preserve">ARIM RAMADANA                           </v>
          </cell>
          <cell r="C109" t="str">
            <v>ADGXL87</v>
          </cell>
          <cell r="D109">
            <v>782401006227504</v>
          </cell>
          <cell r="F109" t="str">
            <v>Tidak</v>
          </cell>
          <cell r="G109" t="str">
            <v>Tidak</v>
          </cell>
          <cell r="H109" t="str">
            <v>Tidak</v>
          </cell>
          <cell r="I109" t="str">
            <v>Bandar Judol Withdrawal</v>
          </cell>
          <cell r="J109">
            <v>35</v>
          </cell>
          <cell r="K109" t="str">
            <v>86,88,87</v>
          </cell>
          <cell r="L109" t="str">
            <v>Judi Online</v>
          </cell>
          <cell r="M109" t="str">
            <v xml:space="preserve">Kas Kanpus                              </v>
          </cell>
          <cell r="N109" t="str">
            <v xml:space="preserve">Kas Kanpus                              </v>
          </cell>
          <cell r="O109" t="str">
            <v xml:space="preserve">KAS KANPUS                              </v>
          </cell>
          <cell r="R109" t="str">
            <v>Belum TL</v>
          </cell>
          <cell r="S109" t="str">
            <v>Belum TL</v>
          </cell>
          <cell r="T109" t="str">
            <v>00394520 - Frida Akbar Rani</v>
          </cell>
          <cell r="U109" t="str">
            <v>"-"</v>
          </cell>
        </row>
        <row r="110">
          <cell r="A110">
            <v>46265</v>
          </cell>
          <cell r="B110" t="str">
            <v xml:space="preserve">ANJANG MULAWARMAN                       </v>
          </cell>
          <cell r="C110" t="str">
            <v>ADKHI71</v>
          </cell>
          <cell r="D110">
            <v>342201020435107</v>
          </cell>
          <cell r="F110" t="str">
            <v>Tidak</v>
          </cell>
          <cell r="G110" t="str">
            <v>Tidak</v>
          </cell>
          <cell r="H110" t="str">
            <v>Tidak</v>
          </cell>
          <cell r="I110" t="str">
            <v>Korupsi - Loan View</v>
          </cell>
          <cell r="J110">
            <v>33</v>
          </cell>
          <cell r="K110">
            <v>15</v>
          </cell>
          <cell r="L110" t="str">
            <v>Korupsi</v>
          </cell>
          <cell r="M110" t="str">
            <v>Kas Kanpus</v>
          </cell>
          <cell r="N110" t="str">
            <v>Kas Kanpus</v>
          </cell>
          <cell r="O110" t="str">
            <v>KAS KANPUS</v>
          </cell>
          <cell r="R110" t="str">
            <v>Belum TL</v>
          </cell>
          <cell r="S110" t="str">
            <v>Belum TL</v>
          </cell>
          <cell r="T110" t="str">
            <v>90185537 - Moh.Khoerul Fajar Ar</v>
          </cell>
          <cell r="U110" t="str">
            <v>"-"</v>
          </cell>
        </row>
        <row r="111">
          <cell r="A111">
            <v>46265</v>
          </cell>
          <cell r="B111" t="str">
            <v xml:space="preserve">ADE SYAHPUTRA                           </v>
          </cell>
          <cell r="C111" t="str">
            <v>ADLEG71</v>
          </cell>
          <cell r="D111">
            <v>525801018015506</v>
          </cell>
          <cell r="F111" t="str">
            <v>Tidak</v>
          </cell>
          <cell r="G111" t="str">
            <v>Tidak</v>
          </cell>
          <cell r="H111" t="str">
            <v>Tidak</v>
          </cell>
          <cell r="I111" t="str">
            <v>Bandar Judol Withdrawal</v>
          </cell>
          <cell r="J111">
            <v>35</v>
          </cell>
          <cell r="K111" t="str">
            <v>86,88,87</v>
          </cell>
          <cell r="L111" t="str">
            <v>Judi Online</v>
          </cell>
          <cell r="M111" t="str">
            <v xml:space="preserve">Kas Kanpus                              </v>
          </cell>
          <cell r="N111" t="str">
            <v xml:space="preserve">Kas Kanpus                              </v>
          </cell>
          <cell r="O111" t="str">
            <v xml:space="preserve">KAS KANPUS                              </v>
          </cell>
          <cell r="R111" t="str">
            <v>Belum TL</v>
          </cell>
          <cell r="S111" t="str">
            <v>Belum TL</v>
          </cell>
          <cell r="T111" t="str">
            <v>90150130 - Intan Aida Pratiwi</v>
          </cell>
          <cell r="U111" t="str">
            <v>"-"</v>
          </cell>
        </row>
        <row r="112">
          <cell r="A112">
            <v>46265</v>
          </cell>
          <cell r="B112" t="str">
            <v xml:space="preserve">ATHALIA BERKAT SEJAHTERA                </v>
          </cell>
          <cell r="C112" t="str">
            <v>ADOY992</v>
          </cell>
          <cell r="D112">
            <v>17201502165155</v>
          </cell>
          <cell r="E112" t="str">
            <v>SEDANG</v>
          </cell>
          <cell r="F112" t="str">
            <v>Tidak</v>
          </cell>
          <cell r="G112" t="str">
            <v>Tidak</v>
          </cell>
          <cell r="H112" t="str">
            <v>Tidak</v>
          </cell>
          <cell r="I112" t="str">
            <v>Korupsi - Loan View</v>
          </cell>
          <cell r="J112">
            <v>48</v>
          </cell>
          <cell r="K112">
            <v>15</v>
          </cell>
          <cell r="L112" t="str">
            <v>Korupsi</v>
          </cell>
          <cell r="M112" t="str">
            <v>Kas Kanpus</v>
          </cell>
          <cell r="N112" t="str">
            <v>Kas Kanpus</v>
          </cell>
          <cell r="O112" t="str">
            <v>KAS KANPUS</v>
          </cell>
          <cell r="R112" t="str">
            <v>Belum TL</v>
          </cell>
          <cell r="S112" t="str">
            <v>Belum TL</v>
          </cell>
          <cell r="T112" t="str">
            <v>90150130 - Intan Aida Pratiwi</v>
          </cell>
          <cell r="U112" t="str">
            <v>"-"</v>
          </cell>
        </row>
        <row r="113">
          <cell r="A113">
            <v>46265</v>
          </cell>
          <cell r="B113" t="str">
            <v xml:space="preserve">ANTONIUS SIMAMORA                       </v>
          </cell>
          <cell r="C113" t="str">
            <v>ADUP553</v>
          </cell>
          <cell r="D113">
            <v>69201006886500</v>
          </cell>
          <cell r="E113" t="str">
            <v>SEDANG</v>
          </cell>
          <cell r="F113" t="str">
            <v>Tidak</v>
          </cell>
          <cell r="G113" t="str">
            <v>Tidak</v>
          </cell>
          <cell r="H113" t="str">
            <v>Tidak</v>
          </cell>
          <cell r="I113" t="str">
            <v>Bandar Judol Depo</v>
          </cell>
          <cell r="J113">
            <v>50</v>
          </cell>
          <cell r="K113" t="str">
            <v>86,74,87</v>
          </cell>
          <cell r="L113" t="str">
            <v>Judi Online</v>
          </cell>
          <cell r="M113" t="str">
            <v xml:space="preserve">Kas Kanpus                              </v>
          </cell>
          <cell r="N113" t="str">
            <v xml:space="preserve">Kas Kanpus                              </v>
          </cell>
          <cell r="O113" t="str">
            <v xml:space="preserve">KAS KANPUS                              </v>
          </cell>
          <cell r="R113" t="str">
            <v>Belum TL</v>
          </cell>
          <cell r="S113" t="str">
            <v>Belum TL</v>
          </cell>
          <cell r="T113" t="str">
            <v>00336949 - Mochammad Al Farabi</v>
          </cell>
          <cell r="U113" t="str">
            <v>"-"</v>
          </cell>
        </row>
        <row r="114">
          <cell r="A114">
            <v>46265</v>
          </cell>
          <cell r="B114" t="str">
            <v xml:space="preserve">AGUS SOPIAN                             </v>
          </cell>
          <cell r="C114" t="str">
            <v>ADVJO44</v>
          </cell>
          <cell r="D114">
            <v>418401029328500</v>
          </cell>
          <cell r="F114" t="str">
            <v>Tidak</v>
          </cell>
          <cell r="G114" t="str">
            <v>Tidak</v>
          </cell>
          <cell r="H114" t="str">
            <v>Tidak</v>
          </cell>
          <cell r="I114" t="str">
            <v>Bandar Judol Depo</v>
          </cell>
          <cell r="J114">
            <v>35</v>
          </cell>
          <cell r="K114" t="str">
            <v>86,74,87</v>
          </cell>
          <cell r="L114" t="str">
            <v>Judi Online</v>
          </cell>
          <cell r="M114" t="str">
            <v xml:space="preserve">Kas Kanpus                              </v>
          </cell>
          <cell r="N114" t="str">
            <v xml:space="preserve">Kas Kanpus                              </v>
          </cell>
          <cell r="O114" t="str">
            <v xml:space="preserve">KAS KANPUS                              </v>
          </cell>
          <cell r="R114" t="str">
            <v>Belum TL</v>
          </cell>
          <cell r="S114" t="str">
            <v>Belum TL</v>
          </cell>
          <cell r="T114" t="str">
            <v>90185537 - Moh.Khoerul Fajar Ar</v>
          </cell>
          <cell r="U114" t="str">
            <v>"-"</v>
          </cell>
        </row>
        <row r="115">
          <cell r="A115">
            <v>46265</v>
          </cell>
          <cell r="B115" t="str">
            <v xml:space="preserve">ADHITYA SYAH FITRA                      </v>
          </cell>
          <cell r="C115" t="str">
            <v>ADVWE22</v>
          </cell>
          <cell r="D115">
            <v>134301003118536</v>
          </cell>
          <cell r="F115" t="str">
            <v>Tidak</v>
          </cell>
          <cell r="G115" t="str">
            <v>Tidak</v>
          </cell>
          <cell r="H115" t="str">
            <v>Tidak</v>
          </cell>
          <cell r="I115" t="str">
            <v>Bandar Judol Withdrawal</v>
          </cell>
          <cell r="J115">
            <v>35</v>
          </cell>
          <cell r="K115" t="str">
            <v>86,88,87</v>
          </cell>
          <cell r="L115" t="str">
            <v>Judi Online</v>
          </cell>
          <cell r="M115" t="str">
            <v xml:space="preserve">Kas Kanpus                              </v>
          </cell>
          <cell r="N115" t="str">
            <v xml:space="preserve">Kas Kanpus                              </v>
          </cell>
          <cell r="O115" t="str">
            <v xml:space="preserve">KAS KANPUS                              </v>
          </cell>
          <cell r="R115" t="str">
            <v>Belum TL</v>
          </cell>
          <cell r="S115" t="str">
            <v>Belum TL</v>
          </cell>
          <cell r="T115" t="str">
            <v>90170665 - Mutiara Ayuningtyas</v>
          </cell>
          <cell r="U115" t="str">
            <v>"-"</v>
          </cell>
        </row>
        <row r="116">
          <cell r="A116">
            <v>46265</v>
          </cell>
          <cell r="B116" t="str">
            <v xml:space="preserve">ADAM                                    </v>
          </cell>
          <cell r="C116" t="str">
            <v>ADWBP95</v>
          </cell>
          <cell r="D116">
            <v>118001008511539</v>
          </cell>
          <cell r="F116" t="str">
            <v>Tidak</v>
          </cell>
          <cell r="G116" t="str">
            <v>Tidak</v>
          </cell>
          <cell r="H116" t="str">
            <v>Tidak</v>
          </cell>
          <cell r="I116" t="str">
            <v>Bandar Judol Withdrawal</v>
          </cell>
          <cell r="J116">
            <v>35</v>
          </cell>
          <cell r="K116" t="str">
            <v>86,88,87</v>
          </cell>
          <cell r="L116" t="str">
            <v>Judi Online</v>
          </cell>
          <cell r="M116" t="str">
            <v xml:space="preserve">Kas Kanpus                              </v>
          </cell>
          <cell r="N116" t="str">
            <v xml:space="preserve">Kas Kanpus                              </v>
          </cell>
          <cell r="O116" t="str">
            <v xml:space="preserve">KAS KANPUS                              </v>
          </cell>
          <cell r="R116" t="str">
            <v>Belum TL</v>
          </cell>
          <cell r="S116" t="str">
            <v>Belum TL</v>
          </cell>
          <cell r="T116" t="str">
            <v>90186796 - Devito Arya Wiradila</v>
          </cell>
          <cell r="U116" t="str">
            <v>"-"</v>
          </cell>
        </row>
        <row r="117">
          <cell r="A117">
            <v>46265</v>
          </cell>
          <cell r="B117" t="str">
            <v xml:space="preserve">PT ADIGUNA KARYA CEMERLANG              </v>
          </cell>
          <cell r="C117" t="str">
            <v>ADWPJ73</v>
          </cell>
          <cell r="D117">
            <v>22401502053155</v>
          </cell>
          <cell r="F117" t="str">
            <v>Tidak</v>
          </cell>
          <cell r="G117" t="str">
            <v>Tidak</v>
          </cell>
          <cell r="H117" t="str">
            <v>Tidak</v>
          </cell>
          <cell r="I117" t="str">
            <v>Korupsi - Loan View</v>
          </cell>
          <cell r="J117">
            <v>33</v>
          </cell>
          <cell r="K117">
            <v>15</v>
          </cell>
          <cell r="L117" t="str">
            <v>Korupsi</v>
          </cell>
          <cell r="M117" t="str">
            <v>Kas Kanpus</v>
          </cell>
          <cell r="N117" t="str">
            <v>Kas Kanpus</v>
          </cell>
          <cell r="O117" t="str">
            <v>KAS KANPUS</v>
          </cell>
          <cell r="R117" t="str">
            <v>Belum TL</v>
          </cell>
          <cell r="S117" t="str">
            <v>Belum TL</v>
          </cell>
          <cell r="T117" t="str">
            <v>00336949 - Mochammad Al Farabi</v>
          </cell>
          <cell r="U117" t="str">
            <v>"-"</v>
          </cell>
        </row>
        <row r="118">
          <cell r="A118">
            <v>46265</v>
          </cell>
          <cell r="B118" t="str">
            <v xml:space="preserve">ADRIAN RAMA ILYAS                       </v>
          </cell>
          <cell r="C118" t="str">
            <v>ADWXU78</v>
          </cell>
          <cell r="D118">
            <v>83901007712506</v>
          </cell>
          <cell r="F118" t="str">
            <v>Tidak</v>
          </cell>
          <cell r="G118" t="str">
            <v>Tidak</v>
          </cell>
          <cell r="H118" t="str">
            <v>Tidak</v>
          </cell>
          <cell r="I118" t="str">
            <v>Bandar Judol Withdrawal</v>
          </cell>
          <cell r="J118">
            <v>35</v>
          </cell>
          <cell r="K118" t="str">
            <v>86,88,87</v>
          </cell>
          <cell r="L118" t="str">
            <v>Judi Online</v>
          </cell>
          <cell r="M118" t="str">
            <v xml:space="preserve">Kas Kanpus                              </v>
          </cell>
          <cell r="N118" t="str">
            <v xml:space="preserve">Kas Kanpus                              </v>
          </cell>
          <cell r="O118" t="str">
            <v xml:space="preserve">KAS KANPUS                              </v>
          </cell>
          <cell r="R118" t="str">
            <v>Belum TL</v>
          </cell>
          <cell r="S118" t="str">
            <v>Belum TL</v>
          </cell>
          <cell r="T118" t="str">
            <v>90185538 - Muhammad Fahikal Auz</v>
          </cell>
          <cell r="U118" t="str">
            <v>"-"</v>
          </cell>
        </row>
        <row r="119">
          <cell r="A119">
            <v>46265</v>
          </cell>
          <cell r="B119" t="str">
            <v xml:space="preserve">AL IMRANG                               </v>
          </cell>
          <cell r="C119" t="str">
            <v>ADXAS95</v>
          </cell>
          <cell r="D119">
            <v>305001014288503</v>
          </cell>
          <cell r="F119" t="str">
            <v>Tidak</v>
          </cell>
          <cell r="G119" t="str">
            <v>Tidak</v>
          </cell>
          <cell r="H119" t="str">
            <v>Tidak</v>
          </cell>
          <cell r="I119" t="str">
            <v>Bandar Judol Withdrawal</v>
          </cell>
          <cell r="J119">
            <v>35</v>
          </cell>
          <cell r="K119" t="str">
            <v>86,88,87</v>
          </cell>
          <cell r="L119" t="str">
            <v>Judi Online</v>
          </cell>
          <cell r="M119" t="str">
            <v xml:space="preserve">Kas Kanpus                              </v>
          </cell>
          <cell r="N119" t="str">
            <v xml:space="preserve">Kas Kanpus                              </v>
          </cell>
          <cell r="O119" t="str">
            <v xml:space="preserve">KAS KANPUS                              </v>
          </cell>
          <cell r="R119" t="str">
            <v>Belum TL</v>
          </cell>
          <cell r="S119" t="str">
            <v>Belum TL</v>
          </cell>
          <cell r="T119" t="str">
            <v>90185538 - Muhammad Fahikal Auz</v>
          </cell>
          <cell r="U119" t="str">
            <v>"-"</v>
          </cell>
        </row>
        <row r="120">
          <cell r="A120">
            <v>46265</v>
          </cell>
          <cell r="B120" t="str">
            <v xml:space="preserve">ADLIANSYAH CHANDRA MAULANA              </v>
          </cell>
          <cell r="C120" t="str">
            <v>ADXLC28</v>
          </cell>
          <cell r="D120">
            <v>34501052747503</v>
          </cell>
          <cell r="F120" t="str">
            <v>Tidak</v>
          </cell>
          <cell r="G120" t="str">
            <v>Tidak</v>
          </cell>
          <cell r="H120" t="str">
            <v>Tidak</v>
          </cell>
          <cell r="I120" t="str">
            <v>Money Mules</v>
          </cell>
          <cell r="J120">
            <v>27</v>
          </cell>
          <cell r="K120">
            <v>77</v>
          </cell>
          <cell r="L120" t="str">
            <v>Narkotika/Judi Online</v>
          </cell>
          <cell r="M120" t="str">
            <v xml:space="preserve">Kas Kanpus                              </v>
          </cell>
          <cell r="N120" t="str">
            <v xml:space="preserve">Kas Kanpus                              </v>
          </cell>
          <cell r="O120" t="str">
            <v xml:space="preserve">KAS KANPUS                              </v>
          </cell>
          <cell r="R120" t="str">
            <v>Belum TL</v>
          </cell>
          <cell r="S120" t="str">
            <v>Belum TL</v>
          </cell>
          <cell r="T120" t="str">
            <v>90150130 - Intan Aida Pratiwi</v>
          </cell>
          <cell r="U120" t="str">
            <v>"-"</v>
          </cell>
        </row>
        <row r="121">
          <cell r="A121">
            <v>46265</v>
          </cell>
          <cell r="B121" t="str">
            <v xml:space="preserve">ANANDA RAMADHAN                         </v>
          </cell>
          <cell r="C121" t="str">
            <v>ADXOX50</v>
          </cell>
          <cell r="D121">
            <v>334201069940531</v>
          </cell>
          <cell r="F121" t="str">
            <v>Tidak</v>
          </cell>
          <cell r="G121" t="str">
            <v>Tidak</v>
          </cell>
          <cell r="H121" t="str">
            <v>Tidak</v>
          </cell>
          <cell r="I121" t="str">
            <v>Bandar Judol Withdrawal</v>
          </cell>
          <cell r="J121">
            <v>35</v>
          </cell>
          <cell r="K121" t="str">
            <v>86,88,87</v>
          </cell>
          <cell r="L121" t="str">
            <v>Judi Online</v>
          </cell>
          <cell r="M121" t="str">
            <v xml:space="preserve">Kas Kanpus                              </v>
          </cell>
          <cell r="N121" t="str">
            <v xml:space="preserve">Kas Kanpus                              </v>
          </cell>
          <cell r="O121" t="str">
            <v xml:space="preserve">KAS KANPUS                              </v>
          </cell>
          <cell r="R121" t="str">
            <v>Belum TL</v>
          </cell>
          <cell r="S121" t="str">
            <v>Belum TL</v>
          </cell>
          <cell r="T121" t="str">
            <v>90150130 - Intan Aida Pratiwi</v>
          </cell>
          <cell r="U121" t="str">
            <v>"-"</v>
          </cell>
        </row>
        <row r="122">
          <cell r="A122">
            <v>46265</v>
          </cell>
          <cell r="B122" t="str">
            <v xml:space="preserve">ANISSAFEBRIYANTIP                       </v>
          </cell>
          <cell r="C122" t="str">
            <v>ADYDB71</v>
          </cell>
          <cell r="D122">
            <v>80301035604504</v>
          </cell>
          <cell r="F122" t="str">
            <v>Tidak</v>
          </cell>
          <cell r="G122" t="str">
            <v>Tidak</v>
          </cell>
          <cell r="H122" t="str">
            <v>Tidak</v>
          </cell>
          <cell r="I122" t="str">
            <v>Bandar Judol Withdrawal</v>
          </cell>
          <cell r="J122">
            <v>35</v>
          </cell>
          <cell r="K122" t="str">
            <v>86,88,87</v>
          </cell>
          <cell r="L122" t="str">
            <v>Judi Online</v>
          </cell>
          <cell r="M122" t="str">
            <v xml:space="preserve">Kas Kanpus                              </v>
          </cell>
          <cell r="N122" t="str">
            <v xml:space="preserve">Kas Kanpus                              </v>
          </cell>
          <cell r="O122" t="str">
            <v xml:space="preserve">KAS KANPUS                              </v>
          </cell>
          <cell r="R122" t="str">
            <v>Belum TL</v>
          </cell>
          <cell r="S122" t="str">
            <v>Belum TL</v>
          </cell>
          <cell r="T122" t="str">
            <v>90185537 - Moh.Khoerul Fajar Ar</v>
          </cell>
          <cell r="U122" t="str">
            <v>"-"</v>
          </cell>
        </row>
        <row r="123">
          <cell r="A123">
            <v>46265</v>
          </cell>
          <cell r="B123" t="str">
            <v xml:space="preserve">ARWINSAH PUTRA                          </v>
          </cell>
          <cell r="C123" t="str">
            <v>ADZGP42</v>
          </cell>
          <cell r="D123">
            <v>529001051296535</v>
          </cell>
          <cell r="F123" t="str">
            <v>Tidak</v>
          </cell>
          <cell r="G123" t="str">
            <v>Tidak</v>
          </cell>
          <cell r="H123" t="str">
            <v>Tidak</v>
          </cell>
          <cell r="I123" t="str">
            <v>Bandar Judol Withdrawal</v>
          </cell>
          <cell r="J123">
            <v>35</v>
          </cell>
          <cell r="K123" t="str">
            <v>86,88,87</v>
          </cell>
          <cell r="L123" t="str">
            <v>Judi Online</v>
          </cell>
          <cell r="M123" t="str">
            <v xml:space="preserve">Kas Kanpus                              </v>
          </cell>
          <cell r="N123" t="str">
            <v xml:space="preserve">Kas Kanpus                              </v>
          </cell>
          <cell r="O123" t="str">
            <v xml:space="preserve">KAS KANPUS                              </v>
          </cell>
          <cell r="R123" t="str">
            <v>Belum TL</v>
          </cell>
          <cell r="S123" t="str">
            <v>Belum TL</v>
          </cell>
          <cell r="T123" t="str">
            <v>00336949 - Mochammad Al Farabi</v>
          </cell>
          <cell r="U123" t="str">
            <v>"-"</v>
          </cell>
        </row>
        <row r="124">
          <cell r="A124">
            <v>46265</v>
          </cell>
          <cell r="B124" t="str">
            <v xml:space="preserve">ANGGA BAGUS WIDYA SAPUTRA               </v>
          </cell>
          <cell r="C124" t="str">
            <v>AEAT812</v>
          </cell>
          <cell r="D124">
            <v>66001000708561</v>
          </cell>
          <cell r="E124" t="str">
            <v>RENDAH</v>
          </cell>
          <cell r="F124" t="str">
            <v>Tidak</v>
          </cell>
          <cell r="G124" t="str">
            <v>Tidak</v>
          </cell>
          <cell r="H124" t="str">
            <v>Tidak</v>
          </cell>
          <cell r="I124" t="str">
            <v>Narkotika - Area Lapas</v>
          </cell>
          <cell r="J124">
            <v>43</v>
          </cell>
          <cell r="K124">
            <v>47</v>
          </cell>
          <cell r="L124" t="str">
            <v>Narkotika</v>
          </cell>
          <cell r="M124" t="str">
            <v>KCP PASAR NATAR TJ KARANG</v>
          </cell>
          <cell r="N124" t="str">
            <v>KC Tanjung Karang</v>
          </cell>
          <cell r="O124" t="str">
            <v>KANWIL BANDAR LAMPUNG</v>
          </cell>
          <cell r="R124" t="str">
            <v>Belum TL</v>
          </cell>
          <cell r="S124" t="str">
            <v>Belum TL</v>
          </cell>
          <cell r="T124" t="str">
            <v>00394520 - Frida Akbar Rani</v>
          </cell>
          <cell r="U124" t="str">
            <v>"-"</v>
          </cell>
        </row>
        <row r="125">
          <cell r="A125">
            <v>46265</v>
          </cell>
          <cell r="B125" t="str">
            <v xml:space="preserve">ANANDA AHNAB KHOYSI                     </v>
          </cell>
          <cell r="C125" t="str">
            <v>AEAXK84</v>
          </cell>
          <cell r="D125">
            <v>95901014347508</v>
          </cell>
          <cell r="F125" t="str">
            <v>Tidak</v>
          </cell>
          <cell r="G125" t="str">
            <v>Tidak</v>
          </cell>
          <cell r="H125" t="str">
            <v>Tidak</v>
          </cell>
          <cell r="I125" t="str">
            <v>Bandar Judol Depo</v>
          </cell>
          <cell r="J125">
            <v>35</v>
          </cell>
          <cell r="K125" t="str">
            <v>86,74,87</v>
          </cell>
          <cell r="L125" t="str">
            <v>Judi Online</v>
          </cell>
          <cell r="M125" t="str">
            <v xml:space="preserve">Kas Kanpus                              </v>
          </cell>
          <cell r="N125" t="str">
            <v xml:space="preserve">Kas Kanpus                              </v>
          </cell>
          <cell r="O125" t="str">
            <v xml:space="preserve">KAS KANPUS                              </v>
          </cell>
          <cell r="R125" t="str">
            <v>Belum TL</v>
          </cell>
          <cell r="S125" t="str">
            <v>Belum TL</v>
          </cell>
          <cell r="T125" t="str">
            <v>90186790 - Muhammad Alfin Farha</v>
          </cell>
          <cell r="U125" t="str">
            <v>"-"</v>
          </cell>
        </row>
        <row r="126">
          <cell r="A126">
            <v>46265</v>
          </cell>
          <cell r="B126" t="str">
            <v xml:space="preserve">ANGGA SAM MAGENTA                       </v>
          </cell>
          <cell r="C126" t="str">
            <v>AEBBH45</v>
          </cell>
          <cell r="D126">
            <v>95901014353509</v>
          </cell>
          <cell r="F126" t="str">
            <v>Tidak</v>
          </cell>
          <cell r="G126" t="str">
            <v>Tidak</v>
          </cell>
          <cell r="H126" t="str">
            <v>Tidak</v>
          </cell>
          <cell r="I126" t="str">
            <v>Bandar Judol Withdrawal</v>
          </cell>
          <cell r="J126">
            <v>35</v>
          </cell>
          <cell r="K126" t="str">
            <v>86,88,87</v>
          </cell>
          <cell r="L126" t="str">
            <v>Judi Online</v>
          </cell>
          <cell r="M126" t="str">
            <v xml:space="preserve">Kas Kanpus                              </v>
          </cell>
          <cell r="N126" t="str">
            <v xml:space="preserve">Kas Kanpus                              </v>
          </cell>
          <cell r="O126" t="str">
            <v xml:space="preserve">KAS KANPUS                              </v>
          </cell>
          <cell r="R126" t="str">
            <v>Belum TL</v>
          </cell>
          <cell r="S126" t="str">
            <v>Belum TL</v>
          </cell>
          <cell r="T126" t="str">
            <v>90185538 - Muhammad Fahikal Auz</v>
          </cell>
          <cell r="U126" t="str">
            <v>"-"</v>
          </cell>
        </row>
        <row r="127">
          <cell r="A127">
            <v>46265</v>
          </cell>
          <cell r="B127" t="str">
            <v xml:space="preserve">AGROVA GANI SENTOSA                     </v>
          </cell>
          <cell r="C127" t="str">
            <v>AECPZ54</v>
          </cell>
          <cell r="D127">
            <v>50501001663564</v>
          </cell>
          <cell r="F127" t="str">
            <v>Tidak</v>
          </cell>
          <cell r="G127" t="str">
            <v>Tidak</v>
          </cell>
          <cell r="H127" t="str">
            <v>Tidak</v>
          </cell>
          <cell r="I127" t="str">
            <v>Perpajakan</v>
          </cell>
          <cell r="J127">
            <v>35</v>
          </cell>
          <cell r="K127">
            <v>41</v>
          </cell>
          <cell r="L127" t="str">
            <v>Perpajakan</v>
          </cell>
          <cell r="M127" t="str">
            <v xml:space="preserve">KCP Central Park                        </v>
          </cell>
          <cell r="N127" t="str">
            <v xml:space="preserve">KC Jakarta Tanjung Duren                </v>
          </cell>
          <cell r="O127" t="str">
            <v xml:space="preserve">KANWIL JAKARTA 3                        </v>
          </cell>
          <cell r="R127" t="str">
            <v>Belum TL</v>
          </cell>
          <cell r="S127" t="str">
            <v>Belum TL</v>
          </cell>
          <cell r="T127" t="str">
            <v>00336949 - Mochammad Al Farabi</v>
          </cell>
          <cell r="U127" t="str">
            <v>"-"</v>
          </cell>
        </row>
        <row r="128">
          <cell r="A128">
            <v>46265</v>
          </cell>
          <cell r="B128" t="str">
            <v xml:space="preserve">ARI SASMITA                             </v>
          </cell>
          <cell r="C128" t="str">
            <v>AECX524</v>
          </cell>
          <cell r="D128">
            <v>4359720201567900</v>
          </cell>
          <cell r="E128" t="str">
            <v>SEDANG</v>
          </cell>
          <cell r="F128" t="str">
            <v>Tidak</v>
          </cell>
          <cell r="G128" t="str">
            <v>Tidak</v>
          </cell>
          <cell r="H128" t="str">
            <v>Tidak</v>
          </cell>
          <cell r="I128" t="str">
            <v>Penghindaran Pajak (Transaksi Fiktif)/Penyuapan CC</v>
          </cell>
          <cell r="J128">
            <v>45</v>
          </cell>
          <cell r="K128">
            <v>118</v>
          </cell>
          <cell r="L128" t="str">
            <v>Penyuapan / Penghindaran Pajak CC View</v>
          </cell>
          <cell r="M128" t="str">
            <v xml:space="preserve">Kas Kanpus                              </v>
          </cell>
          <cell r="N128" t="str">
            <v xml:space="preserve">Kas Kanpus                              </v>
          </cell>
          <cell r="O128" t="str">
            <v xml:space="preserve">KAS KANPUS                              </v>
          </cell>
          <cell r="R128" t="str">
            <v>Belum TL</v>
          </cell>
          <cell r="S128" t="str">
            <v>Belum TL</v>
          </cell>
          <cell r="T128" t="str">
            <v>90170665 - Mutiara Ayuningtyas</v>
          </cell>
          <cell r="U128" t="str">
            <v>"-"</v>
          </cell>
        </row>
        <row r="129">
          <cell r="A129">
            <v>46265</v>
          </cell>
          <cell r="B129" t="str">
            <v xml:space="preserve">ALVIN                                   </v>
          </cell>
          <cell r="C129" t="str">
            <v>AEDOA54</v>
          </cell>
          <cell r="D129">
            <v>92101029891509</v>
          </cell>
          <cell r="F129" t="str">
            <v>Tidak</v>
          </cell>
          <cell r="G129" t="str">
            <v>Tidak</v>
          </cell>
          <cell r="H129" t="str">
            <v>Tidak</v>
          </cell>
          <cell r="I129" t="str">
            <v>Bandar Judol Withdrawal</v>
          </cell>
          <cell r="J129">
            <v>35</v>
          </cell>
          <cell r="K129" t="str">
            <v>86,88,87</v>
          </cell>
          <cell r="L129" t="str">
            <v>Judi Online</v>
          </cell>
          <cell r="M129" t="str">
            <v xml:space="preserve">Kas Kanpus                              </v>
          </cell>
          <cell r="N129" t="str">
            <v xml:space="preserve">Kas Kanpus                              </v>
          </cell>
          <cell r="O129" t="str">
            <v xml:space="preserve">KAS KANPUS                              </v>
          </cell>
          <cell r="R129" t="str">
            <v>Belum TL</v>
          </cell>
          <cell r="S129" t="str">
            <v>Belum TL</v>
          </cell>
          <cell r="T129" t="str">
            <v>00394521 - Muhammad Hibbanduta</v>
          </cell>
          <cell r="U129" t="str">
            <v>"-"</v>
          </cell>
        </row>
        <row r="130">
          <cell r="A130">
            <v>46265</v>
          </cell>
          <cell r="B130" t="str">
            <v xml:space="preserve">AJIS                                    </v>
          </cell>
          <cell r="C130" t="str">
            <v>AEMRZ07</v>
          </cell>
          <cell r="D130">
            <v>385001017770503</v>
          </cell>
          <cell r="F130" t="str">
            <v>Tidak</v>
          </cell>
          <cell r="G130" t="str">
            <v>Tidak</v>
          </cell>
          <cell r="H130" t="str">
            <v>Tidak</v>
          </cell>
          <cell r="I130" t="str">
            <v>Bandar Judol Withdrawal</v>
          </cell>
          <cell r="J130">
            <v>35</v>
          </cell>
          <cell r="K130" t="str">
            <v>86,88,87</v>
          </cell>
          <cell r="L130" t="str">
            <v>Judi Online</v>
          </cell>
          <cell r="M130" t="str">
            <v xml:space="preserve">Kas Kanpus                              </v>
          </cell>
          <cell r="N130" t="str">
            <v xml:space="preserve">Kas Kanpus                              </v>
          </cell>
          <cell r="O130" t="str">
            <v xml:space="preserve">KAS KANPUS                              </v>
          </cell>
          <cell r="R130" t="str">
            <v>Belum TL</v>
          </cell>
          <cell r="S130" t="str">
            <v>Belum TL</v>
          </cell>
          <cell r="T130" t="str">
            <v>90185538 - Muhammad Fahikal Auz</v>
          </cell>
          <cell r="U130" t="str">
            <v>"-"</v>
          </cell>
        </row>
        <row r="131">
          <cell r="A131">
            <v>46265</v>
          </cell>
          <cell r="B131" t="str">
            <v xml:space="preserve">ANDRE PANGESTU                          </v>
          </cell>
          <cell r="C131" t="str">
            <v>ADXYK74</v>
          </cell>
          <cell r="D131">
            <v>23801093444509</v>
          </cell>
          <cell r="F131" t="str">
            <v>Tidak</v>
          </cell>
          <cell r="G131" t="str">
            <v>Tidak</v>
          </cell>
          <cell r="I131" t="str">
            <v>Jual Beli Rekening - E channel Trx</v>
          </cell>
          <cell r="J131">
            <v>33</v>
          </cell>
          <cell r="K131">
            <v>113</v>
          </cell>
          <cell r="L131" t="str">
            <v>Narkotika/Judi Online/Penipuan</v>
          </cell>
          <cell r="M131" t="str">
            <v xml:space="preserve">KC Binjai                               </v>
          </cell>
          <cell r="N131" t="str">
            <v xml:space="preserve">KC Binjai                               </v>
          </cell>
          <cell r="O131" t="str">
            <v xml:space="preserve">Medan                                   </v>
          </cell>
          <cell r="R131" t="str">
            <v>Belum TL</v>
          </cell>
          <cell r="S131" t="str">
            <v>Belum TL</v>
          </cell>
          <cell r="U131" t="str">
            <v>"-"</v>
          </cell>
        </row>
        <row r="132">
          <cell r="A132">
            <v>46265</v>
          </cell>
          <cell r="B132" t="str">
            <v xml:space="preserve">AHMAD HAFIDZ                            </v>
          </cell>
          <cell r="C132" t="str">
            <v>AEOEV34</v>
          </cell>
          <cell r="D132">
            <v>324801006496507</v>
          </cell>
          <cell r="F132" t="str">
            <v>Tidak</v>
          </cell>
          <cell r="G132" t="str">
            <v>Tidak</v>
          </cell>
          <cell r="H132" t="str">
            <v>Tidak</v>
          </cell>
          <cell r="I132" t="str">
            <v>Bandar Judol Withdrawal</v>
          </cell>
          <cell r="J132">
            <v>35</v>
          </cell>
          <cell r="K132" t="str">
            <v>86,88,87</v>
          </cell>
          <cell r="L132" t="str">
            <v>Judi Online</v>
          </cell>
          <cell r="M132" t="str">
            <v xml:space="preserve">Kas Kanpus                              </v>
          </cell>
          <cell r="N132" t="str">
            <v xml:space="preserve">Kas Kanpus                              </v>
          </cell>
          <cell r="O132" t="str">
            <v xml:space="preserve">KAS KANPUS                              </v>
          </cell>
          <cell r="R132" t="str">
            <v>Belum TL</v>
          </cell>
          <cell r="S132" t="str">
            <v>Belum TL</v>
          </cell>
          <cell r="T132" t="str">
            <v>00394521 - Muhammad Hibbanduta</v>
          </cell>
          <cell r="U132" t="str">
            <v>"-"</v>
          </cell>
        </row>
        <row r="133">
          <cell r="A133">
            <v>46265</v>
          </cell>
          <cell r="B133" t="str">
            <v xml:space="preserve">ADITYA PRAYOGO                          </v>
          </cell>
          <cell r="C133" t="str">
            <v>AEOJG52</v>
          </cell>
          <cell r="D133">
            <v>384901026681508</v>
          </cell>
          <cell r="F133" t="str">
            <v>Tidak</v>
          </cell>
          <cell r="G133" t="str">
            <v>Tidak</v>
          </cell>
          <cell r="H133" t="str">
            <v>Tidak</v>
          </cell>
          <cell r="I133" t="str">
            <v>Bandar Judol Withdrawal</v>
          </cell>
          <cell r="J133">
            <v>35</v>
          </cell>
          <cell r="K133" t="str">
            <v>86,88,87</v>
          </cell>
          <cell r="L133" t="str">
            <v>Judi Online</v>
          </cell>
          <cell r="M133" t="str">
            <v xml:space="preserve">Kas Kanpus                              </v>
          </cell>
          <cell r="N133" t="str">
            <v xml:space="preserve">Kas Kanpus                              </v>
          </cell>
          <cell r="O133" t="str">
            <v xml:space="preserve">KAS KANPUS                              </v>
          </cell>
          <cell r="R133" t="str">
            <v>Belum TL</v>
          </cell>
          <cell r="S133" t="str">
            <v>Belum TL</v>
          </cell>
          <cell r="T133" t="str">
            <v>90186796 - Devito Arya Wiradila</v>
          </cell>
          <cell r="U133" t="str">
            <v>"-"</v>
          </cell>
        </row>
        <row r="134">
          <cell r="A134">
            <v>46265</v>
          </cell>
          <cell r="B134" t="str">
            <v xml:space="preserve">ALDIO ARDIANSYAH                        </v>
          </cell>
          <cell r="C134" t="str">
            <v>AEOJT19</v>
          </cell>
          <cell r="D134">
            <v>525501025585508</v>
          </cell>
          <cell r="F134" t="str">
            <v>Tidak</v>
          </cell>
          <cell r="G134" t="str">
            <v>Tidak</v>
          </cell>
          <cell r="H134" t="str">
            <v>Tidak</v>
          </cell>
          <cell r="I134" t="str">
            <v>Bandar Judol Withdrawal</v>
          </cell>
          <cell r="J134">
            <v>35</v>
          </cell>
          <cell r="K134" t="str">
            <v>86,88,87</v>
          </cell>
          <cell r="L134" t="str">
            <v>Judi Online</v>
          </cell>
          <cell r="M134" t="str">
            <v xml:space="preserve">Kas Kanpus                              </v>
          </cell>
          <cell r="N134" t="str">
            <v xml:space="preserve">Kas Kanpus                              </v>
          </cell>
          <cell r="O134" t="str">
            <v xml:space="preserve">KAS KANPUS                              </v>
          </cell>
          <cell r="R134" t="str">
            <v>Belum TL</v>
          </cell>
          <cell r="S134" t="str">
            <v>Belum TL</v>
          </cell>
          <cell r="T134" t="str">
            <v>90186796 - Devito Arya Wiradila</v>
          </cell>
          <cell r="U134" t="str">
            <v>"-"</v>
          </cell>
        </row>
        <row r="135">
          <cell r="A135">
            <v>46265</v>
          </cell>
          <cell r="B135" t="str">
            <v xml:space="preserve">AJI BAYU CANDRA                         </v>
          </cell>
          <cell r="C135" t="str">
            <v>AEPAH25</v>
          </cell>
          <cell r="D135">
            <v>762601002287504</v>
          </cell>
          <cell r="F135" t="str">
            <v>Tidak</v>
          </cell>
          <cell r="G135" t="str">
            <v>Tidak</v>
          </cell>
          <cell r="H135" t="str">
            <v>Tidak</v>
          </cell>
          <cell r="I135" t="str">
            <v>Bandar Judol Withdrawal</v>
          </cell>
          <cell r="J135">
            <v>35</v>
          </cell>
          <cell r="K135" t="str">
            <v>86,88,87</v>
          </cell>
          <cell r="L135" t="str">
            <v>Judi Online</v>
          </cell>
          <cell r="M135" t="str">
            <v xml:space="preserve">Kas Kanpus                              </v>
          </cell>
          <cell r="N135" t="str">
            <v xml:space="preserve">Kas Kanpus                              </v>
          </cell>
          <cell r="O135" t="str">
            <v xml:space="preserve">KAS KANPUS                              </v>
          </cell>
          <cell r="R135" t="str">
            <v>Belum TL</v>
          </cell>
          <cell r="S135" t="str">
            <v>Belum TL</v>
          </cell>
          <cell r="T135" t="str">
            <v>90170665 - Mutiara Ayuningtyas</v>
          </cell>
          <cell r="U135" t="str">
            <v>"-"</v>
          </cell>
        </row>
        <row r="136">
          <cell r="A136">
            <v>46265</v>
          </cell>
          <cell r="B136" t="str">
            <v xml:space="preserve">AGUNG SUBIANTO                          </v>
          </cell>
          <cell r="C136" t="str">
            <v>AEPXB51</v>
          </cell>
          <cell r="D136">
            <v>99601016571501</v>
          </cell>
          <cell r="F136" t="str">
            <v>Tidak</v>
          </cell>
          <cell r="G136" t="str">
            <v>Tidak</v>
          </cell>
          <cell r="I136" t="str">
            <v>Jual Beli Rekening - E channel Trx</v>
          </cell>
          <cell r="J136">
            <v>33</v>
          </cell>
          <cell r="K136">
            <v>113</v>
          </cell>
          <cell r="L136" t="str">
            <v>Narkotika/Judi Online/Penipuan</v>
          </cell>
          <cell r="M136" t="str">
            <v xml:space="preserve">UNIT CENGKARENG BARAT                   </v>
          </cell>
          <cell r="N136" t="str">
            <v xml:space="preserve">KC Jakarta Kalideres                    </v>
          </cell>
          <cell r="O136" t="str">
            <v xml:space="preserve">KANWIL JAKARTA 3                        </v>
          </cell>
          <cell r="R136" t="str">
            <v>Belum TL</v>
          </cell>
          <cell r="S136" t="str">
            <v>Belum TL</v>
          </cell>
          <cell r="U136" t="str">
            <v>"-"</v>
          </cell>
        </row>
        <row r="137">
          <cell r="A137">
            <v>46265</v>
          </cell>
          <cell r="B137" t="str">
            <v xml:space="preserve">AHMAD RAMADANI                          </v>
          </cell>
          <cell r="C137" t="str">
            <v>AEPYD40</v>
          </cell>
          <cell r="D137">
            <v>40401083361500</v>
          </cell>
          <cell r="F137" t="str">
            <v>Tidak</v>
          </cell>
          <cell r="G137" t="str">
            <v>Tidak</v>
          </cell>
          <cell r="H137" t="str">
            <v>Tidak</v>
          </cell>
          <cell r="I137" t="str">
            <v>Bandar Judol Withdrawal</v>
          </cell>
          <cell r="J137">
            <v>35</v>
          </cell>
          <cell r="K137" t="str">
            <v>86,88,87</v>
          </cell>
          <cell r="L137" t="str">
            <v>Judi Online</v>
          </cell>
          <cell r="M137" t="str">
            <v xml:space="preserve">Kas Kanpus                              </v>
          </cell>
          <cell r="N137" t="str">
            <v xml:space="preserve">Kas Kanpus                              </v>
          </cell>
          <cell r="O137" t="str">
            <v xml:space="preserve">KAS KANPUS                              </v>
          </cell>
          <cell r="R137" t="str">
            <v>Belum TL</v>
          </cell>
          <cell r="S137" t="str">
            <v>Belum TL</v>
          </cell>
          <cell r="T137" t="str">
            <v>00336949 - Mochammad Al Farabi</v>
          </cell>
          <cell r="U137" t="str">
            <v>"-"</v>
          </cell>
        </row>
        <row r="138">
          <cell r="A138">
            <v>46265</v>
          </cell>
          <cell r="B138" t="str">
            <v xml:space="preserve">ADY PUTRA                               </v>
          </cell>
          <cell r="C138" t="str">
            <v>AEPZK79</v>
          </cell>
          <cell r="D138">
            <v>1901182777502</v>
          </cell>
          <cell r="F138" t="str">
            <v>Tidak</v>
          </cell>
          <cell r="G138" t="str">
            <v>Tidak</v>
          </cell>
          <cell r="H138" t="str">
            <v>Tidak</v>
          </cell>
          <cell r="I138" t="str">
            <v>Bandar Judol Withdrawal</v>
          </cell>
          <cell r="J138">
            <v>35</v>
          </cell>
          <cell r="K138" t="str">
            <v>86,88,87</v>
          </cell>
          <cell r="L138" t="str">
            <v>Judi Online</v>
          </cell>
          <cell r="M138" t="str">
            <v xml:space="preserve">Kas Kanpus                              </v>
          </cell>
          <cell r="N138" t="str">
            <v xml:space="preserve">Kas Kanpus                              </v>
          </cell>
          <cell r="O138" t="str">
            <v xml:space="preserve">KAS KANPUS                              </v>
          </cell>
          <cell r="R138" t="str">
            <v>Belum TL</v>
          </cell>
          <cell r="S138" t="str">
            <v>Belum TL</v>
          </cell>
          <cell r="T138" t="str">
            <v>00394520 - Frida Akbar Rani</v>
          </cell>
          <cell r="U138" t="str">
            <v>"-"</v>
          </cell>
        </row>
        <row r="139">
          <cell r="A139">
            <v>46265</v>
          </cell>
          <cell r="B139" t="str">
            <v xml:space="preserve">AGUS SUSILO                             </v>
          </cell>
          <cell r="C139" t="str">
            <v>AEPPR14</v>
          </cell>
          <cell r="D139">
            <v>721001000033560</v>
          </cell>
          <cell r="F139" t="str">
            <v>Tidak</v>
          </cell>
          <cell r="G139" t="str">
            <v>Tidak</v>
          </cell>
          <cell r="H139" t="str">
            <v>Tidak</v>
          </cell>
          <cell r="I139" t="str">
            <v>Bandar Judol Depo</v>
          </cell>
          <cell r="J139">
            <v>35</v>
          </cell>
          <cell r="K139" t="str">
            <v>86,74,87</v>
          </cell>
          <cell r="L139" t="str">
            <v>Judi Online</v>
          </cell>
          <cell r="M139" t="str">
            <v xml:space="preserve">Kas Kanpus                              </v>
          </cell>
          <cell r="N139" t="str">
            <v xml:space="preserve">Kas Kanpus                              </v>
          </cell>
          <cell r="O139" t="str">
            <v xml:space="preserve">KAS KANPUS                              </v>
          </cell>
          <cell r="R139" t="str">
            <v>Belum TL</v>
          </cell>
          <cell r="S139" t="str">
            <v>Belum TL</v>
          </cell>
          <cell r="T139" t="str">
            <v>00394521 - Muhammad Hibbanduta</v>
          </cell>
          <cell r="U139" t="str">
            <v>"-"</v>
          </cell>
        </row>
        <row r="140">
          <cell r="A140">
            <v>46265</v>
          </cell>
          <cell r="B140" t="str">
            <v xml:space="preserve">AGUS SYARIFUDIN                         </v>
          </cell>
          <cell r="C140" t="str">
            <v>AESCB69</v>
          </cell>
          <cell r="D140">
            <v>8401317099500</v>
          </cell>
          <cell r="F140" t="str">
            <v>Tidak</v>
          </cell>
          <cell r="G140" t="str">
            <v>Tidak</v>
          </cell>
          <cell r="H140" t="str">
            <v>Tidak</v>
          </cell>
          <cell r="I140" t="str">
            <v>Bandar Judol Withdrawal</v>
          </cell>
          <cell r="J140">
            <v>35</v>
          </cell>
          <cell r="K140" t="str">
            <v>86,88,87</v>
          </cell>
          <cell r="L140" t="str">
            <v>Judi Online</v>
          </cell>
          <cell r="M140" t="str">
            <v xml:space="preserve">Kas Kanpus                              </v>
          </cell>
          <cell r="N140" t="str">
            <v xml:space="preserve">Kas Kanpus                              </v>
          </cell>
          <cell r="O140" t="str">
            <v xml:space="preserve">KAS KANPUS                              </v>
          </cell>
          <cell r="R140" t="str">
            <v>Belum TL</v>
          </cell>
          <cell r="S140" t="str">
            <v>Belum TL</v>
          </cell>
          <cell r="T140" t="str">
            <v>90185538 - Muhammad Fahikal Auz</v>
          </cell>
          <cell r="U140" t="str">
            <v>"-"</v>
          </cell>
        </row>
        <row r="141">
          <cell r="A141">
            <v>46265</v>
          </cell>
          <cell r="B141" t="str">
            <v xml:space="preserve">AGUS IQBAL PRAYOGA                      </v>
          </cell>
          <cell r="C141" t="str">
            <v>AESG156</v>
          </cell>
          <cell r="D141">
            <v>12201180425500</v>
          </cell>
          <cell r="E141" t="str">
            <v>SEDANG</v>
          </cell>
          <cell r="F141" t="str">
            <v>Tidak</v>
          </cell>
          <cell r="G141" t="str">
            <v>Tidak</v>
          </cell>
          <cell r="H141" t="str">
            <v>Tidak</v>
          </cell>
          <cell r="I141" t="str">
            <v>Bandar Judol Withdrawal</v>
          </cell>
          <cell r="J141">
            <v>50</v>
          </cell>
          <cell r="K141" t="str">
            <v>86,88,87</v>
          </cell>
          <cell r="L141" t="str">
            <v>Judi Online</v>
          </cell>
          <cell r="M141" t="str">
            <v xml:space="preserve">Kas Kanpus                              </v>
          </cell>
          <cell r="N141" t="str">
            <v xml:space="preserve">Kas Kanpus                              </v>
          </cell>
          <cell r="O141" t="str">
            <v xml:space="preserve">KAS KANPUS                              </v>
          </cell>
          <cell r="R141" t="str">
            <v>Belum TL</v>
          </cell>
          <cell r="S141" t="str">
            <v>Belum TL</v>
          </cell>
          <cell r="T141" t="str">
            <v>90171841 - Rifqi Aziz</v>
          </cell>
          <cell r="U141" t="str">
            <v>"-"</v>
          </cell>
        </row>
        <row r="142">
          <cell r="A142">
            <v>46265</v>
          </cell>
          <cell r="B142" t="str">
            <v xml:space="preserve">A.SAUGI                                 </v>
          </cell>
          <cell r="C142" t="str">
            <v>AESNH62</v>
          </cell>
          <cell r="D142">
            <v>720701006875509</v>
          </cell>
          <cell r="F142" t="str">
            <v>Tidak</v>
          </cell>
          <cell r="G142" t="str">
            <v>Tidak</v>
          </cell>
          <cell r="I142" t="str">
            <v>Jual Beli Rekening - E channel Trx</v>
          </cell>
          <cell r="J142">
            <v>33</v>
          </cell>
          <cell r="K142">
            <v>113</v>
          </cell>
          <cell r="L142" t="str">
            <v>Narkotika/Judi Online/Penipuan</v>
          </cell>
          <cell r="M142" t="str">
            <v xml:space="preserve">UNIT DUTA GARDEN TANGERANG              </v>
          </cell>
          <cell r="N142" t="str">
            <v xml:space="preserve">KC Jakarta Tangerang                    </v>
          </cell>
          <cell r="O142" t="str">
            <v xml:space="preserve">KANWIL JAKARTA 3                        </v>
          </cell>
          <cell r="R142" t="str">
            <v>Belum TL</v>
          </cell>
          <cell r="S142" t="str">
            <v>Belum TL</v>
          </cell>
          <cell r="U142" t="str">
            <v>"-"</v>
          </cell>
        </row>
        <row r="143">
          <cell r="A143">
            <v>46265</v>
          </cell>
          <cell r="B143" t="str">
            <v xml:space="preserve">AMAR KADAFI                             </v>
          </cell>
          <cell r="C143" t="str">
            <v>AETZD27</v>
          </cell>
          <cell r="D143">
            <v>63801001090566</v>
          </cell>
          <cell r="F143" t="str">
            <v>Tidak</v>
          </cell>
          <cell r="G143" t="str">
            <v>Tidak</v>
          </cell>
          <cell r="H143" t="str">
            <v>Tidak</v>
          </cell>
          <cell r="I143" t="str">
            <v>Bandar Judol Depo</v>
          </cell>
          <cell r="J143">
            <v>35</v>
          </cell>
          <cell r="K143" t="str">
            <v>86,74,87</v>
          </cell>
          <cell r="L143" t="str">
            <v>Judi Online</v>
          </cell>
          <cell r="M143" t="str">
            <v xml:space="preserve">Kas Kanpus                              </v>
          </cell>
          <cell r="N143" t="str">
            <v xml:space="preserve">Kas Kanpus                              </v>
          </cell>
          <cell r="O143" t="str">
            <v xml:space="preserve">KAS KANPUS                              </v>
          </cell>
          <cell r="R143" t="str">
            <v>Belum TL</v>
          </cell>
          <cell r="S143" t="str">
            <v>Belum TL</v>
          </cell>
          <cell r="T143" t="str">
            <v>90170665 - Mutiara Ayuningtyas</v>
          </cell>
          <cell r="U143" t="str">
            <v>"-"</v>
          </cell>
        </row>
        <row r="144">
          <cell r="A144">
            <v>46265</v>
          </cell>
          <cell r="B144" t="str">
            <v xml:space="preserve">ANDIKA PRAYUDO                          </v>
          </cell>
          <cell r="C144" t="str">
            <v>AEUAW19</v>
          </cell>
          <cell r="D144">
            <v>652901034665539</v>
          </cell>
          <cell r="F144" t="str">
            <v>Tidak</v>
          </cell>
          <cell r="G144" t="str">
            <v>Tidak</v>
          </cell>
          <cell r="I144" t="str">
            <v>Jual Beli Rekening - E channel Trx</v>
          </cell>
          <cell r="J144">
            <v>33</v>
          </cell>
          <cell r="K144">
            <v>113</v>
          </cell>
          <cell r="L144" t="str">
            <v>Narkotika/Judi Online/Penipuan</v>
          </cell>
          <cell r="M144" t="str">
            <v xml:space="preserve">UNIT BANYUPUTIH SITUBONDO               </v>
          </cell>
          <cell r="N144" t="str">
            <v xml:space="preserve">KC Situbondo                            </v>
          </cell>
          <cell r="O144" t="str">
            <v xml:space="preserve">KANWIL MALANG                           </v>
          </cell>
          <cell r="R144" t="str">
            <v>Belum TL</v>
          </cell>
          <cell r="S144" t="str">
            <v>Belum TL</v>
          </cell>
          <cell r="U144" t="str">
            <v>"-"</v>
          </cell>
        </row>
        <row r="145">
          <cell r="A145">
            <v>46265</v>
          </cell>
          <cell r="B145" t="str">
            <v xml:space="preserve">AHMAD YANI                              </v>
          </cell>
          <cell r="C145" t="str">
            <v>AEVGY66</v>
          </cell>
          <cell r="D145">
            <v>112901039116504</v>
          </cell>
          <cell r="F145" t="str">
            <v>Tidak</v>
          </cell>
          <cell r="G145" t="str">
            <v>Tidak</v>
          </cell>
          <cell r="H145" t="str">
            <v>Tidak</v>
          </cell>
          <cell r="I145" t="str">
            <v>Bandar Judol Withdrawal</v>
          </cell>
          <cell r="J145">
            <v>35</v>
          </cell>
          <cell r="K145" t="str">
            <v>86,88,87</v>
          </cell>
          <cell r="L145" t="str">
            <v>Judi Online</v>
          </cell>
          <cell r="M145" t="str">
            <v xml:space="preserve">Kas Kanpus                              </v>
          </cell>
          <cell r="N145" t="str">
            <v xml:space="preserve">Kas Kanpus                              </v>
          </cell>
          <cell r="O145" t="str">
            <v xml:space="preserve">KAS KANPUS                              </v>
          </cell>
          <cell r="R145" t="str">
            <v>Belum TL</v>
          </cell>
          <cell r="S145" t="str">
            <v>Belum TL</v>
          </cell>
          <cell r="T145" t="str">
            <v>90171841 - Rifqi Aziz</v>
          </cell>
          <cell r="U145" t="str">
            <v>"-"</v>
          </cell>
        </row>
        <row r="146">
          <cell r="A146">
            <v>46265</v>
          </cell>
          <cell r="B146" t="str">
            <v xml:space="preserve">ADHIMUKTI INTI INDONESIA                </v>
          </cell>
          <cell r="C146" t="str">
            <v>AEVLH09</v>
          </cell>
          <cell r="D146">
            <v>43001000944154</v>
          </cell>
          <cell r="F146" t="str">
            <v>Tidak</v>
          </cell>
          <cell r="G146" t="str">
            <v>Tidak</v>
          </cell>
          <cell r="H146" t="str">
            <v>Tidak</v>
          </cell>
          <cell r="I146" t="str">
            <v>Korupsi - Loan View</v>
          </cell>
          <cell r="J146">
            <v>33</v>
          </cell>
          <cell r="K146">
            <v>15</v>
          </cell>
          <cell r="L146" t="str">
            <v>Korupsi</v>
          </cell>
          <cell r="M146" t="str">
            <v>Kas Kanpus</v>
          </cell>
          <cell r="N146" t="str">
            <v>Kas Kanpus</v>
          </cell>
          <cell r="O146" t="str">
            <v>KAS KANPUS</v>
          </cell>
          <cell r="R146" t="str">
            <v>Belum TL</v>
          </cell>
          <cell r="S146" t="str">
            <v>Belum TL</v>
          </cell>
          <cell r="T146" t="str">
            <v>90170665 - Mutiara Ayuningtyas</v>
          </cell>
          <cell r="U146" t="str">
            <v>"-"</v>
          </cell>
        </row>
        <row r="147">
          <cell r="A147">
            <v>46265</v>
          </cell>
          <cell r="B147" t="str">
            <v xml:space="preserve">ASEP SOPIAN                             </v>
          </cell>
          <cell r="C147" t="str">
            <v>AEVYL42</v>
          </cell>
          <cell r="D147">
            <v>30201125179504</v>
          </cell>
          <cell r="F147" t="str">
            <v>Tidak</v>
          </cell>
          <cell r="G147" t="str">
            <v>Tidak</v>
          </cell>
          <cell r="H147" t="str">
            <v>Tidak</v>
          </cell>
          <cell r="I147" t="str">
            <v>Bandar Judol Depo</v>
          </cell>
          <cell r="J147">
            <v>35</v>
          </cell>
          <cell r="K147" t="str">
            <v>86,74,87</v>
          </cell>
          <cell r="L147" t="str">
            <v>Judi Online</v>
          </cell>
          <cell r="M147" t="str">
            <v xml:space="preserve">Kas Kanpus                              </v>
          </cell>
          <cell r="N147" t="str">
            <v xml:space="preserve">Kas Kanpus                              </v>
          </cell>
          <cell r="O147" t="str">
            <v xml:space="preserve">KAS KANPUS                              </v>
          </cell>
          <cell r="R147" t="str">
            <v>Belum TL</v>
          </cell>
          <cell r="S147" t="str">
            <v>Belum TL</v>
          </cell>
          <cell r="T147" t="str">
            <v>90170665 - Mutiara Ayuningtyas</v>
          </cell>
          <cell r="U147" t="str">
            <v>"-"</v>
          </cell>
        </row>
        <row r="148">
          <cell r="A148">
            <v>46265</v>
          </cell>
          <cell r="B148" t="str">
            <v xml:space="preserve">AMIN RAIS                               </v>
          </cell>
          <cell r="C148" t="str">
            <v>AEWAM37</v>
          </cell>
          <cell r="D148">
            <v>561701002148503</v>
          </cell>
          <cell r="F148" t="str">
            <v>Tidak</v>
          </cell>
          <cell r="G148" t="str">
            <v>Tidak</v>
          </cell>
          <cell r="I148" t="str">
            <v>Jual Beli Rekening - E channel Trx</v>
          </cell>
          <cell r="J148">
            <v>33</v>
          </cell>
          <cell r="K148">
            <v>113</v>
          </cell>
          <cell r="L148" t="str">
            <v>Narkotika/Judi Online/Penipuan</v>
          </cell>
          <cell r="M148" t="str">
            <v xml:space="preserve">UNIT PADANG JATI BENGKULU               </v>
          </cell>
          <cell r="N148" t="str">
            <v xml:space="preserve">KC Bengkulu                             </v>
          </cell>
          <cell r="O148" t="str">
            <v xml:space="preserve">KANWIL BANDAR LAMPUNG                   </v>
          </cell>
          <cell r="R148" t="str">
            <v>Belum TL</v>
          </cell>
          <cell r="S148" t="str">
            <v>Belum TL</v>
          </cell>
          <cell r="U148" t="str">
            <v>"-"</v>
          </cell>
        </row>
        <row r="149">
          <cell r="A149">
            <v>46265</v>
          </cell>
          <cell r="B149" t="str">
            <v xml:space="preserve">ADITHIA SAPUTRA                         </v>
          </cell>
          <cell r="C149" t="str">
            <v>AEWBG06</v>
          </cell>
          <cell r="D149">
            <v>112201001017568</v>
          </cell>
          <cell r="F149" t="str">
            <v>Tidak</v>
          </cell>
          <cell r="G149" t="str">
            <v>Tidak</v>
          </cell>
          <cell r="H149" t="str">
            <v>Tidak</v>
          </cell>
          <cell r="I149" t="str">
            <v>Bandar Judol Withdrawal</v>
          </cell>
          <cell r="J149">
            <v>35</v>
          </cell>
          <cell r="K149" t="str">
            <v>86,88,87</v>
          </cell>
          <cell r="L149" t="str">
            <v>Judi Online</v>
          </cell>
          <cell r="M149" t="str">
            <v xml:space="preserve">Kas Kanpus                              </v>
          </cell>
          <cell r="N149" t="str">
            <v xml:space="preserve">Kas Kanpus                              </v>
          </cell>
          <cell r="O149" t="str">
            <v xml:space="preserve">KAS KANPUS                              </v>
          </cell>
          <cell r="R149" t="str">
            <v>Belum TL</v>
          </cell>
          <cell r="S149" t="str">
            <v>Belum TL</v>
          </cell>
          <cell r="T149" t="str">
            <v>90185538 - Muhammad Fahikal Auz</v>
          </cell>
          <cell r="U149" t="str">
            <v>"-"</v>
          </cell>
        </row>
        <row r="150">
          <cell r="A150">
            <v>46265</v>
          </cell>
          <cell r="B150" t="str">
            <v xml:space="preserve">ANDI PIRMANSAH                          </v>
          </cell>
          <cell r="C150" t="str">
            <v>AEWNT16</v>
          </cell>
          <cell r="D150">
            <v>322501006798503</v>
          </cell>
          <cell r="F150" t="str">
            <v>Tidak</v>
          </cell>
          <cell r="G150" t="str">
            <v>Tidak</v>
          </cell>
          <cell r="I150" t="str">
            <v>Jual Beli Rekening - E channel Trx</v>
          </cell>
          <cell r="J150">
            <v>33</v>
          </cell>
          <cell r="K150">
            <v>113</v>
          </cell>
          <cell r="L150" t="str">
            <v>Narkotika/Judi Online/Penipuan</v>
          </cell>
          <cell r="M150" t="str">
            <v xml:space="preserve">UNIT PASAR TIMBUL                       </v>
          </cell>
          <cell r="N150" t="str">
            <v xml:space="preserve">KC Jakarta Kalideres                    </v>
          </cell>
          <cell r="O150" t="str">
            <v xml:space="preserve">KANWIL JAKARTA 3                        </v>
          </cell>
          <cell r="R150" t="str">
            <v>Belum TL</v>
          </cell>
          <cell r="S150" t="str">
            <v>Belum TL</v>
          </cell>
          <cell r="U150" t="str">
            <v>"-"</v>
          </cell>
        </row>
        <row r="151">
          <cell r="A151">
            <v>46265</v>
          </cell>
          <cell r="B151" t="str">
            <v xml:space="preserve">ANDRIYAN MAULANA                        </v>
          </cell>
          <cell r="C151" t="str">
            <v>AEWYD66</v>
          </cell>
          <cell r="D151">
            <v>39501042627506</v>
          </cell>
          <cell r="F151" t="str">
            <v>Tidak</v>
          </cell>
          <cell r="G151" t="str">
            <v>Tidak</v>
          </cell>
          <cell r="H151" t="str">
            <v>Tidak</v>
          </cell>
          <cell r="I151" t="str">
            <v>Bandar Judol Withdrawal</v>
          </cell>
          <cell r="J151">
            <v>35</v>
          </cell>
          <cell r="K151" t="str">
            <v>86,88,87</v>
          </cell>
          <cell r="L151" t="str">
            <v>Judi Online</v>
          </cell>
          <cell r="M151" t="str">
            <v xml:space="preserve">Kas Kanpus                              </v>
          </cell>
          <cell r="N151" t="str">
            <v xml:space="preserve">Kas Kanpus                              </v>
          </cell>
          <cell r="O151" t="str">
            <v xml:space="preserve">KAS KANPUS                              </v>
          </cell>
          <cell r="R151" t="str">
            <v>Belum TL</v>
          </cell>
          <cell r="S151" t="str">
            <v>Belum TL</v>
          </cell>
          <cell r="T151" t="str">
            <v>90186796 - Devito Arya Wiradila</v>
          </cell>
          <cell r="U151" t="str">
            <v>"-"</v>
          </cell>
        </row>
        <row r="152">
          <cell r="A152">
            <v>46265</v>
          </cell>
          <cell r="B152" t="str">
            <v xml:space="preserve">ANGGITA DEWI                            </v>
          </cell>
          <cell r="C152" t="str">
            <v>AEWYE47</v>
          </cell>
          <cell r="D152">
            <v>486301000059560</v>
          </cell>
          <cell r="F152" t="str">
            <v>Tidak</v>
          </cell>
          <cell r="G152" t="str">
            <v>Tidak</v>
          </cell>
          <cell r="I152" t="str">
            <v>Jual Beli Rekening - E channel Trx</v>
          </cell>
          <cell r="J152">
            <v>33</v>
          </cell>
          <cell r="K152">
            <v>113</v>
          </cell>
          <cell r="L152" t="str">
            <v>Narkotika/Judi Online/Penipuan</v>
          </cell>
          <cell r="M152" t="str">
            <v xml:space="preserve">UNIT PERUMNAS I TANGERANG               </v>
          </cell>
          <cell r="N152" t="str">
            <v xml:space="preserve">KC Jakarta Tangerang                    </v>
          </cell>
          <cell r="O152" t="str">
            <v xml:space="preserve">KANWIL JAKARTA 3                        </v>
          </cell>
          <cell r="R152" t="str">
            <v>Belum TL</v>
          </cell>
          <cell r="S152" t="str">
            <v>Belum TL</v>
          </cell>
          <cell r="U152" t="str">
            <v>"-"</v>
          </cell>
        </row>
        <row r="153">
          <cell r="A153">
            <v>46265</v>
          </cell>
          <cell r="B153" t="str">
            <v xml:space="preserve">AKHMAD ISLAKUL HUDA                     </v>
          </cell>
          <cell r="C153" t="str">
            <v>AEXKD80</v>
          </cell>
          <cell r="D153">
            <v>588801000031565</v>
          </cell>
          <cell r="F153" t="str">
            <v>Tidak</v>
          </cell>
          <cell r="G153" t="str">
            <v>Tidak</v>
          </cell>
          <cell r="H153" t="str">
            <v>Tidak</v>
          </cell>
          <cell r="I153" t="str">
            <v>Bandar Judol Withdrawal</v>
          </cell>
          <cell r="J153">
            <v>35</v>
          </cell>
          <cell r="K153" t="str">
            <v>86,88,87</v>
          </cell>
          <cell r="L153" t="str">
            <v>Judi Online</v>
          </cell>
          <cell r="M153" t="str">
            <v xml:space="preserve">Kas Kanpus                              </v>
          </cell>
          <cell r="N153" t="str">
            <v xml:space="preserve">Kas Kanpus                              </v>
          </cell>
          <cell r="O153" t="str">
            <v xml:space="preserve">KAS KANPUS                              </v>
          </cell>
          <cell r="R153" t="str">
            <v>Belum TL</v>
          </cell>
          <cell r="S153" t="str">
            <v>Belum TL</v>
          </cell>
          <cell r="T153" t="str">
            <v>00394520 - Frida Akbar Rani</v>
          </cell>
          <cell r="U153" t="str">
            <v>"-"</v>
          </cell>
        </row>
        <row r="154">
          <cell r="A154">
            <v>46265</v>
          </cell>
          <cell r="B154" t="str">
            <v xml:space="preserve">AHMAD DITO LAKSONO                      </v>
          </cell>
          <cell r="C154" t="str">
            <v>AEUUD25</v>
          </cell>
          <cell r="D154">
            <v>109201054435506</v>
          </cell>
          <cell r="F154" t="str">
            <v>Tidak</v>
          </cell>
          <cell r="G154" t="str">
            <v>Tidak</v>
          </cell>
          <cell r="H154" t="str">
            <v>Tidak</v>
          </cell>
          <cell r="I154" t="str">
            <v>Bandar Judol Withdrawal</v>
          </cell>
          <cell r="J154">
            <v>35</v>
          </cell>
          <cell r="K154" t="str">
            <v>86,88,87</v>
          </cell>
          <cell r="L154" t="str">
            <v>Judi Online</v>
          </cell>
          <cell r="M154" t="str">
            <v xml:space="preserve">Kas Kanpus                              </v>
          </cell>
          <cell r="N154" t="str">
            <v xml:space="preserve">Kas Kanpus                              </v>
          </cell>
          <cell r="O154" t="str">
            <v xml:space="preserve">KAS KANPUS                              </v>
          </cell>
          <cell r="R154" t="str">
            <v>Belum TL</v>
          </cell>
          <cell r="S154" t="str">
            <v>Belum TL</v>
          </cell>
          <cell r="T154" t="str">
            <v>90186790 - Muhammad Alfin Farha</v>
          </cell>
          <cell r="U154" t="str">
            <v>"-"</v>
          </cell>
        </row>
        <row r="155">
          <cell r="A155">
            <v>46265</v>
          </cell>
          <cell r="B155" t="str">
            <v xml:space="preserve">ALFIANDY                                </v>
          </cell>
          <cell r="C155" t="str">
            <v>AEXZB46</v>
          </cell>
          <cell r="D155">
            <v>39501042649508</v>
          </cell>
          <cell r="F155" t="str">
            <v>Tidak</v>
          </cell>
          <cell r="G155" t="str">
            <v>Tidak</v>
          </cell>
          <cell r="H155" t="str">
            <v>Tidak</v>
          </cell>
          <cell r="I155" t="str">
            <v>Bandar Judol Withdrawal</v>
          </cell>
          <cell r="J155">
            <v>35</v>
          </cell>
          <cell r="K155" t="str">
            <v>86,88,87</v>
          </cell>
          <cell r="L155" t="str">
            <v>Judi Online</v>
          </cell>
          <cell r="M155" t="str">
            <v xml:space="preserve">Kas Kanpus                              </v>
          </cell>
          <cell r="N155" t="str">
            <v xml:space="preserve">Kas Kanpus                              </v>
          </cell>
          <cell r="O155" t="str">
            <v xml:space="preserve">KAS KANPUS                              </v>
          </cell>
          <cell r="R155" t="str">
            <v>Belum TL</v>
          </cell>
          <cell r="S155" t="str">
            <v>Belum TL</v>
          </cell>
          <cell r="T155" t="str">
            <v>90185537 - Moh.Khoerul Fajar Ar</v>
          </cell>
          <cell r="U155" t="str">
            <v>"-"</v>
          </cell>
        </row>
        <row r="156">
          <cell r="A156">
            <v>46265</v>
          </cell>
          <cell r="B156" t="str">
            <v xml:space="preserve">ALVIN ADAM                              </v>
          </cell>
          <cell r="C156" t="str">
            <v>AEYSY93</v>
          </cell>
          <cell r="D156">
            <v>23801097339502</v>
          </cell>
          <cell r="F156" t="str">
            <v>Tidak</v>
          </cell>
          <cell r="G156" t="str">
            <v>Tidak</v>
          </cell>
          <cell r="I156" t="str">
            <v>Jual Beli Rekening - E channel Trx</v>
          </cell>
          <cell r="J156">
            <v>33</v>
          </cell>
          <cell r="K156">
            <v>113</v>
          </cell>
          <cell r="L156" t="str">
            <v>Narkotika/Judi Online/Penipuan</v>
          </cell>
          <cell r="M156" t="str">
            <v xml:space="preserve">KC Binjai                               </v>
          </cell>
          <cell r="N156" t="str">
            <v xml:space="preserve">KC Binjai                               </v>
          </cell>
          <cell r="O156" t="str">
            <v xml:space="preserve">Medan                                   </v>
          </cell>
          <cell r="R156" t="str">
            <v>Belum TL</v>
          </cell>
          <cell r="S156" t="str">
            <v>Belum TL</v>
          </cell>
          <cell r="U156" t="str">
            <v>"-"</v>
          </cell>
        </row>
        <row r="157">
          <cell r="A157">
            <v>46265</v>
          </cell>
          <cell r="B157" t="str">
            <v xml:space="preserve">ANDHIKA PRATAMA S                       </v>
          </cell>
          <cell r="C157" t="str">
            <v>AEYUP58</v>
          </cell>
          <cell r="D157">
            <v>82601006687509</v>
          </cell>
          <cell r="F157" t="str">
            <v>Tidak</v>
          </cell>
          <cell r="G157" t="str">
            <v>Tidak</v>
          </cell>
          <cell r="H157" t="str">
            <v>Tidak</v>
          </cell>
          <cell r="I157" t="str">
            <v>Bandar Judol Depo</v>
          </cell>
          <cell r="J157">
            <v>35</v>
          </cell>
          <cell r="K157" t="str">
            <v>86,74,87</v>
          </cell>
          <cell r="L157" t="str">
            <v>Judi Online</v>
          </cell>
          <cell r="M157" t="str">
            <v xml:space="preserve">Kas Kanpus                              </v>
          </cell>
          <cell r="N157" t="str">
            <v xml:space="preserve">Kas Kanpus                              </v>
          </cell>
          <cell r="O157" t="str">
            <v xml:space="preserve">KAS KANPUS                              </v>
          </cell>
          <cell r="R157" t="str">
            <v>Belum TL</v>
          </cell>
          <cell r="S157" t="str">
            <v>Belum TL</v>
          </cell>
          <cell r="T157" t="str">
            <v>90171841 - Rifqi Aziz</v>
          </cell>
          <cell r="U157" t="str">
            <v>"-"</v>
          </cell>
        </row>
        <row r="158">
          <cell r="A158">
            <v>46265</v>
          </cell>
          <cell r="B158" t="str">
            <v xml:space="preserve">AHMAD YANI                              </v>
          </cell>
          <cell r="C158" t="str">
            <v>AEZCK13</v>
          </cell>
          <cell r="D158">
            <v>8001413665504</v>
          </cell>
          <cell r="F158" t="str">
            <v>Tidak</v>
          </cell>
          <cell r="G158" t="str">
            <v>Tidak</v>
          </cell>
          <cell r="I158" t="str">
            <v>Jual Beli Rekening - E channel Trx</v>
          </cell>
          <cell r="J158">
            <v>33</v>
          </cell>
          <cell r="K158">
            <v>113</v>
          </cell>
          <cell r="L158" t="str">
            <v>Narkotika/Judi Online/Penipuan</v>
          </cell>
          <cell r="M158" t="str">
            <v xml:space="preserve">KC Rangkasbitung                        </v>
          </cell>
          <cell r="N158" t="str">
            <v xml:space="preserve">KC Rangkasbitung                        </v>
          </cell>
          <cell r="O158" t="str">
            <v xml:space="preserve">KANWIL JAKARTA 3                        </v>
          </cell>
          <cell r="R158" t="str">
            <v>Belum TL</v>
          </cell>
          <cell r="S158" t="str">
            <v>Belum TL</v>
          </cell>
          <cell r="U158" t="str">
            <v>"-"</v>
          </cell>
        </row>
        <row r="159">
          <cell r="A159">
            <v>46265</v>
          </cell>
          <cell r="B159" t="str">
            <v xml:space="preserve">AMANDA AZZAHRA                          </v>
          </cell>
          <cell r="C159" t="str">
            <v>AEZQW85</v>
          </cell>
          <cell r="D159">
            <v>41501045272508</v>
          </cell>
          <cell r="F159" t="str">
            <v>Tidak</v>
          </cell>
          <cell r="G159" t="str">
            <v>Tidak</v>
          </cell>
          <cell r="H159" t="str">
            <v>Tidak</v>
          </cell>
          <cell r="I159" t="str">
            <v>Bandar Judol Withdrawal</v>
          </cell>
          <cell r="J159">
            <v>35</v>
          </cell>
          <cell r="K159" t="str">
            <v>86,88,87</v>
          </cell>
          <cell r="L159" t="str">
            <v>Judi Online</v>
          </cell>
          <cell r="M159" t="str">
            <v xml:space="preserve">Kas Kanpus                              </v>
          </cell>
          <cell r="N159" t="str">
            <v xml:space="preserve">Kas Kanpus                              </v>
          </cell>
          <cell r="O159" t="str">
            <v xml:space="preserve">KAS KANPUS                              </v>
          </cell>
          <cell r="R159" t="str">
            <v>Belum TL</v>
          </cell>
          <cell r="S159" t="str">
            <v>Belum TL</v>
          </cell>
          <cell r="T159" t="str">
            <v>90170665 - Mutiara Ayuningtyas</v>
          </cell>
          <cell r="U159" t="str">
            <v>"-"</v>
          </cell>
        </row>
        <row r="160">
          <cell r="A160">
            <v>46265</v>
          </cell>
          <cell r="B160" t="str">
            <v xml:space="preserve">ASSALA KARYA SEMESTA                    </v>
          </cell>
          <cell r="C160" t="str">
            <v>AEZRT08</v>
          </cell>
          <cell r="D160">
            <v>33201003165301</v>
          </cell>
          <cell r="F160" t="str">
            <v>Tidak</v>
          </cell>
          <cell r="G160" t="str">
            <v>Tidak</v>
          </cell>
          <cell r="H160" t="str">
            <v>Tidak</v>
          </cell>
          <cell r="I160" t="str">
            <v>Perpajakan</v>
          </cell>
          <cell r="J160">
            <v>33</v>
          </cell>
          <cell r="K160">
            <v>41</v>
          </cell>
          <cell r="L160" t="str">
            <v>Perpajakan</v>
          </cell>
          <cell r="M160" t="str">
            <v xml:space="preserve">KC Jakarta Hayam Wuruk                  </v>
          </cell>
          <cell r="N160" t="str">
            <v xml:space="preserve">KC Jakarta Hayam Wuruk                  </v>
          </cell>
          <cell r="O160" t="str">
            <v xml:space="preserve">KANWIL JAKARTA 3                        </v>
          </cell>
          <cell r="R160" t="str">
            <v>Belum TL</v>
          </cell>
          <cell r="S160" t="str">
            <v>Belum TL</v>
          </cell>
          <cell r="T160" t="str">
            <v>90171841 - Rifqi Aziz</v>
          </cell>
          <cell r="U160" t="str">
            <v>"-"</v>
          </cell>
        </row>
        <row r="161">
          <cell r="A161">
            <v>46265</v>
          </cell>
          <cell r="B161" t="str">
            <v xml:space="preserve">ANGGITA DEWANTI                         </v>
          </cell>
          <cell r="C161" t="str">
            <v>AFCIM98</v>
          </cell>
          <cell r="D161">
            <v>780701002164506</v>
          </cell>
          <cell r="F161" t="str">
            <v>Tidak</v>
          </cell>
          <cell r="G161" t="str">
            <v>Tidak</v>
          </cell>
          <cell r="I161" t="str">
            <v>Jual Beli Rekening - E channel Trx</v>
          </cell>
          <cell r="J161">
            <v>33</v>
          </cell>
          <cell r="K161">
            <v>113</v>
          </cell>
          <cell r="L161" t="str">
            <v>Narkotika/Judi Online/Penipuan</v>
          </cell>
          <cell r="M161" t="str">
            <v xml:space="preserve">UNIT DUTA MAS JELAMBAR                  </v>
          </cell>
          <cell r="N161" t="str">
            <v xml:space="preserve">KC Jakarta Jelambar                     </v>
          </cell>
          <cell r="O161" t="str">
            <v xml:space="preserve">KANWIL JAKARTA 3                        </v>
          </cell>
          <cell r="R161" t="str">
            <v>Belum TL</v>
          </cell>
          <cell r="S161" t="str">
            <v>Belum TL</v>
          </cell>
          <cell r="U161" t="str">
            <v>"-"</v>
          </cell>
        </row>
        <row r="162">
          <cell r="A162">
            <v>46265</v>
          </cell>
          <cell r="B162" t="str">
            <v xml:space="preserve">AGUS MAULANA                            </v>
          </cell>
          <cell r="C162" t="str">
            <v>AFCIR88</v>
          </cell>
          <cell r="D162">
            <v>780701002166508</v>
          </cell>
          <cell r="F162" t="str">
            <v>Tidak</v>
          </cell>
          <cell r="G162" t="str">
            <v>Tidak</v>
          </cell>
          <cell r="I162" t="str">
            <v>Jual Beli Rekening - E channel Trx</v>
          </cell>
          <cell r="J162">
            <v>33</v>
          </cell>
          <cell r="K162">
            <v>113</v>
          </cell>
          <cell r="L162" t="str">
            <v>Narkotika/Judi Online/Penipuan</v>
          </cell>
          <cell r="M162" t="str">
            <v xml:space="preserve">UNIT DUTA MAS JELAMBAR                  </v>
          </cell>
          <cell r="N162" t="str">
            <v xml:space="preserve">KC Jakarta Jelambar                     </v>
          </cell>
          <cell r="O162" t="str">
            <v xml:space="preserve">KANWIL JAKARTA 3                        </v>
          </cell>
          <cell r="R162" t="str">
            <v>Belum TL</v>
          </cell>
          <cell r="S162" t="str">
            <v>Belum TL</v>
          </cell>
          <cell r="U162" t="str">
            <v>"-"</v>
          </cell>
        </row>
        <row r="163">
          <cell r="A163">
            <v>46265</v>
          </cell>
          <cell r="B163" t="str">
            <v xml:space="preserve">ABU JADI BERLIAN                        </v>
          </cell>
          <cell r="C163" t="str">
            <v>AFCQH09</v>
          </cell>
          <cell r="D163">
            <v>62301003436561</v>
          </cell>
          <cell r="F163" t="str">
            <v>Tidak</v>
          </cell>
          <cell r="G163" t="str">
            <v>Tidak</v>
          </cell>
          <cell r="H163" t="str">
            <v>Tidak</v>
          </cell>
          <cell r="I163" t="str">
            <v>Perpajakan</v>
          </cell>
          <cell r="J163">
            <v>33</v>
          </cell>
          <cell r="K163">
            <v>41</v>
          </cell>
          <cell r="L163" t="str">
            <v>Perpajakan</v>
          </cell>
          <cell r="M163" t="str">
            <v xml:space="preserve">KC Banjarmasin 2                        </v>
          </cell>
          <cell r="N163" t="str">
            <v xml:space="preserve">KC Banjarmasin 2                        </v>
          </cell>
          <cell r="O163" t="str">
            <v xml:space="preserve">Banjarmasin                             </v>
          </cell>
          <cell r="R163" t="str">
            <v>Belum TL</v>
          </cell>
          <cell r="S163" t="str">
            <v>Belum TL</v>
          </cell>
          <cell r="T163" t="str">
            <v>00394520 - Frida Akbar Rani</v>
          </cell>
          <cell r="U163" t="str">
            <v>"-"</v>
          </cell>
        </row>
        <row r="164">
          <cell r="A164">
            <v>46265</v>
          </cell>
          <cell r="B164" t="str">
            <v xml:space="preserve">ABU TEHUPELASURY                        </v>
          </cell>
          <cell r="C164" t="str">
            <v>AFE2462</v>
          </cell>
          <cell r="D164">
            <v>487201008792103</v>
          </cell>
          <cell r="E164" t="str">
            <v>RENDAH</v>
          </cell>
          <cell r="F164" t="str">
            <v>Tidak</v>
          </cell>
          <cell r="G164" t="str">
            <v>Tidak</v>
          </cell>
          <cell r="H164" t="str">
            <v>Tidak</v>
          </cell>
          <cell r="I164" t="str">
            <v>Korupsi - Loan View</v>
          </cell>
          <cell r="J164">
            <v>33</v>
          </cell>
          <cell r="K164">
            <v>15</v>
          </cell>
          <cell r="L164" t="str">
            <v>Korupsi</v>
          </cell>
          <cell r="M164" t="str">
            <v>Kas Kanpus</v>
          </cell>
          <cell r="N164" t="str">
            <v>Kas Kanpus</v>
          </cell>
          <cell r="O164" t="str">
            <v>KAS KANPUS</v>
          </cell>
          <cell r="R164" t="str">
            <v>Belum TL</v>
          </cell>
          <cell r="S164" t="str">
            <v>Belum TL</v>
          </cell>
          <cell r="T164" t="str">
            <v>90186790 - Muhammad Alfin Farha</v>
          </cell>
          <cell r="U164" t="str">
            <v>"-"</v>
          </cell>
        </row>
        <row r="165">
          <cell r="A165">
            <v>46265</v>
          </cell>
          <cell r="B165" t="str">
            <v xml:space="preserve">ADE ASTAR                               </v>
          </cell>
          <cell r="C165" t="str">
            <v>AFFVY29</v>
          </cell>
          <cell r="D165">
            <v>529401008536500</v>
          </cell>
          <cell r="F165" t="str">
            <v>Tidak</v>
          </cell>
          <cell r="G165" t="str">
            <v>Tidak</v>
          </cell>
          <cell r="H165" t="str">
            <v>Tidak</v>
          </cell>
          <cell r="I165" t="str">
            <v>Bandar Judol Depo</v>
          </cell>
          <cell r="J165">
            <v>35</v>
          </cell>
          <cell r="K165" t="str">
            <v>86,74,87</v>
          </cell>
          <cell r="L165" t="str">
            <v>Judi Online</v>
          </cell>
          <cell r="M165" t="str">
            <v xml:space="preserve">Kas Kanpus                              </v>
          </cell>
          <cell r="N165" t="str">
            <v xml:space="preserve">Kas Kanpus                              </v>
          </cell>
          <cell r="O165" t="str">
            <v xml:space="preserve">KAS KANPUS                              </v>
          </cell>
          <cell r="R165" t="str">
            <v>Belum TL</v>
          </cell>
          <cell r="S165" t="str">
            <v>Belum TL</v>
          </cell>
          <cell r="T165" t="str">
            <v>90185538 - Muhammad Fahikal Auz</v>
          </cell>
          <cell r="U165" t="str">
            <v>"-"</v>
          </cell>
        </row>
        <row r="166">
          <cell r="A166">
            <v>46265</v>
          </cell>
          <cell r="B166" t="str">
            <v xml:space="preserve">AHMAD AFANDI                            </v>
          </cell>
          <cell r="C166" t="str">
            <v>AFGAT62</v>
          </cell>
          <cell r="D166">
            <v>1901265977500</v>
          </cell>
          <cell r="F166" t="str">
            <v>Tidak</v>
          </cell>
          <cell r="G166" t="str">
            <v>Tidak</v>
          </cell>
          <cell r="I166" t="str">
            <v>Jual Beli Rekening - E channel Trx</v>
          </cell>
          <cell r="J166">
            <v>33</v>
          </cell>
          <cell r="K166">
            <v>113</v>
          </cell>
          <cell r="L166" t="str">
            <v>Narkotika/Judi Online/Penipuan</v>
          </cell>
          <cell r="M166" t="str">
            <v xml:space="preserve">KC JAKARTA KOTA                         </v>
          </cell>
          <cell r="N166" t="str">
            <v xml:space="preserve">KC JAKARTA KOTA                         </v>
          </cell>
          <cell r="O166" t="str">
            <v xml:space="preserve">KANWIL JAKARTA 3                        </v>
          </cell>
          <cell r="R166" t="str">
            <v>Belum TL</v>
          </cell>
          <cell r="S166" t="str">
            <v>Belum TL</v>
          </cell>
          <cell r="U166" t="str">
            <v>"-"</v>
          </cell>
        </row>
        <row r="167">
          <cell r="A167">
            <v>46265</v>
          </cell>
          <cell r="B167" t="str">
            <v xml:space="preserve">ALPIN AGUSTIAN                          </v>
          </cell>
          <cell r="C167" t="str">
            <v>AFIRQ77</v>
          </cell>
          <cell r="D167">
            <v>82601006819504</v>
          </cell>
          <cell r="F167" t="str">
            <v>Tidak</v>
          </cell>
          <cell r="G167" t="str">
            <v>Tidak</v>
          </cell>
          <cell r="H167" t="str">
            <v>Tidak</v>
          </cell>
          <cell r="I167" t="str">
            <v>Bandar Judol Depo</v>
          </cell>
          <cell r="J167">
            <v>35</v>
          </cell>
          <cell r="K167" t="str">
            <v>86,74,87</v>
          </cell>
          <cell r="L167" t="str">
            <v>Judi Online</v>
          </cell>
          <cell r="M167" t="str">
            <v xml:space="preserve">Kas Kanpus                              </v>
          </cell>
          <cell r="N167" t="str">
            <v xml:space="preserve">Kas Kanpus                              </v>
          </cell>
          <cell r="O167" t="str">
            <v xml:space="preserve">KAS KANPUS                              </v>
          </cell>
          <cell r="R167" t="str">
            <v>Belum TL</v>
          </cell>
          <cell r="S167" t="str">
            <v>Belum TL</v>
          </cell>
          <cell r="T167" t="str">
            <v>90171841 - Rifqi Aziz</v>
          </cell>
          <cell r="U167" t="str">
            <v>"-"</v>
          </cell>
        </row>
        <row r="168">
          <cell r="A168">
            <v>46265</v>
          </cell>
          <cell r="B168" t="str">
            <v xml:space="preserve">AZANKO                                  </v>
          </cell>
          <cell r="C168" t="str">
            <v>AFIYO19</v>
          </cell>
          <cell r="D168">
            <v>8901113078508</v>
          </cell>
          <cell r="F168" t="str">
            <v>Tidak</v>
          </cell>
          <cell r="G168" t="str">
            <v>Tidak</v>
          </cell>
          <cell r="H168" t="str">
            <v>Tidak</v>
          </cell>
          <cell r="I168" t="str">
            <v>Bandar Judol Withdrawal</v>
          </cell>
          <cell r="J168">
            <v>35</v>
          </cell>
          <cell r="K168" t="str">
            <v>86,88,87</v>
          </cell>
          <cell r="L168" t="str">
            <v>Judi Online</v>
          </cell>
          <cell r="M168" t="str">
            <v xml:space="preserve">Kas Kanpus                              </v>
          </cell>
          <cell r="N168" t="str">
            <v xml:space="preserve">Kas Kanpus                              </v>
          </cell>
          <cell r="O168" t="str">
            <v xml:space="preserve">KAS KANPUS                              </v>
          </cell>
          <cell r="R168" t="str">
            <v>Belum TL</v>
          </cell>
          <cell r="S168" t="str">
            <v>Belum TL</v>
          </cell>
          <cell r="T168" t="str">
            <v>90170665 - Mutiara Ayuningtyas</v>
          </cell>
          <cell r="U168" t="str">
            <v>"-"</v>
          </cell>
        </row>
        <row r="169">
          <cell r="A169">
            <v>46265</v>
          </cell>
          <cell r="B169" t="str">
            <v xml:space="preserve">ALYA SUSANTI                            </v>
          </cell>
          <cell r="C169" t="str">
            <v>AFPTU35</v>
          </cell>
          <cell r="D169">
            <v>307701004639506</v>
          </cell>
          <cell r="F169" t="str">
            <v>Tidak</v>
          </cell>
          <cell r="G169" t="str">
            <v>Tidak</v>
          </cell>
          <cell r="H169" t="str">
            <v>Tidak</v>
          </cell>
          <cell r="I169" t="str">
            <v>Bandar Judol Withdrawal</v>
          </cell>
          <cell r="J169">
            <v>35</v>
          </cell>
          <cell r="K169" t="str">
            <v>86,88,87</v>
          </cell>
          <cell r="L169" t="str">
            <v>Judi Online</v>
          </cell>
          <cell r="M169" t="str">
            <v xml:space="preserve">Kas Kanpus                              </v>
          </cell>
          <cell r="N169" t="str">
            <v xml:space="preserve">Kas Kanpus                              </v>
          </cell>
          <cell r="O169" t="str">
            <v xml:space="preserve">KAS KANPUS                              </v>
          </cell>
          <cell r="R169" t="str">
            <v>Belum TL</v>
          </cell>
          <cell r="S169" t="str">
            <v>Belum TL</v>
          </cell>
          <cell r="T169" t="str">
            <v>90186790 - Muhammad Alfin Farha</v>
          </cell>
          <cell r="U169" t="str">
            <v>"-"</v>
          </cell>
        </row>
        <row r="170">
          <cell r="A170">
            <v>46265</v>
          </cell>
          <cell r="B170" t="str">
            <v xml:space="preserve">ALNI PUTRA                              </v>
          </cell>
          <cell r="C170" t="str">
            <v>AFPUG54</v>
          </cell>
          <cell r="D170">
            <v>99301014016503</v>
          </cell>
          <cell r="F170" t="str">
            <v>Tidak</v>
          </cell>
          <cell r="G170" t="str">
            <v>Tidak</v>
          </cell>
          <cell r="H170" t="str">
            <v>Tidak</v>
          </cell>
          <cell r="I170" t="str">
            <v>Bandar Judol Withdrawal</v>
          </cell>
          <cell r="J170">
            <v>35</v>
          </cell>
          <cell r="K170" t="str">
            <v>86,88,87</v>
          </cell>
          <cell r="L170" t="str">
            <v>Judi Online</v>
          </cell>
          <cell r="M170" t="str">
            <v xml:space="preserve">Kas Kanpus                              </v>
          </cell>
          <cell r="N170" t="str">
            <v xml:space="preserve">Kas Kanpus                              </v>
          </cell>
          <cell r="O170" t="str">
            <v xml:space="preserve">KAS KANPUS                              </v>
          </cell>
          <cell r="R170" t="str">
            <v>Belum TL</v>
          </cell>
          <cell r="S170" t="str">
            <v>Belum TL</v>
          </cell>
          <cell r="T170" t="str">
            <v>00336949 - Mochammad Al Farabi</v>
          </cell>
          <cell r="U170" t="str">
            <v>"-"</v>
          </cell>
        </row>
        <row r="171">
          <cell r="A171">
            <v>46265</v>
          </cell>
          <cell r="B171" t="str">
            <v xml:space="preserve">AHMAD NUR CHOIZIN                       </v>
          </cell>
          <cell r="C171" t="str">
            <v>AFPZA01</v>
          </cell>
          <cell r="D171">
            <v>384801029031504</v>
          </cell>
          <cell r="F171" t="str">
            <v>Tidak</v>
          </cell>
          <cell r="G171" t="str">
            <v>Tidak</v>
          </cell>
          <cell r="H171" t="str">
            <v>Tidak</v>
          </cell>
          <cell r="I171" t="str">
            <v>Bandar Judol Withdrawal</v>
          </cell>
          <cell r="J171">
            <v>35</v>
          </cell>
          <cell r="K171" t="str">
            <v>86,88,87</v>
          </cell>
          <cell r="L171" t="str">
            <v>Judi Online</v>
          </cell>
          <cell r="M171" t="str">
            <v xml:space="preserve">Kas Kanpus                              </v>
          </cell>
          <cell r="N171" t="str">
            <v xml:space="preserve">Kas Kanpus                              </v>
          </cell>
          <cell r="O171" t="str">
            <v xml:space="preserve">KAS KANPUS                              </v>
          </cell>
          <cell r="R171" t="str">
            <v>Belum TL</v>
          </cell>
          <cell r="S171" t="str">
            <v>Belum TL</v>
          </cell>
          <cell r="T171" t="str">
            <v>90150130 - Intan Aida Pratiwi</v>
          </cell>
          <cell r="U171" t="str">
            <v>"-"</v>
          </cell>
        </row>
        <row r="172">
          <cell r="A172">
            <v>46265</v>
          </cell>
          <cell r="B172" t="str">
            <v xml:space="preserve">ARJUNA MEGA FILMS                       </v>
          </cell>
          <cell r="C172" t="str">
            <v>AFQAC35</v>
          </cell>
          <cell r="D172">
            <v>41701888998565</v>
          </cell>
          <cell r="F172" t="str">
            <v>Tidak</v>
          </cell>
          <cell r="G172" t="str">
            <v>Tidak</v>
          </cell>
          <cell r="H172" t="str">
            <v>Tidak</v>
          </cell>
          <cell r="I172" t="str">
            <v>Perpajakan</v>
          </cell>
          <cell r="J172">
            <v>33</v>
          </cell>
          <cell r="K172">
            <v>41</v>
          </cell>
          <cell r="L172" t="str">
            <v>Perpajakan</v>
          </cell>
          <cell r="M172" t="str">
            <v xml:space="preserve">KC Jakarta S Parman                     </v>
          </cell>
          <cell r="N172" t="str">
            <v xml:space="preserve">KC Jakarta S Parman                     </v>
          </cell>
          <cell r="O172" t="str">
            <v xml:space="preserve">KANWIL JAKARTA 3                        </v>
          </cell>
          <cell r="R172" t="str">
            <v>Belum TL</v>
          </cell>
          <cell r="S172" t="str">
            <v>Belum TL</v>
          </cell>
          <cell r="T172" t="str">
            <v>90170665 - Mutiara Ayuningtyas</v>
          </cell>
          <cell r="U172" t="str">
            <v>"-"</v>
          </cell>
        </row>
        <row r="173">
          <cell r="A173">
            <v>46265</v>
          </cell>
          <cell r="B173" t="str">
            <v xml:space="preserve">ANDRE CALORUS                           </v>
          </cell>
          <cell r="C173" t="str">
            <v>AFQRO25</v>
          </cell>
          <cell r="D173">
            <v>5901216729504</v>
          </cell>
          <cell r="F173" t="str">
            <v>Tidak</v>
          </cell>
          <cell r="G173" t="str">
            <v>Tidak</v>
          </cell>
          <cell r="H173" t="str">
            <v>Tidak</v>
          </cell>
          <cell r="I173" t="str">
            <v>Bandar Judol Withdrawal</v>
          </cell>
          <cell r="J173">
            <v>35</v>
          </cell>
          <cell r="K173" t="str">
            <v>86,88,87</v>
          </cell>
          <cell r="L173" t="str">
            <v>Judi Online</v>
          </cell>
          <cell r="M173" t="str">
            <v xml:space="preserve">Kas Kanpus                              </v>
          </cell>
          <cell r="N173" t="str">
            <v xml:space="preserve">Kas Kanpus                              </v>
          </cell>
          <cell r="O173" t="str">
            <v xml:space="preserve">KAS KANPUS                              </v>
          </cell>
          <cell r="R173" t="str">
            <v>Belum TL</v>
          </cell>
          <cell r="S173" t="str">
            <v>Belum TL</v>
          </cell>
          <cell r="T173" t="str">
            <v>00394521 - Muhammad Hibbanduta</v>
          </cell>
          <cell r="U173" t="str">
            <v>"-"</v>
          </cell>
        </row>
        <row r="174">
          <cell r="A174">
            <v>46265</v>
          </cell>
          <cell r="B174" t="str">
            <v xml:space="preserve">ADHI MULHAKIM                           </v>
          </cell>
          <cell r="C174" t="str">
            <v>AFQWB20</v>
          </cell>
          <cell r="D174">
            <v>90901023166504</v>
          </cell>
          <cell r="F174" t="str">
            <v>Tidak</v>
          </cell>
          <cell r="G174" t="str">
            <v>Tidak</v>
          </cell>
          <cell r="H174" t="str">
            <v>Tidak</v>
          </cell>
          <cell r="I174" t="str">
            <v>Bandar Judol Depo</v>
          </cell>
          <cell r="J174">
            <v>35</v>
          </cell>
          <cell r="K174" t="str">
            <v>86,74,87</v>
          </cell>
          <cell r="L174" t="str">
            <v>Judi Online</v>
          </cell>
          <cell r="M174" t="str">
            <v xml:space="preserve">Kas Kanpus                              </v>
          </cell>
          <cell r="N174" t="str">
            <v xml:space="preserve">Kas Kanpus                              </v>
          </cell>
          <cell r="O174" t="str">
            <v xml:space="preserve">KAS KANPUS                              </v>
          </cell>
          <cell r="R174" t="str">
            <v>Belum TL</v>
          </cell>
          <cell r="S174" t="str">
            <v>Belum TL</v>
          </cell>
          <cell r="T174" t="str">
            <v>00394521 - Muhammad Hibbanduta</v>
          </cell>
          <cell r="U174" t="str">
            <v>"-"</v>
          </cell>
        </row>
        <row r="175">
          <cell r="A175">
            <v>46265</v>
          </cell>
          <cell r="B175" t="str">
            <v xml:space="preserve">ARI RAHMADHANI                          </v>
          </cell>
          <cell r="C175" t="str">
            <v>AFQYK63</v>
          </cell>
          <cell r="D175">
            <v>804201025810505</v>
          </cell>
          <cell r="F175" t="str">
            <v>Tidak</v>
          </cell>
          <cell r="G175" t="str">
            <v>Tidak</v>
          </cell>
          <cell r="H175" t="str">
            <v>Tidak</v>
          </cell>
          <cell r="I175" t="str">
            <v>Bandar Judol Withdrawal</v>
          </cell>
          <cell r="J175">
            <v>35</v>
          </cell>
          <cell r="K175" t="str">
            <v>86,88,87</v>
          </cell>
          <cell r="L175" t="str">
            <v>Judi Online</v>
          </cell>
          <cell r="M175" t="str">
            <v xml:space="preserve">Kas Kanpus                              </v>
          </cell>
          <cell r="N175" t="str">
            <v xml:space="preserve">Kas Kanpus                              </v>
          </cell>
          <cell r="O175" t="str">
            <v xml:space="preserve">KAS KANPUS                              </v>
          </cell>
          <cell r="R175" t="str">
            <v>Belum TL</v>
          </cell>
          <cell r="S175" t="str">
            <v>Belum TL</v>
          </cell>
          <cell r="T175" t="str">
            <v>90170665 - Mutiara Ayuningtyas</v>
          </cell>
          <cell r="U175" t="str">
            <v>"-"</v>
          </cell>
        </row>
        <row r="176">
          <cell r="A176">
            <v>46265</v>
          </cell>
          <cell r="B176" t="str">
            <v xml:space="preserve">ARZAKI LUIS GARSIA                      </v>
          </cell>
          <cell r="C176" t="str">
            <v>AFSJO29</v>
          </cell>
          <cell r="D176">
            <v>176701018961504</v>
          </cell>
          <cell r="F176" t="str">
            <v>Tidak</v>
          </cell>
          <cell r="G176" t="str">
            <v>Tidak</v>
          </cell>
          <cell r="H176" t="str">
            <v>Tidak</v>
          </cell>
          <cell r="I176" t="str">
            <v>Bandar Judol Withdrawal</v>
          </cell>
          <cell r="J176">
            <v>35</v>
          </cell>
          <cell r="K176" t="str">
            <v>86,88,87</v>
          </cell>
          <cell r="L176" t="str">
            <v>Judi Online</v>
          </cell>
          <cell r="M176" t="str">
            <v xml:space="preserve">Kas Kanpus                              </v>
          </cell>
          <cell r="N176" t="str">
            <v xml:space="preserve">Kas Kanpus                              </v>
          </cell>
          <cell r="O176" t="str">
            <v xml:space="preserve">KAS KANPUS                              </v>
          </cell>
          <cell r="R176" t="str">
            <v>Belum TL</v>
          </cell>
          <cell r="S176" t="str">
            <v>Belum TL</v>
          </cell>
          <cell r="T176" t="str">
            <v>90186796 - Devito Arya Wiradila</v>
          </cell>
          <cell r="U176" t="str">
            <v>"-"</v>
          </cell>
        </row>
        <row r="177">
          <cell r="A177">
            <v>46265</v>
          </cell>
          <cell r="B177" t="str">
            <v xml:space="preserve">AFGHAN                                  </v>
          </cell>
          <cell r="C177" t="str">
            <v>AFSOK44</v>
          </cell>
          <cell r="D177">
            <v>176701018967500</v>
          </cell>
          <cell r="F177" t="str">
            <v>Tidak</v>
          </cell>
          <cell r="G177" t="str">
            <v>Tidak</v>
          </cell>
          <cell r="H177" t="str">
            <v>Tidak</v>
          </cell>
          <cell r="I177" t="str">
            <v>Bandar Judol Depo</v>
          </cell>
          <cell r="J177">
            <v>35</v>
          </cell>
          <cell r="K177" t="str">
            <v>86,74,87</v>
          </cell>
          <cell r="L177" t="str">
            <v>Judi Online</v>
          </cell>
          <cell r="M177" t="str">
            <v xml:space="preserve">Kas Kanpus                              </v>
          </cell>
          <cell r="N177" t="str">
            <v xml:space="preserve">Kas Kanpus                              </v>
          </cell>
          <cell r="O177" t="str">
            <v xml:space="preserve">KAS KANPUS                              </v>
          </cell>
          <cell r="R177" t="str">
            <v>Belum TL</v>
          </cell>
          <cell r="S177" t="str">
            <v>Belum TL</v>
          </cell>
          <cell r="T177" t="str">
            <v>90185537 - Moh.Khoerul Fajar Ar</v>
          </cell>
          <cell r="U177" t="str">
            <v>"-"</v>
          </cell>
        </row>
        <row r="178">
          <cell r="A178">
            <v>46265</v>
          </cell>
          <cell r="B178" t="str">
            <v xml:space="preserve">ANDREAS NOVERIYAN YOGA                  </v>
          </cell>
          <cell r="C178" t="str">
            <v>AFTDX63</v>
          </cell>
          <cell r="D178">
            <v>1901285035508</v>
          </cell>
          <cell r="F178" t="str">
            <v>Tidak</v>
          </cell>
          <cell r="G178" t="str">
            <v>Tidak</v>
          </cell>
          <cell r="H178" t="str">
            <v>Tidak</v>
          </cell>
          <cell r="I178" t="str">
            <v>Bandar Judol Withdrawal</v>
          </cell>
          <cell r="J178">
            <v>35</v>
          </cell>
          <cell r="K178" t="str">
            <v>86,88,87</v>
          </cell>
          <cell r="L178" t="str">
            <v>Judi Online</v>
          </cell>
          <cell r="M178" t="str">
            <v xml:space="preserve">Kas Kanpus                              </v>
          </cell>
          <cell r="N178" t="str">
            <v xml:space="preserve">Kas Kanpus                              </v>
          </cell>
          <cell r="O178" t="str">
            <v xml:space="preserve">KAS KANPUS                              </v>
          </cell>
          <cell r="R178" t="str">
            <v>Belum TL</v>
          </cell>
          <cell r="S178" t="str">
            <v>Belum TL</v>
          </cell>
          <cell r="T178" t="str">
            <v>00394521 - Muhammad Hibbanduta</v>
          </cell>
          <cell r="U178" t="str">
            <v>"-"</v>
          </cell>
        </row>
        <row r="179">
          <cell r="A179">
            <v>46265</v>
          </cell>
          <cell r="B179" t="str">
            <v xml:space="preserve">AWALUDDIN                               </v>
          </cell>
          <cell r="C179" t="str">
            <v>AFTSN62</v>
          </cell>
          <cell r="D179">
            <v>86601008166501</v>
          </cell>
          <cell r="F179" t="str">
            <v>Tidak</v>
          </cell>
          <cell r="G179" t="str">
            <v>Tidak</v>
          </cell>
          <cell r="H179" t="str">
            <v>Tidak</v>
          </cell>
          <cell r="I179" t="str">
            <v>Bandar Judol Withdrawal</v>
          </cell>
          <cell r="J179">
            <v>35</v>
          </cell>
          <cell r="K179" t="str">
            <v>86,88,87</v>
          </cell>
          <cell r="L179" t="str">
            <v>Judi Online</v>
          </cell>
          <cell r="M179" t="str">
            <v xml:space="preserve">Kas Kanpus                              </v>
          </cell>
          <cell r="N179" t="str">
            <v xml:space="preserve">Kas Kanpus                              </v>
          </cell>
          <cell r="O179" t="str">
            <v xml:space="preserve">KAS KANPUS                              </v>
          </cell>
          <cell r="R179" t="str">
            <v>Belum TL</v>
          </cell>
          <cell r="S179" t="str">
            <v>Belum TL</v>
          </cell>
          <cell r="T179" t="str">
            <v>90186790 - Muhammad Alfin Farha</v>
          </cell>
          <cell r="U179" t="str">
            <v>"-"</v>
          </cell>
        </row>
        <row r="180">
          <cell r="A180">
            <v>46265</v>
          </cell>
          <cell r="B180" t="str">
            <v xml:space="preserve">AINUN                                   </v>
          </cell>
          <cell r="C180" t="str">
            <v>AFTSY67</v>
          </cell>
          <cell r="D180">
            <v>81301038341506</v>
          </cell>
          <cell r="F180" t="str">
            <v>Tidak</v>
          </cell>
          <cell r="G180" t="str">
            <v>Tidak</v>
          </cell>
          <cell r="H180" t="str">
            <v>Tidak</v>
          </cell>
          <cell r="I180" t="str">
            <v>Bandar Judol Withdrawal</v>
          </cell>
          <cell r="J180">
            <v>35</v>
          </cell>
          <cell r="K180" t="str">
            <v>86,88,87</v>
          </cell>
          <cell r="L180" t="str">
            <v>Judi Online</v>
          </cell>
          <cell r="M180" t="str">
            <v xml:space="preserve">Kas Kanpus                              </v>
          </cell>
          <cell r="N180" t="str">
            <v xml:space="preserve">Kas Kanpus                              </v>
          </cell>
          <cell r="O180" t="str">
            <v xml:space="preserve">KAS KANPUS                              </v>
          </cell>
          <cell r="R180" t="str">
            <v>Belum TL</v>
          </cell>
          <cell r="S180" t="str">
            <v>Belum TL</v>
          </cell>
          <cell r="T180" t="str">
            <v>00394520 - Frida Akbar Rani</v>
          </cell>
          <cell r="U180" t="str">
            <v>"-"</v>
          </cell>
        </row>
        <row r="181">
          <cell r="A181">
            <v>46265</v>
          </cell>
          <cell r="B181" t="str">
            <v xml:space="preserve">ARYO WIDIATMOKO                         </v>
          </cell>
          <cell r="C181" t="str">
            <v>AG70274</v>
          </cell>
          <cell r="D181">
            <v>10701045725104</v>
          </cell>
          <cell r="E181" t="str">
            <v>TINGGI</v>
          </cell>
          <cell r="F181" t="str">
            <v>Tidak</v>
          </cell>
          <cell r="G181" t="str">
            <v>Tidak</v>
          </cell>
          <cell r="H181" t="str">
            <v>Tidak</v>
          </cell>
          <cell r="I181" t="str">
            <v>Korupsi - Loan View</v>
          </cell>
          <cell r="J181">
            <v>68</v>
          </cell>
          <cell r="K181">
            <v>15</v>
          </cell>
          <cell r="L181" t="str">
            <v>Korupsi</v>
          </cell>
          <cell r="M181" t="str">
            <v>Kas Kanpus</v>
          </cell>
          <cell r="N181" t="str">
            <v>Kas Kanpus</v>
          </cell>
          <cell r="O181" t="str">
            <v>KAS KANPUS</v>
          </cell>
          <cell r="R181" t="str">
            <v>Belum TL</v>
          </cell>
          <cell r="S181" t="str">
            <v>Belum TL</v>
          </cell>
          <cell r="T181" t="str">
            <v>00394521 - Muhammad Hibbanduta</v>
          </cell>
          <cell r="U181" t="str">
            <v>"-"</v>
          </cell>
        </row>
        <row r="182">
          <cell r="A182">
            <v>46265</v>
          </cell>
          <cell r="B182" t="str">
            <v xml:space="preserve">ALEXANDRE SUTRISNO                      </v>
          </cell>
          <cell r="C182" t="str">
            <v>AGAXL93</v>
          </cell>
          <cell r="D182">
            <v>4687400202871500</v>
          </cell>
          <cell r="F182" t="str">
            <v>Tidak</v>
          </cell>
          <cell r="G182" t="str">
            <v>Tidak</v>
          </cell>
          <cell r="H182" t="str">
            <v>Tidak</v>
          </cell>
          <cell r="I182" t="str">
            <v>Anomali Transaksi Kartu Kredit</v>
          </cell>
          <cell r="J182">
            <v>30</v>
          </cell>
          <cell r="K182">
            <v>116</v>
          </cell>
          <cell r="L182" t="str">
            <v>Anomali Transaksi Kartu Kredit</v>
          </cell>
          <cell r="M182" t="str">
            <v xml:space="preserve">Kas Kanpus                              </v>
          </cell>
          <cell r="N182" t="str">
            <v xml:space="preserve">Kas Kanpus                              </v>
          </cell>
          <cell r="O182" t="str">
            <v xml:space="preserve">KAS KANPUS                              </v>
          </cell>
          <cell r="R182" t="str">
            <v>Belum TL</v>
          </cell>
          <cell r="S182" t="str">
            <v>Belum TL</v>
          </cell>
          <cell r="T182" t="str">
            <v>00394521 - Muhammad Hibbanduta</v>
          </cell>
          <cell r="U182" t="str">
            <v>"-"</v>
          </cell>
        </row>
        <row r="183">
          <cell r="A183">
            <v>46265</v>
          </cell>
          <cell r="B183" t="str">
            <v xml:space="preserve">ALEXANDRE SUTRISNO                      </v>
          </cell>
          <cell r="C183" t="str">
            <v>AGAXL93</v>
          </cell>
          <cell r="D183">
            <v>4687400280379960</v>
          </cell>
          <cell r="F183" t="str">
            <v>Tidak</v>
          </cell>
          <cell r="G183" t="str">
            <v>Tidak</v>
          </cell>
          <cell r="H183" t="str">
            <v>Tidak</v>
          </cell>
          <cell r="I183" t="str">
            <v>Anomali Transaksi Kartu Kredit</v>
          </cell>
          <cell r="J183">
            <v>30</v>
          </cell>
          <cell r="K183">
            <v>116.117</v>
          </cell>
          <cell r="L183" t="str">
            <v>Anomali Transaksi Kartu Kredit</v>
          </cell>
          <cell r="M183" t="str">
            <v xml:space="preserve">Kas Kanpus                              </v>
          </cell>
          <cell r="N183" t="str">
            <v xml:space="preserve">Kas Kanpus                              </v>
          </cell>
          <cell r="O183" t="str">
            <v xml:space="preserve">KAS KANPUS                              </v>
          </cell>
          <cell r="R183" t="str">
            <v>Belum TL</v>
          </cell>
          <cell r="S183" t="str">
            <v>Belum TL</v>
          </cell>
          <cell r="T183" t="str">
            <v>00394520 - Frida Akbar Rani</v>
          </cell>
          <cell r="U183" t="str">
            <v>"-"</v>
          </cell>
        </row>
        <row r="184">
          <cell r="A184">
            <v>46265</v>
          </cell>
          <cell r="B184" t="str">
            <v xml:space="preserve">AHMAD SAEPI                             </v>
          </cell>
          <cell r="C184" t="str">
            <v>AGAXN78</v>
          </cell>
          <cell r="D184">
            <v>96301017722502</v>
          </cell>
          <cell r="F184" t="str">
            <v>Tidak</v>
          </cell>
          <cell r="G184" t="str">
            <v>Tidak</v>
          </cell>
          <cell r="H184" t="str">
            <v>Tidak</v>
          </cell>
          <cell r="I184" t="str">
            <v>Bandar Judol Depo</v>
          </cell>
          <cell r="J184">
            <v>35</v>
          </cell>
          <cell r="K184" t="str">
            <v>86,74,87</v>
          </cell>
          <cell r="L184" t="str">
            <v>Judi Online</v>
          </cell>
          <cell r="M184" t="str">
            <v xml:space="preserve">Kas Kanpus                              </v>
          </cell>
          <cell r="N184" t="str">
            <v xml:space="preserve">Kas Kanpus                              </v>
          </cell>
          <cell r="O184" t="str">
            <v xml:space="preserve">KAS KANPUS                              </v>
          </cell>
          <cell r="R184" t="str">
            <v>Belum TL</v>
          </cell>
          <cell r="S184" t="str">
            <v>Belum TL</v>
          </cell>
          <cell r="T184" t="str">
            <v>90185537 - Moh.Khoerul Fajar Ar</v>
          </cell>
          <cell r="U184" t="str">
            <v>"-"</v>
          </cell>
        </row>
        <row r="185">
          <cell r="A185">
            <v>46265</v>
          </cell>
          <cell r="B185" t="str">
            <v xml:space="preserve">ADITYA MANDA                            </v>
          </cell>
          <cell r="C185" t="str">
            <v>AGDBP72</v>
          </cell>
          <cell r="D185">
            <v>4359720235868800</v>
          </cell>
          <cell r="F185" t="str">
            <v>Tidak</v>
          </cell>
          <cell r="G185" t="str">
            <v>Tidak</v>
          </cell>
          <cell r="H185" t="str">
            <v>Tidak</v>
          </cell>
          <cell r="I185" t="str">
            <v>Penyuapan - CC View</v>
          </cell>
          <cell r="J185">
            <v>30</v>
          </cell>
          <cell r="K185">
            <v>16.170000000000002</v>
          </cell>
          <cell r="L185" t="str">
            <v>Penyuapan</v>
          </cell>
          <cell r="M185" t="str">
            <v xml:space="preserve">Kas Kanpus                              </v>
          </cell>
          <cell r="N185" t="str">
            <v xml:space="preserve">Kas Kanpus                              </v>
          </cell>
          <cell r="O185" t="str">
            <v xml:space="preserve">KAS KANPUS                              </v>
          </cell>
          <cell r="R185" t="str">
            <v>Belum TL</v>
          </cell>
          <cell r="S185" t="str">
            <v>Belum TL</v>
          </cell>
          <cell r="T185" t="str">
            <v>90186796 - Devito Arya Wiradila</v>
          </cell>
          <cell r="U185" t="str">
            <v>"-"</v>
          </cell>
        </row>
        <row r="186">
          <cell r="A186">
            <v>46265</v>
          </cell>
          <cell r="B186" t="str">
            <v xml:space="preserve">ANDREY T MATANDUNG                      </v>
          </cell>
          <cell r="C186" t="str">
            <v>AGDJQ68</v>
          </cell>
          <cell r="D186">
            <v>494101000030560</v>
          </cell>
          <cell r="F186" t="str">
            <v>Tidak</v>
          </cell>
          <cell r="G186" t="str">
            <v>Tidak</v>
          </cell>
          <cell r="H186" t="str">
            <v>Tidak</v>
          </cell>
          <cell r="I186" t="str">
            <v>Korupsi - Cash &amp; Amount</v>
          </cell>
          <cell r="J186">
            <v>40</v>
          </cell>
          <cell r="K186" t="str">
            <v>1,2,20</v>
          </cell>
          <cell r="L186" t="str">
            <v>Korupsi</v>
          </cell>
          <cell r="M186" t="str">
            <v>Kas Kanpus</v>
          </cell>
          <cell r="N186" t="str">
            <v>Kas Kanpus</v>
          </cell>
          <cell r="O186" t="str">
            <v>KAS KANPUS</v>
          </cell>
          <cell r="R186" t="str">
            <v>Belum TL</v>
          </cell>
          <cell r="S186" t="str">
            <v>Belum TL</v>
          </cell>
          <cell r="T186" t="str">
            <v>90186796 - Devito Arya Wiradila</v>
          </cell>
          <cell r="U186" t="str">
            <v>"-"</v>
          </cell>
        </row>
        <row r="187">
          <cell r="A187">
            <v>46265</v>
          </cell>
          <cell r="B187" t="str">
            <v xml:space="preserve">AUDI PUTRA PRATAMA                      </v>
          </cell>
          <cell r="C187" t="str">
            <v>AGMV609</v>
          </cell>
          <cell r="D187">
            <v>56801034764509</v>
          </cell>
          <cell r="F187" t="str">
            <v>Tidak</v>
          </cell>
          <cell r="G187" t="str">
            <v>Tidak</v>
          </cell>
          <cell r="I187" t="str">
            <v>Jual Beli Rekening - E channel Trx</v>
          </cell>
          <cell r="J187">
            <v>33</v>
          </cell>
          <cell r="K187">
            <v>113</v>
          </cell>
          <cell r="L187" t="str">
            <v>Narkotika/Judi Online/Penipuan</v>
          </cell>
          <cell r="M187" t="str">
            <v xml:space="preserve">KCP PEMANGKAT                           </v>
          </cell>
          <cell r="N187" t="str">
            <v xml:space="preserve">KC Singkawang                           </v>
          </cell>
          <cell r="O187" t="str">
            <v xml:space="preserve">Banjarmasin                             </v>
          </cell>
          <cell r="R187" t="str">
            <v>Belum TL</v>
          </cell>
          <cell r="S187" t="str">
            <v>Belum TL</v>
          </cell>
          <cell r="U187" t="str">
            <v>"-"</v>
          </cell>
        </row>
        <row r="188">
          <cell r="A188">
            <v>46265</v>
          </cell>
          <cell r="B188" t="str">
            <v xml:space="preserve">ANDREAN                                 </v>
          </cell>
          <cell r="C188" t="str">
            <v>AFCXD44</v>
          </cell>
          <cell r="D188">
            <v>112201001190560</v>
          </cell>
          <cell r="F188" t="str">
            <v>Tidak</v>
          </cell>
          <cell r="G188" t="str">
            <v>Tidak</v>
          </cell>
          <cell r="H188" t="str">
            <v>Tidak</v>
          </cell>
          <cell r="I188" t="str">
            <v>Bandar Judol Withdrawal</v>
          </cell>
          <cell r="J188">
            <v>35</v>
          </cell>
          <cell r="K188" t="str">
            <v>86,88,87</v>
          </cell>
          <cell r="L188" t="str">
            <v>Judi Online</v>
          </cell>
          <cell r="M188" t="str">
            <v xml:space="preserve">Kas Kanpus                              </v>
          </cell>
          <cell r="N188" t="str">
            <v xml:space="preserve">Kas Kanpus                              </v>
          </cell>
          <cell r="O188" t="str">
            <v xml:space="preserve">KAS KANPUS                              </v>
          </cell>
          <cell r="R188" t="str">
            <v>Belum TL</v>
          </cell>
          <cell r="S188" t="str">
            <v>Belum TL</v>
          </cell>
          <cell r="T188" t="str">
            <v>90186790 - Muhammad Alfin Farha</v>
          </cell>
          <cell r="U188" t="str">
            <v>"-"</v>
          </cell>
        </row>
        <row r="189">
          <cell r="A189">
            <v>46265</v>
          </cell>
          <cell r="B189" t="str">
            <v xml:space="preserve">ASYARI MARWAN                           </v>
          </cell>
          <cell r="C189" t="str">
            <v>AFGXZ78</v>
          </cell>
          <cell r="D189">
            <v>526101005368509</v>
          </cell>
          <cell r="F189" t="str">
            <v>Tidak</v>
          </cell>
          <cell r="G189" t="str">
            <v>Tidak</v>
          </cell>
          <cell r="H189" t="str">
            <v>Tidak</v>
          </cell>
          <cell r="I189" t="str">
            <v>Bandar Judol Withdrawal</v>
          </cell>
          <cell r="J189">
            <v>35</v>
          </cell>
          <cell r="K189" t="str">
            <v>86,88,87</v>
          </cell>
          <cell r="L189" t="str">
            <v>Judi Online</v>
          </cell>
          <cell r="M189" t="str">
            <v xml:space="preserve">Kas Kanpus                              </v>
          </cell>
          <cell r="N189" t="str">
            <v xml:space="preserve">Kas Kanpus                              </v>
          </cell>
          <cell r="O189" t="str">
            <v xml:space="preserve">KAS KANPUS                              </v>
          </cell>
          <cell r="R189" t="str">
            <v>Belum TL</v>
          </cell>
          <cell r="S189" t="str">
            <v>Belum TL</v>
          </cell>
          <cell r="T189" t="str">
            <v>90185537 - Moh.Khoerul Fajar Ar</v>
          </cell>
          <cell r="U189" t="str">
            <v>"-"</v>
          </cell>
        </row>
        <row r="190">
          <cell r="A190">
            <v>46265</v>
          </cell>
          <cell r="B190" t="str">
            <v xml:space="preserve">ARDANU SAMSU WINATA                     </v>
          </cell>
          <cell r="C190" t="str">
            <v>AFHBL61</v>
          </cell>
          <cell r="D190">
            <v>790701004278503</v>
          </cell>
          <cell r="F190" t="str">
            <v>Tidak</v>
          </cell>
          <cell r="G190" t="str">
            <v>Tidak</v>
          </cell>
          <cell r="H190" t="str">
            <v>Tidak</v>
          </cell>
          <cell r="I190" t="str">
            <v>Bandar Judol Withdrawal</v>
          </cell>
          <cell r="J190">
            <v>35</v>
          </cell>
          <cell r="K190" t="str">
            <v>86,88,87</v>
          </cell>
          <cell r="L190" t="str">
            <v>Judi Online</v>
          </cell>
          <cell r="M190" t="str">
            <v xml:space="preserve">Kas Kanpus                              </v>
          </cell>
          <cell r="N190" t="str">
            <v xml:space="preserve">Kas Kanpus                              </v>
          </cell>
          <cell r="O190" t="str">
            <v xml:space="preserve">KAS KANPUS                              </v>
          </cell>
          <cell r="R190" t="str">
            <v>Belum TL</v>
          </cell>
          <cell r="S190" t="str">
            <v>Belum TL</v>
          </cell>
          <cell r="T190" t="str">
            <v>90186790 - Muhammad Alfin Farha</v>
          </cell>
          <cell r="U190" t="str">
            <v>"-"</v>
          </cell>
        </row>
        <row r="191">
          <cell r="A191">
            <v>46265</v>
          </cell>
          <cell r="B191" t="str">
            <v xml:space="preserve">ARIF MUTAQIN                            </v>
          </cell>
          <cell r="C191" t="str">
            <v>AHCE075</v>
          </cell>
          <cell r="D191">
            <v>33801067389501</v>
          </cell>
          <cell r="E191" t="str">
            <v>SEDANG</v>
          </cell>
          <cell r="F191" t="str">
            <v>Tidak</v>
          </cell>
          <cell r="G191" t="str">
            <v>Tidak</v>
          </cell>
          <cell r="H191" t="str">
            <v>Tidak</v>
          </cell>
          <cell r="I191" t="str">
            <v>Bandar Judol Withdrawal</v>
          </cell>
          <cell r="J191">
            <v>50</v>
          </cell>
          <cell r="K191" t="str">
            <v>86,88,87</v>
          </cell>
          <cell r="L191" t="str">
            <v>Judi Online</v>
          </cell>
          <cell r="M191" t="str">
            <v xml:space="preserve">Kas Kanpus                              </v>
          </cell>
          <cell r="N191" t="str">
            <v xml:space="preserve">Kas Kanpus                              </v>
          </cell>
          <cell r="O191" t="str">
            <v xml:space="preserve">KAS KANPUS                              </v>
          </cell>
          <cell r="R191" t="str">
            <v>Belum TL</v>
          </cell>
          <cell r="S191" t="str">
            <v>Belum TL</v>
          </cell>
          <cell r="T191" t="str">
            <v>00394520 - Frida Akbar Rani</v>
          </cell>
          <cell r="U191" t="str">
            <v>"-"</v>
          </cell>
        </row>
        <row r="192">
          <cell r="A192">
            <v>46265</v>
          </cell>
          <cell r="B192" t="str">
            <v xml:space="preserve">AMARTHA MIKRO FINTEK                    </v>
          </cell>
          <cell r="C192" t="str">
            <v>AHDR268</v>
          </cell>
          <cell r="D192">
            <v>42501001099569</v>
          </cell>
          <cell r="E192" t="str">
            <v>SEDANG</v>
          </cell>
          <cell r="F192" t="str">
            <v>Tidak</v>
          </cell>
          <cell r="G192" t="str">
            <v>Tidak</v>
          </cell>
          <cell r="H192" t="str">
            <v>Tidak</v>
          </cell>
          <cell r="I192" t="str">
            <v>Perpajakan</v>
          </cell>
          <cell r="J192">
            <v>50</v>
          </cell>
          <cell r="K192">
            <v>1.33</v>
          </cell>
          <cell r="L192" t="str">
            <v>Perpajakan</v>
          </cell>
          <cell r="M192" t="str">
            <v xml:space="preserve">KC Ampera                               </v>
          </cell>
          <cell r="N192" t="str">
            <v xml:space="preserve">KC Ampera                               </v>
          </cell>
          <cell r="O192" t="str">
            <v xml:space="preserve">DKI2                                    </v>
          </cell>
          <cell r="R192" t="str">
            <v>Belum TL</v>
          </cell>
          <cell r="S192" t="str">
            <v>Belum TL</v>
          </cell>
          <cell r="T192" t="str">
            <v>00394521 - Muhammad Hibbanduta</v>
          </cell>
          <cell r="U192" t="str">
            <v>"-"</v>
          </cell>
        </row>
        <row r="193">
          <cell r="A193">
            <v>46265</v>
          </cell>
          <cell r="B193" t="str">
            <v xml:space="preserve">ANDRIKUS MOFU                           </v>
          </cell>
          <cell r="C193" t="str">
            <v>AHHE572</v>
          </cell>
          <cell r="D193">
            <v>56101000542563</v>
          </cell>
          <cell r="E193" t="str">
            <v>TINGGI</v>
          </cell>
          <cell r="F193" t="str">
            <v>Tidak</v>
          </cell>
          <cell r="G193" t="str">
            <v>Tidak</v>
          </cell>
          <cell r="H193" t="str">
            <v>Tidak</v>
          </cell>
          <cell r="I193" t="str">
            <v>Terorisme - SIPENDAR</v>
          </cell>
          <cell r="J193">
            <v>195</v>
          </cell>
          <cell r="K193">
            <v>36</v>
          </cell>
          <cell r="L193" t="str">
            <v>Terorisme</v>
          </cell>
          <cell r="M193" t="str">
            <v xml:space="preserve">Kas Kanpus                              </v>
          </cell>
          <cell r="N193" t="str">
            <v xml:space="preserve">Kas Kanpus                              </v>
          </cell>
          <cell r="O193" t="str">
            <v xml:space="preserve">KAS KANPUS                              </v>
          </cell>
          <cell r="R193" t="str">
            <v>Belum TL</v>
          </cell>
          <cell r="S193" t="str">
            <v>Belum TL</v>
          </cell>
          <cell r="T193" t="str">
            <v>90150130 - Intan Aida Pratiwi</v>
          </cell>
          <cell r="U193" t="str">
            <v>"-"</v>
          </cell>
        </row>
        <row r="194">
          <cell r="A194">
            <v>46265</v>
          </cell>
          <cell r="B194" t="str">
            <v xml:space="preserve">ASEP HIDAYAT ENGKOS                     </v>
          </cell>
          <cell r="C194" t="str">
            <v>AHK7548</v>
          </cell>
          <cell r="D194">
            <v>434001021529100</v>
          </cell>
          <cell r="E194" t="str">
            <v>SEDANG</v>
          </cell>
          <cell r="F194" t="str">
            <v>Tidak</v>
          </cell>
          <cell r="G194" t="str">
            <v>Tidak</v>
          </cell>
          <cell r="H194" t="str">
            <v>Tidak</v>
          </cell>
          <cell r="I194" t="str">
            <v>Korupsi - Loan View</v>
          </cell>
          <cell r="J194">
            <v>48</v>
          </cell>
          <cell r="K194">
            <v>15</v>
          </cell>
          <cell r="L194" t="str">
            <v>Korupsi</v>
          </cell>
          <cell r="M194" t="str">
            <v>Kas Kanpus</v>
          </cell>
          <cell r="N194" t="str">
            <v>Kas Kanpus</v>
          </cell>
          <cell r="O194" t="str">
            <v>KAS KANPUS</v>
          </cell>
          <cell r="R194" t="str">
            <v>Belum TL</v>
          </cell>
          <cell r="S194" t="str">
            <v>Belum TL</v>
          </cell>
          <cell r="T194" t="str">
            <v>90185538 - Muhammad Fahikal Auz</v>
          </cell>
          <cell r="U194" t="str">
            <v>"-"</v>
          </cell>
        </row>
        <row r="195">
          <cell r="A195">
            <v>46265</v>
          </cell>
          <cell r="B195" t="str">
            <v xml:space="preserve">IR ARENA PRIMA                          </v>
          </cell>
          <cell r="C195" t="str">
            <v>AHL0811</v>
          </cell>
          <cell r="D195">
            <v>20601101421503</v>
          </cell>
          <cell r="E195" t="str">
            <v>TINGGI</v>
          </cell>
          <cell r="F195" t="str">
            <v>Tidak</v>
          </cell>
          <cell r="G195" t="str">
            <v>Tidak</v>
          </cell>
          <cell r="H195" t="str">
            <v>Tidak</v>
          </cell>
          <cell r="I195" t="str">
            <v>Korupsi - Significant Trx View</v>
          </cell>
          <cell r="J195">
            <v>78</v>
          </cell>
          <cell r="K195">
            <v>1.19</v>
          </cell>
          <cell r="L195" t="str">
            <v>Korupsi</v>
          </cell>
          <cell r="M195" t="str">
            <v>Kas Kanpus</v>
          </cell>
          <cell r="N195" t="str">
            <v>Kas Kanpus</v>
          </cell>
          <cell r="O195" t="str">
            <v>KAS KANPUS</v>
          </cell>
          <cell r="R195" t="str">
            <v>Belum TL</v>
          </cell>
          <cell r="S195" t="str">
            <v>Belum TL</v>
          </cell>
          <cell r="T195" t="str">
            <v>00394521 - Muhammad Hibbanduta</v>
          </cell>
          <cell r="U195" t="str">
            <v>"-"</v>
          </cell>
        </row>
        <row r="196">
          <cell r="A196">
            <v>46265</v>
          </cell>
          <cell r="B196" t="str">
            <v xml:space="preserve">ALPIN                                   </v>
          </cell>
          <cell r="C196" t="str">
            <v>AHQI791</v>
          </cell>
          <cell r="D196">
            <v>32301100030505</v>
          </cell>
          <cell r="E196" t="str">
            <v>SEDANG</v>
          </cell>
          <cell r="F196" t="str">
            <v>Tidak</v>
          </cell>
          <cell r="G196" t="str">
            <v>Tidak</v>
          </cell>
          <cell r="H196" t="str">
            <v>Tidak</v>
          </cell>
          <cell r="I196" t="str">
            <v>Bandar Judol Withdrawal</v>
          </cell>
          <cell r="J196">
            <v>50</v>
          </cell>
          <cell r="K196" t="str">
            <v>86,88,87</v>
          </cell>
          <cell r="L196" t="str">
            <v>Judi Online</v>
          </cell>
          <cell r="M196" t="str">
            <v xml:space="preserve">Kas Kanpus                              </v>
          </cell>
          <cell r="N196" t="str">
            <v xml:space="preserve">Kas Kanpus                              </v>
          </cell>
          <cell r="O196" t="str">
            <v xml:space="preserve">KAS KANPUS                              </v>
          </cell>
          <cell r="R196" t="str">
            <v>Belum TL</v>
          </cell>
          <cell r="S196" t="str">
            <v>Belum TL</v>
          </cell>
          <cell r="T196" t="str">
            <v>00394521 - Muhammad Hibbanduta</v>
          </cell>
          <cell r="U196" t="str">
            <v>"-"</v>
          </cell>
        </row>
        <row r="197">
          <cell r="A197">
            <v>46265</v>
          </cell>
          <cell r="B197" t="str">
            <v xml:space="preserve">ASLIM PALIMBONG                         </v>
          </cell>
          <cell r="C197" t="str">
            <v>AHU6821</v>
          </cell>
          <cell r="D197">
            <v>64101011273109</v>
          </cell>
          <cell r="E197" t="str">
            <v>RENDAH</v>
          </cell>
          <cell r="F197" t="str">
            <v>Tidak</v>
          </cell>
          <cell r="G197" t="str">
            <v>Tidak</v>
          </cell>
          <cell r="H197" t="str">
            <v>Tidak</v>
          </cell>
          <cell r="I197" t="str">
            <v>Korupsi - Loan View</v>
          </cell>
          <cell r="J197">
            <v>33</v>
          </cell>
          <cell r="K197">
            <v>15</v>
          </cell>
          <cell r="L197" t="str">
            <v>Korupsi</v>
          </cell>
          <cell r="M197" t="str">
            <v>Kas Kanpus</v>
          </cell>
          <cell r="N197" t="str">
            <v>Kas Kanpus</v>
          </cell>
          <cell r="O197" t="str">
            <v>KAS KANPUS</v>
          </cell>
          <cell r="R197" t="str">
            <v>Belum TL</v>
          </cell>
          <cell r="S197" t="str">
            <v>Belum TL</v>
          </cell>
          <cell r="T197" t="str">
            <v>00394520 - Frida Akbar Rani</v>
          </cell>
          <cell r="U197" t="str">
            <v>"-"</v>
          </cell>
        </row>
        <row r="198">
          <cell r="A198">
            <v>46265</v>
          </cell>
          <cell r="B198" t="str">
            <v xml:space="preserve">ARIS ISMAWAN                            </v>
          </cell>
          <cell r="C198" t="str">
            <v>AID8782</v>
          </cell>
          <cell r="D198">
            <v>35301026696501</v>
          </cell>
          <cell r="E198" t="str">
            <v>SEDANG</v>
          </cell>
          <cell r="F198" t="str">
            <v>Tidak</v>
          </cell>
          <cell r="G198" t="str">
            <v>Tidak</v>
          </cell>
          <cell r="H198" t="str">
            <v>Tidak</v>
          </cell>
          <cell r="I198" t="str">
            <v>Korupsi - Significant Trx View</v>
          </cell>
          <cell r="J198">
            <v>48</v>
          </cell>
          <cell r="K198">
            <v>1.19</v>
          </cell>
          <cell r="L198" t="str">
            <v>Korupsi</v>
          </cell>
          <cell r="M198" t="str">
            <v>Kas Kanpus</v>
          </cell>
          <cell r="N198" t="str">
            <v>Kas Kanpus</v>
          </cell>
          <cell r="O198" t="str">
            <v>KAS KANPUS</v>
          </cell>
          <cell r="R198" t="str">
            <v>Belum TL</v>
          </cell>
          <cell r="S198" t="str">
            <v>Belum TL</v>
          </cell>
          <cell r="T198" t="str">
            <v>00394521 - Muhammad Hibbanduta</v>
          </cell>
          <cell r="U198" t="str">
            <v>"-"</v>
          </cell>
        </row>
        <row r="199">
          <cell r="A199">
            <v>46263</v>
          </cell>
          <cell r="B199" t="str">
            <v xml:space="preserve">ABDUL AZIZ                              </v>
          </cell>
          <cell r="C199" t="str">
            <v>AIMQ287</v>
          </cell>
          <cell r="D199">
            <v>329801048533530</v>
          </cell>
          <cell r="E199" t="str">
            <v>SEDANG</v>
          </cell>
          <cell r="F199" t="str">
            <v>Tidak</v>
          </cell>
          <cell r="G199" t="str">
            <v>Tidak</v>
          </cell>
          <cell r="I199" t="str">
            <v>Teroris - Remark</v>
          </cell>
          <cell r="J199">
            <v>168</v>
          </cell>
          <cell r="K199">
            <v>50</v>
          </cell>
          <cell r="L199" t="str">
            <v>Terorisme</v>
          </cell>
          <cell r="M199" t="str">
            <v xml:space="preserve">Kas Kanpus                              </v>
          </cell>
          <cell r="N199" t="str">
            <v xml:space="preserve">Kas Kanpus                              </v>
          </cell>
          <cell r="O199" t="str">
            <v xml:space="preserve">KAS KANPUS                              </v>
          </cell>
          <cell r="R199" t="str">
            <v>Belum TL</v>
          </cell>
          <cell r="S199" t="str">
            <v>Belum TL</v>
          </cell>
          <cell r="T199" t="str">
            <v>00394520 - Frida Akbar Rani</v>
          </cell>
          <cell r="U199" t="str">
            <v>"-"</v>
          </cell>
        </row>
        <row r="200">
          <cell r="A200">
            <v>46249</v>
          </cell>
          <cell r="B200" t="str">
            <v xml:space="preserve">ABDUL AZIZ                              </v>
          </cell>
          <cell r="C200" t="str">
            <v>AIMQ287</v>
          </cell>
          <cell r="D200">
            <v>329801048533530</v>
          </cell>
          <cell r="E200" t="str">
            <v>SEDANG</v>
          </cell>
          <cell r="F200" t="str">
            <v>Tidak</v>
          </cell>
          <cell r="G200" t="str">
            <v>Tidak</v>
          </cell>
          <cell r="I200" t="str">
            <v>Teroris - Remark</v>
          </cell>
          <cell r="J200">
            <v>168</v>
          </cell>
          <cell r="K200">
            <v>50</v>
          </cell>
          <cell r="L200" t="str">
            <v>Terorisme</v>
          </cell>
          <cell r="M200" t="str">
            <v xml:space="preserve">Kas Kanpus                              </v>
          </cell>
          <cell r="N200" t="str">
            <v xml:space="preserve">Kas Kanpus                              </v>
          </cell>
          <cell r="O200" t="str">
            <v xml:space="preserve">KAS KANPUS                              </v>
          </cell>
          <cell r="R200" t="str">
            <v>Belum TL</v>
          </cell>
          <cell r="S200" t="str">
            <v>Belum TL</v>
          </cell>
          <cell r="T200" t="str">
            <v>00394520 - Frida Akbar Rani</v>
          </cell>
          <cell r="U200" t="str">
            <v>"-"</v>
          </cell>
        </row>
        <row r="201">
          <cell r="A201">
            <v>46246</v>
          </cell>
          <cell r="B201" t="str">
            <v xml:space="preserve">ABDUL AZIZ                              </v>
          </cell>
          <cell r="C201" t="str">
            <v>AIMQ287</v>
          </cell>
          <cell r="D201">
            <v>329801048533530</v>
          </cell>
          <cell r="E201" t="str">
            <v>SEDANG</v>
          </cell>
          <cell r="F201" t="str">
            <v>Tidak</v>
          </cell>
          <cell r="G201" t="str">
            <v>Tidak</v>
          </cell>
          <cell r="I201" t="str">
            <v>Teroris - Remark</v>
          </cell>
          <cell r="J201">
            <v>168</v>
          </cell>
          <cell r="K201">
            <v>50</v>
          </cell>
          <cell r="L201" t="str">
            <v>Terorisme</v>
          </cell>
          <cell r="M201" t="str">
            <v xml:space="preserve">Kas Kanpus                              </v>
          </cell>
          <cell r="N201" t="str">
            <v xml:space="preserve">Kas Kanpus                              </v>
          </cell>
          <cell r="O201" t="str">
            <v xml:space="preserve">KAS KANPUS                              </v>
          </cell>
          <cell r="R201" t="str">
            <v>Belum TL</v>
          </cell>
          <cell r="S201" t="str">
            <v>Belum TL</v>
          </cell>
          <cell r="T201" t="str">
            <v>00394520 - Frida Akbar Rani</v>
          </cell>
          <cell r="U201" t="str">
            <v>"-"</v>
          </cell>
        </row>
        <row r="202">
          <cell r="A202">
            <v>46265</v>
          </cell>
          <cell r="B202" t="str">
            <v xml:space="preserve">ABIGAEL RANTELILING                     </v>
          </cell>
          <cell r="C202" t="str">
            <v>AIR0408</v>
          </cell>
          <cell r="D202">
            <v>40301024429537</v>
          </cell>
          <cell r="E202" t="str">
            <v>RENDAH</v>
          </cell>
          <cell r="F202" t="str">
            <v>Tidak</v>
          </cell>
          <cell r="G202" t="str">
            <v>Tidak</v>
          </cell>
          <cell r="H202" t="str">
            <v>Tidak</v>
          </cell>
          <cell r="I202" t="str">
            <v>Bandar Judol Withdrawal</v>
          </cell>
          <cell r="J202">
            <v>35</v>
          </cell>
          <cell r="K202" t="str">
            <v>86,88,87</v>
          </cell>
          <cell r="L202" t="str">
            <v>Judi Online</v>
          </cell>
          <cell r="M202" t="str">
            <v xml:space="preserve">Kas Kanpus                              </v>
          </cell>
          <cell r="N202" t="str">
            <v xml:space="preserve">Kas Kanpus                              </v>
          </cell>
          <cell r="O202" t="str">
            <v xml:space="preserve">KAS KANPUS                              </v>
          </cell>
          <cell r="R202" t="str">
            <v>Belum TL</v>
          </cell>
          <cell r="S202" t="str">
            <v>Belum TL</v>
          </cell>
          <cell r="T202" t="str">
            <v>90185538 - Muhammad Fahikal Auz</v>
          </cell>
          <cell r="U202" t="str">
            <v>"-"</v>
          </cell>
        </row>
        <row r="203">
          <cell r="A203">
            <v>46265</v>
          </cell>
          <cell r="B203" t="str">
            <v xml:space="preserve">ANDI SESSU                              </v>
          </cell>
          <cell r="C203" t="str">
            <v>AIU6976</v>
          </cell>
          <cell r="D203">
            <v>507701020317102</v>
          </cell>
          <cell r="E203" t="str">
            <v>SEDANG</v>
          </cell>
          <cell r="F203" t="str">
            <v>Tidak</v>
          </cell>
          <cell r="G203" t="str">
            <v>Tidak</v>
          </cell>
          <cell r="H203" t="str">
            <v>Tidak</v>
          </cell>
          <cell r="I203" t="str">
            <v>Korupsi - Loan View</v>
          </cell>
          <cell r="J203">
            <v>48</v>
          </cell>
          <cell r="K203">
            <v>15</v>
          </cell>
          <cell r="L203" t="str">
            <v>Korupsi</v>
          </cell>
          <cell r="M203" t="str">
            <v>Kas Kanpus</v>
          </cell>
          <cell r="N203" t="str">
            <v>Kas Kanpus</v>
          </cell>
          <cell r="O203" t="str">
            <v>KAS KANPUS</v>
          </cell>
          <cell r="R203" t="str">
            <v>Belum TL</v>
          </cell>
          <cell r="S203" t="str">
            <v>Belum TL</v>
          </cell>
          <cell r="T203" t="str">
            <v>90170665 - Mutiara Ayuningtyas</v>
          </cell>
          <cell r="U203" t="str">
            <v>"-"</v>
          </cell>
        </row>
        <row r="204">
          <cell r="A204">
            <v>46265</v>
          </cell>
          <cell r="B204" t="str">
            <v xml:space="preserve">ANSON STEFI AKIHARY                     </v>
          </cell>
          <cell r="C204" t="str">
            <v>AIU8527</v>
          </cell>
          <cell r="D204">
            <v>489501011181103</v>
          </cell>
          <cell r="E204" t="str">
            <v>SEDANG</v>
          </cell>
          <cell r="F204" t="str">
            <v>Tidak</v>
          </cell>
          <cell r="G204" t="str">
            <v>Tidak</v>
          </cell>
          <cell r="H204" t="str">
            <v>Tidak</v>
          </cell>
          <cell r="I204" t="str">
            <v>Korupsi - Loan View</v>
          </cell>
          <cell r="J204">
            <v>48</v>
          </cell>
          <cell r="K204">
            <v>15</v>
          </cell>
          <cell r="L204" t="str">
            <v>Korupsi</v>
          </cell>
          <cell r="M204" t="str">
            <v>Kas Kanpus</v>
          </cell>
          <cell r="N204" t="str">
            <v>Kas Kanpus</v>
          </cell>
          <cell r="O204" t="str">
            <v>KAS KANPUS</v>
          </cell>
          <cell r="R204" t="str">
            <v>Belum TL</v>
          </cell>
          <cell r="S204" t="str">
            <v>Belum TL</v>
          </cell>
          <cell r="T204" t="str">
            <v>90186796 - Devito Arya Wiradila</v>
          </cell>
          <cell r="U204" t="str">
            <v>"-"</v>
          </cell>
        </row>
        <row r="205">
          <cell r="A205">
            <v>46265</v>
          </cell>
          <cell r="B205" t="str">
            <v xml:space="preserve">A.A AYU DIAH INDRAWATI                  </v>
          </cell>
          <cell r="C205" t="str">
            <v>AJD8584</v>
          </cell>
          <cell r="D205">
            <v>12401002658562</v>
          </cell>
          <cell r="E205" t="str">
            <v>TINGGI</v>
          </cell>
          <cell r="F205" t="str">
            <v>Tidak</v>
          </cell>
          <cell r="G205" t="str">
            <v>Tidak</v>
          </cell>
          <cell r="H205" t="str">
            <v>Tidak</v>
          </cell>
          <cell r="I205" t="str">
            <v>Korupsi - Cash &amp; Amount</v>
          </cell>
          <cell r="J205">
            <v>78</v>
          </cell>
          <cell r="K205" t="str">
            <v>1,2,20</v>
          </cell>
          <cell r="L205" t="str">
            <v>Korupsi</v>
          </cell>
          <cell r="M205" t="str">
            <v>Kas Kanpus</v>
          </cell>
          <cell r="N205" t="str">
            <v>Kas Kanpus</v>
          </cell>
          <cell r="O205" t="str">
            <v>KAS KANPUS</v>
          </cell>
          <cell r="R205" t="str">
            <v>Belum TL</v>
          </cell>
          <cell r="S205" t="str">
            <v>Belum TL</v>
          </cell>
          <cell r="T205" t="str">
            <v>90170665 - Mutiara Ayuningtyas</v>
          </cell>
          <cell r="U205" t="str">
            <v>"-"</v>
          </cell>
        </row>
        <row r="206">
          <cell r="A206">
            <v>46265</v>
          </cell>
          <cell r="B206" t="str">
            <v xml:space="preserve">ARIESTOTALES MAMBRASAR                  </v>
          </cell>
          <cell r="C206" t="str">
            <v>AJG5122</v>
          </cell>
          <cell r="D206">
            <v>489701020342100</v>
          </cell>
          <cell r="E206" t="str">
            <v>SEDANG</v>
          </cell>
          <cell r="F206" t="str">
            <v>Tidak</v>
          </cell>
          <cell r="G206" t="str">
            <v>Tidak</v>
          </cell>
          <cell r="H206" t="str">
            <v>Tidak</v>
          </cell>
          <cell r="I206" t="str">
            <v>Korupsi - Loan View</v>
          </cell>
          <cell r="J206">
            <v>48</v>
          </cell>
          <cell r="K206">
            <v>15</v>
          </cell>
          <cell r="L206" t="str">
            <v>Korupsi</v>
          </cell>
          <cell r="M206" t="str">
            <v>Kas Kanpus</v>
          </cell>
          <cell r="N206" t="str">
            <v>Kas Kanpus</v>
          </cell>
          <cell r="O206" t="str">
            <v>KAS KANPUS</v>
          </cell>
          <cell r="R206" t="str">
            <v>Belum TL</v>
          </cell>
          <cell r="S206" t="str">
            <v>Belum TL</v>
          </cell>
          <cell r="T206" t="str">
            <v>90171841 - Rifqi Aziz</v>
          </cell>
          <cell r="U206" t="str">
            <v>"-"</v>
          </cell>
        </row>
        <row r="207">
          <cell r="A207">
            <v>46265</v>
          </cell>
          <cell r="B207" t="str">
            <v xml:space="preserve">ABD GHOFUR                              </v>
          </cell>
          <cell r="C207" t="str">
            <v>AJL5627</v>
          </cell>
          <cell r="D207">
            <v>5501100981505</v>
          </cell>
          <cell r="E207" t="str">
            <v>SEDANG</v>
          </cell>
          <cell r="F207" t="str">
            <v>Tidak</v>
          </cell>
          <cell r="G207" t="str">
            <v>Tidak</v>
          </cell>
          <cell r="H207" t="str">
            <v>Tidak</v>
          </cell>
          <cell r="I207" t="str">
            <v>Bandar Judol Withdrawal</v>
          </cell>
          <cell r="J207">
            <v>50</v>
          </cell>
          <cell r="K207" t="str">
            <v>86,88,87</v>
          </cell>
          <cell r="L207" t="str">
            <v>Judi Online</v>
          </cell>
          <cell r="M207" t="str">
            <v xml:space="preserve">Kas Kanpus                              </v>
          </cell>
          <cell r="N207" t="str">
            <v xml:space="preserve">Kas Kanpus                              </v>
          </cell>
          <cell r="O207" t="str">
            <v xml:space="preserve">KAS KANPUS                              </v>
          </cell>
          <cell r="R207" t="str">
            <v>Belum TL</v>
          </cell>
          <cell r="S207" t="str">
            <v>Belum TL</v>
          </cell>
          <cell r="T207" t="str">
            <v>90171841 - Rifqi Aziz</v>
          </cell>
          <cell r="U207" t="str">
            <v>"-"</v>
          </cell>
        </row>
        <row r="208">
          <cell r="A208">
            <v>46265</v>
          </cell>
          <cell r="B208" t="str">
            <v xml:space="preserve">AMIRULLAH                               </v>
          </cell>
          <cell r="C208" t="str">
            <v>AK91497</v>
          </cell>
          <cell r="D208">
            <v>64201000877304</v>
          </cell>
          <cell r="E208" t="str">
            <v>SEDANG</v>
          </cell>
          <cell r="F208" t="str">
            <v>Tidak</v>
          </cell>
          <cell r="G208" t="str">
            <v>Tidak</v>
          </cell>
          <cell r="H208" t="str">
            <v>Tidak</v>
          </cell>
          <cell r="I208" t="str">
            <v>Perpajakan</v>
          </cell>
          <cell r="J208">
            <v>58</v>
          </cell>
          <cell r="K208">
            <v>1.33</v>
          </cell>
          <cell r="L208" t="str">
            <v>Perpajakan</v>
          </cell>
          <cell r="M208" t="str">
            <v xml:space="preserve">KC Panakkukang                          </v>
          </cell>
          <cell r="N208" t="str">
            <v xml:space="preserve">KC Panakkukang                          </v>
          </cell>
          <cell r="O208" t="str">
            <v xml:space="preserve">Makassar                                </v>
          </cell>
          <cell r="R208" t="str">
            <v>Belum TL</v>
          </cell>
          <cell r="S208" t="str">
            <v>Belum TL</v>
          </cell>
          <cell r="T208" t="str">
            <v>90186790 - Muhammad Alfin Farha</v>
          </cell>
          <cell r="U208" t="str">
            <v>"-"</v>
          </cell>
        </row>
        <row r="209">
          <cell r="A209">
            <v>46265</v>
          </cell>
          <cell r="B209" t="str">
            <v xml:space="preserve">AMAT JAIS                               </v>
          </cell>
          <cell r="C209" t="str">
            <v>AKFN967</v>
          </cell>
          <cell r="D209">
            <v>327601020447109</v>
          </cell>
          <cell r="E209" t="str">
            <v>SEDANG</v>
          </cell>
          <cell r="F209" t="str">
            <v>Tidak</v>
          </cell>
          <cell r="G209" t="str">
            <v>Tidak</v>
          </cell>
          <cell r="H209" t="str">
            <v>Tidak</v>
          </cell>
          <cell r="I209" t="str">
            <v>Korupsi - Loan View</v>
          </cell>
          <cell r="J209">
            <v>48</v>
          </cell>
          <cell r="K209">
            <v>15</v>
          </cell>
          <cell r="L209" t="str">
            <v>Korupsi</v>
          </cell>
          <cell r="M209" t="str">
            <v>Kas Kanpus</v>
          </cell>
          <cell r="N209" t="str">
            <v>Kas Kanpus</v>
          </cell>
          <cell r="O209" t="str">
            <v>KAS KANPUS</v>
          </cell>
          <cell r="R209" t="str">
            <v>Belum TL</v>
          </cell>
          <cell r="S209" t="str">
            <v>Belum TL</v>
          </cell>
          <cell r="T209" t="str">
            <v>00394521 - Muhammad Hibbanduta</v>
          </cell>
          <cell r="U209" t="str">
            <v>"-"</v>
          </cell>
        </row>
        <row r="210">
          <cell r="A210">
            <v>46265</v>
          </cell>
          <cell r="B210" t="str">
            <v xml:space="preserve">AGUNG TAMBA                             </v>
          </cell>
          <cell r="C210" t="str">
            <v>AKGB549</v>
          </cell>
          <cell r="D210">
            <v>36701130465508</v>
          </cell>
          <cell r="E210" t="str">
            <v>SEDANG</v>
          </cell>
          <cell r="F210" t="str">
            <v>Tidak</v>
          </cell>
          <cell r="G210" t="str">
            <v>Tidak</v>
          </cell>
          <cell r="H210" t="str">
            <v>Tidak</v>
          </cell>
          <cell r="I210" t="str">
            <v>Bandar Judol Withdrawal</v>
          </cell>
          <cell r="J210">
            <v>50</v>
          </cell>
          <cell r="K210" t="str">
            <v>86,88,87</v>
          </cell>
          <cell r="L210" t="str">
            <v>Judi Online</v>
          </cell>
          <cell r="M210" t="str">
            <v xml:space="preserve">Kas Kanpus                              </v>
          </cell>
          <cell r="N210" t="str">
            <v xml:space="preserve">Kas Kanpus                              </v>
          </cell>
          <cell r="O210" t="str">
            <v xml:space="preserve">KAS KANPUS                              </v>
          </cell>
          <cell r="R210" t="str">
            <v>Belum TL</v>
          </cell>
          <cell r="S210" t="str">
            <v>Belum TL</v>
          </cell>
          <cell r="T210" t="str">
            <v>00394520 - Frida Akbar Rani</v>
          </cell>
          <cell r="U210" t="str">
            <v>"-"</v>
          </cell>
        </row>
        <row r="211">
          <cell r="A211">
            <v>46248</v>
          </cell>
          <cell r="B211" t="str">
            <v xml:space="preserve">ABDUL SYAKUR                            </v>
          </cell>
          <cell r="C211" t="str">
            <v>AKJZ968</v>
          </cell>
          <cell r="D211">
            <v>60501044912506</v>
          </cell>
          <cell r="E211" t="str">
            <v>SEDANG</v>
          </cell>
          <cell r="F211" t="str">
            <v>Tidak</v>
          </cell>
          <cell r="G211" t="str">
            <v>Tidak</v>
          </cell>
          <cell r="I211" t="str">
            <v>Teroris - Remark</v>
          </cell>
          <cell r="J211">
            <v>168</v>
          </cell>
          <cell r="K211">
            <v>50</v>
          </cell>
          <cell r="L211" t="str">
            <v>Terorisme</v>
          </cell>
          <cell r="M211" t="str">
            <v xml:space="preserve">Kas Kanpus                              </v>
          </cell>
          <cell r="N211" t="str">
            <v xml:space="preserve">Kas Kanpus                              </v>
          </cell>
          <cell r="O211" t="str">
            <v xml:space="preserve">KAS KANPUS                              </v>
          </cell>
          <cell r="R211" t="str">
            <v>Belum TL</v>
          </cell>
          <cell r="S211" t="str">
            <v>Belum TL</v>
          </cell>
          <cell r="T211" t="str">
            <v>00394521 - Muhammad Hibbanduta</v>
          </cell>
          <cell r="U211" t="str">
            <v>"-"</v>
          </cell>
        </row>
        <row r="212">
          <cell r="A212">
            <v>46243</v>
          </cell>
          <cell r="B212" t="str">
            <v xml:space="preserve">ABDUL SYAKUR                            </v>
          </cell>
          <cell r="C212" t="str">
            <v>AKJZ968</v>
          </cell>
          <cell r="D212">
            <v>60501044912506</v>
          </cell>
          <cell r="E212" t="str">
            <v>SEDANG</v>
          </cell>
          <cell r="F212" t="str">
            <v>Tidak</v>
          </cell>
          <cell r="G212" t="str">
            <v>Tidak</v>
          </cell>
          <cell r="I212" t="str">
            <v>Teroris - Remark</v>
          </cell>
          <cell r="J212">
            <v>168</v>
          </cell>
          <cell r="K212">
            <v>50</v>
          </cell>
          <cell r="L212" t="str">
            <v>Terorisme</v>
          </cell>
          <cell r="M212" t="str">
            <v xml:space="preserve">Kas Kanpus                              </v>
          </cell>
          <cell r="N212" t="str">
            <v xml:space="preserve">Kas Kanpus                              </v>
          </cell>
          <cell r="O212" t="str">
            <v xml:space="preserve">KAS KANPUS                              </v>
          </cell>
          <cell r="R212" t="str">
            <v>Belum TL</v>
          </cell>
          <cell r="S212" t="str">
            <v>Belum TL</v>
          </cell>
          <cell r="T212" t="str">
            <v>00394520 - Frida Akbar Rani</v>
          </cell>
          <cell r="U212" t="str">
            <v>"-"</v>
          </cell>
        </row>
        <row r="213">
          <cell r="A213">
            <v>46265</v>
          </cell>
          <cell r="B213" t="str">
            <v xml:space="preserve">AHMAD SABAR GESMA                       </v>
          </cell>
          <cell r="C213" t="str">
            <v>AKZL045</v>
          </cell>
          <cell r="D213">
            <v>4359720280872400</v>
          </cell>
          <cell r="E213" t="str">
            <v>SEDANG</v>
          </cell>
          <cell r="F213" t="str">
            <v>Ya</v>
          </cell>
          <cell r="G213" t="str">
            <v>Tidak</v>
          </cell>
          <cell r="H213" t="str">
            <v>Tidak</v>
          </cell>
          <cell r="I213" t="str">
            <v>Penghindaran Pajak (Transaksi Fiktif)/Penyuapan CC</v>
          </cell>
          <cell r="J213">
            <v>45</v>
          </cell>
          <cell r="K213">
            <v>118</v>
          </cell>
          <cell r="L213" t="str">
            <v>Penyuapan / Penghindaran Pajak CC View</v>
          </cell>
          <cell r="M213" t="str">
            <v xml:space="preserve">Kas Kanpus                              </v>
          </cell>
          <cell r="N213" t="str">
            <v xml:space="preserve">Kas Kanpus                              </v>
          </cell>
          <cell r="O213" t="str">
            <v xml:space="preserve">KAS KANPUS                              </v>
          </cell>
          <cell r="R213" t="str">
            <v>Belum TL</v>
          </cell>
          <cell r="S213" t="str">
            <v>Belum TL</v>
          </cell>
          <cell r="T213" t="str">
            <v>90150130 - Intan Aida Pratiwi</v>
          </cell>
          <cell r="U213" t="str">
            <v>"-"</v>
          </cell>
        </row>
        <row r="214">
          <cell r="A214">
            <v>46265</v>
          </cell>
          <cell r="B214" t="str">
            <v xml:space="preserve">ASUM SUMANTRI                           </v>
          </cell>
          <cell r="C214" t="str">
            <v>AKZX909</v>
          </cell>
          <cell r="D214">
            <v>41501017823505</v>
          </cell>
          <cell r="E214" t="str">
            <v>SEDANG</v>
          </cell>
          <cell r="F214" t="str">
            <v>Tidak</v>
          </cell>
          <cell r="G214" t="str">
            <v>Tidak</v>
          </cell>
          <cell r="H214" t="str">
            <v>Tidak</v>
          </cell>
          <cell r="I214" t="str">
            <v>Money Mules</v>
          </cell>
          <cell r="J214">
            <v>42</v>
          </cell>
          <cell r="K214">
            <v>77</v>
          </cell>
          <cell r="L214" t="str">
            <v>Narkotika/Judi Online</v>
          </cell>
          <cell r="M214" t="str">
            <v xml:space="preserve">Kas Kanpus                              </v>
          </cell>
          <cell r="N214" t="str">
            <v xml:space="preserve">Kas Kanpus                              </v>
          </cell>
          <cell r="O214" t="str">
            <v xml:space="preserve">KAS KANPUS                              </v>
          </cell>
          <cell r="R214" t="str">
            <v>Belum TL</v>
          </cell>
          <cell r="S214" t="str">
            <v>Belum TL</v>
          </cell>
          <cell r="T214" t="str">
            <v>90185537 - Moh.Khoerul Fajar Ar</v>
          </cell>
          <cell r="U214" t="str">
            <v>"-"</v>
          </cell>
        </row>
        <row r="215">
          <cell r="A215">
            <v>46265</v>
          </cell>
          <cell r="B215" t="str">
            <v xml:space="preserve">ARIF FADILAH                            </v>
          </cell>
          <cell r="C215" t="str">
            <v>AIJ9777</v>
          </cell>
          <cell r="D215">
            <v>39601028389502</v>
          </cell>
          <cell r="E215" t="str">
            <v>RENDAH</v>
          </cell>
          <cell r="F215" t="str">
            <v>Tidak</v>
          </cell>
          <cell r="G215" t="str">
            <v>Tidak</v>
          </cell>
          <cell r="H215" t="str">
            <v>Tidak</v>
          </cell>
          <cell r="I215" t="str">
            <v>Bandar Judol Withdrawal</v>
          </cell>
          <cell r="J215">
            <v>35</v>
          </cell>
          <cell r="K215" t="str">
            <v>86,88,87</v>
          </cell>
          <cell r="L215" t="str">
            <v>Judi Online</v>
          </cell>
          <cell r="M215" t="str">
            <v xml:space="preserve">Kas Kanpus                              </v>
          </cell>
          <cell r="N215" t="str">
            <v xml:space="preserve">Kas Kanpus                              </v>
          </cell>
          <cell r="O215" t="str">
            <v xml:space="preserve">KAS KANPUS                              </v>
          </cell>
          <cell r="R215" t="str">
            <v>Belum TL</v>
          </cell>
          <cell r="S215" t="str">
            <v>Belum TL</v>
          </cell>
          <cell r="T215" t="str">
            <v>90170665 - Mutiara Ayuningtyas</v>
          </cell>
          <cell r="U215" t="str">
            <v>"-"</v>
          </cell>
        </row>
        <row r="216">
          <cell r="A216">
            <v>46265</v>
          </cell>
          <cell r="B216" t="str">
            <v xml:space="preserve">ANDRI WARDANA                           </v>
          </cell>
          <cell r="C216" t="str">
            <v>ALFF508</v>
          </cell>
          <cell r="D216">
            <v>112901038958505</v>
          </cell>
          <cell r="E216" t="str">
            <v>SEDANG</v>
          </cell>
          <cell r="F216" t="str">
            <v>Tidak</v>
          </cell>
          <cell r="G216" t="str">
            <v>Tidak</v>
          </cell>
          <cell r="H216" t="str">
            <v>Tidak</v>
          </cell>
          <cell r="I216" t="str">
            <v>Bandar Judol Withdrawal</v>
          </cell>
          <cell r="J216">
            <v>50</v>
          </cell>
          <cell r="K216" t="str">
            <v>86,88,87</v>
          </cell>
          <cell r="L216" t="str">
            <v>Judi Online</v>
          </cell>
          <cell r="M216" t="str">
            <v xml:space="preserve">Kas Kanpus                              </v>
          </cell>
          <cell r="N216" t="str">
            <v xml:space="preserve">Kas Kanpus                              </v>
          </cell>
          <cell r="O216" t="str">
            <v xml:space="preserve">KAS KANPUS                              </v>
          </cell>
          <cell r="R216" t="str">
            <v>Belum TL</v>
          </cell>
          <cell r="S216" t="str">
            <v>Belum TL</v>
          </cell>
          <cell r="T216" t="str">
            <v>00336949 - Mochammad Al Farabi</v>
          </cell>
          <cell r="U216" t="str">
            <v>"-"</v>
          </cell>
        </row>
        <row r="217">
          <cell r="A217">
            <v>46265</v>
          </cell>
          <cell r="B217" t="str">
            <v xml:space="preserve">ANDYKA DWI PRABOWO                      </v>
          </cell>
          <cell r="C217" t="str">
            <v>ALJY387</v>
          </cell>
          <cell r="D217">
            <v>38501009883108</v>
          </cell>
          <cell r="E217" t="str">
            <v>TINGGI</v>
          </cell>
          <cell r="F217" t="str">
            <v>Tidak</v>
          </cell>
          <cell r="G217" t="str">
            <v>Tidak</v>
          </cell>
          <cell r="H217" t="str">
            <v>Tidak</v>
          </cell>
          <cell r="I217" t="str">
            <v>Korupsi - Loan View</v>
          </cell>
          <cell r="J217">
            <v>73</v>
          </cell>
          <cell r="K217">
            <v>15</v>
          </cell>
          <cell r="L217" t="str">
            <v>Korupsi</v>
          </cell>
          <cell r="M217" t="str">
            <v>Kas Kanpus</v>
          </cell>
          <cell r="N217" t="str">
            <v>Kas Kanpus</v>
          </cell>
          <cell r="O217" t="str">
            <v>KAS KANPUS</v>
          </cell>
          <cell r="R217" t="str">
            <v>Belum TL</v>
          </cell>
          <cell r="S217" t="str">
            <v>Belum TL</v>
          </cell>
          <cell r="T217" t="str">
            <v>00336949 - Mochammad Al Farabi</v>
          </cell>
          <cell r="U217" t="str">
            <v>"-"</v>
          </cell>
        </row>
        <row r="218">
          <cell r="A218">
            <v>46265</v>
          </cell>
          <cell r="B218" t="str">
            <v xml:space="preserve">ADI SAPUTRA                             </v>
          </cell>
          <cell r="C218" t="str">
            <v>ALLT235</v>
          </cell>
          <cell r="D218">
            <v>531701022800539</v>
          </cell>
          <cell r="E218" t="str">
            <v>SEDANG</v>
          </cell>
          <cell r="F218" t="str">
            <v>Tidak</v>
          </cell>
          <cell r="G218" t="str">
            <v>Tidak</v>
          </cell>
          <cell r="H218" t="str">
            <v>Tidak</v>
          </cell>
          <cell r="I218" t="str">
            <v>Bandar Judol Withdrawal</v>
          </cell>
          <cell r="J218">
            <v>50</v>
          </cell>
          <cell r="K218" t="str">
            <v>86,88,87</v>
          </cell>
          <cell r="L218" t="str">
            <v>Judi Online</v>
          </cell>
          <cell r="M218" t="str">
            <v xml:space="preserve">Kas Kanpus                              </v>
          </cell>
          <cell r="N218" t="str">
            <v xml:space="preserve">Kas Kanpus                              </v>
          </cell>
          <cell r="O218" t="str">
            <v xml:space="preserve">KAS KANPUS                              </v>
          </cell>
          <cell r="R218" t="str">
            <v>Belum TL</v>
          </cell>
          <cell r="S218" t="str">
            <v>Belum TL</v>
          </cell>
          <cell r="T218" t="str">
            <v>90170665 - Mutiara Ayuningtyas</v>
          </cell>
          <cell r="U218" t="str">
            <v>"-"</v>
          </cell>
        </row>
        <row r="219">
          <cell r="A219">
            <v>46265</v>
          </cell>
          <cell r="B219" t="str">
            <v xml:space="preserve">AGUSTIAN TAJEJE                         </v>
          </cell>
          <cell r="C219" t="str">
            <v>AMAJ502</v>
          </cell>
          <cell r="D219">
            <v>344501027121105</v>
          </cell>
          <cell r="E219" t="str">
            <v>SEDANG</v>
          </cell>
          <cell r="F219" t="str">
            <v>Tidak</v>
          </cell>
          <cell r="G219" t="str">
            <v>Tidak</v>
          </cell>
          <cell r="H219" t="str">
            <v>Tidak</v>
          </cell>
          <cell r="I219" t="str">
            <v>Korupsi - Loan View</v>
          </cell>
          <cell r="J219">
            <v>48</v>
          </cell>
          <cell r="K219">
            <v>15</v>
          </cell>
          <cell r="L219" t="str">
            <v>Korupsi</v>
          </cell>
          <cell r="M219" t="str">
            <v>Kas Kanpus</v>
          </cell>
          <cell r="N219" t="str">
            <v>Kas Kanpus</v>
          </cell>
          <cell r="O219" t="str">
            <v>KAS KANPUS</v>
          </cell>
          <cell r="R219" t="str">
            <v>Belum TL</v>
          </cell>
          <cell r="S219" t="str">
            <v>Belum TL</v>
          </cell>
          <cell r="T219" t="str">
            <v>90185537 - Moh.Khoerul Fajar Ar</v>
          </cell>
          <cell r="U219" t="str">
            <v>"-"</v>
          </cell>
        </row>
        <row r="220">
          <cell r="A220">
            <v>46265</v>
          </cell>
          <cell r="B220" t="str">
            <v xml:space="preserve">ANDRI TRI KUSUMAH                       </v>
          </cell>
          <cell r="C220" t="str">
            <v>AMDV199</v>
          </cell>
          <cell r="D220">
            <v>76901014365105</v>
          </cell>
          <cell r="E220" t="str">
            <v>SEDANG</v>
          </cell>
          <cell r="F220" t="str">
            <v>Tidak</v>
          </cell>
          <cell r="G220" t="str">
            <v>Tidak</v>
          </cell>
          <cell r="H220" t="str">
            <v>Tidak</v>
          </cell>
          <cell r="I220" t="str">
            <v>Korupsi - Loan View</v>
          </cell>
          <cell r="J220">
            <v>48</v>
          </cell>
          <cell r="K220">
            <v>15</v>
          </cell>
          <cell r="L220" t="str">
            <v>Korupsi</v>
          </cell>
          <cell r="M220" t="str">
            <v>Kas Kanpus</v>
          </cell>
          <cell r="N220" t="str">
            <v>Kas Kanpus</v>
          </cell>
          <cell r="O220" t="str">
            <v>KAS KANPUS</v>
          </cell>
          <cell r="R220" t="str">
            <v>Belum TL</v>
          </cell>
          <cell r="S220" t="str">
            <v>Belum TL</v>
          </cell>
          <cell r="T220" t="str">
            <v>90171841 - Rifqi Aziz</v>
          </cell>
          <cell r="U220" t="str">
            <v>"-"</v>
          </cell>
        </row>
        <row r="221">
          <cell r="A221">
            <v>46265</v>
          </cell>
          <cell r="B221" t="str">
            <v xml:space="preserve">ATAMORA TEHNIK MAKMUR                   </v>
          </cell>
          <cell r="C221" t="str">
            <v>AMJ4175</v>
          </cell>
          <cell r="D221">
            <v>33801000504306</v>
          </cell>
          <cell r="E221" t="str">
            <v>TINGGI</v>
          </cell>
          <cell r="F221" t="str">
            <v>Tidak</v>
          </cell>
          <cell r="G221" t="str">
            <v>Tidak</v>
          </cell>
          <cell r="H221" t="str">
            <v>Tidak</v>
          </cell>
          <cell r="I221" t="str">
            <v>Korupsi - Cash &amp; Amount</v>
          </cell>
          <cell r="J221">
            <v>64</v>
          </cell>
          <cell r="K221" t="str">
            <v>1,2,20</v>
          </cell>
          <cell r="L221" t="str">
            <v>Korupsi</v>
          </cell>
          <cell r="M221" t="str">
            <v>Kas Kanpus</v>
          </cell>
          <cell r="N221" t="str">
            <v>Kas Kanpus</v>
          </cell>
          <cell r="O221" t="str">
            <v>KAS KANPUS</v>
          </cell>
          <cell r="R221" t="str">
            <v>Belum TL</v>
          </cell>
          <cell r="S221" t="str">
            <v>Belum TL</v>
          </cell>
          <cell r="T221" t="str">
            <v>00394520 - Frida Akbar Rani</v>
          </cell>
          <cell r="U221" t="str">
            <v>"-"</v>
          </cell>
        </row>
        <row r="222">
          <cell r="A222">
            <v>46265</v>
          </cell>
          <cell r="B222" t="str">
            <v xml:space="preserve">ANGGUN NITA SIANTURI                    </v>
          </cell>
          <cell r="C222" t="str">
            <v>AMK4760</v>
          </cell>
          <cell r="D222">
            <v>11301501248150</v>
          </cell>
          <cell r="E222" t="str">
            <v>SEDANG</v>
          </cell>
          <cell r="F222" t="str">
            <v>Tidak</v>
          </cell>
          <cell r="G222" t="str">
            <v>Tidak</v>
          </cell>
          <cell r="H222" t="str">
            <v>Tidak</v>
          </cell>
          <cell r="I222" t="str">
            <v>Korupsi - Loan View</v>
          </cell>
          <cell r="J222">
            <v>48</v>
          </cell>
          <cell r="K222">
            <v>15</v>
          </cell>
          <cell r="L222" t="str">
            <v>Korupsi</v>
          </cell>
          <cell r="M222" t="str">
            <v>Kas Kanpus</v>
          </cell>
          <cell r="N222" t="str">
            <v>Kas Kanpus</v>
          </cell>
          <cell r="O222" t="str">
            <v>KAS KANPUS</v>
          </cell>
          <cell r="R222" t="str">
            <v>Belum TL</v>
          </cell>
          <cell r="S222" t="str">
            <v>Belum TL</v>
          </cell>
          <cell r="T222" t="str">
            <v>00394521 - Muhammad Hibbanduta</v>
          </cell>
          <cell r="U222" t="str">
            <v>"-"</v>
          </cell>
        </row>
        <row r="223">
          <cell r="A223">
            <v>46265</v>
          </cell>
          <cell r="B223" t="str">
            <v xml:space="preserve">ARIYANTO WODJUR                         </v>
          </cell>
          <cell r="C223" t="str">
            <v>AMPB609</v>
          </cell>
          <cell r="D223">
            <v>363001017432103</v>
          </cell>
          <cell r="E223" t="str">
            <v>SEDANG</v>
          </cell>
          <cell r="F223" t="str">
            <v>Tidak</v>
          </cell>
          <cell r="G223" t="str">
            <v>Tidak</v>
          </cell>
          <cell r="H223" t="str">
            <v>Tidak</v>
          </cell>
          <cell r="I223" t="str">
            <v>Korupsi - Loan View</v>
          </cell>
          <cell r="J223">
            <v>48</v>
          </cell>
          <cell r="K223">
            <v>15</v>
          </cell>
          <cell r="L223" t="str">
            <v>Korupsi</v>
          </cell>
          <cell r="M223" t="str">
            <v>Kas Kanpus</v>
          </cell>
          <cell r="N223" t="str">
            <v>Kas Kanpus</v>
          </cell>
          <cell r="O223" t="str">
            <v>KAS KANPUS</v>
          </cell>
          <cell r="R223" t="str">
            <v>Belum TL</v>
          </cell>
          <cell r="S223" t="str">
            <v>Belum TL</v>
          </cell>
          <cell r="T223" t="str">
            <v>00394521 - Muhammad Hibbanduta</v>
          </cell>
          <cell r="U223" t="str">
            <v>"-"</v>
          </cell>
        </row>
        <row r="224">
          <cell r="A224">
            <v>46265</v>
          </cell>
          <cell r="B224" t="str">
            <v xml:space="preserve">ARIS SAEFUL                             </v>
          </cell>
          <cell r="C224" t="str">
            <v>AMPF953</v>
          </cell>
          <cell r="D224">
            <v>520301011635106</v>
          </cell>
          <cell r="E224" t="str">
            <v>RENDAH</v>
          </cell>
          <cell r="F224" t="str">
            <v>Tidak</v>
          </cell>
          <cell r="G224" t="str">
            <v>Tidak</v>
          </cell>
          <cell r="H224" t="str">
            <v>Tidak</v>
          </cell>
          <cell r="I224" t="str">
            <v>Korupsi - Loan View</v>
          </cell>
          <cell r="J224">
            <v>33</v>
          </cell>
          <cell r="K224">
            <v>15</v>
          </cell>
          <cell r="L224" t="str">
            <v>Korupsi</v>
          </cell>
          <cell r="M224" t="str">
            <v>Kas Kanpus</v>
          </cell>
          <cell r="N224" t="str">
            <v>Kas Kanpus</v>
          </cell>
          <cell r="O224" t="str">
            <v>KAS KANPUS</v>
          </cell>
          <cell r="R224" t="str">
            <v>Belum TL</v>
          </cell>
          <cell r="S224" t="str">
            <v>Belum TL</v>
          </cell>
          <cell r="T224" t="str">
            <v>90185538 - Muhammad Fahikal Auz</v>
          </cell>
          <cell r="U224" t="str">
            <v>"-"</v>
          </cell>
        </row>
        <row r="225">
          <cell r="A225">
            <v>46265</v>
          </cell>
          <cell r="B225" t="str">
            <v xml:space="preserve">ARIANTO KONOYA                          </v>
          </cell>
          <cell r="C225" t="str">
            <v>AMQG588</v>
          </cell>
          <cell r="D225">
            <v>363301019533101</v>
          </cell>
          <cell r="E225" t="str">
            <v>SEDANG</v>
          </cell>
          <cell r="F225" t="str">
            <v>Tidak</v>
          </cell>
          <cell r="G225" t="str">
            <v>Tidak</v>
          </cell>
          <cell r="H225" t="str">
            <v>Tidak</v>
          </cell>
          <cell r="I225" t="str">
            <v>Korupsi - Loan View</v>
          </cell>
          <cell r="J225">
            <v>48</v>
          </cell>
          <cell r="K225">
            <v>15</v>
          </cell>
          <cell r="L225" t="str">
            <v>Korupsi</v>
          </cell>
          <cell r="M225" t="str">
            <v>Kas Kanpus</v>
          </cell>
          <cell r="N225" t="str">
            <v>Kas Kanpus</v>
          </cell>
          <cell r="O225" t="str">
            <v>KAS KANPUS</v>
          </cell>
          <cell r="R225" t="str">
            <v>Belum TL</v>
          </cell>
          <cell r="S225" t="str">
            <v>Belum TL</v>
          </cell>
          <cell r="T225" t="str">
            <v>90170665 - Mutiara Ayuningtyas</v>
          </cell>
          <cell r="U225" t="str">
            <v>"-"</v>
          </cell>
        </row>
        <row r="226">
          <cell r="A226">
            <v>46265</v>
          </cell>
          <cell r="B226" t="str">
            <v xml:space="preserve">AMAROH IMANNUDIN                        </v>
          </cell>
          <cell r="C226" t="str">
            <v>AMQX708</v>
          </cell>
          <cell r="D226">
            <v>6901002004563</v>
          </cell>
          <cell r="E226" t="str">
            <v>SEDANG</v>
          </cell>
          <cell r="F226" t="str">
            <v>Tidak</v>
          </cell>
          <cell r="G226" t="str">
            <v>Tidak</v>
          </cell>
          <cell r="H226" t="str">
            <v>Tidak</v>
          </cell>
          <cell r="I226" t="str">
            <v>Bandar Judol Withdrawal</v>
          </cell>
          <cell r="J226">
            <v>50</v>
          </cell>
          <cell r="K226" t="str">
            <v>86,88,87</v>
          </cell>
          <cell r="L226" t="str">
            <v>Judi Online</v>
          </cell>
          <cell r="M226" t="str">
            <v xml:space="preserve">Kas Kanpus                              </v>
          </cell>
          <cell r="N226" t="str">
            <v xml:space="preserve">Kas Kanpus                              </v>
          </cell>
          <cell r="O226" t="str">
            <v xml:space="preserve">KAS KANPUS                              </v>
          </cell>
          <cell r="R226" t="str">
            <v>Belum TL</v>
          </cell>
          <cell r="S226" t="str">
            <v>Belum TL</v>
          </cell>
          <cell r="T226" t="str">
            <v>90186790 - Muhammad Alfin Farha</v>
          </cell>
          <cell r="U226" t="str">
            <v>"-"</v>
          </cell>
        </row>
        <row r="227">
          <cell r="A227">
            <v>46265</v>
          </cell>
          <cell r="B227" t="str">
            <v xml:space="preserve">ARINA MULTIKARYA                        </v>
          </cell>
          <cell r="C227" t="str">
            <v>AMR8880</v>
          </cell>
          <cell r="D227">
            <v>17201000984304</v>
          </cell>
          <cell r="E227" t="str">
            <v>SEDANG</v>
          </cell>
          <cell r="F227" t="str">
            <v>Tidak</v>
          </cell>
          <cell r="G227" t="str">
            <v>Tidak</v>
          </cell>
          <cell r="H227" t="str">
            <v>Tidak</v>
          </cell>
          <cell r="I227" t="str">
            <v>Perpajakan</v>
          </cell>
          <cell r="J227">
            <v>49</v>
          </cell>
          <cell r="K227">
            <v>41</v>
          </cell>
          <cell r="L227" t="str">
            <v>Perpajakan</v>
          </cell>
          <cell r="M227" t="str">
            <v xml:space="preserve">KC Surabaya Rajawali                    </v>
          </cell>
          <cell r="N227" t="str">
            <v xml:space="preserve">KC Surabaya Rajawali                    </v>
          </cell>
          <cell r="O227" t="str">
            <v xml:space="preserve">Surabaya                                </v>
          </cell>
          <cell r="R227" t="str">
            <v>Belum TL</v>
          </cell>
          <cell r="S227" t="str">
            <v>Belum TL</v>
          </cell>
          <cell r="T227" t="str">
            <v>00336949 - Mochammad Al Farabi</v>
          </cell>
          <cell r="U227" t="str">
            <v>"-"</v>
          </cell>
        </row>
        <row r="228">
          <cell r="A228">
            <v>46265</v>
          </cell>
          <cell r="B228" t="str">
            <v xml:space="preserve">ARSYAD                                  </v>
          </cell>
          <cell r="C228" t="str">
            <v>AMRD814</v>
          </cell>
          <cell r="D228">
            <v>522001021510104</v>
          </cell>
          <cell r="E228" t="str">
            <v>RENDAH</v>
          </cell>
          <cell r="F228" t="str">
            <v>Tidak</v>
          </cell>
          <cell r="G228" t="str">
            <v>Tidak</v>
          </cell>
          <cell r="H228" t="str">
            <v>Tidak</v>
          </cell>
          <cell r="I228" t="str">
            <v>Korupsi - Loan View</v>
          </cell>
          <cell r="J228">
            <v>33</v>
          </cell>
          <cell r="K228">
            <v>15</v>
          </cell>
          <cell r="L228" t="str">
            <v>Korupsi</v>
          </cell>
          <cell r="M228" t="str">
            <v>Kas Kanpus</v>
          </cell>
          <cell r="N228" t="str">
            <v>Kas Kanpus</v>
          </cell>
          <cell r="O228" t="str">
            <v>KAS KANPUS</v>
          </cell>
          <cell r="R228" t="str">
            <v>Belum TL</v>
          </cell>
          <cell r="S228" t="str">
            <v>Belum TL</v>
          </cell>
          <cell r="T228" t="str">
            <v>90185538 - Muhammad Fahikal Auz</v>
          </cell>
          <cell r="U228" t="str">
            <v>"-"</v>
          </cell>
        </row>
        <row r="229">
          <cell r="A229">
            <v>46265</v>
          </cell>
          <cell r="B229" t="str">
            <v xml:space="preserve">ANUGRAH ARTHA PERSADA                   </v>
          </cell>
          <cell r="C229" t="str">
            <v>AMUJ837</v>
          </cell>
          <cell r="D229">
            <v>10601502611151</v>
          </cell>
          <cell r="E229" t="str">
            <v>SEDANG</v>
          </cell>
          <cell r="F229" t="str">
            <v>Tidak</v>
          </cell>
          <cell r="G229" t="str">
            <v>Tidak</v>
          </cell>
          <cell r="H229" t="str">
            <v>Tidak</v>
          </cell>
          <cell r="I229" t="str">
            <v>Korupsi - Loan View</v>
          </cell>
          <cell r="J229">
            <v>48</v>
          </cell>
          <cell r="K229">
            <v>15</v>
          </cell>
          <cell r="L229" t="str">
            <v>Korupsi</v>
          </cell>
          <cell r="M229" t="str">
            <v>Kas Kanpus</v>
          </cell>
          <cell r="N229" t="str">
            <v>Kas Kanpus</v>
          </cell>
          <cell r="O229" t="str">
            <v>KAS KANPUS</v>
          </cell>
          <cell r="R229" t="str">
            <v>Belum TL</v>
          </cell>
          <cell r="S229" t="str">
            <v>Belum TL</v>
          </cell>
          <cell r="T229" t="str">
            <v>90171841 - Rifqi Aziz</v>
          </cell>
          <cell r="U229" t="str">
            <v>"-"</v>
          </cell>
        </row>
        <row r="230">
          <cell r="A230">
            <v>46265</v>
          </cell>
          <cell r="B230" t="str">
            <v xml:space="preserve">AGUS TRI WIDODO                         </v>
          </cell>
          <cell r="C230" t="str">
            <v>ANBD171</v>
          </cell>
          <cell r="D230">
            <v>1801013294102</v>
          </cell>
          <cell r="E230" t="str">
            <v>SEDANG</v>
          </cell>
          <cell r="F230" t="str">
            <v>Tidak</v>
          </cell>
          <cell r="G230" t="str">
            <v>Tidak</v>
          </cell>
          <cell r="H230" t="str">
            <v>Tidak</v>
          </cell>
          <cell r="I230" t="str">
            <v>Korupsi - Loan View</v>
          </cell>
          <cell r="J230">
            <v>48</v>
          </cell>
          <cell r="K230">
            <v>15</v>
          </cell>
          <cell r="L230" t="str">
            <v>Korupsi</v>
          </cell>
          <cell r="M230" t="str">
            <v>Kas Kanpus</v>
          </cell>
          <cell r="N230" t="str">
            <v>Kas Kanpus</v>
          </cell>
          <cell r="O230" t="str">
            <v>KAS KANPUS</v>
          </cell>
          <cell r="R230" t="str">
            <v>Belum TL</v>
          </cell>
          <cell r="S230" t="str">
            <v>Belum TL</v>
          </cell>
          <cell r="T230" t="str">
            <v>90171841 - Rifqi Aziz</v>
          </cell>
          <cell r="U230" t="str">
            <v>"-"</v>
          </cell>
        </row>
        <row r="231">
          <cell r="A231">
            <v>46265</v>
          </cell>
          <cell r="B231" t="str">
            <v xml:space="preserve">AZKA ZAMZAMI MUSTOFA KAMAL              </v>
          </cell>
          <cell r="C231" t="str">
            <v>ANFE864</v>
          </cell>
          <cell r="D231">
            <v>4359720232662500</v>
          </cell>
          <cell r="E231" t="str">
            <v>SEDANG</v>
          </cell>
          <cell r="F231" t="str">
            <v>Tidak</v>
          </cell>
          <cell r="G231" t="str">
            <v>Tidak</v>
          </cell>
          <cell r="H231" t="str">
            <v>Tidak</v>
          </cell>
          <cell r="I231" t="str">
            <v>Penghindaran Pajak (Transaksi Fiktif)/Penyuapan CC</v>
          </cell>
          <cell r="J231">
            <v>45</v>
          </cell>
          <cell r="K231">
            <v>118</v>
          </cell>
          <cell r="L231" t="str">
            <v>Penyuapan / Penghindaran Pajak CC View</v>
          </cell>
          <cell r="M231" t="str">
            <v xml:space="preserve">Kas Kanpus                              </v>
          </cell>
          <cell r="N231" t="str">
            <v xml:space="preserve">Kas Kanpus                              </v>
          </cell>
          <cell r="O231" t="str">
            <v xml:space="preserve">KAS KANPUS                              </v>
          </cell>
          <cell r="R231" t="str">
            <v>Belum TL</v>
          </cell>
          <cell r="S231" t="str">
            <v>Belum TL</v>
          </cell>
          <cell r="T231" t="str">
            <v>90185537 - Moh.Khoerul Fajar Ar</v>
          </cell>
          <cell r="U231" t="str">
            <v>"-"</v>
          </cell>
        </row>
        <row r="232">
          <cell r="A232">
            <v>46265</v>
          </cell>
          <cell r="B232" t="str">
            <v xml:space="preserve">ADITYA SUKIRNO PUTRA                    </v>
          </cell>
          <cell r="C232" t="str">
            <v>ANFR800</v>
          </cell>
          <cell r="D232">
            <v>701401014453532</v>
          </cell>
          <cell r="E232" t="str">
            <v>TINGGI</v>
          </cell>
          <cell r="F232" t="str">
            <v>Tidak</v>
          </cell>
          <cell r="G232" t="str">
            <v>Tidak</v>
          </cell>
          <cell r="H232" t="str">
            <v>Tidak</v>
          </cell>
          <cell r="I232" t="str">
            <v>Money Mules</v>
          </cell>
          <cell r="J232">
            <v>57</v>
          </cell>
          <cell r="K232">
            <v>77</v>
          </cell>
          <cell r="L232" t="str">
            <v>Narkotika/Judi Online</v>
          </cell>
          <cell r="M232" t="str">
            <v xml:space="preserve">Kas Kanpus                              </v>
          </cell>
          <cell r="N232" t="str">
            <v xml:space="preserve">Kas Kanpus                              </v>
          </cell>
          <cell r="O232" t="str">
            <v xml:space="preserve">KAS KANPUS                              </v>
          </cell>
          <cell r="R232" t="str">
            <v>Belum TL</v>
          </cell>
          <cell r="S232" t="str">
            <v>Belum TL</v>
          </cell>
          <cell r="T232" t="str">
            <v>90170665 - Mutiara Ayuningtyas</v>
          </cell>
          <cell r="U232" t="str">
            <v>"-"</v>
          </cell>
        </row>
        <row r="233">
          <cell r="A233">
            <v>46265</v>
          </cell>
          <cell r="B233" t="str">
            <v xml:space="preserve">AGNI RIPANI                             </v>
          </cell>
          <cell r="C233" t="str">
            <v>ANFV264</v>
          </cell>
          <cell r="D233">
            <v>417001026688538</v>
          </cell>
          <cell r="E233" t="str">
            <v>SEDANG</v>
          </cell>
          <cell r="F233" t="str">
            <v>Ya</v>
          </cell>
          <cell r="G233" t="str">
            <v>Tidak</v>
          </cell>
          <cell r="H233" t="str">
            <v>Tidak</v>
          </cell>
          <cell r="I233" t="str">
            <v>Bandar Judol Depo</v>
          </cell>
          <cell r="J233">
            <v>50</v>
          </cell>
          <cell r="K233" t="str">
            <v>86,74,87</v>
          </cell>
          <cell r="L233" t="str">
            <v>Judi Online</v>
          </cell>
          <cell r="M233" t="str">
            <v xml:space="preserve">Kas Kanpus                              </v>
          </cell>
          <cell r="N233" t="str">
            <v xml:space="preserve">Kas Kanpus                              </v>
          </cell>
          <cell r="O233" t="str">
            <v xml:space="preserve">KAS KANPUS                              </v>
          </cell>
          <cell r="R233" t="str">
            <v>Belum TL</v>
          </cell>
          <cell r="S233" t="str">
            <v>Belum TL</v>
          </cell>
          <cell r="T233" t="str">
            <v>00394520 - Frida Akbar Rani</v>
          </cell>
          <cell r="U233" t="str">
            <v>"-"</v>
          </cell>
        </row>
        <row r="234">
          <cell r="A234">
            <v>46265</v>
          </cell>
          <cell r="B234" t="str">
            <v xml:space="preserve">ASTRA SEDAYA FINANCE                    </v>
          </cell>
          <cell r="C234" t="str">
            <v>ANM7907</v>
          </cell>
          <cell r="D234">
            <v>1801001127301</v>
          </cell>
          <cell r="E234" t="str">
            <v>SEDANG</v>
          </cell>
          <cell r="F234" t="str">
            <v>Tidak</v>
          </cell>
          <cell r="G234" t="str">
            <v>Tidak</v>
          </cell>
          <cell r="H234" t="str">
            <v>Tidak</v>
          </cell>
          <cell r="I234" t="str">
            <v>Perpajakan</v>
          </cell>
          <cell r="J234">
            <v>50</v>
          </cell>
          <cell r="K234">
            <v>1.33</v>
          </cell>
          <cell r="L234" t="str">
            <v>Perpajakan</v>
          </cell>
          <cell r="M234" t="str">
            <v xml:space="preserve">KC Jakarta Tanah Abang                  </v>
          </cell>
          <cell r="N234" t="str">
            <v xml:space="preserve">KC Jakarta Tanah Abang                  </v>
          </cell>
          <cell r="O234" t="str">
            <v xml:space="preserve">DKI                                     </v>
          </cell>
          <cell r="R234" t="str">
            <v>Belum TL</v>
          </cell>
          <cell r="S234" t="str">
            <v>Belum TL</v>
          </cell>
          <cell r="T234" t="str">
            <v>90170665 - Mutiara Ayuningtyas</v>
          </cell>
          <cell r="U234" t="str">
            <v>"-"</v>
          </cell>
        </row>
        <row r="235">
          <cell r="A235">
            <v>46265</v>
          </cell>
          <cell r="B235" t="str">
            <v xml:space="preserve">ASEP SURYANA                            </v>
          </cell>
          <cell r="C235" t="str">
            <v>ANMB379</v>
          </cell>
          <cell r="D235">
            <v>501049402100</v>
          </cell>
          <cell r="E235" t="str">
            <v>SEDANG</v>
          </cell>
          <cell r="F235" t="str">
            <v>Tidak</v>
          </cell>
          <cell r="G235" t="str">
            <v>Tidak</v>
          </cell>
          <cell r="H235" t="str">
            <v>Tidak</v>
          </cell>
          <cell r="I235" t="str">
            <v>Korupsi - Loan View</v>
          </cell>
          <cell r="J235">
            <v>48</v>
          </cell>
          <cell r="K235">
            <v>15</v>
          </cell>
          <cell r="L235" t="str">
            <v>Korupsi</v>
          </cell>
          <cell r="M235" t="str">
            <v>Kas Kanpus</v>
          </cell>
          <cell r="N235" t="str">
            <v>Kas Kanpus</v>
          </cell>
          <cell r="O235" t="str">
            <v>KAS KANPUS</v>
          </cell>
          <cell r="R235" t="str">
            <v>Belum TL</v>
          </cell>
          <cell r="S235" t="str">
            <v>Belum TL</v>
          </cell>
          <cell r="T235" t="str">
            <v>90185538 - Muhammad Fahikal Auz</v>
          </cell>
          <cell r="U235" t="str">
            <v>"-"</v>
          </cell>
        </row>
        <row r="236">
          <cell r="A236">
            <v>46265</v>
          </cell>
          <cell r="B236" t="str">
            <v xml:space="preserve">AL MINANA                               </v>
          </cell>
          <cell r="C236" t="str">
            <v>ANOI813</v>
          </cell>
          <cell r="D236">
            <v>40301002299100</v>
          </cell>
          <cell r="E236" t="str">
            <v>SEDANG</v>
          </cell>
          <cell r="F236" t="str">
            <v>Tidak</v>
          </cell>
          <cell r="G236" t="str">
            <v>Tidak</v>
          </cell>
          <cell r="H236" t="str">
            <v>Tidak</v>
          </cell>
          <cell r="I236" t="str">
            <v>Korupsi - Loan View</v>
          </cell>
          <cell r="J236">
            <v>48</v>
          </cell>
          <cell r="K236">
            <v>15</v>
          </cell>
          <cell r="L236" t="str">
            <v>Korupsi</v>
          </cell>
          <cell r="M236" t="str">
            <v>Kas Kanpus</v>
          </cell>
          <cell r="N236" t="str">
            <v>Kas Kanpus</v>
          </cell>
          <cell r="O236" t="str">
            <v>KAS KANPUS</v>
          </cell>
          <cell r="R236" t="str">
            <v>Belum TL</v>
          </cell>
          <cell r="S236" t="str">
            <v>Belum TL</v>
          </cell>
          <cell r="T236" t="str">
            <v>90170665 - Mutiara Ayuningtyas</v>
          </cell>
          <cell r="U236" t="str">
            <v>"-"</v>
          </cell>
        </row>
        <row r="237">
          <cell r="A237">
            <v>46265</v>
          </cell>
          <cell r="B237" t="str">
            <v xml:space="preserve">ALFIAN PRIANCAHYA KHORIDO               </v>
          </cell>
          <cell r="C237" t="str">
            <v>ANPB901</v>
          </cell>
          <cell r="D237">
            <v>86101052674530</v>
          </cell>
          <cell r="E237" t="str">
            <v>SEDANG</v>
          </cell>
          <cell r="F237" t="str">
            <v>Tidak</v>
          </cell>
          <cell r="G237" t="str">
            <v>Tidak</v>
          </cell>
          <cell r="H237" t="str">
            <v>Tidak</v>
          </cell>
          <cell r="I237" t="str">
            <v>Bandar Judol Depo</v>
          </cell>
          <cell r="J237">
            <v>50</v>
          </cell>
          <cell r="K237" t="str">
            <v>86,74,87</v>
          </cell>
          <cell r="L237" t="str">
            <v>Judi Online</v>
          </cell>
          <cell r="M237" t="str">
            <v xml:space="preserve">Kas Kanpus                              </v>
          </cell>
          <cell r="N237" t="str">
            <v xml:space="preserve">Kas Kanpus                              </v>
          </cell>
          <cell r="O237" t="str">
            <v xml:space="preserve">KAS KANPUS                              </v>
          </cell>
          <cell r="R237" t="str">
            <v>Belum TL</v>
          </cell>
          <cell r="S237" t="str">
            <v>Belum TL</v>
          </cell>
          <cell r="T237" t="str">
            <v>90186796 - Devito Arya Wiradila</v>
          </cell>
          <cell r="U237" t="str">
            <v>"-"</v>
          </cell>
        </row>
        <row r="238">
          <cell r="A238">
            <v>46265</v>
          </cell>
          <cell r="B238" t="str">
            <v xml:space="preserve">ACHMAD SULAIMAN                         </v>
          </cell>
          <cell r="C238" t="str">
            <v>ANTH035</v>
          </cell>
          <cell r="D238">
            <v>22801022470532</v>
          </cell>
          <cell r="E238" t="str">
            <v>SEDANG</v>
          </cell>
          <cell r="F238" t="str">
            <v>Tidak</v>
          </cell>
          <cell r="G238" t="str">
            <v>Tidak</v>
          </cell>
          <cell r="H238" t="str">
            <v>Tidak</v>
          </cell>
          <cell r="I238" t="str">
            <v>Bandar Judol Depo</v>
          </cell>
          <cell r="J238">
            <v>50</v>
          </cell>
          <cell r="K238" t="str">
            <v>86,74,87</v>
          </cell>
          <cell r="L238" t="str">
            <v>Judi Online</v>
          </cell>
          <cell r="M238" t="str">
            <v xml:space="preserve">Kas Kanpus                              </v>
          </cell>
          <cell r="N238" t="str">
            <v xml:space="preserve">Kas Kanpus                              </v>
          </cell>
          <cell r="O238" t="str">
            <v xml:space="preserve">KAS KANPUS                              </v>
          </cell>
          <cell r="R238" t="str">
            <v>Belum TL</v>
          </cell>
          <cell r="S238" t="str">
            <v>Belum TL</v>
          </cell>
          <cell r="T238" t="str">
            <v>90185537 - Moh.Khoerul Fajar Ar</v>
          </cell>
          <cell r="U238" t="str">
            <v>"-"</v>
          </cell>
        </row>
        <row r="239">
          <cell r="A239">
            <v>46265</v>
          </cell>
          <cell r="B239" t="str">
            <v xml:space="preserve">AXIA MULTI SARANA                       </v>
          </cell>
          <cell r="C239" t="str">
            <v>ANVY103</v>
          </cell>
          <cell r="D239">
            <v>33001002031307</v>
          </cell>
          <cell r="E239" t="str">
            <v>TINGGI</v>
          </cell>
          <cell r="F239" t="str">
            <v>Tidak</v>
          </cell>
          <cell r="G239" t="str">
            <v>Tidak</v>
          </cell>
          <cell r="H239" t="str">
            <v>Tidak</v>
          </cell>
          <cell r="I239" t="str">
            <v>Korupsi - Cash &amp; Amount</v>
          </cell>
          <cell r="J239">
            <v>63</v>
          </cell>
          <cell r="K239" t="str">
            <v>1,2,20</v>
          </cell>
          <cell r="L239" t="str">
            <v>Korupsi</v>
          </cell>
          <cell r="M239" t="str">
            <v>Kas Kanpus</v>
          </cell>
          <cell r="N239" t="str">
            <v>Kas Kanpus</v>
          </cell>
          <cell r="O239" t="str">
            <v>KAS KANPUS</v>
          </cell>
          <cell r="R239" t="str">
            <v>Belum TL</v>
          </cell>
          <cell r="S239" t="str">
            <v>Belum TL</v>
          </cell>
          <cell r="T239" t="str">
            <v>90186796 - Devito Arya Wiradila</v>
          </cell>
          <cell r="U239" t="str">
            <v>"-"</v>
          </cell>
        </row>
        <row r="240">
          <cell r="A240">
            <v>46265</v>
          </cell>
          <cell r="B240" t="str">
            <v xml:space="preserve">AGUSTINUS DEDIRIYANTO                   </v>
          </cell>
          <cell r="C240" t="str">
            <v>ANY6101</v>
          </cell>
          <cell r="D240">
            <v>36301020410104</v>
          </cell>
          <cell r="E240" t="str">
            <v>SEDANG</v>
          </cell>
          <cell r="F240" t="str">
            <v>Tidak</v>
          </cell>
          <cell r="G240" t="str">
            <v>Tidak</v>
          </cell>
          <cell r="H240" t="str">
            <v>Tidak</v>
          </cell>
          <cell r="I240" t="str">
            <v>Korupsi - Loan View</v>
          </cell>
          <cell r="J240">
            <v>48</v>
          </cell>
          <cell r="K240">
            <v>15</v>
          </cell>
          <cell r="L240" t="str">
            <v>Korupsi</v>
          </cell>
          <cell r="M240" t="str">
            <v>Kas Kanpus</v>
          </cell>
          <cell r="N240" t="str">
            <v>Kas Kanpus</v>
          </cell>
          <cell r="O240" t="str">
            <v>KAS KANPUS</v>
          </cell>
          <cell r="R240" t="str">
            <v>Belum TL</v>
          </cell>
          <cell r="S240" t="str">
            <v>Belum TL</v>
          </cell>
          <cell r="T240" t="str">
            <v>00394521 - Muhammad Hibbanduta</v>
          </cell>
          <cell r="U240" t="str">
            <v>"-"</v>
          </cell>
        </row>
        <row r="241">
          <cell r="A241">
            <v>46265</v>
          </cell>
          <cell r="B241" t="str">
            <v xml:space="preserve">ASEP ILHAM SUKMA BINTARA                </v>
          </cell>
          <cell r="C241" t="str">
            <v>AOBT394</v>
          </cell>
          <cell r="D241">
            <v>7501040973105</v>
          </cell>
          <cell r="E241" t="str">
            <v>RENDAH</v>
          </cell>
          <cell r="F241" t="str">
            <v>Tidak</v>
          </cell>
          <cell r="G241" t="str">
            <v>Tidak</v>
          </cell>
          <cell r="H241" t="str">
            <v>Tidak</v>
          </cell>
          <cell r="I241" t="str">
            <v>Korupsi - Loan View</v>
          </cell>
          <cell r="J241">
            <v>33</v>
          </cell>
          <cell r="K241">
            <v>15</v>
          </cell>
          <cell r="L241" t="str">
            <v>Korupsi</v>
          </cell>
          <cell r="M241" t="str">
            <v>Kas Kanpus</v>
          </cell>
          <cell r="N241" t="str">
            <v>Kas Kanpus</v>
          </cell>
          <cell r="O241" t="str">
            <v>KAS KANPUS</v>
          </cell>
          <cell r="R241" t="str">
            <v>Belum TL</v>
          </cell>
          <cell r="S241" t="str">
            <v>Belum TL</v>
          </cell>
          <cell r="T241" t="str">
            <v>00394521 - Muhammad Hibbanduta</v>
          </cell>
          <cell r="U241" t="str">
            <v>"-"</v>
          </cell>
        </row>
        <row r="242">
          <cell r="A242">
            <v>46265</v>
          </cell>
          <cell r="B242" t="str">
            <v xml:space="preserve">ASIA BAHTERA ARTOMORO                   </v>
          </cell>
          <cell r="C242" t="str">
            <v>AOJG034</v>
          </cell>
          <cell r="D242">
            <v>44801000527305</v>
          </cell>
          <cell r="E242" t="str">
            <v>TINGGI</v>
          </cell>
          <cell r="F242" t="str">
            <v>Tidak</v>
          </cell>
          <cell r="G242" t="str">
            <v>Tidak</v>
          </cell>
          <cell r="H242" t="str">
            <v>Tidak</v>
          </cell>
          <cell r="I242" t="str">
            <v>Korupsi - Cash &amp; Amount</v>
          </cell>
          <cell r="J242">
            <v>63</v>
          </cell>
          <cell r="K242" t="str">
            <v>1,2,20</v>
          </cell>
          <cell r="L242" t="str">
            <v>Korupsi</v>
          </cell>
          <cell r="M242" t="str">
            <v>Kas Kanpus</v>
          </cell>
          <cell r="N242" t="str">
            <v>Kas Kanpus</v>
          </cell>
          <cell r="O242" t="str">
            <v>KAS KANPUS</v>
          </cell>
          <cell r="R242" t="str">
            <v>Belum TL</v>
          </cell>
          <cell r="S242" t="str">
            <v>Belum TL</v>
          </cell>
          <cell r="T242" t="str">
            <v>90186790 - Muhammad Alfin Farha</v>
          </cell>
          <cell r="U242" t="str">
            <v>"-"</v>
          </cell>
        </row>
        <row r="243">
          <cell r="A243">
            <v>46265</v>
          </cell>
          <cell r="B243" t="str">
            <v xml:space="preserve">ANDI BUDI NURSYAM                       </v>
          </cell>
          <cell r="C243" t="str">
            <v>AOLC772</v>
          </cell>
          <cell r="D243">
            <v>505301019550105</v>
          </cell>
          <cell r="E243" t="str">
            <v>SEDANG</v>
          </cell>
          <cell r="F243" t="str">
            <v>Tidak</v>
          </cell>
          <cell r="G243" t="str">
            <v>Tidak</v>
          </cell>
          <cell r="H243" t="str">
            <v>Tidak</v>
          </cell>
          <cell r="I243" t="str">
            <v>Korupsi - Loan View</v>
          </cell>
          <cell r="J243">
            <v>48</v>
          </cell>
          <cell r="K243">
            <v>15</v>
          </cell>
          <cell r="L243" t="str">
            <v>Korupsi</v>
          </cell>
          <cell r="M243" t="str">
            <v>Kas Kanpus</v>
          </cell>
          <cell r="N243" t="str">
            <v>Kas Kanpus</v>
          </cell>
          <cell r="O243" t="str">
            <v>KAS KANPUS</v>
          </cell>
          <cell r="R243" t="str">
            <v>Belum TL</v>
          </cell>
          <cell r="S243" t="str">
            <v>Belum TL</v>
          </cell>
          <cell r="T243" t="str">
            <v>90186796 - Devito Arya Wiradila</v>
          </cell>
          <cell r="U243" t="str">
            <v>"-"</v>
          </cell>
        </row>
        <row r="244">
          <cell r="A244">
            <v>46265</v>
          </cell>
          <cell r="B244" t="str">
            <v xml:space="preserve">ABUBAKAR SIDIK                          </v>
          </cell>
          <cell r="C244" t="str">
            <v>AOMC509</v>
          </cell>
          <cell r="D244">
            <v>6301105720501</v>
          </cell>
          <cell r="F244" t="str">
            <v>Tidak</v>
          </cell>
          <cell r="G244" t="str">
            <v>Tidak</v>
          </cell>
          <cell r="I244" t="str">
            <v>Jual Beli Rekening - E channel Trx</v>
          </cell>
          <cell r="J244">
            <v>33</v>
          </cell>
          <cell r="K244">
            <v>113</v>
          </cell>
          <cell r="L244" t="str">
            <v>Narkotika/Judi Online/Penipuan</v>
          </cell>
          <cell r="M244" t="str">
            <v xml:space="preserve">KC Pangkal Pinang                       </v>
          </cell>
          <cell r="N244" t="str">
            <v xml:space="preserve">KC Pangkal Pinang                       </v>
          </cell>
          <cell r="O244" t="str">
            <v xml:space="preserve">Palembang                               </v>
          </cell>
          <cell r="R244" t="str">
            <v>Belum TL</v>
          </cell>
          <cell r="S244" t="str">
            <v>Belum TL</v>
          </cell>
          <cell r="U244" t="str">
            <v>"-"</v>
          </cell>
        </row>
        <row r="245">
          <cell r="A245">
            <v>46265</v>
          </cell>
          <cell r="B245" t="str">
            <v xml:space="preserve">ALFRIDHO CHRISSANDY LUMBAN SIANTAR      </v>
          </cell>
          <cell r="C245" t="str">
            <v>AOYQ148</v>
          </cell>
          <cell r="D245">
            <v>4359720227569700</v>
          </cell>
          <cell r="E245" t="str">
            <v>RENDAH</v>
          </cell>
          <cell r="F245" t="str">
            <v>Tidak</v>
          </cell>
          <cell r="G245" t="str">
            <v>Tidak</v>
          </cell>
          <cell r="H245" t="str">
            <v>Tidak</v>
          </cell>
          <cell r="I245" t="str">
            <v>Penyuapan - CC View</v>
          </cell>
          <cell r="J245">
            <v>30</v>
          </cell>
          <cell r="K245">
            <v>16.170000000000002</v>
          </cell>
          <cell r="L245" t="str">
            <v>Penyuapan</v>
          </cell>
          <cell r="M245" t="str">
            <v xml:space="preserve">Kas Kanpus                              </v>
          </cell>
          <cell r="N245" t="str">
            <v xml:space="preserve">Kas Kanpus                              </v>
          </cell>
          <cell r="O245" t="str">
            <v xml:space="preserve">KAS KANPUS                              </v>
          </cell>
          <cell r="R245" t="str">
            <v>Belum TL</v>
          </cell>
          <cell r="S245" t="str">
            <v>Belum TL</v>
          </cell>
          <cell r="T245" t="str">
            <v>90185538 - Muhammad Fahikal Auz</v>
          </cell>
          <cell r="U245" t="str">
            <v>"-"</v>
          </cell>
        </row>
        <row r="246">
          <cell r="A246">
            <v>46265</v>
          </cell>
          <cell r="B246" t="str">
            <v xml:space="preserve">ALFRIDHO CHRISSANDY LUMBAN SIANTAR      </v>
          </cell>
          <cell r="C246" t="str">
            <v>AOYQ148</v>
          </cell>
          <cell r="D246">
            <v>4359720227569700</v>
          </cell>
          <cell r="E246" t="str">
            <v>RENDAH</v>
          </cell>
          <cell r="F246" t="str">
            <v>Tidak</v>
          </cell>
          <cell r="G246" t="str">
            <v>Tidak</v>
          </cell>
          <cell r="H246" t="str">
            <v>Tidak</v>
          </cell>
          <cell r="I246" t="str">
            <v>Anomali Transaksi Kartu Kredit</v>
          </cell>
          <cell r="J246">
            <v>30</v>
          </cell>
          <cell r="K246">
            <v>117</v>
          </cell>
          <cell r="L246" t="str">
            <v>Anomali Transaksi Kartu Kredit</v>
          </cell>
          <cell r="M246" t="str">
            <v xml:space="preserve">Kas Kanpus                              </v>
          </cell>
          <cell r="N246" t="str">
            <v xml:space="preserve">Kas Kanpus                              </v>
          </cell>
          <cell r="O246" t="str">
            <v xml:space="preserve">KAS KANPUS                              </v>
          </cell>
          <cell r="R246" t="str">
            <v>Belum TL</v>
          </cell>
          <cell r="S246" t="str">
            <v>Belum TL</v>
          </cell>
          <cell r="T246" t="str">
            <v>90186796 - Devito Arya Wiradila</v>
          </cell>
          <cell r="U246" t="str">
            <v>"-"</v>
          </cell>
        </row>
        <row r="247">
          <cell r="A247">
            <v>46265</v>
          </cell>
          <cell r="B247" t="str">
            <v xml:space="preserve">ALFRIDHO CHRISSANDY LUMBAN SIANTAR      </v>
          </cell>
          <cell r="C247" t="str">
            <v>AOYQ148</v>
          </cell>
          <cell r="D247">
            <v>4359720227569700</v>
          </cell>
          <cell r="E247" t="str">
            <v>RENDAH</v>
          </cell>
          <cell r="F247" t="str">
            <v>Tidak</v>
          </cell>
          <cell r="G247" t="str">
            <v>Tidak</v>
          </cell>
          <cell r="H247" t="str">
            <v>Tidak</v>
          </cell>
          <cell r="I247" t="str">
            <v>Penghindaran Pajak (Transaksi Fiktif)/Penyuapan CC</v>
          </cell>
          <cell r="J247">
            <v>30</v>
          </cell>
          <cell r="K247">
            <v>118</v>
          </cell>
          <cell r="L247" t="str">
            <v>Penyuapan / Penghindaran Pajak CC View</v>
          </cell>
          <cell r="M247" t="str">
            <v xml:space="preserve">Kas Kanpus                              </v>
          </cell>
          <cell r="N247" t="str">
            <v xml:space="preserve">Kas Kanpus                              </v>
          </cell>
          <cell r="O247" t="str">
            <v xml:space="preserve">KAS KANPUS                              </v>
          </cell>
          <cell r="R247" t="str">
            <v>Belum TL</v>
          </cell>
          <cell r="S247" t="str">
            <v>Belum TL</v>
          </cell>
          <cell r="T247" t="str">
            <v>90185538 - Muhammad Fahikal Auz</v>
          </cell>
          <cell r="U247" t="str">
            <v>"-"</v>
          </cell>
        </row>
        <row r="248">
          <cell r="A248">
            <v>46265</v>
          </cell>
          <cell r="B248" t="str">
            <v xml:space="preserve">ABSALOM J DUNGGUN                       </v>
          </cell>
          <cell r="C248" t="str">
            <v>AOZA257</v>
          </cell>
          <cell r="D248">
            <v>3901039327103</v>
          </cell>
          <cell r="E248" t="str">
            <v>SEDANG</v>
          </cell>
          <cell r="F248" t="str">
            <v>Tidak</v>
          </cell>
          <cell r="G248" t="str">
            <v>Tidak</v>
          </cell>
          <cell r="H248" t="str">
            <v>Tidak</v>
          </cell>
          <cell r="I248" t="str">
            <v>Korupsi - Loan View</v>
          </cell>
          <cell r="J248">
            <v>48</v>
          </cell>
          <cell r="K248">
            <v>15</v>
          </cell>
          <cell r="L248" t="str">
            <v>Korupsi</v>
          </cell>
          <cell r="M248" t="str">
            <v>Kas Kanpus</v>
          </cell>
          <cell r="N248" t="str">
            <v>Kas Kanpus</v>
          </cell>
          <cell r="O248" t="str">
            <v>KAS KANPUS</v>
          </cell>
          <cell r="R248" t="str">
            <v>Belum TL</v>
          </cell>
          <cell r="S248" t="str">
            <v>Belum TL</v>
          </cell>
          <cell r="T248" t="str">
            <v>00394520 - Frida Akbar Rani</v>
          </cell>
          <cell r="U248" t="str">
            <v>"-"</v>
          </cell>
        </row>
        <row r="249">
          <cell r="A249">
            <v>46265</v>
          </cell>
          <cell r="B249" t="str">
            <v xml:space="preserve">ANAK SAKTI                              </v>
          </cell>
          <cell r="C249" t="str">
            <v>APAH381</v>
          </cell>
          <cell r="D249">
            <v>34401676789307</v>
          </cell>
          <cell r="E249" t="str">
            <v>SEDANG</v>
          </cell>
          <cell r="F249" t="str">
            <v>Tidak</v>
          </cell>
          <cell r="G249" t="str">
            <v>Tidak</v>
          </cell>
          <cell r="H249" t="str">
            <v>Tidak</v>
          </cell>
          <cell r="I249" t="str">
            <v>Korupsi - Cash &amp; Amount</v>
          </cell>
          <cell r="J249">
            <v>49</v>
          </cell>
          <cell r="K249" t="str">
            <v>1,2,20</v>
          </cell>
          <cell r="L249" t="str">
            <v>Korupsi</v>
          </cell>
          <cell r="M249" t="str">
            <v>Kas Kanpus</v>
          </cell>
          <cell r="N249" t="str">
            <v>Kas Kanpus</v>
          </cell>
          <cell r="O249" t="str">
            <v>KAS KANPUS</v>
          </cell>
          <cell r="R249" t="str">
            <v>Belum TL</v>
          </cell>
          <cell r="S249" t="str">
            <v>Belum TL</v>
          </cell>
          <cell r="T249" t="str">
            <v>90185537 - Moh.Khoerul Fajar Ar</v>
          </cell>
          <cell r="U249" t="str">
            <v>"-"</v>
          </cell>
        </row>
        <row r="250">
          <cell r="A250">
            <v>46265</v>
          </cell>
          <cell r="B250" t="str">
            <v xml:space="preserve">ASHENDA BINTANG SAPUTRA                 </v>
          </cell>
          <cell r="C250" t="str">
            <v>AOPA002</v>
          </cell>
          <cell r="D250">
            <v>4359720217893400</v>
          </cell>
          <cell r="E250" t="str">
            <v>SEDANG</v>
          </cell>
          <cell r="F250" t="str">
            <v>Tidak</v>
          </cell>
          <cell r="G250" t="str">
            <v>Tidak</v>
          </cell>
          <cell r="H250" t="str">
            <v>Tidak</v>
          </cell>
          <cell r="I250" t="str">
            <v>Anomali Transaksi Kartu Kredit</v>
          </cell>
          <cell r="J250">
            <v>45</v>
          </cell>
          <cell r="K250">
            <v>117</v>
          </cell>
          <cell r="L250" t="str">
            <v>Anomali Transaksi Kartu Kredit</v>
          </cell>
          <cell r="M250" t="str">
            <v xml:space="preserve">Kas Kanpus                              </v>
          </cell>
          <cell r="N250" t="str">
            <v xml:space="preserve">Kas Kanpus                              </v>
          </cell>
          <cell r="O250" t="str">
            <v xml:space="preserve">KAS KANPUS                              </v>
          </cell>
          <cell r="R250" t="str">
            <v>Belum TL</v>
          </cell>
          <cell r="S250" t="str">
            <v>Belum TL</v>
          </cell>
          <cell r="T250" t="str">
            <v>90186796 - Devito Arya Wiradila</v>
          </cell>
          <cell r="U250" t="str">
            <v>"-"</v>
          </cell>
        </row>
        <row r="251">
          <cell r="A251">
            <v>46265</v>
          </cell>
          <cell r="B251" t="str">
            <v xml:space="preserve">ABD JALIL                               </v>
          </cell>
          <cell r="C251" t="str">
            <v>APCF162</v>
          </cell>
          <cell r="D251">
            <v>25001037005109</v>
          </cell>
          <cell r="E251" t="str">
            <v>SEDANG</v>
          </cell>
          <cell r="F251" t="str">
            <v>Tidak</v>
          </cell>
          <cell r="G251" t="str">
            <v>Tidak</v>
          </cell>
          <cell r="H251" t="str">
            <v>Tidak</v>
          </cell>
          <cell r="I251" t="str">
            <v>Korupsi - Loan View</v>
          </cell>
          <cell r="J251">
            <v>48</v>
          </cell>
          <cell r="K251">
            <v>15</v>
          </cell>
          <cell r="L251" t="str">
            <v>Korupsi</v>
          </cell>
          <cell r="M251" t="str">
            <v>Kas Kanpus</v>
          </cell>
          <cell r="N251" t="str">
            <v>Kas Kanpus</v>
          </cell>
          <cell r="O251" t="str">
            <v>KAS KANPUS</v>
          </cell>
          <cell r="R251" t="str">
            <v>Belum TL</v>
          </cell>
          <cell r="S251" t="str">
            <v>Belum TL</v>
          </cell>
          <cell r="T251" t="str">
            <v>90186790 - Muhammad Alfin Farha</v>
          </cell>
          <cell r="U251" t="str">
            <v>"-"</v>
          </cell>
        </row>
        <row r="252">
          <cell r="A252">
            <v>46265</v>
          </cell>
          <cell r="B252" t="str">
            <v xml:space="preserve">ANDI SYARIF T.U.W.                      </v>
          </cell>
          <cell r="C252" t="str">
            <v>APEL156</v>
          </cell>
          <cell r="D252">
            <v>8901001591563</v>
          </cell>
          <cell r="E252" t="str">
            <v>TINGGI</v>
          </cell>
          <cell r="F252" t="str">
            <v>Tidak</v>
          </cell>
          <cell r="G252" t="str">
            <v>Tidak</v>
          </cell>
          <cell r="H252" t="str">
            <v>Tidak</v>
          </cell>
          <cell r="I252" t="str">
            <v>Korupsi - Cash &amp; Amount</v>
          </cell>
          <cell r="J252">
            <v>85</v>
          </cell>
          <cell r="K252" t="str">
            <v>1,2,20</v>
          </cell>
          <cell r="L252" t="str">
            <v>Korupsi</v>
          </cell>
          <cell r="M252" t="str">
            <v>Kas Kanpus</v>
          </cell>
          <cell r="N252" t="str">
            <v>Kas Kanpus</v>
          </cell>
          <cell r="O252" t="str">
            <v>KAS KANPUS</v>
          </cell>
          <cell r="R252" t="str">
            <v>Belum TL</v>
          </cell>
          <cell r="S252" t="str">
            <v>Belum TL</v>
          </cell>
          <cell r="T252" t="str">
            <v>90170665 - Mutiara Ayuningtyas</v>
          </cell>
          <cell r="U252" t="str">
            <v>"-"</v>
          </cell>
        </row>
        <row r="253">
          <cell r="A253">
            <v>46265</v>
          </cell>
          <cell r="B253" t="str">
            <v xml:space="preserve">ANWAR ISKANDAR                          </v>
          </cell>
          <cell r="C253" t="str">
            <v>AQBO030</v>
          </cell>
          <cell r="D253">
            <v>135501023772507</v>
          </cell>
          <cell r="E253" t="str">
            <v>SEDANG</v>
          </cell>
          <cell r="F253" t="str">
            <v>Tidak</v>
          </cell>
          <cell r="G253" t="str">
            <v>Tidak</v>
          </cell>
          <cell r="H253" t="str">
            <v>Tidak</v>
          </cell>
          <cell r="I253" t="str">
            <v>Bandar Judol Withdrawal</v>
          </cell>
          <cell r="J253">
            <v>50</v>
          </cell>
          <cell r="K253" t="str">
            <v>86,88,87</v>
          </cell>
          <cell r="L253" t="str">
            <v>Judi Online</v>
          </cell>
          <cell r="M253" t="str">
            <v xml:space="preserve">Kas Kanpus                              </v>
          </cell>
          <cell r="N253" t="str">
            <v xml:space="preserve">Kas Kanpus                              </v>
          </cell>
          <cell r="O253" t="str">
            <v xml:space="preserve">KAS KANPUS                              </v>
          </cell>
          <cell r="R253" t="str">
            <v>Belum TL</v>
          </cell>
          <cell r="S253" t="str">
            <v>Belum TL</v>
          </cell>
          <cell r="T253" t="str">
            <v>90186796 - Devito Arya Wiradila</v>
          </cell>
          <cell r="U253" t="str">
            <v>"-"</v>
          </cell>
        </row>
        <row r="254">
          <cell r="A254">
            <v>46265</v>
          </cell>
          <cell r="B254" t="str">
            <v xml:space="preserve">ANDRE ERUPLEY                           </v>
          </cell>
          <cell r="C254" t="str">
            <v>APJX568</v>
          </cell>
          <cell r="D254">
            <v>497301018322102</v>
          </cell>
          <cell r="E254" t="str">
            <v>RENDAH</v>
          </cell>
          <cell r="F254" t="str">
            <v>Tidak</v>
          </cell>
          <cell r="G254" t="str">
            <v>Tidak</v>
          </cell>
          <cell r="H254" t="str">
            <v>Tidak</v>
          </cell>
          <cell r="I254" t="str">
            <v>Korupsi - Loan View</v>
          </cell>
          <cell r="J254">
            <v>33</v>
          </cell>
          <cell r="K254">
            <v>15</v>
          </cell>
          <cell r="L254" t="str">
            <v>Korupsi</v>
          </cell>
          <cell r="M254" t="str">
            <v>Kas Kanpus</v>
          </cell>
          <cell r="N254" t="str">
            <v>Kas Kanpus</v>
          </cell>
          <cell r="O254" t="str">
            <v>KAS KANPUS</v>
          </cell>
          <cell r="R254" t="str">
            <v>Belum TL</v>
          </cell>
          <cell r="S254" t="str">
            <v>Belum TL</v>
          </cell>
          <cell r="T254" t="str">
            <v>00394520 - Frida Akbar Rani</v>
          </cell>
          <cell r="U254" t="str">
            <v>"-"</v>
          </cell>
        </row>
        <row r="255">
          <cell r="A255">
            <v>46265</v>
          </cell>
          <cell r="B255" t="str">
            <v xml:space="preserve">AGUS ARSYAD                             </v>
          </cell>
          <cell r="C255" t="str">
            <v>AQK2419</v>
          </cell>
          <cell r="D255">
            <v>64201015922102</v>
          </cell>
          <cell r="E255" t="str">
            <v>SEDANG</v>
          </cell>
          <cell r="F255" t="str">
            <v>Tidak</v>
          </cell>
          <cell r="G255" t="str">
            <v>Ya</v>
          </cell>
          <cell r="H255" t="str">
            <v>Tidak</v>
          </cell>
          <cell r="I255" t="str">
            <v>Korupsi - Loan View</v>
          </cell>
          <cell r="J255">
            <v>68</v>
          </cell>
          <cell r="K255">
            <v>15</v>
          </cell>
          <cell r="L255" t="str">
            <v>Korupsi</v>
          </cell>
          <cell r="M255" t="str">
            <v>Kas Kanpus</v>
          </cell>
          <cell r="N255" t="str">
            <v>Kas Kanpus</v>
          </cell>
          <cell r="O255" t="str">
            <v>KAS KANPUS</v>
          </cell>
          <cell r="R255" t="str">
            <v>Belum TL</v>
          </cell>
          <cell r="S255" t="str">
            <v>Belum TL</v>
          </cell>
          <cell r="T255" t="str">
            <v>90186790 - Muhammad Alfin Farha</v>
          </cell>
          <cell r="U255" t="str">
            <v>"-"</v>
          </cell>
        </row>
        <row r="256">
          <cell r="A256">
            <v>46265</v>
          </cell>
          <cell r="B256" t="str">
            <v xml:space="preserve">ANGRANGUN BERLIAN NUSANTARA             </v>
          </cell>
          <cell r="C256" t="str">
            <v>AQU6647</v>
          </cell>
          <cell r="D256">
            <v>32501501260159</v>
          </cell>
          <cell r="E256" t="str">
            <v>SEDANG</v>
          </cell>
          <cell r="F256" t="str">
            <v>Tidak</v>
          </cell>
          <cell r="G256" t="str">
            <v>Tidak</v>
          </cell>
          <cell r="H256" t="str">
            <v>Tidak</v>
          </cell>
          <cell r="I256" t="str">
            <v>Korupsi - Loan View</v>
          </cell>
          <cell r="J256">
            <v>48</v>
          </cell>
          <cell r="K256">
            <v>15</v>
          </cell>
          <cell r="L256" t="str">
            <v>Korupsi</v>
          </cell>
          <cell r="M256" t="str">
            <v>Kas Kanpus</v>
          </cell>
          <cell r="N256" t="str">
            <v>Kas Kanpus</v>
          </cell>
          <cell r="O256" t="str">
            <v>KAS KANPUS</v>
          </cell>
          <cell r="R256" t="str">
            <v>Belum TL</v>
          </cell>
          <cell r="S256" t="str">
            <v>Belum TL</v>
          </cell>
          <cell r="T256" t="str">
            <v>00394521 - Muhammad Hibbanduta</v>
          </cell>
          <cell r="U256" t="str">
            <v>"-"</v>
          </cell>
        </row>
        <row r="257">
          <cell r="A257">
            <v>46265</v>
          </cell>
          <cell r="B257" t="str">
            <v xml:space="preserve">AGUSTINUS GUSTAF BRUGMAN                </v>
          </cell>
          <cell r="C257" t="str">
            <v>AQX3992</v>
          </cell>
          <cell r="D257">
            <v>5326590002864270</v>
          </cell>
          <cell r="E257" t="str">
            <v>TINGGI</v>
          </cell>
          <cell r="F257" t="str">
            <v>Tidak</v>
          </cell>
          <cell r="G257" t="str">
            <v>Tidak</v>
          </cell>
          <cell r="H257" t="str">
            <v>Tidak</v>
          </cell>
          <cell r="I257" t="str">
            <v>Private or Priority Customer Investment</v>
          </cell>
          <cell r="J257">
            <v>83</v>
          </cell>
          <cell r="K257">
            <v>93</v>
          </cell>
          <cell r="L257" t="str">
            <v>Pasar Modal</v>
          </cell>
          <cell r="M257" t="str">
            <v xml:space="preserve">KC Jakarta Gatot Subroto                </v>
          </cell>
          <cell r="N257" t="str">
            <v xml:space="preserve">KC Jakarta Gatot Subroto                </v>
          </cell>
          <cell r="O257" t="str">
            <v xml:space="preserve">DKI2                                    </v>
          </cell>
          <cell r="R257" t="str">
            <v>Belum TL</v>
          </cell>
          <cell r="S257" t="str">
            <v>Belum TL</v>
          </cell>
          <cell r="T257" t="str">
            <v>90185538 - Muhammad Fahikal Auz</v>
          </cell>
          <cell r="U257" t="str">
            <v>"-"</v>
          </cell>
        </row>
        <row r="258">
          <cell r="A258">
            <v>46265</v>
          </cell>
          <cell r="B258" t="str">
            <v xml:space="preserve">ANNISA AINUL BASHIROH                   </v>
          </cell>
          <cell r="C258" t="str">
            <v>AQZV467</v>
          </cell>
          <cell r="D258">
            <v>5501086114501</v>
          </cell>
          <cell r="E258" t="str">
            <v>SEDANG</v>
          </cell>
          <cell r="F258" t="str">
            <v>Tidak</v>
          </cell>
          <cell r="G258" t="str">
            <v>Tidak</v>
          </cell>
          <cell r="H258" t="str">
            <v>Tidak</v>
          </cell>
          <cell r="I258" t="str">
            <v>Money Mules</v>
          </cell>
          <cell r="J258">
            <v>42</v>
          </cell>
          <cell r="K258">
            <v>77</v>
          </cell>
          <cell r="L258" t="str">
            <v>Narkotika/Judi Online</v>
          </cell>
          <cell r="M258" t="str">
            <v xml:space="preserve">Kas Kanpus                              </v>
          </cell>
          <cell r="N258" t="str">
            <v xml:space="preserve">Kas Kanpus                              </v>
          </cell>
          <cell r="O258" t="str">
            <v xml:space="preserve">KAS KANPUS                              </v>
          </cell>
          <cell r="R258" t="str">
            <v>Belum TL</v>
          </cell>
          <cell r="S258" t="str">
            <v>Belum TL</v>
          </cell>
          <cell r="T258" t="str">
            <v>90186796 - Devito Arya Wiradila</v>
          </cell>
          <cell r="U258" t="str">
            <v>"-"</v>
          </cell>
        </row>
        <row r="259">
          <cell r="A259">
            <v>46265</v>
          </cell>
          <cell r="B259" t="str">
            <v xml:space="preserve">AHMAD SYAFEI                            </v>
          </cell>
          <cell r="C259" t="str">
            <v>ARAR497</v>
          </cell>
          <cell r="D259">
            <v>12001289985506</v>
          </cell>
          <cell r="E259" t="str">
            <v>SEDANG</v>
          </cell>
          <cell r="F259" t="str">
            <v>Tidak</v>
          </cell>
          <cell r="G259" t="str">
            <v>Tidak</v>
          </cell>
          <cell r="H259" t="str">
            <v>Tidak</v>
          </cell>
          <cell r="I259" t="str">
            <v>Bandar Judol Withdrawal</v>
          </cell>
          <cell r="J259">
            <v>50</v>
          </cell>
          <cell r="K259" t="str">
            <v>86,88,87</v>
          </cell>
          <cell r="L259" t="str">
            <v>Judi Online</v>
          </cell>
          <cell r="M259" t="str">
            <v xml:space="preserve">Kas Kanpus                              </v>
          </cell>
          <cell r="N259" t="str">
            <v xml:space="preserve">Kas Kanpus                              </v>
          </cell>
          <cell r="O259" t="str">
            <v xml:space="preserve">KAS KANPUS                              </v>
          </cell>
          <cell r="R259" t="str">
            <v>Belum TL</v>
          </cell>
          <cell r="S259" t="str">
            <v>Belum TL</v>
          </cell>
          <cell r="T259" t="str">
            <v>00394521 - Muhammad Hibbanduta</v>
          </cell>
          <cell r="U259" t="str">
            <v>"-"</v>
          </cell>
        </row>
        <row r="260">
          <cell r="A260">
            <v>46265</v>
          </cell>
          <cell r="B260" t="str">
            <v xml:space="preserve">AGUS PRIYANTO                           </v>
          </cell>
          <cell r="C260" t="str">
            <v>ARAS402</v>
          </cell>
          <cell r="D260">
            <v>599401019623532</v>
          </cell>
          <cell r="E260" t="str">
            <v>SEDANG</v>
          </cell>
          <cell r="F260" t="str">
            <v>Tidak</v>
          </cell>
          <cell r="G260" t="str">
            <v>Tidak</v>
          </cell>
          <cell r="H260" t="str">
            <v>Tidak</v>
          </cell>
          <cell r="I260" t="str">
            <v>Bandar Judol Depo</v>
          </cell>
          <cell r="J260">
            <v>50</v>
          </cell>
          <cell r="K260" t="str">
            <v>86,74,87</v>
          </cell>
          <cell r="L260" t="str">
            <v>Judi Online</v>
          </cell>
          <cell r="M260" t="str">
            <v xml:space="preserve">Kas Kanpus                              </v>
          </cell>
          <cell r="N260" t="str">
            <v xml:space="preserve">Kas Kanpus                              </v>
          </cell>
          <cell r="O260" t="str">
            <v xml:space="preserve">KAS KANPUS                              </v>
          </cell>
          <cell r="R260" t="str">
            <v>Belum TL</v>
          </cell>
          <cell r="S260" t="str">
            <v>Belum TL</v>
          </cell>
          <cell r="T260" t="str">
            <v>90185537 - Moh.Khoerul Fajar Ar</v>
          </cell>
          <cell r="U260" t="str">
            <v>"-"</v>
          </cell>
        </row>
        <row r="261">
          <cell r="A261">
            <v>46265</v>
          </cell>
          <cell r="B261" t="str">
            <v xml:space="preserve">AGUS SUPRIYATNA                         </v>
          </cell>
          <cell r="C261" t="str">
            <v>ARAX692</v>
          </cell>
          <cell r="D261">
            <v>324801034393537</v>
          </cell>
          <cell r="E261" t="str">
            <v>SEDANG</v>
          </cell>
          <cell r="F261" t="str">
            <v>Tidak</v>
          </cell>
          <cell r="G261" t="str">
            <v>Tidak</v>
          </cell>
          <cell r="H261" t="str">
            <v>Tidak</v>
          </cell>
          <cell r="I261" t="str">
            <v>Bandar Judol Withdrawal</v>
          </cell>
          <cell r="J261">
            <v>50</v>
          </cell>
          <cell r="K261" t="str">
            <v>86,88,87</v>
          </cell>
          <cell r="L261" t="str">
            <v>Judi Online</v>
          </cell>
          <cell r="M261" t="str">
            <v xml:space="preserve">Kas Kanpus                              </v>
          </cell>
          <cell r="N261" t="str">
            <v xml:space="preserve">Kas Kanpus                              </v>
          </cell>
          <cell r="O261" t="str">
            <v xml:space="preserve">KAS KANPUS                              </v>
          </cell>
          <cell r="R261" t="str">
            <v>Belum TL</v>
          </cell>
          <cell r="S261" t="str">
            <v>Belum TL</v>
          </cell>
          <cell r="T261" t="str">
            <v>00394521 - Muhammad Hibbanduta</v>
          </cell>
          <cell r="U261" t="str">
            <v>"-"</v>
          </cell>
        </row>
        <row r="262">
          <cell r="A262">
            <v>46265</v>
          </cell>
          <cell r="B262" t="str">
            <v xml:space="preserve">ABDUL WAHAB BOGRA                       </v>
          </cell>
          <cell r="C262" t="str">
            <v>ARB8522</v>
          </cell>
          <cell r="D262">
            <v>214001001726104</v>
          </cell>
          <cell r="E262" t="str">
            <v>TINGGI</v>
          </cell>
          <cell r="F262" t="str">
            <v>Tidak</v>
          </cell>
          <cell r="G262" t="str">
            <v>Tidak</v>
          </cell>
          <cell r="H262" t="str">
            <v>Tidak</v>
          </cell>
          <cell r="I262" t="str">
            <v>Korupsi - Loan View</v>
          </cell>
          <cell r="J262">
            <v>68</v>
          </cell>
          <cell r="K262">
            <v>15</v>
          </cell>
          <cell r="L262" t="str">
            <v>Korupsi</v>
          </cell>
          <cell r="M262" t="str">
            <v>Kas Kanpus</v>
          </cell>
          <cell r="N262" t="str">
            <v>Kas Kanpus</v>
          </cell>
          <cell r="O262" t="str">
            <v>KAS KANPUS</v>
          </cell>
          <cell r="R262" t="str">
            <v>Belum TL</v>
          </cell>
          <cell r="S262" t="str">
            <v>Belum TL</v>
          </cell>
          <cell r="T262" t="str">
            <v>90150130 - Intan Aida Pratiwi</v>
          </cell>
          <cell r="U262" t="str">
            <v>"-"</v>
          </cell>
        </row>
        <row r="263">
          <cell r="A263">
            <v>46265</v>
          </cell>
          <cell r="B263" t="str">
            <v xml:space="preserve">AHMAD MAWARDI                           </v>
          </cell>
          <cell r="C263" t="str">
            <v>ARM9116</v>
          </cell>
          <cell r="D263">
            <v>6501001807302</v>
          </cell>
          <cell r="E263" t="str">
            <v>TINGGI</v>
          </cell>
          <cell r="F263" t="str">
            <v>Tidak</v>
          </cell>
          <cell r="G263" t="str">
            <v>Tidak</v>
          </cell>
          <cell r="H263" t="str">
            <v>Tidak</v>
          </cell>
          <cell r="I263" t="str">
            <v>Korupsi - Significant Trx View</v>
          </cell>
          <cell r="J263">
            <v>83</v>
          </cell>
          <cell r="K263">
            <v>1.19</v>
          </cell>
          <cell r="L263" t="str">
            <v>Korupsi</v>
          </cell>
          <cell r="M263" t="str">
            <v>Kas Kanpus</v>
          </cell>
          <cell r="N263" t="str">
            <v>Kas Kanpus</v>
          </cell>
          <cell r="O263" t="str">
            <v>KAS KANPUS</v>
          </cell>
          <cell r="R263" t="str">
            <v>Belum TL</v>
          </cell>
          <cell r="S263" t="str">
            <v>Belum TL</v>
          </cell>
          <cell r="T263" t="str">
            <v>00336949 - Mochammad Al Farabi</v>
          </cell>
          <cell r="U263" t="str">
            <v>"-"</v>
          </cell>
        </row>
        <row r="264">
          <cell r="A264">
            <v>46265</v>
          </cell>
          <cell r="B264" t="str">
            <v xml:space="preserve">AHMAD MAWARDI                           </v>
          </cell>
          <cell r="C264" t="str">
            <v>ARM9116</v>
          </cell>
          <cell r="D264">
            <v>6501003685560</v>
          </cell>
          <cell r="E264" t="str">
            <v>TINGGI</v>
          </cell>
          <cell r="F264" t="str">
            <v>Tidak</v>
          </cell>
          <cell r="G264" t="str">
            <v>Tidak</v>
          </cell>
          <cell r="H264" t="str">
            <v>Tidak</v>
          </cell>
          <cell r="I264" t="str">
            <v>Korupsi - Significant Trx View</v>
          </cell>
          <cell r="J264">
            <v>83</v>
          </cell>
          <cell r="K264">
            <v>1.19</v>
          </cell>
          <cell r="L264" t="str">
            <v>Korupsi</v>
          </cell>
          <cell r="M264" t="str">
            <v>Kas Kanpus</v>
          </cell>
          <cell r="N264" t="str">
            <v>Kas Kanpus</v>
          </cell>
          <cell r="O264" t="str">
            <v>KAS KANPUS</v>
          </cell>
          <cell r="R264" t="str">
            <v>Belum TL</v>
          </cell>
          <cell r="S264" t="str">
            <v>Belum TL</v>
          </cell>
          <cell r="T264" t="str">
            <v>00394520 - Frida Akbar Rani</v>
          </cell>
          <cell r="U264" t="str">
            <v>"-"</v>
          </cell>
        </row>
        <row r="265">
          <cell r="A265">
            <v>46265</v>
          </cell>
          <cell r="B265" t="str">
            <v xml:space="preserve">ANDI HAMZAH                             </v>
          </cell>
          <cell r="C265" t="str">
            <v>ARD5509</v>
          </cell>
          <cell r="D265">
            <v>17501010748106</v>
          </cell>
          <cell r="E265" t="str">
            <v>TINGGI</v>
          </cell>
          <cell r="F265" t="str">
            <v>Tidak</v>
          </cell>
          <cell r="G265" t="str">
            <v>Tidak</v>
          </cell>
          <cell r="H265" t="str">
            <v>Tidak</v>
          </cell>
          <cell r="I265" t="str">
            <v>Korupsi - Loan View</v>
          </cell>
          <cell r="J265">
            <v>73</v>
          </cell>
          <cell r="K265">
            <v>15</v>
          </cell>
          <cell r="L265" t="str">
            <v>Korupsi</v>
          </cell>
          <cell r="M265" t="str">
            <v>Kas Kanpus</v>
          </cell>
          <cell r="N265" t="str">
            <v>Kas Kanpus</v>
          </cell>
          <cell r="O265" t="str">
            <v>KAS KANPUS</v>
          </cell>
          <cell r="R265" t="str">
            <v>Belum TL</v>
          </cell>
          <cell r="S265" t="str">
            <v>Belum TL</v>
          </cell>
          <cell r="T265" t="str">
            <v>90186796 - Devito Arya Wiradila</v>
          </cell>
          <cell r="U265" t="str">
            <v>"-"</v>
          </cell>
        </row>
        <row r="266">
          <cell r="A266">
            <v>46265</v>
          </cell>
          <cell r="B266" t="str">
            <v xml:space="preserve">ARIE HARTANTO                           </v>
          </cell>
          <cell r="C266" t="str">
            <v>ARUZ684</v>
          </cell>
          <cell r="D266">
            <v>4359720208211500</v>
          </cell>
          <cell r="E266" t="str">
            <v>SEDANG</v>
          </cell>
          <cell r="F266" t="str">
            <v>Tidak</v>
          </cell>
          <cell r="G266" t="str">
            <v>Tidak</v>
          </cell>
          <cell r="H266" t="str">
            <v>Tidak</v>
          </cell>
          <cell r="I266" t="str">
            <v>Penghindaran Pajak (Transaksi Fiktif)/Penyuapan CC</v>
          </cell>
          <cell r="J266">
            <v>45</v>
          </cell>
          <cell r="K266">
            <v>118</v>
          </cell>
          <cell r="L266" t="str">
            <v>Penyuapan / Penghindaran Pajak CC View</v>
          </cell>
          <cell r="M266" t="str">
            <v xml:space="preserve">Kas Kanpus                              </v>
          </cell>
          <cell r="N266" t="str">
            <v xml:space="preserve">Kas Kanpus                              </v>
          </cell>
          <cell r="O266" t="str">
            <v xml:space="preserve">KAS KANPUS                              </v>
          </cell>
          <cell r="R266" t="str">
            <v>Belum TL</v>
          </cell>
          <cell r="S266" t="str">
            <v>Belum TL</v>
          </cell>
          <cell r="T266" t="str">
            <v>00336949 - Mochammad Al Farabi</v>
          </cell>
          <cell r="U266" t="str">
            <v>"-"</v>
          </cell>
        </row>
        <row r="267">
          <cell r="A267">
            <v>46265</v>
          </cell>
          <cell r="B267" t="str">
            <v xml:space="preserve">ANDI REZA FAHRANSYAH AL QUADRI          </v>
          </cell>
          <cell r="C267" t="str">
            <v>ASHS120</v>
          </cell>
          <cell r="D267">
            <v>19201043166107</v>
          </cell>
          <cell r="E267" t="str">
            <v>RENDAH</v>
          </cell>
          <cell r="F267" t="str">
            <v>Tidak</v>
          </cell>
          <cell r="G267" t="str">
            <v>Tidak</v>
          </cell>
          <cell r="H267" t="str">
            <v>Tidak</v>
          </cell>
          <cell r="I267" t="str">
            <v>Korupsi - Loan View</v>
          </cell>
          <cell r="J267">
            <v>33</v>
          </cell>
          <cell r="K267">
            <v>15</v>
          </cell>
          <cell r="L267" t="str">
            <v>Korupsi</v>
          </cell>
          <cell r="M267" t="str">
            <v>Kas Kanpus</v>
          </cell>
          <cell r="N267" t="str">
            <v>Kas Kanpus</v>
          </cell>
          <cell r="O267" t="str">
            <v>KAS KANPUS</v>
          </cell>
          <cell r="R267" t="str">
            <v>Belum TL</v>
          </cell>
          <cell r="S267" t="str">
            <v>Belum TL</v>
          </cell>
          <cell r="T267" t="str">
            <v>00336949 - Mochammad Al Farabi</v>
          </cell>
          <cell r="U267" t="str">
            <v>"-"</v>
          </cell>
        </row>
        <row r="268">
          <cell r="A268">
            <v>46265</v>
          </cell>
          <cell r="B268" t="str">
            <v xml:space="preserve">AGUS MARPU IRAWAN                       </v>
          </cell>
          <cell r="C268" t="str">
            <v>ASJN574</v>
          </cell>
          <cell r="D268">
            <v>10001151181509</v>
          </cell>
          <cell r="E268" t="str">
            <v>SEDANG</v>
          </cell>
          <cell r="F268" t="str">
            <v>Tidak</v>
          </cell>
          <cell r="G268" t="str">
            <v>Tidak</v>
          </cell>
          <cell r="H268" t="str">
            <v>Tidak</v>
          </cell>
          <cell r="I268" t="str">
            <v>Bandar Judol Depo</v>
          </cell>
          <cell r="J268">
            <v>50</v>
          </cell>
          <cell r="K268" t="str">
            <v>86,74,87</v>
          </cell>
          <cell r="L268" t="str">
            <v>Judi Online</v>
          </cell>
          <cell r="M268" t="str">
            <v xml:space="preserve">Kas Kanpus                              </v>
          </cell>
          <cell r="N268" t="str">
            <v xml:space="preserve">Kas Kanpus                              </v>
          </cell>
          <cell r="O268" t="str">
            <v xml:space="preserve">KAS KANPUS                              </v>
          </cell>
          <cell r="R268" t="str">
            <v>Belum TL</v>
          </cell>
          <cell r="S268" t="str">
            <v>Belum TL</v>
          </cell>
          <cell r="T268" t="str">
            <v>90185537 - Moh.Khoerul Fajar Ar</v>
          </cell>
          <cell r="U268" t="str">
            <v>"-"</v>
          </cell>
        </row>
        <row r="269">
          <cell r="A269">
            <v>46265</v>
          </cell>
          <cell r="B269" t="str">
            <v xml:space="preserve">ANI NURAENI                             </v>
          </cell>
          <cell r="C269" t="str">
            <v>ASN3539</v>
          </cell>
          <cell r="D269">
            <v>4359720235883300</v>
          </cell>
          <cell r="E269" t="str">
            <v>RENDAH</v>
          </cell>
          <cell r="F269" t="str">
            <v>Tidak</v>
          </cell>
          <cell r="G269" t="str">
            <v>Tidak</v>
          </cell>
          <cell r="H269" t="str">
            <v>Tidak</v>
          </cell>
          <cell r="I269" t="str">
            <v>Anomali Transaksi Kartu Kredit</v>
          </cell>
          <cell r="J269">
            <v>30</v>
          </cell>
          <cell r="K269">
            <v>117</v>
          </cell>
          <cell r="L269" t="str">
            <v>Anomali Transaksi Kartu Kredit</v>
          </cell>
          <cell r="M269" t="str">
            <v xml:space="preserve">Kas Kanpus                              </v>
          </cell>
          <cell r="N269" t="str">
            <v xml:space="preserve">Kas Kanpus                              </v>
          </cell>
          <cell r="O269" t="str">
            <v xml:space="preserve">KAS KANPUS                              </v>
          </cell>
          <cell r="R269" t="str">
            <v>Belum TL</v>
          </cell>
          <cell r="S269" t="str">
            <v>Belum TL</v>
          </cell>
          <cell r="T269" t="str">
            <v>90185537 - Moh.Khoerul Fajar Ar</v>
          </cell>
          <cell r="U269" t="str">
            <v>"-"</v>
          </cell>
        </row>
        <row r="270">
          <cell r="A270">
            <v>46265</v>
          </cell>
          <cell r="B270" t="str">
            <v xml:space="preserve">ANI NURAENI                             </v>
          </cell>
          <cell r="C270" t="str">
            <v>ASN3539</v>
          </cell>
          <cell r="D270">
            <v>4359720235883300</v>
          </cell>
          <cell r="E270" t="str">
            <v>RENDAH</v>
          </cell>
          <cell r="F270" t="str">
            <v>Tidak</v>
          </cell>
          <cell r="G270" t="str">
            <v>Tidak</v>
          </cell>
          <cell r="H270" t="str">
            <v>Tidak</v>
          </cell>
          <cell r="I270" t="str">
            <v>Penghindaran Pajak (Transaksi Fiktif)/Penyuapan CC</v>
          </cell>
          <cell r="J270">
            <v>30</v>
          </cell>
          <cell r="K270">
            <v>118</v>
          </cell>
          <cell r="L270" t="str">
            <v>Penyuapan / Penghindaran Pajak CC View</v>
          </cell>
          <cell r="M270" t="str">
            <v xml:space="preserve">Kas Kanpus                              </v>
          </cell>
          <cell r="N270" t="str">
            <v xml:space="preserve">Kas Kanpus                              </v>
          </cell>
          <cell r="O270" t="str">
            <v xml:space="preserve">KAS KANPUS                              </v>
          </cell>
          <cell r="R270" t="str">
            <v>Belum TL</v>
          </cell>
          <cell r="S270" t="str">
            <v>Belum TL</v>
          </cell>
          <cell r="T270" t="str">
            <v>00336949 - Mochammad Al Farabi</v>
          </cell>
          <cell r="U270" t="str">
            <v>"-"</v>
          </cell>
        </row>
        <row r="271">
          <cell r="A271">
            <v>46265</v>
          </cell>
          <cell r="B271" t="str">
            <v xml:space="preserve">ALFINDO PERKASA                         </v>
          </cell>
          <cell r="C271" t="str">
            <v>ASO7984</v>
          </cell>
          <cell r="D271">
            <v>21901503105156</v>
          </cell>
          <cell r="E271" t="str">
            <v>SEDANG</v>
          </cell>
          <cell r="F271" t="str">
            <v>Tidak</v>
          </cell>
          <cell r="G271" t="str">
            <v>Tidak</v>
          </cell>
          <cell r="H271" t="str">
            <v>Tidak</v>
          </cell>
          <cell r="I271" t="str">
            <v>Korupsi - Loan View</v>
          </cell>
          <cell r="J271">
            <v>48</v>
          </cell>
          <cell r="K271">
            <v>15</v>
          </cell>
          <cell r="L271" t="str">
            <v>Korupsi</v>
          </cell>
          <cell r="M271" t="str">
            <v>Kas Kanpus</v>
          </cell>
          <cell r="N271" t="str">
            <v>Kas Kanpus</v>
          </cell>
          <cell r="O271" t="str">
            <v>KAS KANPUS</v>
          </cell>
          <cell r="R271" t="str">
            <v>Belum TL</v>
          </cell>
          <cell r="S271" t="str">
            <v>Belum TL</v>
          </cell>
          <cell r="T271" t="str">
            <v>90185538 - Muhammad Fahikal Auz</v>
          </cell>
          <cell r="U271" t="str">
            <v>"-"</v>
          </cell>
        </row>
        <row r="272">
          <cell r="A272">
            <v>46265</v>
          </cell>
          <cell r="B272" t="str">
            <v xml:space="preserve">ALEX USMAN EVENDY                       </v>
          </cell>
          <cell r="C272" t="str">
            <v>ASQ6405</v>
          </cell>
          <cell r="D272">
            <v>342601000061568</v>
          </cell>
          <cell r="E272" t="str">
            <v>RENDAH</v>
          </cell>
          <cell r="F272" t="str">
            <v>Tidak</v>
          </cell>
          <cell r="G272" t="str">
            <v>Tidak</v>
          </cell>
          <cell r="H272" t="str">
            <v>Tidak</v>
          </cell>
          <cell r="I272" t="str">
            <v>Pencurian Rekening</v>
          </cell>
          <cell r="J272">
            <v>31</v>
          </cell>
          <cell r="K272">
            <v>59</v>
          </cell>
          <cell r="L272" t="str">
            <v>Perbankan</v>
          </cell>
          <cell r="M272" t="str">
            <v xml:space="preserve">UNIT AHMAD YANI BANJARMASIN S           </v>
          </cell>
          <cell r="N272" t="str">
            <v xml:space="preserve">KC Banjarmasin                          </v>
          </cell>
          <cell r="O272" t="str">
            <v xml:space="preserve">Banjarmasin                             </v>
          </cell>
          <cell r="R272" t="str">
            <v>Belum TL</v>
          </cell>
          <cell r="S272" t="str">
            <v>Belum TL</v>
          </cell>
          <cell r="T272" t="str">
            <v>90171841 - Rifqi Aziz</v>
          </cell>
          <cell r="U272" t="str">
            <v>"-"</v>
          </cell>
        </row>
        <row r="273">
          <cell r="A273">
            <v>46265</v>
          </cell>
          <cell r="B273" t="str">
            <v xml:space="preserve">ACCURATEZZA GLOBAL TEKNO                </v>
          </cell>
          <cell r="C273" t="str">
            <v>ATBF188</v>
          </cell>
          <cell r="D273">
            <v>12201501088151</v>
          </cell>
          <cell r="E273" t="str">
            <v>TINGGI</v>
          </cell>
          <cell r="F273" t="str">
            <v>Tidak</v>
          </cell>
          <cell r="G273" t="str">
            <v>Tidak</v>
          </cell>
          <cell r="H273" t="str">
            <v>Tidak</v>
          </cell>
          <cell r="I273" t="str">
            <v>Korupsi - Loan View</v>
          </cell>
          <cell r="J273">
            <v>63</v>
          </cell>
          <cell r="K273">
            <v>15</v>
          </cell>
          <cell r="L273" t="str">
            <v>Korupsi</v>
          </cell>
          <cell r="M273" t="str">
            <v>Kas Kanpus</v>
          </cell>
          <cell r="N273" t="str">
            <v>Kas Kanpus</v>
          </cell>
          <cell r="O273" t="str">
            <v>KAS KANPUS</v>
          </cell>
          <cell r="R273" t="str">
            <v>Belum TL</v>
          </cell>
          <cell r="S273" t="str">
            <v>Belum TL</v>
          </cell>
          <cell r="T273" t="str">
            <v>90185538 - Muhammad Fahikal Auz</v>
          </cell>
          <cell r="U273" t="str">
            <v>"-"</v>
          </cell>
        </row>
        <row r="274">
          <cell r="A274">
            <v>46240</v>
          </cell>
          <cell r="B274" t="str">
            <v xml:space="preserve">AGUS SUGIYONO                           </v>
          </cell>
          <cell r="C274" t="str">
            <v>ATQ9527</v>
          </cell>
          <cell r="D274">
            <v>595801006732532</v>
          </cell>
          <cell r="E274" t="str">
            <v>SEDANG</v>
          </cell>
          <cell r="F274" t="str">
            <v>Ya</v>
          </cell>
          <cell r="G274" t="str">
            <v>Tidak</v>
          </cell>
          <cell r="I274" t="str">
            <v>Teroris - Remark</v>
          </cell>
          <cell r="J274">
            <v>170</v>
          </cell>
          <cell r="K274">
            <v>50</v>
          </cell>
          <cell r="L274" t="str">
            <v>Terorisme</v>
          </cell>
          <cell r="M274" t="str">
            <v xml:space="preserve">Kas Kanpus                              </v>
          </cell>
          <cell r="N274" t="str">
            <v xml:space="preserve">Kas Kanpus                              </v>
          </cell>
          <cell r="O274" t="str">
            <v xml:space="preserve">KAS KANPUS                              </v>
          </cell>
          <cell r="R274" t="str">
            <v>Belum TL</v>
          </cell>
          <cell r="S274" t="str">
            <v>Belum TL</v>
          </cell>
          <cell r="T274" t="str">
            <v>90170665 - Mutiara Ayuningtyas</v>
          </cell>
          <cell r="U274" t="str">
            <v>"-"</v>
          </cell>
        </row>
        <row r="275">
          <cell r="A275">
            <v>46265</v>
          </cell>
          <cell r="B275" t="str">
            <v xml:space="preserve">AHMAD DIVA SYAMAIDZAR                   </v>
          </cell>
          <cell r="C275" t="str">
            <v>ATQK129</v>
          </cell>
          <cell r="D275">
            <v>114901012575503</v>
          </cell>
          <cell r="E275" t="str">
            <v>SEDANG</v>
          </cell>
          <cell r="F275" t="str">
            <v>Tidak</v>
          </cell>
          <cell r="G275" t="str">
            <v>Tidak</v>
          </cell>
          <cell r="H275" t="str">
            <v>Tidak</v>
          </cell>
          <cell r="I275" t="str">
            <v>Bandar Judol Withdrawal</v>
          </cell>
          <cell r="J275">
            <v>50</v>
          </cell>
          <cell r="K275" t="str">
            <v>86,88,87</v>
          </cell>
          <cell r="L275" t="str">
            <v>Judi Online</v>
          </cell>
          <cell r="M275" t="str">
            <v xml:space="preserve">Kas Kanpus                              </v>
          </cell>
          <cell r="N275" t="str">
            <v xml:space="preserve">Kas Kanpus                              </v>
          </cell>
          <cell r="O275" t="str">
            <v xml:space="preserve">KAS KANPUS                              </v>
          </cell>
          <cell r="R275" t="str">
            <v>Belum TL</v>
          </cell>
          <cell r="S275" t="str">
            <v>Belum TL</v>
          </cell>
          <cell r="T275" t="str">
            <v>90186796 - Devito Arya Wiradila</v>
          </cell>
          <cell r="U275" t="str">
            <v>"-"</v>
          </cell>
        </row>
        <row r="276">
          <cell r="A276">
            <v>46265</v>
          </cell>
          <cell r="B276" t="str">
            <v xml:space="preserve">AHMAD SULFADHLI JAMAL                   </v>
          </cell>
          <cell r="C276" t="str">
            <v>ATT1362</v>
          </cell>
          <cell r="D276">
            <v>4359720236374000</v>
          </cell>
          <cell r="E276" t="str">
            <v>RENDAH</v>
          </cell>
          <cell r="F276" t="str">
            <v>Tidak</v>
          </cell>
          <cell r="G276" t="str">
            <v>Tidak</v>
          </cell>
          <cell r="H276" t="str">
            <v>Tidak</v>
          </cell>
          <cell r="I276" t="str">
            <v>Penyuapan - CC View</v>
          </cell>
          <cell r="J276">
            <v>30</v>
          </cell>
          <cell r="K276">
            <v>16.170000000000002</v>
          </cell>
          <cell r="L276" t="str">
            <v>Penyuapan</v>
          </cell>
          <cell r="M276" t="str">
            <v xml:space="preserve">Kas Kanpus                              </v>
          </cell>
          <cell r="N276" t="str">
            <v xml:space="preserve">Kas Kanpus                              </v>
          </cell>
          <cell r="O276" t="str">
            <v xml:space="preserve">KAS KANPUS                              </v>
          </cell>
          <cell r="R276" t="str">
            <v>Belum TL</v>
          </cell>
          <cell r="S276" t="str">
            <v>Belum TL</v>
          </cell>
          <cell r="T276" t="str">
            <v>90185537 - Moh.Khoerul Fajar Ar</v>
          </cell>
          <cell r="U276" t="str">
            <v>"-"</v>
          </cell>
        </row>
        <row r="277">
          <cell r="A277">
            <v>46265</v>
          </cell>
          <cell r="B277" t="str">
            <v xml:space="preserve">AHMAD SULFADHLI JAMAL                   </v>
          </cell>
          <cell r="C277" t="str">
            <v>ATT1362</v>
          </cell>
          <cell r="D277">
            <v>4359720236374000</v>
          </cell>
          <cell r="E277" t="str">
            <v>RENDAH</v>
          </cell>
          <cell r="F277" t="str">
            <v>Tidak</v>
          </cell>
          <cell r="G277" t="str">
            <v>Tidak</v>
          </cell>
          <cell r="H277" t="str">
            <v>Tidak</v>
          </cell>
          <cell r="I277" t="str">
            <v>Penghindaran Pajak (Transaksi Fiktif)/Penyuapan CC</v>
          </cell>
          <cell r="J277">
            <v>30</v>
          </cell>
          <cell r="K277">
            <v>118</v>
          </cell>
          <cell r="L277" t="str">
            <v>Penyuapan / Penghindaran Pajak CC View</v>
          </cell>
          <cell r="M277" t="str">
            <v xml:space="preserve">Kas Kanpus                              </v>
          </cell>
          <cell r="N277" t="str">
            <v xml:space="preserve">Kas Kanpus                              </v>
          </cell>
          <cell r="O277" t="str">
            <v xml:space="preserve">KAS KANPUS                              </v>
          </cell>
          <cell r="R277" t="str">
            <v>Belum TL</v>
          </cell>
          <cell r="S277" t="str">
            <v>Belum TL</v>
          </cell>
          <cell r="T277" t="str">
            <v>90171841 - Rifqi Aziz</v>
          </cell>
          <cell r="U277" t="str">
            <v>"-"</v>
          </cell>
        </row>
        <row r="278">
          <cell r="A278">
            <v>46265</v>
          </cell>
          <cell r="B278" t="str">
            <v xml:space="preserve">ADITYA PERDANA NUGRAHA                  </v>
          </cell>
          <cell r="C278" t="str">
            <v>AUTJ040</v>
          </cell>
          <cell r="D278">
            <v>718001001823505</v>
          </cell>
          <cell r="E278" t="str">
            <v>SEDANG</v>
          </cell>
          <cell r="F278" t="str">
            <v>Tidak</v>
          </cell>
          <cell r="G278" t="str">
            <v>Tidak</v>
          </cell>
          <cell r="H278" t="str">
            <v>Tidak</v>
          </cell>
          <cell r="I278" t="str">
            <v>Bandar Judol Depo</v>
          </cell>
          <cell r="J278">
            <v>50</v>
          </cell>
          <cell r="K278" t="str">
            <v>86,74,87</v>
          </cell>
          <cell r="L278" t="str">
            <v>Judi Online</v>
          </cell>
          <cell r="M278" t="str">
            <v xml:space="preserve">Kas Kanpus                              </v>
          </cell>
          <cell r="N278" t="str">
            <v xml:space="preserve">Kas Kanpus                              </v>
          </cell>
          <cell r="O278" t="str">
            <v xml:space="preserve">KAS KANPUS                              </v>
          </cell>
          <cell r="R278" t="str">
            <v>Belum TL</v>
          </cell>
          <cell r="S278" t="str">
            <v>Belum TL</v>
          </cell>
          <cell r="T278" t="str">
            <v>90186790 - Muhammad Alfin Farha</v>
          </cell>
          <cell r="U278" t="str">
            <v>"-"</v>
          </cell>
        </row>
        <row r="279">
          <cell r="A279">
            <v>46265</v>
          </cell>
          <cell r="B279" t="str">
            <v xml:space="preserve">AHMAD MUKAROM                           </v>
          </cell>
          <cell r="C279" t="str">
            <v>AUUJ755</v>
          </cell>
          <cell r="D279">
            <v>4359720232545500</v>
          </cell>
          <cell r="E279" t="str">
            <v>SEDANG</v>
          </cell>
          <cell r="F279" t="str">
            <v>Tidak</v>
          </cell>
          <cell r="G279" t="str">
            <v>Tidak</v>
          </cell>
          <cell r="H279" t="str">
            <v>Tidak</v>
          </cell>
          <cell r="I279" t="str">
            <v>Penyuapan - CC View</v>
          </cell>
          <cell r="J279">
            <v>45</v>
          </cell>
          <cell r="K279">
            <v>16.170000000000002</v>
          </cell>
          <cell r="L279" t="str">
            <v>Penyuapan</v>
          </cell>
          <cell r="M279" t="str">
            <v xml:space="preserve">Kas Kanpus                              </v>
          </cell>
          <cell r="N279" t="str">
            <v xml:space="preserve">Kas Kanpus                              </v>
          </cell>
          <cell r="O279" t="str">
            <v xml:space="preserve">KAS KANPUS                              </v>
          </cell>
          <cell r="R279" t="str">
            <v>Belum TL</v>
          </cell>
          <cell r="S279" t="str">
            <v>Belum TL</v>
          </cell>
          <cell r="T279" t="str">
            <v>90150130 - Intan Aida Pratiwi</v>
          </cell>
          <cell r="U279" t="str">
            <v>"-"</v>
          </cell>
        </row>
        <row r="280">
          <cell r="A280">
            <v>46265</v>
          </cell>
          <cell r="B280" t="str">
            <v xml:space="preserve">AHMAD MUKAROM                           </v>
          </cell>
          <cell r="C280" t="str">
            <v>AUUJ755</v>
          </cell>
          <cell r="D280">
            <v>4359720232545500</v>
          </cell>
          <cell r="E280" t="str">
            <v>SEDANG</v>
          </cell>
          <cell r="F280" t="str">
            <v>Tidak</v>
          </cell>
          <cell r="G280" t="str">
            <v>Tidak</v>
          </cell>
          <cell r="H280" t="str">
            <v>Tidak</v>
          </cell>
          <cell r="I280" t="str">
            <v>Penghindaran Pajak (Transaksi Fiktif)/Penyuapan CC</v>
          </cell>
          <cell r="J280">
            <v>45</v>
          </cell>
          <cell r="K280">
            <v>118</v>
          </cell>
          <cell r="L280" t="str">
            <v>Penyuapan / Penghindaran Pajak CC View</v>
          </cell>
          <cell r="M280" t="str">
            <v xml:space="preserve">Kas Kanpus                              </v>
          </cell>
          <cell r="N280" t="str">
            <v xml:space="preserve">Kas Kanpus                              </v>
          </cell>
          <cell r="O280" t="str">
            <v xml:space="preserve">KAS KANPUS                              </v>
          </cell>
          <cell r="R280" t="str">
            <v>Belum TL</v>
          </cell>
          <cell r="S280" t="str">
            <v>Belum TL</v>
          </cell>
          <cell r="T280" t="str">
            <v>90185538 - Muhammad Fahikal Auz</v>
          </cell>
          <cell r="U280" t="str">
            <v>"-"</v>
          </cell>
        </row>
        <row r="281">
          <cell r="A281">
            <v>46265</v>
          </cell>
          <cell r="B281" t="str">
            <v xml:space="preserve">AHMAD SULISTIYANTO                      </v>
          </cell>
          <cell r="C281" t="str">
            <v>AULH179</v>
          </cell>
          <cell r="D281">
            <v>61401014387502</v>
          </cell>
          <cell r="F281" t="str">
            <v>Tidak</v>
          </cell>
          <cell r="G281" t="str">
            <v>Tidak</v>
          </cell>
          <cell r="I281" t="str">
            <v>Jual Beli Rekening - E channel Trx</v>
          </cell>
          <cell r="J281">
            <v>33</v>
          </cell>
          <cell r="K281">
            <v>113</v>
          </cell>
          <cell r="L281" t="str">
            <v>Narkotika/Judi Online/Penipuan</v>
          </cell>
          <cell r="M281" t="str">
            <v xml:space="preserve">KCP SHOPPING MAGELANG                   </v>
          </cell>
          <cell r="N281" t="str">
            <v xml:space="preserve">KC Magelang                             </v>
          </cell>
          <cell r="O281" t="str">
            <v xml:space="preserve">Yogyakarta                              </v>
          </cell>
          <cell r="R281" t="str">
            <v>Belum TL</v>
          </cell>
          <cell r="S281" t="str">
            <v>Belum TL</v>
          </cell>
          <cell r="U281" t="str">
            <v>"-"</v>
          </cell>
        </row>
        <row r="282">
          <cell r="A282">
            <v>46265</v>
          </cell>
          <cell r="B282" t="str">
            <v xml:space="preserve">AMIRULLAH HARUNA                        </v>
          </cell>
          <cell r="C282" t="str">
            <v>AUP8451</v>
          </cell>
          <cell r="D282">
            <v>129101037544106</v>
          </cell>
          <cell r="E282" t="str">
            <v>RENDAH</v>
          </cell>
          <cell r="F282" t="str">
            <v>Tidak</v>
          </cell>
          <cell r="G282" t="str">
            <v>Tidak</v>
          </cell>
          <cell r="H282" t="str">
            <v>Tidak</v>
          </cell>
          <cell r="I282" t="str">
            <v>Korupsi - Loan View</v>
          </cell>
          <cell r="J282">
            <v>33</v>
          </cell>
          <cell r="K282">
            <v>15</v>
          </cell>
          <cell r="L282" t="str">
            <v>Korupsi</v>
          </cell>
          <cell r="M282" t="str">
            <v>Kas Kanpus</v>
          </cell>
          <cell r="N282" t="str">
            <v>Kas Kanpus</v>
          </cell>
          <cell r="O282" t="str">
            <v>KAS KANPUS</v>
          </cell>
          <cell r="R282" t="str">
            <v>Belum TL</v>
          </cell>
          <cell r="S282" t="str">
            <v>Belum TL</v>
          </cell>
          <cell r="T282" t="str">
            <v>00394521 - Muhammad Hibbanduta</v>
          </cell>
          <cell r="U282" t="str">
            <v>"-"</v>
          </cell>
        </row>
        <row r="283">
          <cell r="A283">
            <v>46265</v>
          </cell>
          <cell r="B283" t="str">
            <v xml:space="preserve">AKBAR SANTOSO                           </v>
          </cell>
          <cell r="C283" t="str">
            <v>AUVX143</v>
          </cell>
          <cell r="D283">
            <v>118601020589504</v>
          </cell>
          <cell r="E283" t="str">
            <v>SEDANG</v>
          </cell>
          <cell r="F283" t="str">
            <v>Tidak</v>
          </cell>
          <cell r="G283" t="str">
            <v>Tidak</v>
          </cell>
          <cell r="H283" t="str">
            <v>Tidak</v>
          </cell>
          <cell r="I283" t="str">
            <v>Bandar Judol Withdrawal</v>
          </cell>
          <cell r="J283">
            <v>50</v>
          </cell>
          <cell r="K283" t="str">
            <v>86,88,87</v>
          </cell>
          <cell r="L283" t="str">
            <v>Judi Online</v>
          </cell>
          <cell r="M283" t="str">
            <v xml:space="preserve">Kas Kanpus                              </v>
          </cell>
          <cell r="N283" t="str">
            <v xml:space="preserve">Kas Kanpus                              </v>
          </cell>
          <cell r="O283" t="str">
            <v xml:space="preserve">KAS KANPUS                              </v>
          </cell>
          <cell r="R283" t="str">
            <v>Belum TL</v>
          </cell>
          <cell r="S283" t="str">
            <v>Belum TL</v>
          </cell>
          <cell r="T283" t="str">
            <v>90185538 - Muhammad Fahikal Auz</v>
          </cell>
          <cell r="U283" t="str">
            <v>"-"</v>
          </cell>
        </row>
        <row r="284">
          <cell r="A284">
            <v>46265</v>
          </cell>
          <cell r="B284" t="str">
            <v xml:space="preserve">ABDULLAH                                </v>
          </cell>
          <cell r="C284" t="str">
            <v>AVH4880</v>
          </cell>
          <cell r="D284">
            <v>621701051854538</v>
          </cell>
          <cell r="E284" t="str">
            <v>SEDANG</v>
          </cell>
          <cell r="F284" t="str">
            <v>Tidak</v>
          </cell>
          <cell r="G284" t="str">
            <v>Tidak</v>
          </cell>
          <cell r="H284" t="str">
            <v>Tidak</v>
          </cell>
          <cell r="I284" t="str">
            <v>Pencurian Rekening</v>
          </cell>
          <cell r="J284">
            <v>50</v>
          </cell>
          <cell r="K284">
            <v>58</v>
          </cell>
          <cell r="L284" t="str">
            <v>Perbankan</v>
          </cell>
          <cell r="M284" t="str">
            <v xml:space="preserve">KC BANDA ACEH CUT MEUTIA                </v>
          </cell>
          <cell r="N284" t="str">
            <v xml:space="preserve">KANWIL Medan                            </v>
          </cell>
          <cell r="O284" t="str">
            <v xml:space="preserve">Medan                                   </v>
          </cell>
          <cell r="R284" t="str">
            <v>Belum TL</v>
          </cell>
          <cell r="S284" t="str">
            <v>Belum TL</v>
          </cell>
          <cell r="T284" t="str">
            <v>90171841 - Rifqi Aziz</v>
          </cell>
          <cell r="U284" t="str">
            <v>"-"</v>
          </cell>
        </row>
        <row r="285">
          <cell r="A285">
            <v>46265</v>
          </cell>
          <cell r="B285" t="str">
            <v xml:space="preserve">ANI SUTARNI                             </v>
          </cell>
          <cell r="C285" t="str">
            <v>AVJT803</v>
          </cell>
          <cell r="D285">
            <v>34601056055504</v>
          </cell>
          <cell r="E285" t="str">
            <v>SEDANG</v>
          </cell>
          <cell r="F285" t="str">
            <v>Tidak</v>
          </cell>
          <cell r="G285" t="str">
            <v>Tidak</v>
          </cell>
          <cell r="H285" t="str">
            <v>Tidak</v>
          </cell>
          <cell r="I285" t="str">
            <v>Bandar Judol Withdrawal</v>
          </cell>
          <cell r="J285">
            <v>50</v>
          </cell>
          <cell r="K285" t="str">
            <v>86,88,87</v>
          </cell>
          <cell r="L285" t="str">
            <v>Judi Online</v>
          </cell>
          <cell r="M285" t="str">
            <v xml:space="preserve">Kas Kanpus                              </v>
          </cell>
          <cell r="N285" t="str">
            <v xml:space="preserve">Kas Kanpus                              </v>
          </cell>
          <cell r="O285" t="str">
            <v xml:space="preserve">KAS KANPUS                              </v>
          </cell>
          <cell r="R285" t="str">
            <v>Belum TL</v>
          </cell>
          <cell r="S285" t="str">
            <v>Belum TL</v>
          </cell>
          <cell r="T285" t="str">
            <v>00336949 - Mochammad Al Farabi</v>
          </cell>
          <cell r="U285" t="str">
            <v>"-"</v>
          </cell>
        </row>
        <row r="286">
          <cell r="A286">
            <v>46265</v>
          </cell>
          <cell r="B286" t="str">
            <v xml:space="preserve">ANWAR                                   </v>
          </cell>
          <cell r="C286" t="str">
            <v>AVS6988</v>
          </cell>
          <cell r="D286">
            <v>20601374071103</v>
          </cell>
          <cell r="E286" t="str">
            <v>SEDANG</v>
          </cell>
          <cell r="F286" t="str">
            <v>Tidak</v>
          </cell>
          <cell r="G286" t="str">
            <v>Ya</v>
          </cell>
          <cell r="H286" t="str">
            <v>Tidak</v>
          </cell>
          <cell r="I286" t="str">
            <v>Korupsi - Loan View</v>
          </cell>
          <cell r="J286">
            <v>58</v>
          </cell>
          <cell r="K286">
            <v>15</v>
          </cell>
          <cell r="L286" t="str">
            <v>Korupsi</v>
          </cell>
          <cell r="M286" t="str">
            <v>Kas Kanpus</v>
          </cell>
          <cell r="N286" t="str">
            <v>Kas Kanpus</v>
          </cell>
          <cell r="O286" t="str">
            <v>KAS KANPUS</v>
          </cell>
          <cell r="R286" t="str">
            <v>Belum TL</v>
          </cell>
          <cell r="S286" t="str">
            <v>Belum TL</v>
          </cell>
          <cell r="T286" t="str">
            <v>90186796 - Devito Arya Wiradila</v>
          </cell>
          <cell r="U286" t="str">
            <v>"-"</v>
          </cell>
        </row>
        <row r="287">
          <cell r="A287">
            <v>46265</v>
          </cell>
          <cell r="B287" t="str">
            <v xml:space="preserve">AIDA WINDI                              </v>
          </cell>
          <cell r="C287" t="str">
            <v>AUWY343</v>
          </cell>
          <cell r="D287">
            <v>10701093603500</v>
          </cell>
          <cell r="E287" t="str">
            <v>SEDANG</v>
          </cell>
          <cell r="F287" t="str">
            <v>Tidak</v>
          </cell>
          <cell r="G287" t="str">
            <v>Tidak</v>
          </cell>
          <cell r="H287" t="str">
            <v>Tidak</v>
          </cell>
          <cell r="I287" t="str">
            <v>Bandar Judol Depo</v>
          </cell>
          <cell r="J287">
            <v>50</v>
          </cell>
          <cell r="K287" t="str">
            <v>86,74,87</v>
          </cell>
          <cell r="L287" t="str">
            <v>Judi Online</v>
          </cell>
          <cell r="M287" t="str">
            <v xml:space="preserve">Kas Kanpus                              </v>
          </cell>
          <cell r="N287" t="str">
            <v xml:space="preserve">Kas Kanpus                              </v>
          </cell>
          <cell r="O287" t="str">
            <v xml:space="preserve">KAS KANPUS                              </v>
          </cell>
          <cell r="R287" t="str">
            <v>Belum TL</v>
          </cell>
          <cell r="S287" t="str">
            <v>Belum TL</v>
          </cell>
          <cell r="T287" t="str">
            <v>00394520 - Frida Akbar Rani</v>
          </cell>
          <cell r="U287" t="str">
            <v>"-"</v>
          </cell>
        </row>
        <row r="288">
          <cell r="A288">
            <v>46265</v>
          </cell>
          <cell r="B288" t="str">
            <v xml:space="preserve">AZURA KARYA RUBBER                      </v>
          </cell>
          <cell r="C288" t="str">
            <v>AUWZ886</v>
          </cell>
          <cell r="D288">
            <v>10501502241156</v>
          </cell>
          <cell r="E288" t="str">
            <v>SEDANG</v>
          </cell>
          <cell r="F288" t="str">
            <v>Tidak</v>
          </cell>
          <cell r="G288" t="str">
            <v>Tidak</v>
          </cell>
          <cell r="H288" t="str">
            <v>Tidak</v>
          </cell>
          <cell r="I288" t="str">
            <v>Korupsi - Loan View</v>
          </cell>
          <cell r="J288">
            <v>48</v>
          </cell>
          <cell r="K288">
            <v>15</v>
          </cell>
          <cell r="L288" t="str">
            <v>Korupsi</v>
          </cell>
          <cell r="M288" t="str">
            <v>Kas Kanpus</v>
          </cell>
          <cell r="N288" t="str">
            <v>Kas Kanpus</v>
          </cell>
          <cell r="O288" t="str">
            <v>KAS KANPUS</v>
          </cell>
          <cell r="R288" t="str">
            <v>Belum TL</v>
          </cell>
          <cell r="S288" t="str">
            <v>Belum TL</v>
          </cell>
          <cell r="T288" t="str">
            <v>90170665 - Mutiara Ayuningtyas</v>
          </cell>
          <cell r="U288" t="str">
            <v>"-"</v>
          </cell>
        </row>
        <row r="289">
          <cell r="A289">
            <v>46265</v>
          </cell>
          <cell r="B289" t="str">
            <v xml:space="preserve">AGUNG FEBRIYANTO                        </v>
          </cell>
          <cell r="C289" t="str">
            <v>AVYE976</v>
          </cell>
          <cell r="D289">
            <v>5188284231601400</v>
          </cell>
          <cell r="E289" t="str">
            <v>SEDANG</v>
          </cell>
          <cell r="F289" t="str">
            <v>Tidak</v>
          </cell>
          <cell r="G289" t="str">
            <v>Tidak</v>
          </cell>
          <cell r="H289" t="str">
            <v>Tidak</v>
          </cell>
          <cell r="I289" t="str">
            <v>Penghindaran Pajak (Transaksi Fiktif)/Penyuapan CC</v>
          </cell>
          <cell r="J289">
            <v>45</v>
          </cell>
          <cell r="K289">
            <v>118</v>
          </cell>
          <cell r="L289" t="str">
            <v>Penyuapan / Penghindaran Pajak CC View</v>
          </cell>
          <cell r="M289" t="str">
            <v xml:space="preserve">Kas Kanpus                              </v>
          </cell>
          <cell r="N289" t="str">
            <v xml:space="preserve">Kas Kanpus                              </v>
          </cell>
          <cell r="O289" t="str">
            <v xml:space="preserve">KAS KANPUS                              </v>
          </cell>
          <cell r="R289" t="str">
            <v>Belum TL</v>
          </cell>
          <cell r="S289" t="str">
            <v>Belum TL</v>
          </cell>
          <cell r="T289" t="str">
            <v>90170665 - Mutiara Ayuningtyas</v>
          </cell>
          <cell r="U289" t="str">
            <v>"-"</v>
          </cell>
        </row>
        <row r="290">
          <cell r="A290">
            <v>46265</v>
          </cell>
          <cell r="B290" t="str">
            <v xml:space="preserve">ARIP                                    </v>
          </cell>
          <cell r="C290" t="str">
            <v>AWFM604</v>
          </cell>
          <cell r="D290">
            <v>1901285566509</v>
          </cell>
          <cell r="E290" t="str">
            <v>SEDANG</v>
          </cell>
          <cell r="F290" t="str">
            <v>Tidak</v>
          </cell>
          <cell r="G290" t="str">
            <v>Tidak</v>
          </cell>
          <cell r="H290" t="str">
            <v>Tidak</v>
          </cell>
          <cell r="I290" t="str">
            <v>Bandar Judol Withdrawal</v>
          </cell>
          <cell r="J290">
            <v>50</v>
          </cell>
          <cell r="K290" t="str">
            <v>86,88,87</v>
          </cell>
          <cell r="L290" t="str">
            <v>Judi Online</v>
          </cell>
          <cell r="M290" t="str">
            <v xml:space="preserve">Kas Kanpus                              </v>
          </cell>
          <cell r="N290" t="str">
            <v xml:space="preserve">Kas Kanpus                              </v>
          </cell>
          <cell r="O290" t="str">
            <v xml:space="preserve">KAS KANPUS                              </v>
          </cell>
          <cell r="R290" t="str">
            <v>Belum TL</v>
          </cell>
          <cell r="S290" t="str">
            <v>Belum TL</v>
          </cell>
          <cell r="T290" t="str">
            <v>90150130 - Intan Aida Pratiwi</v>
          </cell>
          <cell r="U290" t="str">
            <v>"-"</v>
          </cell>
        </row>
        <row r="291">
          <cell r="A291">
            <v>46265</v>
          </cell>
          <cell r="B291" t="str">
            <v xml:space="preserve">ARI ALFARIZ                             </v>
          </cell>
          <cell r="C291" t="str">
            <v>AWLB804</v>
          </cell>
          <cell r="D291">
            <v>5901057366103</v>
          </cell>
          <cell r="E291" t="str">
            <v>SEDANG</v>
          </cell>
          <cell r="F291" t="str">
            <v>Tidak</v>
          </cell>
          <cell r="G291" t="str">
            <v>Tidak</v>
          </cell>
          <cell r="H291" t="str">
            <v>Tidak</v>
          </cell>
          <cell r="I291" t="str">
            <v>Korupsi - Loan View</v>
          </cell>
          <cell r="J291">
            <v>48</v>
          </cell>
          <cell r="K291">
            <v>15</v>
          </cell>
          <cell r="L291" t="str">
            <v>Korupsi</v>
          </cell>
          <cell r="M291" t="str">
            <v>Kas Kanpus</v>
          </cell>
          <cell r="N291" t="str">
            <v>Kas Kanpus</v>
          </cell>
          <cell r="O291" t="str">
            <v>KAS KANPUS</v>
          </cell>
          <cell r="R291" t="str">
            <v>Belum TL</v>
          </cell>
          <cell r="S291" t="str">
            <v>Belum TL</v>
          </cell>
          <cell r="T291" t="str">
            <v>90150130 - Intan Aida Pratiwi</v>
          </cell>
          <cell r="U291" t="str">
            <v>"-"</v>
          </cell>
        </row>
        <row r="292">
          <cell r="A292">
            <v>46265</v>
          </cell>
          <cell r="B292" t="str">
            <v xml:space="preserve">ANGLUR SELUR                            </v>
          </cell>
          <cell r="C292" t="str">
            <v>AWLF544</v>
          </cell>
          <cell r="D292">
            <v>1801501636151</v>
          </cell>
          <cell r="E292" t="str">
            <v>SEDANG</v>
          </cell>
          <cell r="F292" t="str">
            <v>Tidak</v>
          </cell>
          <cell r="G292" t="str">
            <v>Tidak</v>
          </cell>
          <cell r="H292" t="str">
            <v>Tidak</v>
          </cell>
          <cell r="I292" t="str">
            <v>Korupsi - Loan View</v>
          </cell>
          <cell r="J292">
            <v>48</v>
          </cell>
          <cell r="K292">
            <v>15</v>
          </cell>
          <cell r="L292" t="str">
            <v>Korupsi</v>
          </cell>
          <cell r="M292" t="str">
            <v>Kas Kanpus</v>
          </cell>
          <cell r="N292" t="str">
            <v>Kas Kanpus</v>
          </cell>
          <cell r="O292" t="str">
            <v>KAS KANPUS</v>
          </cell>
          <cell r="R292" t="str">
            <v>Belum TL</v>
          </cell>
          <cell r="S292" t="str">
            <v>Belum TL</v>
          </cell>
          <cell r="T292" t="str">
            <v>00394521 - Muhammad Hibbanduta</v>
          </cell>
          <cell r="U292" t="str">
            <v>"-"</v>
          </cell>
        </row>
        <row r="293">
          <cell r="A293">
            <v>46265</v>
          </cell>
          <cell r="B293" t="str">
            <v xml:space="preserve">AHMAD ROMLI                             </v>
          </cell>
          <cell r="C293" t="str">
            <v>AWLL906</v>
          </cell>
          <cell r="D293">
            <v>576201006891101</v>
          </cell>
          <cell r="E293" t="str">
            <v>SEDANG</v>
          </cell>
          <cell r="F293" t="str">
            <v>Tidak</v>
          </cell>
          <cell r="G293" t="str">
            <v>Tidak</v>
          </cell>
          <cell r="H293" t="str">
            <v>Tidak</v>
          </cell>
          <cell r="I293" t="str">
            <v>Korupsi - Loan View</v>
          </cell>
          <cell r="J293">
            <v>48</v>
          </cell>
          <cell r="K293">
            <v>15</v>
          </cell>
          <cell r="L293" t="str">
            <v>Korupsi</v>
          </cell>
          <cell r="M293" t="str">
            <v>Kas Kanpus</v>
          </cell>
          <cell r="N293" t="str">
            <v>Kas Kanpus</v>
          </cell>
          <cell r="O293" t="str">
            <v>KAS KANPUS</v>
          </cell>
          <cell r="R293" t="str">
            <v>Belum TL</v>
          </cell>
          <cell r="S293" t="str">
            <v>Belum TL</v>
          </cell>
          <cell r="T293" t="str">
            <v>90171841 - Rifqi Aziz</v>
          </cell>
          <cell r="U293" t="str">
            <v>"-"</v>
          </cell>
        </row>
        <row r="294">
          <cell r="A294">
            <v>46265</v>
          </cell>
          <cell r="B294" t="str">
            <v xml:space="preserve">ADITYA PASHA ZULQA                      </v>
          </cell>
          <cell r="C294" t="str">
            <v>AWNB686</v>
          </cell>
          <cell r="D294">
            <v>50201000645561</v>
          </cell>
          <cell r="F294" t="str">
            <v>Tidak</v>
          </cell>
          <cell r="G294" t="str">
            <v>Tidak</v>
          </cell>
          <cell r="I294" t="str">
            <v>Jual Beli Rekening - E channel Trx</v>
          </cell>
          <cell r="J294">
            <v>33</v>
          </cell>
          <cell r="K294">
            <v>113</v>
          </cell>
          <cell r="L294" t="str">
            <v>Narkotika/Judi Online/Penipuan</v>
          </cell>
          <cell r="M294" t="str">
            <v xml:space="preserve">KCP Cikini                              </v>
          </cell>
          <cell r="N294" t="str">
            <v xml:space="preserve">KC Jakarta Cut Mutiah                   </v>
          </cell>
          <cell r="O294" t="str">
            <v xml:space="preserve">DKI                                     </v>
          </cell>
          <cell r="R294" t="str">
            <v>Belum TL</v>
          </cell>
          <cell r="S294" t="str">
            <v>Belum TL</v>
          </cell>
          <cell r="U294" t="str">
            <v>"-"</v>
          </cell>
        </row>
        <row r="295">
          <cell r="A295">
            <v>46253</v>
          </cell>
          <cell r="B295" t="str">
            <v xml:space="preserve">ANDIKA ANJANI                           </v>
          </cell>
          <cell r="C295" t="str">
            <v>AXG0886</v>
          </cell>
          <cell r="D295">
            <v>69301005795530</v>
          </cell>
          <cell r="E295" t="str">
            <v>SEDANG</v>
          </cell>
          <cell r="F295" t="str">
            <v>Tidak</v>
          </cell>
          <cell r="G295" t="str">
            <v>Tidak</v>
          </cell>
          <cell r="I295" t="str">
            <v>Teroris - Remark</v>
          </cell>
          <cell r="J295">
            <v>168</v>
          </cell>
          <cell r="K295">
            <v>50</v>
          </cell>
          <cell r="L295" t="str">
            <v>Terorisme</v>
          </cell>
          <cell r="M295" t="str">
            <v xml:space="preserve">Kas Kanpus                              </v>
          </cell>
          <cell r="N295" t="str">
            <v xml:space="preserve">Kas Kanpus                              </v>
          </cell>
          <cell r="O295" t="str">
            <v xml:space="preserve">KAS KANPUS                              </v>
          </cell>
          <cell r="R295" t="str">
            <v>Belum TL</v>
          </cell>
          <cell r="S295" t="str">
            <v>Belum TL</v>
          </cell>
          <cell r="T295" t="str">
            <v>00394521 - Muhammad Hibbanduta</v>
          </cell>
          <cell r="U295" t="str">
            <v>"-"</v>
          </cell>
        </row>
        <row r="296">
          <cell r="A296">
            <v>46265</v>
          </cell>
          <cell r="B296" t="str">
            <v xml:space="preserve">APRIADI BONGGA                          </v>
          </cell>
          <cell r="C296" t="str">
            <v>AXGE912</v>
          </cell>
          <cell r="D296">
            <v>18301002142565</v>
          </cell>
          <cell r="E296" t="str">
            <v>SEDANG</v>
          </cell>
          <cell r="F296" t="str">
            <v>Tidak</v>
          </cell>
          <cell r="G296" t="str">
            <v>Tidak</v>
          </cell>
          <cell r="H296" t="str">
            <v>Tidak</v>
          </cell>
          <cell r="I296" t="str">
            <v>Bandar Judol Withdrawal</v>
          </cell>
          <cell r="J296">
            <v>50</v>
          </cell>
          <cell r="K296" t="str">
            <v>86,88,87</v>
          </cell>
          <cell r="L296" t="str">
            <v>Judi Online</v>
          </cell>
          <cell r="M296" t="str">
            <v xml:space="preserve">Kas Kanpus                              </v>
          </cell>
          <cell r="N296" t="str">
            <v xml:space="preserve">Kas Kanpus                              </v>
          </cell>
          <cell r="O296" t="str">
            <v xml:space="preserve">KAS KANPUS                              </v>
          </cell>
          <cell r="R296" t="str">
            <v>Belum TL</v>
          </cell>
          <cell r="S296" t="str">
            <v>Belum TL</v>
          </cell>
          <cell r="T296" t="str">
            <v>00336949 - Mochammad Al Farabi</v>
          </cell>
          <cell r="U296" t="str">
            <v>"-"</v>
          </cell>
        </row>
        <row r="297">
          <cell r="A297">
            <v>46265</v>
          </cell>
          <cell r="B297" t="str">
            <v xml:space="preserve">ANGGA APRIANTO                          </v>
          </cell>
          <cell r="C297" t="str">
            <v>AXLA411</v>
          </cell>
          <cell r="D297">
            <v>33101111059505</v>
          </cell>
          <cell r="E297" t="str">
            <v>SEDANG</v>
          </cell>
          <cell r="F297" t="str">
            <v>Tidak</v>
          </cell>
          <cell r="G297" t="str">
            <v>Tidak</v>
          </cell>
          <cell r="H297" t="str">
            <v>Tidak</v>
          </cell>
          <cell r="I297" t="str">
            <v>Money Mules</v>
          </cell>
          <cell r="J297">
            <v>42</v>
          </cell>
          <cell r="K297">
            <v>77</v>
          </cell>
          <cell r="L297" t="str">
            <v>Narkotika/Judi Online</v>
          </cell>
          <cell r="M297" t="str">
            <v xml:space="preserve">Kas Kanpus                              </v>
          </cell>
          <cell r="N297" t="str">
            <v xml:space="preserve">Kas Kanpus                              </v>
          </cell>
          <cell r="O297" t="str">
            <v xml:space="preserve">KAS KANPUS                              </v>
          </cell>
          <cell r="R297" t="str">
            <v>Belum TL</v>
          </cell>
          <cell r="S297" t="str">
            <v>Belum TL</v>
          </cell>
          <cell r="T297" t="str">
            <v>00394520 - Frida Akbar Rani</v>
          </cell>
          <cell r="U297" t="str">
            <v>"-"</v>
          </cell>
        </row>
        <row r="298">
          <cell r="A298">
            <v>46265</v>
          </cell>
          <cell r="B298" t="str">
            <v xml:space="preserve">ACHMAD ZAENUDIN                         </v>
          </cell>
          <cell r="C298" t="str">
            <v>AXOX121</v>
          </cell>
          <cell r="D298">
            <v>117901011666504</v>
          </cell>
          <cell r="E298" t="str">
            <v>SEDANG</v>
          </cell>
          <cell r="F298" t="str">
            <v>Tidak</v>
          </cell>
          <cell r="G298" t="str">
            <v>Tidak</v>
          </cell>
          <cell r="H298" t="str">
            <v>Ya</v>
          </cell>
          <cell r="I298" t="str">
            <v>Bandar Judol Withdrawal</v>
          </cell>
          <cell r="J298">
            <v>50</v>
          </cell>
          <cell r="K298" t="str">
            <v>86,88,87</v>
          </cell>
          <cell r="L298" t="str">
            <v>Judi Online</v>
          </cell>
          <cell r="M298" t="str">
            <v xml:space="preserve">Kas Kanpus                              </v>
          </cell>
          <cell r="N298" t="str">
            <v xml:space="preserve">Kas Kanpus                              </v>
          </cell>
          <cell r="O298" t="str">
            <v xml:space="preserve">KAS KANPUS                              </v>
          </cell>
          <cell r="R298" t="str">
            <v>Belum TL</v>
          </cell>
          <cell r="S298" t="str">
            <v>Belum TL</v>
          </cell>
          <cell r="T298" t="str">
            <v>90185538 - Muhammad Fahikal Auz</v>
          </cell>
          <cell r="U298" t="str">
            <v>"-"</v>
          </cell>
        </row>
        <row r="299">
          <cell r="A299">
            <v>46265</v>
          </cell>
          <cell r="B299" t="str">
            <v xml:space="preserve">AWAL BROS BANJAR                        </v>
          </cell>
          <cell r="C299" t="str">
            <v>AXSY028</v>
          </cell>
          <cell r="D299">
            <v>43401000834305</v>
          </cell>
          <cell r="E299" t="str">
            <v>SEDANG</v>
          </cell>
          <cell r="F299" t="str">
            <v>Tidak</v>
          </cell>
          <cell r="G299" t="str">
            <v>Tidak</v>
          </cell>
          <cell r="H299" t="str">
            <v>Tidak</v>
          </cell>
          <cell r="I299" t="str">
            <v>Perpajakan</v>
          </cell>
          <cell r="J299">
            <v>51</v>
          </cell>
          <cell r="K299">
            <v>41</v>
          </cell>
          <cell r="L299" t="str">
            <v>Perpajakan</v>
          </cell>
          <cell r="M299" t="str">
            <v xml:space="preserve">KC Jakarta Cempaka Mas                  </v>
          </cell>
          <cell r="N299" t="str">
            <v xml:space="preserve">KC Jakarta Cempaka Mas                  </v>
          </cell>
          <cell r="O299" t="str">
            <v xml:space="preserve">DKI                                     </v>
          </cell>
          <cell r="R299" t="str">
            <v>Belum TL</v>
          </cell>
          <cell r="S299" t="str">
            <v>Belum TL</v>
          </cell>
          <cell r="T299" t="str">
            <v>90150130 - Intan Aida Pratiwi</v>
          </cell>
          <cell r="U299" t="str">
            <v>"-"</v>
          </cell>
        </row>
        <row r="300">
          <cell r="A300">
            <v>46265</v>
          </cell>
          <cell r="B300" t="str">
            <v xml:space="preserve">AGUSTINA                                </v>
          </cell>
          <cell r="C300" t="str">
            <v>AXWZ301</v>
          </cell>
          <cell r="D300">
            <v>224901009271505</v>
          </cell>
          <cell r="E300" t="str">
            <v>SEDANG</v>
          </cell>
          <cell r="F300" t="str">
            <v>Tidak</v>
          </cell>
          <cell r="G300" t="str">
            <v>Tidak</v>
          </cell>
          <cell r="H300" t="str">
            <v>Tidak</v>
          </cell>
          <cell r="I300" t="str">
            <v>Bandar Judol Withdrawal</v>
          </cell>
          <cell r="J300">
            <v>50</v>
          </cell>
          <cell r="K300" t="str">
            <v>86,88,87</v>
          </cell>
          <cell r="L300" t="str">
            <v>Judi Online</v>
          </cell>
          <cell r="M300" t="str">
            <v xml:space="preserve">Kas Kanpus                              </v>
          </cell>
          <cell r="N300" t="str">
            <v xml:space="preserve">Kas Kanpus                              </v>
          </cell>
          <cell r="O300" t="str">
            <v xml:space="preserve">KAS KANPUS                              </v>
          </cell>
          <cell r="R300" t="str">
            <v>Belum TL</v>
          </cell>
          <cell r="S300" t="str">
            <v>Belum TL</v>
          </cell>
          <cell r="T300" t="str">
            <v>90171841 - Rifqi Aziz</v>
          </cell>
          <cell r="U300" t="str">
            <v>"-"</v>
          </cell>
        </row>
        <row r="301">
          <cell r="A301">
            <v>46265</v>
          </cell>
          <cell r="B301" t="str">
            <v xml:space="preserve">ASIAH                                   </v>
          </cell>
          <cell r="C301" t="str">
            <v>AXXC106</v>
          </cell>
          <cell r="D301">
            <v>78701048303539</v>
          </cell>
          <cell r="E301" t="str">
            <v>SEDANG</v>
          </cell>
          <cell r="F301" t="str">
            <v>Tidak</v>
          </cell>
          <cell r="G301" t="str">
            <v>Tidak</v>
          </cell>
          <cell r="H301" t="str">
            <v>Tidak</v>
          </cell>
          <cell r="I301" t="str">
            <v>Bandar Judol Withdrawal</v>
          </cell>
          <cell r="J301">
            <v>50</v>
          </cell>
          <cell r="K301" t="str">
            <v>86,88,87</v>
          </cell>
          <cell r="L301" t="str">
            <v>Judi Online</v>
          </cell>
          <cell r="M301" t="str">
            <v xml:space="preserve">Kas Kanpus                              </v>
          </cell>
          <cell r="N301" t="str">
            <v xml:space="preserve">Kas Kanpus                              </v>
          </cell>
          <cell r="O301" t="str">
            <v xml:space="preserve">KAS KANPUS                              </v>
          </cell>
          <cell r="R301" t="str">
            <v>Belum TL</v>
          </cell>
          <cell r="S301" t="str">
            <v>Belum TL</v>
          </cell>
          <cell r="T301" t="str">
            <v>00394520 - Frida Akbar Rani</v>
          </cell>
          <cell r="U301" t="str">
            <v>"-"</v>
          </cell>
        </row>
        <row r="302">
          <cell r="A302">
            <v>46265</v>
          </cell>
          <cell r="B302" t="str">
            <v xml:space="preserve">ALCOS GRAHA JAYA                        </v>
          </cell>
          <cell r="C302" t="str">
            <v>AYKS722</v>
          </cell>
          <cell r="D302">
            <v>42401000902309</v>
          </cell>
          <cell r="E302" t="str">
            <v>SEDANG</v>
          </cell>
          <cell r="F302" t="str">
            <v>Tidak</v>
          </cell>
          <cell r="G302" t="str">
            <v>Tidak</v>
          </cell>
          <cell r="H302" t="str">
            <v>Tidak</v>
          </cell>
          <cell r="I302" t="str">
            <v>Korupsi - Cash &amp; Amount</v>
          </cell>
          <cell r="J302">
            <v>48</v>
          </cell>
          <cell r="K302" t="str">
            <v>1,2,20</v>
          </cell>
          <cell r="L302" t="str">
            <v>Korupsi</v>
          </cell>
          <cell r="M302" t="str">
            <v>Kas Kanpus</v>
          </cell>
          <cell r="N302" t="str">
            <v>Kas Kanpus</v>
          </cell>
          <cell r="O302" t="str">
            <v>KAS KANPUS</v>
          </cell>
          <cell r="R302" t="str">
            <v>Belum TL</v>
          </cell>
          <cell r="S302" t="str">
            <v>Belum TL</v>
          </cell>
          <cell r="T302" t="str">
            <v>90185538 - Muhammad Fahikal Auz</v>
          </cell>
          <cell r="U302" t="str">
            <v>"-"</v>
          </cell>
        </row>
        <row r="303">
          <cell r="A303">
            <v>46265</v>
          </cell>
          <cell r="B303" t="str">
            <v xml:space="preserve">ANGGER BARITO SEJAHTERA                 </v>
          </cell>
          <cell r="C303" t="str">
            <v>AYZA964</v>
          </cell>
          <cell r="D303">
            <v>62301000743155</v>
          </cell>
          <cell r="E303" t="str">
            <v>SEDANG</v>
          </cell>
          <cell r="F303" t="str">
            <v>Tidak</v>
          </cell>
          <cell r="G303" t="str">
            <v>Tidak</v>
          </cell>
          <cell r="H303" t="str">
            <v>Tidak</v>
          </cell>
          <cell r="I303" t="str">
            <v>Korupsi - Loan View</v>
          </cell>
          <cell r="J303">
            <v>48</v>
          </cell>
          <cell r="K303">
            <v>15</v>
          </cell>
          <cell r="L303" t="str">
            <v>Korupsi</v>
          </cell>
          <cell r="M303" t="str">
            <v>Kas Kanpus</v>
          </cell>
          <cell r="N303" t="str">
            <v>Kas Kanpus</v>
          </cell>
          <cell r="O303" t="str">
            <v>KAS KANPUS</v>
          </cell>
          <cell r="R303" t="str">
            <v>Belum TL</v>
          </cell>
          <cell r="S303" t="str">
            <v>Belum TL</v>
          </cell>
          <cell r="T303" t="str">
            <v>90186790 - Muhammad Alfin Farha</v>
          </cell>
          <cell r="U303" t="str">
            <v>"-"</v>
          </cell>
        </row>
        <row r="304">
          <cell r="A304">
            <v>46265</v>
          </cell>
          <cell r="B304" t="str">
            <v xml:space="preserve">ABRAHAM                                 </v>
          </cell>
          <cell r="C304" t="str">
            <v>AZ18666</v>
          </cell>
          <cell r="D304">
            <v>6001004180563</v>
          </cell>
          <cell r="E304" t="str">
            <v>RENDAH</v>
          </cell>
          <cell r="F304" t="str">
            <v>Tidak</v>
          </cell>
          <cell r="G304" t="str">
            <v>Tidak</v>
          </cell>
          <cell r="H304" t="str">
            <v>Tidak</v>
          </cell>
          <cell r="I304" t="str">
            <v>Perpajakan</v>
          </cell>
          <cell r="J304">
            <v>44</v>
          </cell>
          <cell r="K304">
            <v>1.33</v>
          </cell>
          <cell r="L304" t="str">
            <v>Perpajakan</v>
          </cell>
          <cell r="M304" t="str">
            <v xml:space="preserve">KC Palu                                 </v>
          </cell>
          <cell r="N304" t="str">
            <v xml:space="preserve">KC Palu                                 </v>
          </cell>
          <cell r="O304" t="str">
            <v xml:space="preserve">Manado                                  </v>
          </cell>
          <cell r="R304" t="str">
            <v>Belum TL</v>
          </cell>
          <cell r="S304" t="str">
            <v>Belum TL</v>
          </cell>
          <cell r="T304" t="str">
            <v>00336949 - Mochammad Al Farabi</v>
          </cell>
          <cell r="U304" t="str">
            <v>"-"</v>
          </cell>
        </row>
        <row r="305">
          <cell r="A305">
            <v>46265</v>
          </cell>
          <cell r="B305" t="str">
            <v xml:space="preserve">ANTONIUS P S WIBOWO                     </v>
          </cell>
          <cell r="C305" t="str">
            <v>AZBW118</v>
          </cell>
          <cell r="D305">
            <v>20601373127105</v>
          </cell>
          <cell r="E305" t="str">
            <v>SEDANG</v>
          </cell>
          <cell r="F305" t="str">
            <v>Tidak</v>
          </cell>
          <cell r="G305" t="str">
            <v>Tidak</v>
          </cell>
          <cell r="H305" t="str">
            <v>Tidak</v>
          </cell>
          <cell r="I305" t="str">
            <v>Korupsi - Loan View</v>
          </cell>
          <cell r="J305">
            <v>58</v>
          </cell>
          <cell r="K305">
            <v>15</v>
          </cell>
          <cell r="L305" t="str">
            <v>Korupsi</v>
          </cell>
          <cell r="M305" t="str">
            <v>Kas Kanpus</v>
          </cell>
          <cell r="N305" t="str">
            <v>Kas Kanpus</v>
          </cell>
          <cell r="O305" t="str">
            <v>KAS KANPUS</v>
          </cell>
          <cell r="R305" t="str">
            <v>Belum TL</v>
          </cell>
          <cell r="S305" t="str">
            <v>Belum TL</v>
          </cell>
          <cell r="T305" t="str">
            <v>90150130 - Intan Aida Pratiwi</v>
          </cell>
          <cell r="U305" t="str">
            <v>"-"</v>
          </cell>
        </row>
        <row r="306">
          <cell r="A306">
            <v>46265</v>
          </cell>
          <cell r="B306" t="str">
            <v xml:space="preserve">APRIYANTI                               </v>
          </cell>
          <cell r="C306" t="str">
            <v>AZW6040</v>
          </cell>
          <cell r="D306">
            <v>110401000679563</v>
          </cell>
          <cell r="E306" t="str">
            <v>SEDANG</v>
          </cell>
          <cell r="F306" t="str">
            <v>Tidak</v>
          </cell>
          <cell r="G306" t="str">
            <v>Tidak</v>
          </cell>
          <cell r="H306" t="str">
            <v>Tidak</v>
          </cell>
          <cell r="I306" t="str">
            <v>Bandar Judol Withdrawal</v>
          </cell>
          <cell r="J306">
            <v>50</v>
          </cell>
          <cell r="K306" t="str">
            <v>86,88,87</v>
          </cell>
          <cell r="L306" t="str">
            <v>Judi Online</v>
          </cell>
          <cell r="M306" t="str">
            <v xml:space="preserve">Kas Kanpus                              </v>
          </cell>
          <cell r="N306" t="str">
            <v xml:space="preserve">Kas Kanpus                              </v>
          </cell>
          <cell r="O306" t="str">
            <v xml:space="preserve">KAS KANPUS                              </v>
          </cell>
          <cell r="R306" t="str">
            <v>Belum TL</v>
          </cell>
          <cell r="S306" t="str">
            <v>Belum TL</v>
          </cell>
          <cell r="T306" t="str">
            <v>90186796 - Devito Arya Wiradila</v>
          </cell>
          <cell r="U306" t="str">
            <v>"-"</v>
          </cell>
        </row>
        <row r="307">
          <cell r="A307">
            <v>46265</v>
          </cell>
          <cell r="B307" t="str">
            <v xml:space="preserve">APRIYANTI                               </v>
          </cell>
          <cell r="C307" t="str">
            <v>AZW6040</v>
          </cell>
          <cell r="D307">
            <v>110401000704562</v>
          </cell>
          <cell r="E307" t="str">
            <v>SEDANG</v>
          </cell>
          <cell r="F307" t="str">
            <v>Tidak</v>
          </cell>
          <cell r="G307" t="str">
            <v>Tidak</v>
          </cell>
          <cell r="H307" t="str">
            <v>Tidak</v>
          </cell>
          <cell r="I307" t="str">
            <v>Bandar Judol Withdrawal</v>
          </cell>
          <cell r="J307">
            <v>50</v>
          </cell>
          <cell r="K307" t="str">
            <v>86,88,87</v>
          </cell>
          <cell r="L307" t="str">
            <v>Judi Online</v>
          </cell>
          <cell r="M307" t="str">
            <v xml:space="preserve">Kas Kanpus                              </v>
          </cell>
          <cell r="N307" t="str">
            <v xml:space="preserve">Kas Kanpus                              </v>
          </cell>
          <cell r="O307" t="str">
            <v xml:space="preserve">KAS KANPUS                              </v>
          </cell>
          <cell r="R307" t="str">
            <v>Belum TL</v>
          </cell>
          <cell r="S307" t="str">
            <v>Belum TL</v>
          </cell>
          <cell r="T307" t="str">
            <v>00336949 - Mochammad Al Farabi</v>
          </cell>
          <cell r="U307" t="str">
            <v>"-"</v>
          </cell>
        </row>
        <row r="308">
          <cell r="A308">
            <v>46265</v>
          </cell>
          <cell r="B308" t="str">
            <v xml:space="preserve">AKMAL MARZUKI                           </v>
          </cell>
          <cell r="C308" t="str">
            <v>AZWC790</v>
          </cell>
          <cell r="D308">
            <v>491101015570108</v>
          </cell>
          <cell r="E308" t="str">
            <v>SEDANG</v>
          </cell>
          <cell r="F308" t="str">
            <v>Tidak</v>
          </cell>
          <cell r="G308" t="str">
            <v>Tidak</v>
          </cell>
          <cell r="H308" t="str">
            <v>Tidak</v>
          </cell>
          <cell r="I308" t="str">
            <v>Korupsi - Loan View</v>
          </cell>
          <cell r="J308">
            <v>48</v>
          </cell>
          <cell r="K308">
            <v>15</v>
          </cell>
          <cell r="L308" t="str">
            <v>Korupsi</v>
          </cell>
          <cell r="M308" t="str">
            <v>Kas Kanpus</v>
          </cell>
          <cell r="N308" t="str">
            <v>Kas Kanpus</v>
          </cell>
          <cell r="O308" t="str">
            <v>KAS KANPUS</v>
          </cell>
          <cell r="R308" t="str">
            <v>Belum TL</v>
          </cell>
          <cell r="S308" t="str">
            <v>Belum TL</v>
          </cell>
          <cell r="T308" t="str">
            <v>90170665 - Mutiara Ayuningtyas</v>
          </cell>
          <cell r="U308" t="str">
            <v>"-"</v>
          </cell>
        </row>
        <row r="309">
          <cell r="A309">
            <v>46265</v>
          </cell>
          <cell r="B309" t="str">
            <v xml:space="preserve">ALIFAH ADAWIYAH                         </v>
          </cell>
          <cell r="C309" t="str">
            <v>AZWV496</v>
          </cell>
          <cell r="D309">
            <v>377301060720531</v>
          </cell>
          <cell r="E309" t="str">
            <v>SEDANG</v>
          </cell>
          <cell r="F309" t="str">
            <v>Tidak</v>
          </cell>
          <cell r="G309" t="str">
            <v>Tidak</v>
          </cell>
          <cell r="H309" t="str">
            <v>Tidak</v>
          </cell>
          <cell r="I309" t="str">
            <v>Narkotika - Area Lapas</v>
          </cell>
          <cell r="J309">
            <v>50</v>
          </cell>
          <cell r="K309">
            <v>46</v>
          </cell>
          <cell r="L309" t="str">
            <v>Narkotika</v>
          </cell>
          <cell r="M309" t="str">
            <v>UNIT CICALENGKA MAJALAYA</v>
          </cell>
          <cell r="N309" t="str">
            <v>KC Majalaya</v>
          </cell>
          <cell r="O309" t="str">
            <v>Bandung</v>
          </cell>
          <cell r="R309" t="str">
            <v>Belum TL</v>
          </cell>
          <cell r="S309" t="str">
            <v>Belum TL</v>
          </cell>
          <cell r="T309" t="str">
            <v>00336949 - Mochammad Al Farabi</v>
          </cell>
          <cell r="U309" t="str">
            <v>"-"</v>
          </cell>
        </row>
        <row r="310">
          <cell r="A310">
            <v>46265</v>
          </cell>
          <cell r="B310" t="str">
            <v xml:space="preserve">AFI NURACHMAD                           </v>
          </cell>
          <cell r="C310" t="str">
            <v>AZVC657</v>
          </cell>
          <cell r="D310">
            <v>4359720283426620</v>
          </cell>
          <cell r="E310" t="str">
            <v>TINGGI</v>
          </cell>
          <cell r="F310" t="str">
            <v>Tidak</v>
          </cell>
          <cell r="G310" t="str">
            <v>Tidak</v>
          </cell>
          <cell r="H310" t="str">
            <v>Tidak</v>
          </cell>
          <cell r="I310" t="str">
            <v>Anomali Transaksi Kartu Kredit</v>
          </cell>
          <cell r="J310">
            <v>60</v>
          </cell>
          <cell r="K310">
            <v>117</v>
          </cell>
          <cell r="L310" t="str">
            <v>Anomali Transaksi Kartu Kredit</v>
          </cell>
          <cell r="M310" t="str">
            <v xml:space="preserve">Kas Kanpus                              </v>
          </cell>
          <cell r="N310" t="str">
            <v xml:space="preserve">Kas Kanpus                              </v>
          </cell>
          <cell r="O310" t="str">
            <v xml:space="preserve">KAS KANPUS                              </v>
          </cell>
          <cell r="R310" t="str">
            <v>Belum TL</v>
          </cell>
          <cell r="S310" t="str">
            <v>Belum TL</v>
          </cell>
          <cell r="T310" t="str">
            <v>90185537 - Moh.Khoerul Fajar Ar</v>
          </cell>
          <cell r="U310" t="str">
            <v>"-"</v>
          </cell>
        </row>
        <row r="311">
          <cell r="A311">
            <v>46265</v>
          </cell>
          <cell r="B311" t="str">
            <v xml:space="preserve">BENDAHARAWAN PEMBAYARAN PENSIUN         </v>
          </cell>
          <cell r="C311" t="str">
            <v>B047509</v>
          </cell>
          <cell r="D311">
            <v>33401000153303</v>
          </cell>
          <cell r="E311" t="str">
            <v>RENDAH</v>
          </cell>
          <cell r="F311" t="str">
            <v>Tidak</v>
          </cell>
          <cell r="G311" t="str">
            <v>Tidak</v>
          </cell>
          <cell r="H311" t="str">
            <v>Tidak</v>
          </cell>
          <cell r="I311" t="str">
            <v>Korupsi - Significant Trx View</v>
          </cell>
          <cell r="J311">
            <v>35</v>
          </cell>
          <cell r="K311">
            <v>1.19</v>
          </cell>
          <cell r="L311" t="str">
            <v>Korupsi</v>
          </cell>
          <cell r="M311" t="str">
            <v>Kas Kanpus</v>
          </cell>
          <cell r="N311" t="str">
            <v>Kas Kanpus</v>
          </cell>
          <cell r="O311" t="str">
            <v>KAS KANPUS</v>
          </cell>
          <cell r="R311" t="str">
            <v>Belum TL</v>
          </cell>
          <cell r="S311" t="str">
            <v>Belum TL</v>
          </cell>
          <cell r="T311" t="str">
            <v>90170665 - Mutiara Ayuningtyas</v>
          </cell>
          <cell r="U311" t="str">
            <v>"-"</v>
          </cell>
        </row>
        <row r="312">
          <cell r="A312">
            <v>46265</v>
          </cell>
          <cell r="B312" t="str">
            <v xml:space="preserve">PERUM BULOG                             </v>
          </cell>
          <cell r="C312" t="str">
            <v>B157179</v>
          </cell>
          <cell r="D312">
            <v>20601007093301</v>
          </cell>
          <cell r="E312" t="str">
            <v>SEDANG</v>
          </cell>
          <cell r="F312" t="str">
            <v>Tidak</v>
          </cell>
          <cell r="G312" t="str">
            <v>Tidak</v>
          </cell>
          <cell r="H312" t="str">
            <v>Tidak</v>
          </cell>
          <cell r="I312" t="str">
            <v>Perpajakan</v>
          </cell>
          <cell r="J312">
            <v>48</v>
          </cell>
          <cell r="K312">
            <v>1.33</v>
          </cell>
          <cell r="L312" t="str">
            <v>Perpajakan</v>
          </cell>
          <cell r="M312" t="str">
            <v xml:space="preserve">KC SUDIRMAN SEMANGGI                    </v>
          </cell>
          <cell r="N312" t="str">
            <v xml:space="preserve">KC SUDIRMAN SEMANGGI                    </v>
          </cell>
          <cell r="O312" t="str">
            <v xml:space="preserve">DKI                                     </v>
          </cell>
          <cell r="R312" t="str">
            <v>Belum TL</v>
          </cell>
          <cell r="S312" t="str">
            <v>Belum TL</v>
          </cell>
          <cell r="T312" t="str">
            <v>90186796 - Devito Arya Wiradila</v>
          </cell>
          <cell r="U312" t="str">
            <v>"-"</v>
          </cell>
        </row>
        <row r="313">
          <cell r="A313">
            <v>46265</v>
          </cell>
          <cell r="B313" t="str">
            <v xml:space="preserve">BULOG                                   </v>
          </cell>
          <cell r="C313" t="str">
            <v>B157607</v>
          </cell>
          <cell r="D313">
            <v>20601501513154</v>
          </cell>
          <cell r="E313" t="str">
            <v>SEDANG</v>
          </cell>
          <cell r="F313" t="str">
            <v>Tidak</v>
          </cell>
          <cell r="G313" t="str">
            <v>Tidak</v>
          </cell>
          <cell r="H313" t="str">
            <v>Tidak</v>
          </cell>
          <cell r="I313" t="str">
            <v>Korupsi - Loan View</v>
          </cell>
          <cell r="J313">
            <v>48</v>
          </cell>
          <cell r="K313">
            <v>15</v>
          </cell>
          <cell r="L313" t="str">
            <v>Korupsi</v>
          </cell>
          <cell r="M313" t="str">
            <v>Kas Kanpus</v>
          </cell>
          <cell r="N313" t="str">
            <v>Kas Kanpus</v>
          </cell>
          <cell r="O313" t="str">
            <v>KAS KANPUS</v>
          </cell>
          <cell r="R313" t="str">
            <v>Belum TL</v>
          </cell>
          <cell r="S313" t="str">
            <v>Belum TL</v>
          </cell>
          <cell r="T313" t="str">
            <v>90150130 - Intan Aida Pratiwi</v>
          </cell>
          <cell r="U313" t="str">
            <v>"-"</v>
          </cell>
        </row>
        <row r="314">
          <cell r="A314">
            <v>46265</v>
          </cell>
          <cell r="B314" t="str">
            <v xml:space="preserve">BAHARUDDIN                              </v>
          </cell>
          <cell r="C314" t="str">
            <v>B244006</v>
          </cell>
          <cell r="D314">
            <v>21301500390156</v>
          </cell>
          <cell r="E314" t="str">
            <v>SEDANG</v>
          </cell>
          <cell r="F314" t="str">
            <v>Tidak</v>
          </cell>
          <cell r="G314" t="str">
            <v>Tidak</v>
          </cell>
          <cell r="H314" t="str">
            <v>Tidak</v>
          </cell>
          <cell r="I314" t="str">
            <v>Korupsi - Loan View</v>
          </cell>
          <cell r="J314">
            <v>48</v>
          </cell>
          <cell r="K314">
            <v>15</v>
          </cell>
          <cell r="L314" t="str">
            <v>Korupsi</v>
          </cell>
          <cell r="M314" t="str">
            <v>Kas Kanpus</v>
          </cell>
          <cell r="N314" t="str">
            <v>Kas Kanpus</v>
          </cell>
          <cell r="O314" t="str">
            <v>KAS KANPUS</v>
          </cell>
          <cell r="R314" t="str">
            <v>Belum TL</v>
          </cell>
          <cell r="S314" t="str">
            <v>Belum TL</v>
          </cell>
          <cell r="T314" t="str">
            <v>90170665 - Mutiara Ayuningtyas</v>
          </cell>
          <cell r="U314" t="str">
            <v>"-"</v>
          </cell>
        </row>
        <row r="315">
          <cell r="A315">
            <v>46265</v>
          </cell>
          <cell r="B315" t="str">
            <v xml:space="preserve">BASRIDA                                 </v>
          </cell>
          <cell r="C315" t="str">
            <v>B274665</v>
          </cell>
          <cell r="D315">
            <v>19201039226101</v>
          </cell>
          <cell r="E315" t="str">
            <v>RENDAH</v>
          </cell>
          <cell r="F315" t="str">
            <v>Tidak</v>
          </cell>
          <cell r="G315" t="str">
            <v>Tidak</v>
          </cell>
          <cell r="H315" t="str">
            <v>Tidak</v>
          </cell>
          <cell r="I315" t="str">
            <v>Korupsi - Loan View</v>
          </cell>
          <cell r="J315">
            <v>33</v>
          </cell>
          <cell r="K315">
            <v>15</v>
          </cell>
          <cell r="L315" t="str">
            <v>Korupsi</v>
          </cell>
          <cell r="M315" t="str">
            <v>Kas Kanpus</v>
          </cell>
          <cell r="N315" t="str">
            <v>Kas Kanpus</v>
          </cell>
          <cell r="O315" t="str">
            <v>KAS KANPUS</v>
          </cell>
          <cell r="R315" t="str">
            <v>Belum TL</v>
          </cell>
          <cell r="S315" t="str">
            <v>Belum TL</v>
          </cell>
          <cell r="T315" t="str">
            <v>90170665 - Mutiara Ayuningtyas</v>
          </cell>
          <cell r="U315" t="str">
            <v>"-"</v>
          </cell>
        </row>
        <row r="316">
          <cell r="A316">
            <v>46265</v>
          </cell>
          <cell r="B316" t="str">
            <v xml:space="preserve">BAHMA PUTRA MANDIRI                     </v>
          </cell>
          <cell r="C316" t="str">
            <v>BA53581</v>
          </cell>
          <cell r="D316">
            <v>33601500575150</v>
          </cell>
          <cell r="E316" t="str">
            <v>SEDANG</v>
          </cell>
          <cell r="F316" t="str">
            <v>Tidak</v>
          </cell>
          <cell r="G316" t="str">
            <v>Tidak</v>
          </cell>
          <cell r="H316" t="str">
            <v>Tidak</v>
          </cell>
          <cell r="I316" t="str">
            <v>Korupsi - Loan View</v>
          </cell>
          <cell r="J316">
            <v>48</v>
          </cell>
          <cell r="K316">
            <v>15</v>
          </cell>
          <cell r="L316" t="str">
            <v>Korupsi</v>
          </cell>
          <cell r="M316" t="str">
            <v>Kas Kanpus</v>
          </cell>
          <cell r="N316" t="str">
            <v>Kas Kanpus</v>
          </cell>
          <cell r="O316" t="str">
            <v>KAS KANPUS</v>
          </cell>
          <cell r="R316" t="str">
            <v>Belum TL</v>
          </cell>
          <cell r="S316" t="str">
            <v>Belum TL</v>
          </cell>
          <cell r="T316" t="str">
            <v>90150130 - Intan Aida Pratiwi</v>
          </cell>
          <cell r="U316" t="str">
            <v>"-"</v>
          </cell>
        </row>
        <row r="317">
          <cell r="A317">
            <v>46265</v>
          </cell>
          <cell r="B317" t="str">
            <v xml:space="preserve">BUNARYANTI SUHARNINGRUM                 </v>
          </cell>
          <cell r="C317" t="str">
            <v>BA61122</v>
          </cell>
          <cell r="D317">
            <v>5701503447158</v>
          </cell>
          <cell r="E317" t="str">
            <v>SEDANG</v>
          </cell>
          <cell r="F317" t="str">
            <v>Tidak</v>
          </cell>
          <cell r="G317" t="str">
            <v>Tidak</v>
          </cell>
          <cell r="H317" t="str">
            <v>Tidak</v>
          </cell>
          <cell r="I317" t="str">
            <v>Korupsi - Loan View</v>
          </cell>
          <cell r="J317">
            <v>48</v>
          </cell>
          <cell r="K317">
            <v>15</v>
          </cell>
          <cell r="L317" t="str">
            <v>Korupsi</v>
          </cell>
          <cell r="M317" t="str">
            <v>Kas Kanpus</v>
          </cell>
          <cell r="N317" t="str">
            <v>Kas Kanpus</v>
          </cell>
          <cell r="O317" t="str">
            <v>KAS KANPUS</v>
          </cell>
          <cell r="R317" t="str">
            <v>Belum TL</v>
          </cell>
          <cell r="S317" t="str">
            <v>Belum TL</v>
          </cell>
          <cell r="T317" t="str">
            <v>90171841 - Rifqi Aziz</v>
          </cell>
          <cell r="U317" t="str">
            <v>"-"</v>
          </cell>
        </row>
        <row r="318">
          <cell r="A318">
            <v>46265</v>
          </cell>
          <cell r="B318" t="str">
            <v xml:space="preserve">BERNARDUS BISMARK PAI                   </v>
          </cell>
          <cell r="C318" t="str">
            <v>BAE3203</v>
          </cell>
          <cell r="D318">
            <v>23501017958106</v>
          </cell>
          <cell r="E318" t="str">
            <v>RENDAH</v>
          </cell>
          <cell r="F318" t="str">
            <v>Tidak</v>
          </cell>
          <cell r="G318" t="str">
            <v>Tidak</v>
          </cell>
          <cell r="H318" t="str">
            <v>Tidak</v>
          </cell>
          <cell r="I318" t="str">
            <v>Korupsi - Loan View</v>
          </cell>
          <cell r="J318">
            <v>33</v>
          </cell>
          <cell r="K318">
            <v>15</v>
          </cell>
          <cell r="L318" t="str">
            <v>Korupsi</v>
          </cell>
          <cell r="M318" t="str">
            <v>Kas Kanpus</v>
          </cell>
          <cell r="N318" t="str">
            <v>Kas Kanpus</v>
          </cell>
          <cell r="O318" t="str">
            <v>KAS KANPUS</v>
          </cell>
          <cell r="R318" t="str">
            <v>Belum TL</v>
          </cell>
          <cell r="S318" t="str">
            <v>Belum TL</v>
          </cell>
          <cell r="T318" t="str">
            <v>90185538 - Muhammad Fahikal Auz</v>
          </cell>
          <cell r="U318" t="str">
            <v>"-"</v>
          </cell>
        </row>
        <row r="319">
          <cell r="A319">
            <v>46265</v>
          </cell>
          <cell r="B319" t="str">
            <v xml:space="preserve">BORNEO PERSADA UTAMA                    </v>
          </cell>
          <cell r="C319" t="str">
            <v>BAQ9727</v>
          </cell>
          <cell r="D319">
            <v>56301000943301</v>
          </cell>
          <cell r="E319" t="str">
            <v>SEDANG</v>
          </cell>
          <cell r="F319" t="str">
            <v>Tidak</v>
          </cell>
          <cell r="G319" t="str">
            <v>Tidak</v>
          </cell>
          <cell r="H319" t="str">
            <v>Tidak</v>
          </cell>
          <cell r="I319" t="str">
            <v>Korupsi - Cash &amp; Amount</v>
          </cell>
          <cell r="J319">
            <v>50</v>
          </cell>
          <cell r="K319" t="str">
            <v>1,2,20</v>
          </cell>
          <cell r="L319" t="str">
            <v>Korupsi</v>
          </cell>
          <cell r="M319" t="str">
            <v>Kas Kanpus</v>
          </cell>
          <cell r="N319" t="str">
            <v>Kas Kanpus</v>
          </cell>
          <cell r="O319" t="str">
            <v>KAS KANPUS</v>
          </cell>
          <cell r="R319" t="str">
            <v>Belum TL</v>
          </cell>
          <cell r="S319" t="str">
            <v>Belum TL</v>
          </cell>
          <cell r="T319" t="str">
            <v>90171841 - Rifqi Aziz</v>
          </cell>
          <cell r="U319" t="str">
            <v>"-"</v>
          </cell>
        </row>
        <row r="320">
          <cell r="A320">
            <v>46265</v>
          </cell>
          <cell r="B320" t="str">
            <v xml:space="preserve">BUKAKA TEKNIK UTAMA TBK                 </v>
          </cell>
          <cell r="C320" t="str">
            <v>BB30044</v>
          </cell>
          <cell r="D320">
            <v>38401000571302</v>
          </cell>
          <cell r="E320" t="str">
            <v>SEDANG</v>
          </cell>
          <cell r="F320" t="str">
            <v>Tidak</v>
          </cell>
          <cell r="G320" t="str">
            <v>Tidak</v>
          </cell>
          <cell r="H320" t="str">
            <v>Tidak</v>
          </cell>
          <cell r="I320" t="str">
            <v>Korupsi - Cash &amp; Amount</v>
          </cell>
          <cell r="J320">
            <v>48</v>
          </cell>
          <cell r="K320" t="str">
            <v>1,2,20</v>
          </cell>
          <cell r="L320" t="str">
            <v>Korupsi</v>
          </cell>
          <cell r="M320" t="str">
            <v>Kas Kanpus</v>
          </cell>
          <cell r="N320" t="str">
            <v>Kas Kanpus</v>
          </cell>
          <cell r="O320" t="str">
            <v>KAS KANPUS</v>
          </cell>
          <cell r="R320" t="str">
            <v>Belum TL</v>
          </cell>
          <cell r="S320" t="str">
            <v>Belum TL</v>
          </cell>
          <cell r="T320" t="str">
            <v>90170665 - Mutiara Ayuningtyas</v>
          </cell>
          <cell r="U320" t="str">
            <v>"-"</v>
          </cell>
        </row>
        <row r="321">
          <cell r="A321">
            <v>46265</v>
          </cell>
          <cell r="B321" t="str">
            <v xml:space="preserve">BAGAS SYAH PUTRA                        </v>
          </cell>
          <cell r="C321" t="str">
            <v>BBF5054</v>
          </cell>
          <cell r="D321">
            <v>134301003156534</v>
          </cell>
          <cell r="E321" t="str">
            <v>SEDANG</v>
          </cell>
          <cell r="F321" t="str">
            <v>Tidak</v>
          </cell>
          <cell r="G321" t="str">
            <v>Tidak</v>
          </cell>
          <cell r="H321" t="str">
            <v>Tidak</v>
          </cell>
          <cell r="I321" t="str">
            <v>Bandar Judol Withdrawal</v>
          </cell>
          <cell r="J321">
            <v>50</v>
          </cell>
          <cell r="K321" t="str">
            <v>86,88,87</v>
          </cell>
          <cell r="L321" t="str">
            <v>Judi Online</v>
          </cell>
          <cell r="M321" t="str">
            <v xml:space="preserve">Kas Kanpus                              </v>
          </cell>
          <cell r="N321" t="str">
            <v xml:space="preserve">Kas Kanpus                              </v>
          </cell>
          <cell r="O321" t="str">
            <v xml:space="preserve">KAS KANPUS                              </v>
          </cell>
          <cell r="R321" t="str">
            <v>Belum TL</v>
          </cell>
          <cell r="S321" t="str">
            <v>Belum TL</v>
          </cell>
          <cell r="T321" t="str">
            <v>90185538 - Muhammad Fahikal Auz</v>
          </cell>
          <cell r="U321" t="str">
            <v>"-"</v>
          </cell>
        </row>
        <row r="322">
          <cell r="A322">
            <v>46265</v>
          </cell>
          <cell r="B322" t="str">
            <v xml:space="preserve">BRADLEYS FOOTWEAR                       </v>
          </cell>
          <cell r="C322" t="str">
            <v>BBR0120</v>
          </cell>
          <cell r="D322">
            <v>501501394152</v>
          </cell>
          <cell r="E322" t="str">
            <v>TINGGI</v>
          </cell>
          <cell r="F322" t="str">
            <v>Tidak</v>
          </cell>
          <cell r="G322" t="str">
            <v>Tidak</v>
          </cell>
          <cell r="H322" t="str">
            <v>Tidak</v>
          </cell>
          <cell r="I322" t="str">
            <v>Korupsi - Loan View</v>
          </cell>
          <cell r="J322">
            <v>63</v>
          </cell>
          <cell r="K322">
            <v>15</v>
          </cell>
          <cell r="L322" t="str">
            <v>Korupsi</v>
          </cell>
          <cell r="M322" t="str">
            <v>Kas Kanpus</v>
          </cell>
          <cell r="N322" t="str">
            <v>Kas Kanpus</v>
          </cell>
          <cell r="O322" t="str">
            <v>KAS KANPUS</v>
          </cell>
          <cell r="R322" t="str">
            <v>Belum TL</v>
          </cell>
          <cell r="S322" t="str">
            <v>Belum TL</v>
          </cell>
          <cell r="T322" t="str">
            <v>90150130 - Intan Aida Pratiwi</v>
          </cell>
          <cell r="U322" t="str">
            <v>"-"</v>
          </cell>
        </row>
        <row r="323">
          <cell r="A323">
            <v>46265</v>
          </cell>
          <cell r="B323" t="str">
            <v xml:space="preserve">BAGAS ALEND KAUTSAR                     </v>
          </cell>
          <cell r="C323" t="str">
            <v>BC44747</v>
          </cell>
          <cell r="D323">
            <v>40701009532107</v>
          </cell>
          <cell r="E323" t="str">
            <v>SEDANG</v>
          </cell>
          <cell r="F323" t="str">
            <v>Tidak</v>
          </cell>
          <cell r="G323" t="str">
            <v>Tidak</v>
          </cell>
          <cell r="H323" t="str">
            <v>Tidak</v>
          </cell>
          <cell r="I323" t="str">
            <v>Korupsi - Loan View</v>
          </cell>
          <cell r="J323">
            <v>48</v>
          </cell>
          <cell r="K323">
            <v>15</v>
          </cell>
          <cell r="L323" t="str">
            <v>Korupsi</v>
          </cell>
          <cell r="M323" t="str">
            <v>Kas Kanpus</v>
          </cell>
          <cell r="N323" t="str">
            <v>Kas Kanpus</v>
          </cell>
          <cell r="O323" t="str">
            <v>KAS KANPUS</v>
          </cell>
          <cell r="R323" t="str">
            <v>Belum TL</v>
          </cell>
          <cell r="S323" t="str">
            <v>Belum TL</v>
          </cell>
          <cell r="T323" t="str">
            <v>90171841 - Rifqi Aziz</v>
          </cell>
          <cell r="U323" t="str">
            <v>"-"</v>
          </cell>
        </row>
        <row r="324">
          <cell r="A324">
            <v>46265</v>
          </cell>
          <cell r="B324" t="str">
            <v xml:space="preserve">BRAM FERDINAND MANGI LAY                </v>
          </cell>
          <cell r="C324" t="str">
            <v>BC98328</v>
          </cell>
          <cell r="D324">
            <v>23501015776100</v>
          </cell>
          <cell r="E324" t="str">
            <v>RENDAH</v>
          </cell>
          <cell r="F324" t="str">
            <v>Tidak</v>
          </cell>
          <cell r="G324" t="str">
            <v>Tidak</v>
          </cell>
          <cell r="H324" t="str">
            <v>Tidak</v>
          </cell>
          <cell r="I324" t="str">
            <v>Korupsi - Loan View</v>
          </cell>
          <cell r="J324">
            <v>33</v>
          </cell>
          <cell r="K324">
            <v>15</v>
          </cell>
          <cell r="L324" t="str">
            <v>Korupsi</v>
          </cell>
          <cell r="M324" t="str">
            <v>Kas Kanpus</v>
          </cell>
          <cell r="N324" t="str">
            <v>Kas Kanpus</v>
          </cell>
          <cell r="O324" t="str">
            <v>KAS KANPUS</v>
          </cell>
          <cell r="R324" t="str">
            <v>Belum TL</v>
          </cell>
          <cell r="S324" t="str">
            <v>Belum TL</v>
          </cell>
          <cell r="T324" t="str">
            <v>00336949 - Mochammad Al Farabi</v>
          </cell>
          <cell r="U324" t="str">
            <v>"-"</v>
          </cell>
        </row>
        <row r="325">
          <cell r="A325">
            <v>46265</v>
          </cell>
          <cell r="B325" t="str">
            <v xml:space="preserve">BANGUN PERSADA NUSANTARA                </v>
          </cell>
          <cell r="C325" t="str">
            <v>BC98460</v>
          </cell>
          <cell r="D325">
            <v>58401001226150</v>
          </cell>
          <cell r="E325" t="str">
            <v>SEDANG</v>
          </cell>
          <cell r="F325" t="str">
            <v>Tidak</v>
          </cell>
          <cell r="G325" t="str">
            <v>Tidak</v>
          </cell>
          <cell r="H325" t="str">
            <v>Tidak</v>
          </cell>
          <cell r="I325" t="str">
            <v>Korupsi - Loan View</v>
          </cell>
          <cell r="J325">
            <v>48</v>
          </cell>
          <cell r="K325">
            <v>15</v>
          </cell>
          <cell r="L325" t="str">
            <v>Korupsi</v>
          </cell>
          <cell r="M325" t="str">
            <v>Kas Kanpus</v>
          </cell>
          <cell r="N325" t="str">
            <v>Kas Kanpus</v>
          </cell>
          <cell r="O325" t="str">
            <v>KAS KANPUS</v>
          </cell>
          <cell r="R325" t="str">
            <v>Belum TL</v>
          </cell>
          <cell r="S325" t="str">
            <v>Belum TL</v>
          </cell>
          <cell r="T325" t="str">
            <v>00394521 - Muhammad Hibbanduta</v>
          </cell>
          <cell r="U325" t="str">
            <v>"-"</v>
          </cell>
        </row>
        <row r="326">
          <cell r="A326">
            <v>46265</v>
          </cell>
          <cell r="B326" t="str">
            <v xml:space="preserve">BADRUDIN                                </v>
          </cell>
          <cell r="C326" t="str">
            <v>BCF4302</v>
          </cell>
          <cell r="D326">
            <v>106001001493566</v>
          </cell>
          <cell r="E326" t="str">
            <v>SEDANG</v>
          </cell>
          <cell r="F326" t="str">
            <v>Tidak</v>
          </cell>
          <cell r="G326" t="str">
            <v>Tidak</v>
          </cell>
          <cell r="H326" t="str">
            <v>Tidak</v>
          </cell>
          <cell r="I326" t="str">
            <v>Bandar Judol Depo</v>
          </cell>
          <cell r="J326">
            <v>50</v>
          </cell>
          <cell r="K326" t="str">
            <v>86,74,87</v>
          </cell>
          <cell r="L326" t="str">
            <v>Judi Online</v>
          </cell>
          <cell r="M326" t="str">
            <v xml:space="preserve">Kas Kanpus                              </v>
          </cell>
          <cell r="N326" t="str">
            <v xml:space="preserve">Kas Kanpus                              </v>
          </cell>
          <cell r="O326" t="str">
            <v xml:space="preserve">KAS KANPUS                              </v>
          </cell>
          <cell r="R326" t="str">
            <v>Belum TL</v>
          </cell>
          <cell r="S326" t="str">
            <v>Belum TL</v>
          </cell>
          <cell r="T326" t="str">
            <v>00336949 - Mochammad Al Farabi</v>
          </cell>
          <cell r="U326" t="str">
            <v>"-"</v>
          </cell>
        </row>
        <row r="327">
          <cell r="A327">
            <v>46265</v>
          </cell>
          <cell r="B327" t="str">
            <v xml:space="preserve">BUDI NUSA CIPTA WAHANA                  </v>
          </cell>
          <cell r="C327" t="str">
            <v>BCK0866</v>
          </cell>
          <cell r="D327">
            <v>28501000120301</v>
          </cell>
          <cell r="E327" t="str">
            <v>SEDANG</v>
          </cell>
          <cell r="F327" t="str">
            <v>Tidak</v>
          </cell>
          <cell r="G327" t="str">
            <v>Tidak</v>
          </cell>
          <cell r="H327" t="str">
            <v>Tidak</v>
          </cell>
          <cell r="I327" t="str">
            <v>Korupsi - Cash &amp; Amount</v>
          </cell>
          <cell r="J327">
            <v>48</v>
          </cell>
          <cell r="K327" t="str">
            <v>1,2,20</v>
          </cell>
          <cell r="L327" t="str">
            <v>Korupsi</v>
          </cell>
          <cell r="M327" t="str">
            <v>Kas Kanpus</v>
          </cell>
          <cell r="N327" t="str">
            <v>Kas Kanpus</v>
          </cell>
          <cell r="O327" t="str">
            <v>KAS KANPUS</v>
          </cell>
          <cell r="R327" t="str">
            <v>Belum TL</v>
          </cell>
          <cell r="S327" t="str">
            <v>Belum TL</v>
          </cell>
          <cell r="T327" t="str">
            <v>00394521 - Muhammad Hibbanduta</v>
          </cell>
          <cell r="U327" t="str">
            <v>"-"</v>
          </cell>
        </row>
        <row r="328">
          <cell r="A328">
            <v>46265</v>
          </cell>
          <cell r="B328" t="str">
            <v xml:space="preserve">BERDONLIF LEKSALA                       </v>
          </cell>
          <cell r="C328" t="str">
            <v>BCZ0353</v>
          </cell>
          <cell r="D328">
            <v>363001017952103</v>
          </cell>
          <cell r="E328" t="str">
            <v>SEDANG</v>
          </cell>
          <cell r="F328" t="str">
            <v>Tidak</v>
          </cell>
          <cell r="G328" t="str">
            <v>Tidak</v>
          </cell>
          <cell r="H328" t="str">
            <v>Tidak</v>
          </cell>
          <cell r="I328" t="str">
            <v>Korupsi - Loan View</v>
          </cell>
          <cell r="J328">
            <v>48</v>
          </cell>
          <cell r="K328">
            <v>15</v>
          </cell>
          <cell r="L328" t="str">
            <v>Korupsi</v>
          </cell>
          <cell r="M328" t="str">
            <v>Kas Kanpus</v>
          </cell>
          <cell r="N328" t="str">
            <v>Kas Kanpus</v>
          </cell>
          <cell r="O328" t="str">
            <v>KAS KANPUS</v>
          </cell>
          <cell r="R328" t="str">
            <v>Belum TL</v>
          </cell>
          <cell r="S328" t="str">
            <v>Belum TL</v>
          </cell>
          <cell r="T328" t="str">
            <v>90186790 - Muhammad Alfin Farha</v>
          </cell>
          <cell r="U328" t="str">
            <v>"-"</v>
          </cell>
        </row>
        <row r="329">
          <cell r="A329">
            <v>46265</v>
          </cell>
          <cell r="B329" t="str">
            <v xml:space="preserve">BAGUS WICAKSONO JATI                    </v>
          </cell>
          <cell r="C329" t="str">
            <v>BD17787</v>
          </cell>
          <cell r="D329">
            <v>61201000801150</v>
          </cell>
          <cell r="E329" t="str">
            <v>SEDANG</v>
          </cell>
          <cell r="F329" t="str">
            <v>Tidak</v>
          </cell>
          <cell r="G329" t="str">
            <v>Tidak</v>
          </cell>
          <cell r="H329" t="str">
            <v>Tidak</v>
          </cell>
          <cell r="I329" t="str">
            <v>Korupsi - Loan View</v>
          </cell>
          <cell r="J329">
            <v>48</v>
          </cell>
          <cell r="K329">
            <v>15</v>
          </cell>
          <cell r="L329" t="str">
            <v>Korupsi</v>
          </cell>
          <cell r="M329" t="str">
            <v>Kas Kanpus</v>
          </cell>
          <cell r="N329" t="str">
            <v>Kas Kanpus</v>
          </cell>
          <cell r="O329" t="str">
            <v>KAS KANPUS</v>
          </cell>
          <cell r="R329" t="str">
            <v>Belum TL</v>
          </cell>
          <cell r="S329" t="str">
            <v>Belum TL</v>
          </cell>
          <cell r="T329" t="str">
            <v>00336949 - Mochammad Al Farabi</v>
          </cell>
          <cell r="U329" t="str">
            <v>"-"</v>
          </cell>
        </row>
        <row r="330">
          <cell r="A330">
            <v>46265</v>
          </cell>
          <cell r="B330" t="str">
            <v xml:space="preserve">BASTIAN GILBERT PATELE                  </v>
          </cell>
          <cell r="C330" t="str">
            <v>BDW5781</v>
          </cell>
          <cell r="D330">
            <v>507601022650104</v>
          </cell>
          <cell r="E330" t="str">
            <v>SEDANG</v>
          </cell>
          <cell r="F330" t="str">
            <v>Tidak</v>
          </cell>
          <cell r="G330" t="str">
            <v>Tidak</v>
          </cell>
          <cell r="H330" t="str">
            <v>Tidak</v>
          </cell>
          <cell r="I330" t="str">
            <v>Korupsi - Loan View</v>
          </cell>
          <cell r="J330">
            <v>48</v>
          </cell>
          <cell r="K330">
            <v>15</v>
          </cell>
          <cell r="L330" t="str">
            <v>Korupsi</v>
          </cell>
          <cell r="M330" t="str">
            <v>Kas Kanpus</v>
          </cell>
          <cell r="N330" t="str">
            <v>Kas Kanpus</v>
          </cell>
          <cell r="O330" t="str">
            <v>KAS KANPUS</v>
          </cell>
          <cell r="R330" t="str">
            <v>Belum TL</v>
          </cell>
          <cell r="S330" t="str">
            <v>Belum TL</v>
          </cell>
          <cell r="T330" t="str">
            <v>00394521 - Muhammad Hibbanduta</v>
          </cell>
          <cell r="U330" t="str">
            <v>"-"</v>
          </cell>
        </row>
        <row r="331">
          <cell r="A331">
            <v>46265</v>
          </cell>
          <cell r="B331" t="str">
            <v xml:space="preserve">BERKAT ASNOOR GROUP                     </v>
          </cell>
          <cell r="C331" t="str">
            <v>BEA2320</v>
          </cell>
          <cell r="D331">
            <v>21201501786152</v>
          </cell>
          <cell r="E331" t="str">
            <v>SEDANG</v>
          </cell>
          <cell r="F331" t="str">
            <v>Tidak</v>
          </cell>
          <cell r="G331" t="str">
            <v>Tidak</v>
          </cell>
          <cell r="H331" t="str">
            <v>Tidak</v>
          </cell>
          <cell r="I331" t="str">
            <v>Korupsi - Loan View</v>
          </cell>
          <cell r="J331">
            <v>48</v>
          </cell>
          <cell r="K331">
            <v>15</v>
          </cell>
          <cell r="L331" t="str">
            <v>Korupsi</v>
          </cell>
          <cell r="M331" t="str">
            <v>Kas Kanpus</v>
          </cell>
          <cell r="N331" t="str">
            <v>Kas Kanpus</v>
          </cell>
          <cell r="O331" t="str">
            <v>KAS KANPUS</v>
          </cell>
          <cell r="R331" t="str">
            <v>Belum TL</v>
          </cell>
          <cell r="S331" t="str">
            <v>Belum TL</v>
          </cell>
          <cell r="T331" t="str">
            <v>00394520 - Frida Akbar Rani</v>
          </cell>
          <cell r="U331" t="str">
            <v>"-"</v>
          </cell>
        </row>
        <row r="332">
          <cell r="A332">
            <v>46265</v>
          </cell>
          <cell r="B332" t="str">
            <v xml:space="preserve">BERKAH BAKTI NUSANTARA                  </v>
          </cell>
          <cell r="C332" t="str">
            <v>BFH1376</v>
          </cell>
          <cell r="D332">
            <v>10701503951150</v>
          </cell>
          <cell r="E332" t="str">
            <v>SEDANG</v>
          </cell>
          <cell r="F332" t="str">
            <v>Tidak</v>
          </cell>
          <cell r="G332" t="str">
            <v>Tidak</v>
          </cell>
          <cell r="H332" t="str">
            <v>Tidak</v>
          </cell>
          <cell r="I332" t="str">
            <v>Korupsi - Loan View</v>
          </cell>
          <cell r="J332">
            <v>48</v>
          </cell>
          <cell r="K332">
            <v>15</v>
          </cell>
          <cell r="L332" t="str">
            <v>Korupsi</v>
          </cell>
          <cell r="M332" t="str">
            <v>Kas Kanpus</v>
          </cell>
          <cell r="N332" t="str">
            <v>Kas Kanpus</v>
          </cell>
          <cell r="O332" t="str">
            <v>KAS KANPUS</v>
          </cell>
          <cell r="R332" t="str">
            <v>Belum TL</v>
          </cell>
          <cell r="S332" t="str">
            <v>Belum TL</v>
          </cell>
          <cell r="T332" t="str">
            <v>90186790 - Muhammad Alfin Farha</v>
          </cell>
          <cell r="U332" t="str">
            <v>"-"</v>
          </cell>
        </row>
        <row r="333">
          <cell r="A333">
            <v>46265</v>
          </cell>
          <cell r="B333" t="str">
            <v xml:space="preserve">BINTANG PUTRI KARISMA                   </v>
          </cell>
          <cell r="C333" t="str">
            <v>BFH6079</v>
          </cell>
          <cell r="D333">
            <v>2101307308309</v>
          </cell>
          <cell r="E333" t="str">
            <v>SEDANG</v>
          </cell>
          <cell r="F333" t="str">
            <v>Tidak</v>
          </cell>
          <cell r="G333" t="str">
            <v>Tidak</v>
          </cell>
          <cell r="H333" t="str">
            <v>Tidak</v>
          </cell>
          <cell r="I333" t="str">
            <v>Perpajakan</v>
          </cell>
          <cell r="J333">
            <v>48</v>
          </cell>
          <cell r="K333">
            <v>41</v>
          </cell>
          <cell r="L333" t="str">
            <v>Perpajakan</v>
          </cell>
          <cell r="M333" t="str">
            <v xml:space="preserve">KC Jember                               </v>
          </cell>
          <cell r="N333" t="str">
            <v xml:space="preserve">KC Jember                               </v>
          </cell>
          <cell r="O333" t="str">
            <v xml:space="preserve">KANWIL MALANG                           </v>
          </cell>
          <cell r="R333" t="str">
            <v>Belum TL</v>
          </cell>
          <cell r="S333" t="str">
            <v>Belum TL</v>
          </cell>
          <cell r="T333" t="str">
            <v>90185538 - Muhammad Fahikal Auz</v>
          </cell>
          <cell r="U333" t="str">
            <v>"-"</v>
          </cell>
        </row>
        <row r="334">
          <cell r="A334">
            <v>46265</v>
          </cell>
          <cell r="B334" t="str">
            <v xml:space="preserve">BIMA SAKTI BERSAUDARA                   </v>
          </cell>
          <cell r="C334" t="str">
            <v>BFR9769</v>
          </cell>
          <cell r="D334">
            <v>16501002893304</v>
          </cell>
          <cell r="E334" t="str">
            <v>SEDANG</v>
          </cell>
          <cell r="F334" t="str">
            <v>Tidak</v>
          </cell>
          <cell r="G334" t="str">
            <v>Tidak</v>
          </cell>
          <cell r="H334" t="str">
            <v>Tidak</v>
          </cell>
          <cell r="I334" t="str">
            <v>Perpajakan</v>
          </cell>
          <cell r="J334">
            <v>50</v>
          </cell>
          <cell r="K334">
            <v>1.33</v>
          </cell>
          <cell r="L334" t="str">
            <v>Perpajakan</v>
          </cell>
          <cell r="M334" t="str">
            <v xml:space="preserve">KC Jatibarang                           </v>
          </cell>
          <cell r="N334" t="str">
            <v xml:space="preserve">KC Jatibarang                           </v>
          </cell>
          <cell r="O334" t="str">
            <v xml:space="preserve">Bandung                                 </v>
          </cell>
          <cell r="R334" t="str">
            <v>Belum TL</v>
          </cell>
          <cell r="S334" t="str">
            <v>Belum TL</v>
          </cell>
          <cell r="T334" t="str">
            <v>90150130 - Intan Aida Pratiwi</v>
          </cell>
          <cell r="U334" t="str">
            <v>"-"</v>
          </cell>
        </row>
        <row r="335">
          <cell r="A335">
            <v>46265</v>
          </cell>
          <cell r="B335" t="str">
            <v xml:space="preserve">BINTANG DJAJA                           </v>
          </cell>
          <cell r="C335" t="str">
            <v>BF81773</v>
          </cell>
          <cell r="D335">
            <v>32501500565158</v>
          </cell>
          <cell r="E335" t="str">
            <v>SEDANG</v>
          </cell>
          <cell r="F335" t="str">
            <v>Tidak</v>
          </cell>
          <cell r="G335" t="str">
            <v>Tidak</v>
          </cell>
          <cell r="H335" t="str">
            <v>Tidak</v>
          </cell>
          <cell r="I335" t="str">
            <v>Korupsi - Loan View</v>
          </cell>
          <cell r="J335">
            <v>48</v>
          </cell>
          <cell r="K335">
            <v>15</v>
          </cell>
          <cell r="L335" t="str">
            <v>Korupsi</v>
          </cell>
          <cell r="M335" t="str">
            <v>Kas Kanpus</v>
          </cell>
          <cell r="N335" t="str">
            <v>Kas Kanpus</v>
          </cell>
          <cell r="O335" t="str">
            <v>KAS KANPUS</v>
          </cell>
          <cell r="R335" t="str">
            <v>Belum TL</v>
          </cell>
          <cell r="S335" t="str">
            <v>Belum TL</v>
          </cell>
          <cell r="T335" t="str">
            <v>90185537 - Moh.Khoerul Fajar Ar</v>
          </cell>
          <cell r="U335" t="str">
            <v>"-"</v>
          </cell>
        </row>
        <row r="336">
          <cell r="A336">
            <v>46265</v>
          </cell>
          <cell r="B336" t="str">
            <v xml:space="preserve">BAROKAH                                 </v>
          </cell>
          <cell r="C336" t="str">
            <v>BG47172</v>
          </cell>
          <cell r="D336">
            <v>55301000659153</v>
          </cell>
          <cell r="E336" t="str">
            <v>SEDANG</v>
          </cell>
          <cell r="F336" t="str">
            <v>Tidak</v>
          </cell>
          <cell r="G336" t="str">
            <v>Tidak</v>
          </cell>
          <cell r="H336" t="str">
            <v>Tidak</v>
          </cell>
          <cell r="I336" t="str">
            <v>Korupsi - Loan View</v>
          </cell>
          <cell r="J336">
            <v>48</v>
          </cell>
          <cell r="K336">
            <v>15</v>
          </cell>
          <cell r="L336" t="str">
            <v>Korupsi</v>
          </cell>
          <cell r="M336" t="str">
            <v>Kas Kanpus</v>
          </cell>
          <cell r="N336" t="str">
            <v>Kas Kanpus</v>
          </cell>
          <cell r="O336" t="str">
            <v>KAS KANPUS</v>
          </cell>
          <cell r="R336" t="str">
            <v>Belum TL</v>
          </cell>
          <cell r="S336" t="str">
            <v>Belum TL</v>
          </cell>
          <cell r="T336" t="str">
            <v>00336949 - Mochammad Al Farabi</v>
          </cell>
          <cell r="U336" t="str">
            <v>"-"</v>
          </cell>
        </row>
        <row r="337">
          <cell r="A337">
            <v>46265</v>
          </cell>
          <cell r="B337" t="str">
            <v xml:space="preserve">BAMBANG WALUYO                          </v>
          </cell>
          <cell r="C337" t="str">
            <v>BG62817</v>
          </cell>
          <cell r="D337">
            <v>60701025164506</v>
          </cell>
          <cell r="E337" t="str">
            <v>SEDANG</v>
          </cell>
          <cell r="F337" t="str">
            <v>Ya</v>
          </cell>
          <cell r="G337" t="str">
            <v>Tidak</v>
          </cell>
          <cell r="H337" t="str">
            <v>Tidak</v>
          </cell>
          <cell r="I337" t="str">
            <v>Narkotika - Area Lapas</v>
          </cell>
          <cell r="J337">
            <v>50</v>
          </cell>
          <cell r="K337">
            <v>46</v>
          </cell>
          <cell r="L337" t="str">
            <v>Narkotika</v>
          </cell>
          <cell r="M337" t="str">
            <v>KC Rimbo Bujang</v>
          </cell>
          <cell r="N337" t="str">
            <v>KC Rimbo Bujang</v>
          </cell>
          <cell r="O337" t="str">
            <v>Palembang</v>
          </cell>
          <cell r="R337" t="str">
            <v>Belum TL</v>
          </cell>
          <cell r="S337" t="str">
            <v>Belum TL</v>
          </cell>
          <cell r="T337" t="str">
            <v>00394521 - Muhammad Hibbanduta</v>
          </cell>
          <cell r="U337" t="str">
            <v>"-"</v>
          </cell>
        </row>
        <row r="338">
          <cell r="A338">
            <v>46265</v>
          </cell>
          <cell r="B338" t="str">
            <v xml:space="preserve">BERTHA ANGGREANY                        </v>
          </cell>
          <cell r="C338" t="str">
            <v>BG69835</v>
          </cell>
          <cell r="D338">
            <v>10801024677102</v>
          </cell>
          <cell r="E338" t="str">
            <v>RENDAH</v>
          </cell>
          <cell r="F338" t="str">
            <v>Tidak</v>
          </cell>
          <cell r="G338" t="str">
            <v>Tidak</v>
          </cell>
          <cell r="H338" t="str">
            <v>Tidak</v>
          </cell>
          <cell r="I338" t="str">
            <v>Korupsi - Loan View</v>
          </cell>
          <cell r="J338">
            <v>33</v>
          </cell>
          <cell r="K338">
            <v>15</v>
          </cell>
          <cell r="L338" t="str">
            <v>Korupsi</v>
          </cell>
          <cell r="M338" t="str">
            <v>Kas Kanpus</v>
          </cell>
          <cell r="N338" t="str">
            <v>Kas Kanpus</v>
          </cell>
          <cell r="O338" t="str">
            <v>KAS KANPUS</v>
          </cell>
          <cell r="R338" t="str">
            <v>Belum TL</v>
          </cell>
          <cell r="S338" t="str">
            <v>Belum TL</v>
          </cell>
          <cell r="T338" t="str">
            <v>90185537 - Moh.Khoerul Fajar Ar</v>
          </cell>
          <cell r="U338" t="str">
            <v>"-"</v>
          </cell>
        </row>
        <row r="339">
          <cell r="A339">
            <v>46265</v>
          </cell>
          <cell r="B339" t="str">
            <v xml:space="preserve">BETH KASEGARAN THERESIA                 </v>
          </cell>
          <cell r="C339" t="str">
            <v>BGW7044</v>
          </cell>
          <cell r="D339">
            <v>110601000533309</v>
          </cell>
          <cell r="E339" t="str">
            <v>SEDANG</v>
          </cell>
          <cell r="F339" t="str">
            <v>Tidak</v>
          </cell>
          <cell r="G339" t="str">
            <v>Tidak</v>
          </cell>
          <cell r="H339" t="str">
            <v>Tidak</v>
          </cell>
          <cell r="I339" t="str">
            <v>Perpajakan</v>
          </cell>
          <cell r="J339">
            <v>50</v>
          </cell>
          <cell r="K339">
            <v>41</v>
          </cell>
          <cell r="L339" t="str">
            <v>Perpajakan</v>
          </cell>
          <cell r="M339" t="str">
            <v xml:space="preserve">KCP CILEDUG                             </v>
          </cell>
          <cell r="N339" t="str">
            <v xml:space="preserve">KC Jakarta Joglo                        </v>
          </cell>
          <cell r="O339" t="str">
            <v xml:space="preserve">KANWIL JAKARTA 3                        </v>
          </cell>
          <cell r="R339" t="str">
            <v>Belum TL</v>
          </cell>
          <cell r="S339" t="str">
            <v>Belum TL</v>
          </cell>
          <cell r="T339" t="str">
            <v>90186790 - Muhammad Alfin Farha</v>
          </cell>
          <cell r="U339" t="str">
            <v>"-"</v>
          </cell>
        </row>
        <row r="340">
          <cell r="A340">
            <v>46265</v>
          </cell>
          <cell r="B340" t="str">
            <v xml:space="preserve">BENDAHARA KODIM 1303 BM                 </v>
          </cell>
          <cell r="C340" t="str">
            <v>BGY9479</v>
          </cell>
          <cell r="D340">
            <v>3601003169307</v>
          </cell>
          <cell r="E340" t="str">
            <v>SEDANG</v>
          </cell>
          <cell r="F340" t="str">
            <v>Tidak</v>
          </cell>
          <cell r="G340" t="str">
            <v>Tidak</v>
          </cell>
          <cell r="H340" t="str">
            <v>Tidak</v>
          </cell>
          <cell r="I340" t="str">
            <v>Perpajakan</v>
          </cell>
          <cell r="J340">
            <v>50</v>
          </cell>
          <cell r="K340">
            <v>41</v>
          </cell>
          <cell r="L340" t="str">
            <v>Perpajakan</v>
          </cell>
          <cell r="M340" t="str">
            <v xml:space="preserve">KC Kotamobagu                           </v>
          </cell>
          <cell r="N340" t="str">
            <v xml:space="preserve">KC Kotamobagu                           </v>
          </cell>
          <cell r="O340" t="str">
            <v xml:space="preserve">Manado                                  </v>
          </cell>
          <cell r="R340" t="str">
            <v>Belum TL</v>
          </cell>
          <cell r="S340" t="str">
            <v>Belum TL</v>
          </cell>
          <cell r="T340" t="str">
            <v>00394521 - Muhammad Hibbanduta</v>
          </cell>
          <cell r="U340" t="str">
            <v>"-"</v>
          </cell>
        </row>
        <row r="341">
          <cell r="A341">
            <v>46265</v>
          </cell>
          <cell r="B341" t="str">
            <v xml:space="preserve">BAGUS DWI HARYO                         </v>
          </cell>
          <cell r="C341" t="str">
            <v>BH03965</v>
          </cell>
          <cell r="D341">
            <v>114401001058568</v>
          </cell>
          <cell r="E341" t="str">
            <v>TINGGI</v>
          </cell>
          <cell r="F341" t="str">
            <v>Tidak</v>
          </cell>
          <cell r="G341" t="str">
            <v>Ya</v>
          </cell>
          <cell r="H341" t="str">
            <v>Tidak</v>
          </cell>
          <cell r="I341" t="str">
            <v>Korupsi - Significant Trx View</v>
          </cell>
          <cell r="J341">
            <v>83</v>
          </cell>
          <cell r="K341">
            <v>1.19</v>
          </cell>
          <cell r="L341" t="str">
            <v>Korupsi</v>
          </cell>
          <cell r="M341" t="str">
            <v>Kas Kanpus</v>
          </cell>
          <cell r="N341" t="str">
            <v>Kas Kanpus</v>
          </cell>
          <cell r="O341" t="str">
            <v>KAS KANPUS</v>
          </cell>
          <cell r="R341" t="str">
            <v>Belum TL</v>
          </cell>
          <cell r="S341" t="str">
            <v>Belum TL</v>
          </cell>
          <cell r="T341" t="str">
            <v>00394520 - Frida Akbar Rani</v>
          </cell>
          <cell r="U341" t="str">
            <v>"-"</v>
          </cell>
        </row>
        <row r="342">
          <cell r="A342">
            <v>46265</v>
          </cell>
          <cell r="B342" t="str">
            <v xml:space="preserve">BINA ARTHA VENTURA                      </v>
          </cell>
          <cell r="C342" t="str">
            <v>BH83647</v>
          </cell>
          <cell r="D342">
            <v>20601005112303</v>
          </cell>
          <cell r="E342" t="str">
            <v>SEDANG</v>
          </cell>
          <cell r="F342" t="str">
            <v>Tidak</v>
          </cell>
          <cell r="G342" t="str">
            <v>Tidak</v>
          </cell>
          <cell r="H342" t="str">
            <v>Tidak</v>
          </cell>
          <cell r="I342" t="str">
            <v>Perpajakan</v>
          </cell>
          <cell r="J342">
            <v>50</v>
          </cell>
          <cell r="K342">
            <v>1.33</v>
          </cell>
          <cell r="L342" t="str">
            <v>Perpajakan</v>
          </cell>
          <cell r="M342" t="str">
            <v xml:space="preserve">KC SUDIRMAN SEMANGGI                    </v>
          </cell>
          <cell r="N342" t="str">
            <v xml:space="preserve">KC SUDIRMAN SEMANGGI                    </v>
          </cell>
          <cell r="O342" t="str">
            <v xml:space="preserve">DKI                                     </v>
          </cell>
          <cell r="R342" t="str">
            <v>Belum TL</v>
          </cell>
          <cell r="S342" t="str">
            <v>Belum TL</v>
          </cell>
          <cell r="T342" t="str">
            <v>00394521 - Muhammad Hibbanduta</v>
          </cell>
          <cell r="U342" t="str">
            <v>"-"</v>
          </cell>
        </row>
        <row r="343">
          <cell r="A343">
            <v>46265</v>
          </cell>
          <cell r="B343" t="str">
            <v xml:space="preserve">BUMI BANGKA                             </v>
          </cell>
          <cell r="C343" t="str">
            <v>BHF0368</v>
          </cell>
          <cell r="D343">
            <v>6301003546302</v>
          </cell>
          <cell r="E343" t="str">
            <v>SEDANG</v>
          </cell>
          <cell r="F343" t="str">
            <v>Tidak</v>
          </cell>
          <cell r="G343" t="str">
            <v>Tidak</v>
          </cell>
          <cell r="H343" t="str">
            <v>Tidak</v>
          </cell>
          <cell r="I343" t="str">
            <v>Korupsi - Cash &amp; Amount</v>
          </cell>
          <cell r="J343">
            <v>50</v>
          </cell>
          <cell r="K343" t="str">
            <v>1,2,20</v>
          </cell>
          <cell r="L343" t="str">
            <v>Korupsi</v>
          </cell>
          <cell r="M343" t="str">
            <v>Kas Kanpus</v>
          </cell>
          <cell r="N343" t="str">
            <v>Kas Kanpus</v>
          </cell>
          <cell r="O343" t="str">
            <v>KAS KANPUS</v>
          </cell>
          <cell r="R343" t="str">
            <v>Belum TL</v>
          </cell>
          <cell r="S343" t="str">
            <v>Belum TL</v>
          </cell>
          <cell r="T343" t="str">
            <v>90186796 - Devito Arya Wiradila</v>
          </cell>
          <cell r="U343" t="str">
            <v>"-"</v>
          </cell>
        </row>
        <row r="344">
          <cell r="A344">
            <v>46265</v>
          </cell>
          <cell r="B344" t="str">
            <v xml:space="preserve">BAGAS MAULANA PUTRA SURYA               </v>
          </cell>
          <cell r="C344" t="str">
            <v>BHL0433</v>
          </cell>
          <cell r="D344">
            <v>115201042228503</v>
          </cell>
          <cell r="E344" t="str">
            <v>SEDANG</v>
          </cell>
          <cell r="F344" t="str">
            <v>Tidak</v>
          </cell>
          <cell r="G344" t="str">
            <v>Tidak</v>
          </cell>
          <cell r="H344" t="str">
            <v>Tidak</v>
          </cell>
          <cell r="I344" t="str">
            <v>Bandar Judol Depo</v>
          </cell>
          <cell r="J344">
            <v>50</v>
          </cell>
          <cell r="K344" t="str">
            <v>86,74,87</v>
          </cell>
          <cell r="L344" t="str">
            <v>Judi Online</v>
          </cell>
          <cell r="M344" t="str">
            <v xml:space="preserve">Kas Kanpus                              </v>
          </cell>
          <cell r="N344" t="str">
            <v xml:space="preserve">Kas Kanpus                              </v>
          </cell>
          <cell r="O344" t="str">
            <v xml:space="preserve">KAS KANPUS                              </v>
          </cell>
          <cell r="R344" t="str">
            <v>Belum TL</v>
          </cell>
          <cell r="S344" t="str">
            <v>Belum TL</v>
          </cell>
          <cell r="T344" t="str">
            <v>00394520 - Frida Akbar Rani</v>
          </cell>
          <cell r="U344" t="str">
            <v>"-"</v>
          </cell>
        </row>
        <row r="345">
          <cell r="A345">
            <v>46265</v>
          </cell>
          <cell r="B345" t="str">
            <v xml:space="preserve">BAGUS PRATOMO                           </v>
          </cell>
          <cell r="C345" t="str">
            <v>BHM1370</v>
          </cell>
          <cell r="D345">
            <v>86701016923501</v>
          </cell>
          <cell r="E345" t="str">
            <v>SEDANG</v>
          </cell>
          <cell r="F345" t="str">
            <v>Tidak</v>
          </cell>
          <cell r="G345" t="str">
            <v>Tidak</v>
          </cell>
          <cell r="H345" t="str">
            <v>Tidak</v>
          </cell>
          <cell r="I345" t="str">
            <v>Bandar Judol Withdrawal</v>
          </cell>
          <cell r="J345">
            <v>50</v>
          </cell>
          <cell r="K345" t="str">
            <v>86,88,87</v>
          </cell>
          <cell r="L345" t="str">
            <v>Judi Online</v>
          </cell>
          <cell r="M345" t="str">
            <v xml:space="preserve">Kas Kanpus                              </v>
          </cell>
          <cell r="N345" t="str">
            <v xml:space="preserve">Kas Kanpus                              </v>
          </cell>
          <cell r="O345" t="str">
            <v xml:space="preserve">KAS KANPUS                              </v>
          </cell>
          <cell r="R345" t="str">
            <v>Belum TL</v>
          </cell>
          <cell r="S345" t="str">
            <v>Belum TL</v>
          </cell>
          <cell r="T345" t="str">
            <v>90150130 - Intan Aida Pratiwi</v>
          </cell>
          <cell r="U345" t="str">
            <v>"-"</v>
          </cell>
        </row>
        <row r="346">
          <cell r="A346">
            <v>46265</v>
          </cell>
          <cell r="B346" t="str">
            <v xml:space="preserve">BUDIANTO                                </v>
          </cell>
          <cell r="C346" t="str">
            <v>BHX6448</v>
          </cell>
          <cell r="D346">
            <v>17701027578532</v>
          </cell>
          <cell r="F346" t="str">
            <v>Tidak</v>
          </cell>
          <cell r="G346" t="str">
            <v>Tidak</v>
          </cell>
          <cell r="H346" t="str">
            <v>Tidak</v>
          </cell>
          <cell r="I346" t="str">
            <v>Narkotika - Area Lapas</v>
          </cell>
          <cell r="J346">
            <v>34</v>
          </cell>
          <cell r="K346">
            <v>46</v>
          </cell>
          <cell r="L346" t="str">
            <v>Narkotika</v>
          </cell>
          <cell r="M346" t="str">
            <v>KC Trenggalek</v>
          </cell>
          <cell r="N346" t="str">
            <v>KC Trenggalek</v>
          </cell>
          <cell r="O346" t="str">
            <v>KANWIL MALANG</v>
          </cell>
          <cell r="R346" t="str">
            <v>Belum TL</v>
          </cell>
          <cell r="S346" t="str">
            <v>Belum TL</v>
          </cell>
          <cell r="T346" t="str">
            <v>90185538 - Muhammad Fahikal Auz</v>
          </cell>
          <cell r="U346" t="str">
            <v>"-"</v>
          </cell>
        </row>
        <row r="347">
          <cell r="A347">
            <v>46265</v>
          </cell>
          <cell r="B347" t="str">
            <v xml:space="preserve">BAHTERA SATRIA ADHIDAYA TRANS           </v>
          </cell>
          <cell r="C347" t="str">
            <v>BHZ2417</v>
          </cell>
          <cell r="D347">
            <v>111501000468155</v>
          </cell>
          <cell r="F347" t="str">
            <v>Tidak</v>
          </cell>
          <cell r="G347" t="str">
            <v>Tidak</v>
          </cell>
          <cell r="H347" t="str">
            <v>Tidak</v>
          </cell>
          <cell r="I347" t="str">
            <v>Korupsi - Loan View</v>
          </cell>
          <cell r="J347">
            <v>33</v>
          </cell>
          <cell r="K347">
            <v>15</v>
          </cell>
          <cell r="L347" t="str">
            <v>Korupsi</v>
          </cell>
          <cell r="M347" t="str">
            <v>Kas Kanpus</v>
          </cell>
          <cell r="N347" t="str">
            <v>Kas Kanpus</v>
          </cell>
          <cell r="O347" t="str">
            <v>KAS KANPUS</v>
          </cell>
          <cell r="R347" t="str">
            <v>Belum TL</v>
          </cell>
          <cell r="S347" t="str">
            <v>Belum TL</v>
          </cell>
          <cell r="T347" t="str">
            <v>90185538 - Muhammad Fahikal Auz</v>
          </cell>
          <cell r="U347" t="str">
            <v>"-"</v>
          </cell>
        </row>
        <row r="348">
          <cell r="A348">
            <v>46265</v>
          </cell>
          <cell r="B348" t="str">
            <v xml:space="preserve">BANGKA TIN INDUSTRY                     </v>
          </cell>
          <cell r="C348" t="str">
            <v>BHZ6533</v>
          </cell>
          <cell r="D348">
            <v>32401837651309</v>
          </cell>
          <cell r="F348" t="str">
            <v>Tidak</v>
          </cell>
          <cell r="G348" t="str">
            <v>Tidak</v>
          </cell>
          <cell r="H348" t="str">
            <v>Tidak</v>
          </cell>
          <cell r="I348" t="str">
            <v>Korupsi - Cash &amp; Amount</v>
          </cell>
          <cell r="J348">
            <v>33</v>
          </cell>
          <cell r="K348" t="str">
            <v>1,2,20</v>
          </cell>
          <cell r="L348" t="str">
            <v>Korupsi</v>
          </cell>
          <cell r="M348" t="str">
            <v>Kas Kanpus</v>
          </cell>
          <cell r="N348" t="str">
            <v>Kas Kanpus</v>
          </cell>
          <cell r="O348" t="str">
            <v>KAS KANPUS</v>
          </cell>
          <cell r="R348" t="str">
            <v>Belum TL</v>
          </cell>
          <cell r="S348" t="str">
            <v>Belum TL</v>
          </cell>
          <cell r="T348" t="str">
            <v>90186790 - Muhammad Alfin Farha</v>
          </cell>
          <cell r="U348" t="str">
            <v>"-"</v>
          </cell>
        </row>
        <row r="349">
          <cell r="A349">
            <v>46265</v>
          </cell>
          <cell r="B349" t="str">
            <v xml:space="preserve">BACHRUL MADJI                           </v>
          </cell>
          <cell r="C349" t="str">
            <v>BI79790</v>
          </cell>
          <cell r="D349">
            <v>63001060556565</v>
          </cell>
          <cell r="E349" t="str">
            <v>TINGGI</v>
          </cell>
          <cell r="F349" t="str">
            <v>Tidak</v>
          </cell>
          <cell r="G349" t="str">
            <v>Tidak</v>
          </cell>
          <cell r="H349" t="str">
            <v>Tidak</v>
          </cell>
          <cell r="I349" t="str">
            <v>Korupsi - Significant Trx View</v>
          </cell>
          <cell r="J349">
            <v>83</v>
          </cell>
          <cell r="K349">
            <v>1.19</v>
          </cell>
          <cell r="L349" t="str">
            <v>Korupsi</v>
          </cell>
          <cell r="M349" t="str">
            <v>Kas Kanpus</v>
          </cell>
          <cell r="N349" t="str">
            <v>Kas Kanpus</v>
          </cell>
          <cell r="O349" t="str">
            <v>KAS KANPUS</v>
          </cell>
          <cell r="R349" t="str">
            <v>Belum TL</v>
          </cell>
          <cell r="S349" t="str">
            <v>Belum TL</v>
          </cell>
          <cell r="T349" t="str">
            <v>00394521 - Muhammad Hibbanduta</v>
          </cell>
          <cell r="U349" t="str">
            <v>"-"</v>
          </cell>
        </row>
        <row r="350">
          <cell r="A350">
            <v>46265</v>
          </cell>
          <cell r="B350" t="str">
            <v xml:space="preserve">BAGASKARA WIJAYA                        </v>
          </cell>
          <cell r="C350" t="str">
            <v>BIF3393</v>
          </cell>
          <cell r="D350">
            <v>530401048124534</v>
          </cell>
          <cell r="F350" t="str">
            <v>Tidak</v>
          </cell>
          <cell r="G350" t="str">
            <v>Tidak</v>
          </cell>
          <cell r="H350" t="str">
            <v>Tidak</v>
          </cell>
          <cell r="I350" t="str">
            <v>Bandar Judol Withdrawal</v>
          </cell>
          <cell r="J350">
            <v>35</v>
          </cell>
          <cell r="K350" t="str">
            <v>86,88,87</v>
          </cell>
          <cell r="L350" t="str">
            <v>Judi Online</v>
          </cell>
          <cell r="M350" t="str">
            <v xml:space="preserve">Kas Kanpus                              </v>
          </cell>
          <cell r="N350" t="str">
            <v xml:space="preserve">Kas Kanpus                              </v>
          </cell>
          <cell r="O350" t="str">
            <v xml:space="preserve">KAS KANPUS                              </v>
          </cell>
          <cell r="R350" t="str">
            <v>Belum TL</v>
          </cell>
          <cell r="S350" t="str">
            <v>Belum TL</v>
          </cell>
          <cell r="T350" t="str">
            <v>00394521 - Muhammad Hibbanduta</v>
          </cell>
          <cell r="U350" t="str">
            <v>"-"</v>
          </cell>
        </row>
        <row r="351">
          <cell r="A351">
            <v>46265</v>
          </cell>
          <cell r="B351" t="str">
            <v xml:space="preserve">BITCAR HASONANGAN PURBA                 </v>
          </cell>
          <cell r="C351" t="str">
            <v>BIH4298</v>
          </cell>
          <cell r="D351">
            <v>528801038795533</v>
          </cell>
          <cell r="F351" t="str">
            <v>Tidak</v>
          </cell>
          <cell r="G351" t="str">
            <v>Tidak</v>
          </cell>
          <cell r="H351" t="str">
            <v>Tidak</v>
          </cell>
          <cell r="I351" t="str">
            <v>Bandar Judol Withdrawal</v>
          </cell>
          <cell r="J351">
            <v>35</v>
          </cell>
          <cell r="K351" t="str">
            <v>86,88,87</v>
          </cell>
          <cell r="L351" t="str">
            <v>Judi Online</v>
          </cell>
          <cell r="M351" t="str">
            <v xml:space="preserve">Kas Kanpus                              </v>
          </cell>
          <cell r="N351" t="str">
            <v xml:space="preserve">Kas Kanpus                              </v>
          </cell>
          <cell r="O351" t="str">
            <v xml:space="preserve">KAS KANPUS                              </v>
          </cell>
          <cell r="R351" t="str">
            <v>Belum TL</v>
          </cell>
          <cell r="S351" t="str">
            <v>Belum TL</v>
          </cell>
          <cell r="T351" t="str">
            <v>00394520 - Frida Akbar Rani</v>
          </cell>
          <cell r="U351" t="str">
            <v>"-"</v>
          </cell>
        </row>
        <row r="352">
          <cell r="A352">
            <v>46265</v>
          </cell>
          <cell r="B352" t="str">
            <v xml:space="preserve">BAGAS KURNIAWAN                         </v>
          </cell>
          <cell r="C352" t="str">
            <v>BIK8065</v>
          </cell>
          <cell r="D352">
            <v>526301018341502</v>
          </cell>
          <cell r="F352" t="str">
            <v>Tidak</v>
          </cell>
          <cell r="G352" t="str">
            <v>Tidak</v>
          </cell>
          <cell r="H352" t="str">
            <v>Tidak</v>
          </cell>
          <cell r="I352" t="str">
            <v>Bandar Judol Withdrawal</v>
          </cell>
          <cell r="J352">
            <v>35</v>
          </cell>
          <cell r="K352" t="str">
            <v>86,88,87</v>
          </cell>
          <cell r="L352" t="str">
            <v>Judi Online</v>
          </cell>
          <cell r="M352" t="str">
            <v xml:space="preserve">Kas Kanpus                              </v>
          </cell>
          <cell r="N352" t="str">
            <v xml:space="preserve">Kas Kanpus                              </v>
          </cell>
          <cell r="O352" t="str">
            <v xml:space="preserve">KAS KANPUS                              </v>
          </cell>
          <cell r="R352" t="str">
            <v>Belum TL</v>
          </cell>
          <cell r="S352" t="str">
            <v>Belum TL</v>
          </cell>
          <cell r="T352" t="str">
            <v>90186790 - Muhammad Alfin Farha</v>
          </cell>
          <cell r="U352" t="str">
            <v>"-"</v>
          </cell>
        </row>
        <row r="353">
          <cell r="A353">
            <v>46265</v>
          </cell>
          <cell r="B353" t="str">
            <v xml:space="preserve">BAGAS RANDIKA                           </v>
          </cell>
          <cell r="C353" t="str">
            <v>BIO1981</v>
          </cell>
          <cell r="D353">
            <v>109001042119506</v>
          </cell>
          <cell r="F353" t="str">
            <v>Tidak</v>
          </cell>
          <cell r="G353" t="str">
            <v>Tidak</v>
          </cell>
          <cell r="H353" t="str">
            <v>Tidak</v>
          </cell>
          <cell r="I353" t="str">
            <v>Bandar Judol Withdrawal</v>
          </cell>
          <cell r="J353">
            <v>35</v>
          </cell>
          <cell r="K353" t="str">
            <v>86,88,87</v>
          </cell>
          <cell r="L353" t="str">
            <v>Judi Online</v>
          </cell>
          <cell r="M353" t="str">
            <v xml:space="preserve">Kas Kanpus                              </v>
          </cell>
          <cell r="N353" t="str">
            <v xml:space="preserve">Kas Kanpus                              </v>
          </cell>
          <cell r="O353" t="str">
            <v xml:space="preserve">KAS KANPUS                              </v>
          </cell>
          <cell r="R353" t="str">
            <v>Belum TL</v>
          </cell>
          <cell r="S353" t="str">
            <v>Belum TL</v>
          </cell>
          <cell r="T353" t="str">
            <v>90185537 - Moh.Khoerul Fajar Ar</v>
          </cell>
          <cell r="U353" t="str">
            <v>"-"</v>
          </cell>
        </row>
        <row r="354">
          <cell r="A354">
            <v>46265</v>
          </cell>
          <cell r="B354" t="str">
            <v xml:space="preserve">BINTANG KENCANA MULYA                   </v>
          </cell>
          <cell r="C354" t="str">
            <v>BIQ6512</v>
          </cell>
          <cell r="D354">
            <v>28501002956300</v>
          </cell>
          <cell r="F354" t="str">
            <v>Tidak</v>
          </cell>
          <cell r="G354" t="str">
            <v>Tidak</v>
          </cell>
          <cell r="H354" t="str">
            <v>Tidak</v>
          </cell>
          <cell r="I354" t="str">
            <v>Korupsi - Cash &amp; Amount</v>
          </cell>
          <cell r="J354">
            <v>34</v>
          </cell>
          <cell r="K354" t="str">
            <v>1,2,20</v>
          </cell>
          <cell r="L354" t="str">
            <v>Korupsi</v>
          </cell>
          <cell r="M354" t="str">
            <v>Kas Kanpus</v>
          </cell>
          <cell r="N354" t="str">
            <v>Kas Kanpus</v>
          </cell>
          <cell r="O354" t="str">
            <v>KAS KANPUS</v>
          </cell>
          <cell r="R354" t="str">
            <v>Belum TL</v>
          </cell>
          <cell r="S354" t="str">
            <v>Belum TL</v>
          </cell>
          <cell r="T354" t="str">
            <v>90186790 - Muhammad Alfin Farha</v>
          </cell>
          <cell r="U354" t="str">
            <v>"-"</v>
          </cell>
        </row>
        <row r="355">
          <cell r="A355">
            <v>46265</v>
          </cell>
          <cell r="B355" t="str">
            <v xml:space="preserve">BAK TIE                                 </v>
          </cell>
          <cell r="C355" t="str">
            <v>BIB6704</v>
          </cell>
          <cell r="D355">
            <v>7101025272536</v>
          </cell>
          <cell r="F355" t="str">
            <v>Tidak</v>
          </cell>
          <cell r="G355" t="str">
            <v>Tidak</v>
          </cell>
          <cell r="H355" t="str">
            <v>Tidak</v>
          </cell>
          <cell r="I355" t="str">
            <v>Money Mules</v>
          </cell>
          <cell r="J355">
            <v>27</v>
          </cell>
          <cell r="K355">
            <v>77</v>
          </cell>
          <cell r="L355" t="str">
            <v>Narkotika/Judi Online</v>
          </cell>
          <cell r="M355" t="str">
            <v xml:space="preserve">Kas Kanpus                              </v>
          </cell>
          <cell r="N355" t="str">
            <v xml:space="preserve">Kas Kanpus                              </v>
          </cell>
          <cell r="O355" t="str">
            <v xml:space="preserve">KAS KANPUS                              </v>
          </cell>
          <cell r="R355" t="str">
            <v>Belum TL</v>
          </cell>
          <cell r="S355" t="str">
            <v>Belum TL</v>
          </cell>
          <cell r="T355" t="str">
            <v>00394520 - Frida Akbar Rani</v>
          </cell>
          <cell r="U355" t="str">
            <v>"-"</v>
          </cell>
        </row>
        <row r="356">
          <cell r="A356">
            <v>46265</v>
          </cell>
          <cell r="B356" t="str">
            <v xml:space="preserve">BADAR MAULANA AL BANTANI                </v>
          </cell>
          <cell r="C356" t="str">
            <v>BJH1475</v>
          </cell>
          <cell r="D356">
            <v>731101004058506</v>
          </cell>
          <cell r="F356" t="str">
            <v>Tidak</v>
          </cell>
          <cell r="G356" t="str">
            <v>Tidak</v>
          </cell>
          <cell r="H356" t="str">
            <v>Tidak</v>
          </cell>
          <cell r="I356" t="str">
            <v>Bandar Judol Withdrawal</v>
          </cell>
          <cell r="J356">
            <v>35</v>
          </cell>
          <cell r="K356" t="str">
            <v>86,88,87</v>
          </cell>
          <cell r="L356" t="str">
            <v>Judi Online</v>
          </cell>
          <cell r="M356" t="str">
            <v xml:space="preserve">Kas Kanpus                              </v>
          </cell>
          <cell r="N356" t="str">
            <v xml:space="preserve">Kas Kanpus                              </v>
          </cell>
          <cell r="O356" t="str">
            <v xml:space="preserve">KAS KANPUS                              </v>
          </cell>
          <cell r="R356" t="str">
            <v>Belum TL</v>
          </cell>
          <cell r="S356" t="str">
            <v>Belum TL</v>
          </cell>
          <cell r="T356" t="str">
            <v>90186796 - Devito Arya Wiradila</v>
          </cell>
          <cell r="U356" t="str">
            <v>"-"</v>
          </cell>
        </row>
        <row r="357">
          <cell r="A357">
            <v>46265</v>
          </cell>
          <cell r="B357" t="str">
            <v xml:space="preserve">BUSRO                                   </v>
          </cell>
          <cell r="C357" t="str">
            <v>BJM9587</v>
          </cell>
          <cell r="D357">
            <v>224001023184506</v>
          </cell>
          <cell r="F357" t="str">
            <v>Tidak</v>
          </cell>
          <cell r="G357" t="str">
            <v>Tidak</v>
          </cell>
          <cell r="I357" t="str">
            <v>Jual Beli Rekening - E channel Trx</v>
          </cell>
          <cell r="J357">
            <v>33</v>
          </cell>
          <cell r="K357">
            <v>113</v>
          </cell>
          <cell r="L357" t="str">
            <v>Narkotika/Judi Online/Penipuan</v>
          </cell>
          <cell r="M357" t="str">
            <v xml:space="preserve">KCP KALINYAMATAN                        </v>
          </cell>
          <cell r="N357" t="str">
            <v xml:space="preserve">KC Jepara                               </v>
          </cell>
          <cell r="O357" t="str">
            <v xml:space="preserve">Semarang                                </v>
          </cell>
          <cell r="R357" t="str">
            <v>Belum TL</v>
          </cell>
          <cell r="S357" t="str">
            <v>Belum TL</v>
          </cell>
          <cell r="U357" t="str">
            <v>"-"</v>
          </cell>
        </row>
        <row r="358">
          <cell r="A358">
            <v>46265</v>
          </cell>
          <cell r="B358" t="str">
            <v xml:space="preserve">BRILIAN PRATAMA                         </v>
          </cell>
          <cell r="C358" t="str">
            <v>BJO6090</v>
          </cell>
          <cell r="D358">
            <v>112201001254568</v>
          </cell>
          <cell r="F358" t="str">
            <v>Tidak</v>
          </cell>
          <cell r="G358" t="str">
            <v>Tidak</v>
          </cell>
          <cell r="H358" t="str">
            <v>Tidak</v>
          </cell>
          <cell r="I358" t="str">
            <v>Bandar Judol Depo</v>
          </cell>
          <cell r="J358">
            <v>35</v>
          </cell>
          <cell r="K358" t="str">
            <v>86,74,87</v>
          </cell>
          <cell r="L358" t="str">
            <v>Judi Online</v>
          </cell>
          <cell r="M358" t="str">
            <v xml:space="preserve">Kas Kanpus                              </v>
          </cell>
          <cell r="N358" t="str">
            <v xml:space="preserve">Kas Kanpus                              </v>
          </cell>
          <cell r="O358" t="str">
            <v xml:space="preserve">KAS KANPUS                              </v>
          </cell>
          <cell r="R358" t="str">
            <v>Belum TL</v>
          </cell>
          <cell r="S358" t="str">
            <v>Belum TL</v>
          </cell>
          <cell r="T358" t="str">
            <v>90185538 - Muhammad Fahikal Auz</v>
          </cell>
          <cell r="U358" t="str">
            <v>"-"</v>
          </cell>
        </row>
        <row r="359">
          <cell r="A359">
            <v>46265</v>
          </cell>
          <cell r="B359" t="str">
            <v xml:space="preserve">BUDI INDRIYANTO                         </v>
          </cell>
          <cell r="C359" t="str">
            <v>BJF9913</v>
          </cell>
          <cell r="D359">
            <v>112201000950569</v>
          </cell>
          <cell r="F359" t="str">
            <v>Tidak</v>
          </cell>
          <cell r="G359" t="str">
            <v>Tidak</v>
          </cell>
          <cell r="I359" t="str">
            <v>Jual Beli Rekening - E channel Trx</v>
          </cell>
          <cell r="J359">
            <v>33</v>
          </cell>
          <cell r="K359">
            <v>113</v>
          </cell>
          <cell r="L359" t="str">
            <v>Narkotika/Judi Online/Penipuan</v>
          </cell>
          <cell r="M359" t="str">
            <v xml:space="preserve">KCP TAMAN PALEM                         </v>
          </cell>
          <cell r="N359" t="str">
            <v xml:space="preserve">KC Jakarta Kalideres                    </v>
          </cell>
          <cell r="O359" t="str">
            <v xml:space="preserve">KANWIL JAKARTA 3                        </v>
          </cell>
          <cell r="R359" t="str">
            <v>Belum TL</v>
          </cell>
          <cell r="S359" t="str">
            <v>Belum TL</v>
          </cell>
          <cell r="U359" t="str">
            <v>"-"</v>
          </cell>
        </row>
        <row r="360">
          <cell r="A360">
            <v>46265</v>
          </cell>
          <cell r="B360" t="str">
            <v xml:space="preserve">BAGAS INDRIANTO                         </v>
          </cell>
          <cell r="C360" t="str">
            <v>BJP7183</v>
          </cell>
          <cell r="D360">
            <v>43801073356502</v>
          </cell>
          <cell r="F360" t="str">
            <v>Tidak</v>
          </cell>
          <cell r="G360" t="str">
            <v>Tidak</v>
          </cell>
          <cell r="H360" t="str">
            <v>Tidak</v>
          </cell>
          <cell r="I360" t="str">
            <v>Bandar Judol Withdrawal</v>
          </cell>
          <cell r="J360">
            <v>35</v>
          </cell>
          <cell r="K360" t="str">
            <v>86,88,87</v>
          </cell>
          <cell r="L360" t="str">
            <v>Judi Online</v>
          </cell>
          <cell r="M360" t="str">
            <v xml:space="preserve">Kas Kanpus                              </v>
          </cell>
          <cell r="N360" t="str">
            <v xml:space="preserve">Kas Kanpus                              </v>
          </cell>
          <cell r="O360" t="str">
            <v xml:space="preserve">KAS KANPUS                              </v>
          </cell>
          <cell r="R360" t="str">
            <v>Belum TL</v>
          </cell>
          <cell r="S360" t="str">
            <v>Belum TL</v>
          </cell>
          <cell r="T360" t="str">
            <v>00336949 - Mochammad Al Farabi</v>
          </cell>
          <cell r="U360" t="str">
            <v>"-"</v>
          </cell>
        </row>
        <row r="361">
          <cell r="A361">
            <v>46265</v>
          </cell>
          <cell r="B361" t="str">
            <v xml:space="preserve">BUDI DARMAWAN                           </v>
          </cell>
          <cell r="C361" t="str">
            <v>BJS6242</v>
          </cell>
          <cell r="D361">
            <v>92801004153500</v>
          </cell>
          <cell r="F361" t="str">
            <v>Tidak</v>
          </cell>
          <cell r="G361" t="str">
            <v>Tidak</v>
          </cell>
          <cell r="H361" t="str">
            <v>Tidak</v>
          </cell>
          <cell r="I361" t="str">
            <v>Bandar Judol Withdrawal</v>
          </cell>
          <cell r="J361">
            <v>35</v>
          </cell>
          <cell r="K361" t="str">
            <v>86,88,87</v>
          </cell>
          <cell r="L361" t="str">
            <v>Judi Online</v>
          </cell>
          <cell r="M361" t="str">
            <v xml:space="preserve">Kas Kanpus                              </v>
          </cell>
          <cell r="N361" t="str">
            <v xml:space="preserve">Kas Kanpus                              </v>
          </cell>
          <cell r="O361" t="str">
            <v xml:space="preserve">KAS KANPUS                              </v>
          </cell>
          <cell r="R361" t="str">
            <v>Belum TL</v>
          </cell>
          <cell r="S361" t="str">
            <v>Belum TL</v>
          </cell>
          <cell r="T361" t="str">
            <v>00336949 - Mochammad Al Farabi</v>
          </cell>
          <cell r="U361" t="str">
            <v>"-"</v>
          </cell>
        </row>
        <row r="362">
          <cell r="A362">
            <v>46265</v>
          </cell>
          <cell r="B362" t="str">
            <v xml:space="preserve">BERLIAN PANGAN INDONESIA                </v>
          </cell>
          <cell r="C362" t="str">
            <v>BJT2785</v>
          </cell>
          <cell r="D362">
            <v>38901002567561</v>
          </cell>
          <cell r="F362" t="str">
            <v>Tidak</v>
          </cell>
          <cell r="G362" t="str">
            <v>Tidak</v>
          </cell>
          <cell r="H362" t="str">
            <v>Tidak</v>
          </cell>
          <cell r="I362" t="str">
            <v>Perpajakan</v>
          </cell>
          <cell r="J362">
            <v>33</v>
          </cell>
          <cell r="K362">
            <v>41</v>
          </cell>
          <cell r="L362" t="str">
            <v>Perpajakan</v>
          </cell>
          <cell r="M362" t="str">
            <v xml:space="preserve">KC Bandung Martadinata                  </v>
          </cell>
          <cell r="N362" t="str">
            <v xml:space="preserve">KC Bandung Martadinata                  </v>
          </cell>
          <cell r="O362" t="str">
            <v xml:space="preserve">Bandung                                 </v>
          </cell>
          <cell r="R362" t="str">
            <v>Belum TL</v>
          </cell>
          <cell r="S362" t="str">
            <v>Belum TL</v>
          </cell>
          <cell r="T362" t="str">
            <v>90185538 - Muhammad Fahikal Auz</v>
          </cell>
          <cell r="U362" t="str">
            <v>"-"</v>
          </cell>
        </row>
        <row r="363">
          <cell r="A363">
            <v>46265</v>
          </cell>
          <cell r="B363" t="str">
            <v xml:space="preserve">BILALLUDIN                              </v>
          </cell>
          <cell r="C363" t="str">
            <v>BJT7313</v>
          </cell>
          <cell r="D363">
            <v>6501162617501</v>
          </cell>
          <cell r="F363" t="str">
            <v>Tidak</v>
          </cell>
          <cell r="G363" t="str">
            <v>Tidak</v>
          </cell>
          <cell r="H363" t="str">
            <v>Tidak</v>
          </cell>
          <cell r="I363" t="str">
            <v>Bandar Judol Withdrawal</v>
          </cell>
          <cell r="J363">
            <v>35</v>
          </cell>
          <cell r="K363" t="str">
            <v>86,88,87</v>
          </cell>
          <cell r="L363" t="str">
            <v>Judi Online</v>
          </cell>
          <cell r="M363" t="str">
            <v xml:space="preserve">Kas Kanpus                              </v>
          </cell>
          <cell r="N363" t="str">
            <v xml:space="preserve">Kas Kanpus                              </v>
          </cell>
          <cell r="O363" t="str">
            <v xml:space="preserve">KAS KANPUS                              </v>
          </cell>
          <cell r="R363" t="str">
            <v>Belum TL</v>
          </cell>
          <cell r="S363" t="str">
            <v>Belum TL</v>
          </cell>
          <cell r="T363" t="str">
            <v>00336949 - Mochammad Al Farabi</v>
          </cell>
          <cell r="U363" t="str">
            <v>"-"</v>
          </cell>
        </row>
        <row r="364">
          <cell r="A364">
            <v>46265</v>
          </cell>
          <cell r="B364" t="str">
            <v xml:space="preserve">BETHOVEN                                </v>
          </cell>
          <cell r="C364" t="str">
            <v>BJT9526</v>
          </cell>
          <cell r="D364">
            <v>63301054181502</v>
          </cell>
          <cell r="F364" t="str">
            <v>Tidak</v>
          </cell>
          <cell r="G364" t="str">
            <v>Tidak</v>
          </cell>
          <cell r="H364" t="str">
            <v>Tidak</v>
          </cell>
          <cell r="I364" t="str">
            <v>Money Mules</v>
          </cell>
          <cell r="J364">
            <v>27</v>
          </cell>
          <cell r="K364">
            <v>77</v>
          </cell>
          <cell r="L364" t="str">
            <v>Narkotika/Judi Online</v>
          </cell>
          <cell r="M364" t="str">
            <v xml:space="preserve">Kas Kanpus                              </v>
          </cell>
          <cell r="N364" t="str">
            <v xml:space="preserve">Kas Kanpus                              </v>
          </cell>
          <cell r="O364" t="str">
            <v xml:space="preserve">KAS KANPUS                              </v>
          </cell>
          <cell r="R364" t="str">
            <v>Belum TL</v>
          </cell>
          <cell r="S364" t="str">
            <v>Belum TL</v>
          </cell>
          <cell r="T364" t="str">
            <v>00394521 - Muhammad Hibbanduta</v>
          </cell>
          <cell r="U364" t="str">
            <v>"-"</v>
          </cell>
        </row>
        <row r="365">
          <cell r="A365">
            <v>46265</v>
          </cell>
          <cell r="B365" t="str">
            <v xml:space="preserve">BAYU AJI PRASETIYO                      </v>
          </cell>
          <cell r="C365" t="str">
            <v>BJW1917</v>
          </cell>
          <cell r="D365">
            <v>4401146970507</v>
          </cell>
          <cell r="F365" t="str">
            <v>Tidak</v>
          </cell>
          <cell r="G365" t="str">
            <v>Tidak</v>
          </cell>
          <cell r="H365" t="str">
            <v>Tidak</v>
          </cell>
          <cell r="I365" t="str">
            <v>Bandar Judol Withdrawal</v>
          </cell>
          <cell r="J365">
            <v>35</v>
          </cell>
          <cell r="K365" t="str">
            <v>86,88,87</v>
          </cell>
          <cell r="L365" t="str">
            <v>Judi Online</v>
          </cell>
          <cell r="M365" t="str">
            <v xml:space="preserve">Kas Kanpus                              </v>
          </cell>
          <cell r="N365" t="str">
            <v xml:space="preserve">Kas Kanpus                              </v>
          </cell>
          <cell r="O365" t="str">
            <v xml:space="preserve">KAS KANPUS                              </v>
          </cell>
          <cell r="R365" t="str">
            <v>Belum TL</v>
          </cell>
          <cell r="S365" t="str">
            <v>Belum TL</v>
          </cell>
          <cell r="T365" t="str">
            <v>00336949 - Mochammad Al Farabi</v>
          </cell>
          <cell r="U365" t="str">
            <v>"-"</v>
          </cell>
        </row>
        <row r="366">
          <cell r="A366">
            <v>46265</v>
          </cell>
          <cell r="B366" t="str">
            <v xml:space="preserve">BINA AJI SATRIA                         </v>
          </cell>
          <cell r="C366" t="str">
            <v>BK48204</v>
          </cell>
          <cell r="D366">
            <v>32501124845508</v>
          </cell>
          <cell r="E366" t="str">
            <v>TINGGI</v>
          </cell>
          <cell r="F366" t="str">
            <v>Tidak</v>
          </cell>
          <cell r="G366" t="str">
            <v>Tidak</v>
          </cell>
          <cell r="H366" t="str">
            <v>Tidak</v>
          </cell>
          <cell r="I366" t="str">
            <v>Korupsi - Payroll View</v>
          </cell>
          <cell r="J366">
            <v>78</v>
          </cell>
          <cell r="K366">
            <v>84</v>
          </cell>
          <cell r="L366" t="str">
            <v>Korupsi</v>
          </cell>
          <cell r="M366" t="str">
            <v>Kas Kanpus</v>
          </cell>
          <cell r="N366" t="str">
            <v>Kas Kanpus</v>
          </cell>
          <cell r="O366" t="str">
            <v>KAS KANPUS</v>
          </cell>
          <cell r="R366" t="str">
            <v>Belum TL</v>
          </cell>
          <cell r="S366" t="str">
            <v>Belum TL</v>
          </cell>
          <cell r="T366" t="str">
            <v>00394520 - Frida Akbar Rani</v>
          </cell>
          <cell r="U366" t="str">
            <v>"-"</v>
          </cell>
        </row>
        <row r="367">
          <cell r="A367">
            <v>46265</v>
          </cell>
          <cell r="B367" t="str">
            <v xml:space="preserve">BORNEO AUTOMOTIVE                       </v>
          </cell>
          <cell r="C367" t="str">
            <v>BK70894</v>
          </cell>
          <cell r="D367">
            <v>21301500451156</v>
          </cell>
          <cell r="E367" t="str">
            <v>SEDANG</v>
          </cell>
          <cell r="F367" t="str">
            <v>Tidak</v>
          </cell>
          <cell r="G367" t="str">
            <v>Tidak</v>
          </cell>
          <cell r="H367" t="str">
            <v>Tidak</v>
          </cell>
          <cell r="I367" t="str">
            <v>Korupsi - Loan View</v>
          </cell>
          <cell r="J367">
            <v>48</v>
          </cell>
          <cell r="K367">
            <v>15</v>
          </cell>
          <cell r="L367" t="str">
            <v>Korupsi</v>
          </cell>
          <cell r="M367" t="str">
            <v>Kas Kanpus</v>
          </cell>
          <cell r="N367" t="str">
            <v>Kas Kanpus</v>
          </cell>
          <cell r="O367" t="str">
            <v>KAS KANPUS</v>
          </cell>
          <cell r="R367" t="str">
            <v>Belum TL</v>
          </cell>
          <cell r="S367" t="str">
            <v>Belum TL</v>
          </cell>
          <cell r="T367" t="str">
            <v>00394520 - Frida Akbar Rani</v>
          </cell>
          <cell r="U367" t="str">
            <v>"-"</v>
          </cell>
        </row>
        <row r="368">
          <cell r="A368">
            <v>46265</v>
          </cell>
          <cell r="B368" t="str">
            <v xml:space="preserve">BARATA WIDJAJA                          </v>
          </cell>
          <cell r="C368" t="str">
            <v>BK71787</v>
          </cell>
          <cell r="D368">
            <v>51101001041565</v>
          </cell>
          <cell r="E368" t="str">
            <v>TINGGI</v>
          </cell>
          <cell r="F368" t="str">
            <v>Tidak</v>
          </cell>
          <cell r="G368" t="str">
            <v>Tidak</v>
          </cell>
          <cell r="H368" t="str">
            <v>Tidak</v>
          </cell>
          <cell r="I368" t="str">
            <v>Korupsi - Significant Trx View</v>
          </cell>
          <cell r="J368">
            <v>78</v>
          </cell>
          <cell r="K368">
            <v>1.19</v>
          </cell>
          <cell r="L368" t="str">
            <v>Korupsi</v>
          </cell>
          <cell r="M368" t="str">
            <v>Kas Kanpus</v>
          </cell>
          <cell r="N368" t="str">
            <v>Kas Kanpus</v>
          </cell>
          <cell r="O368" t="str">
            <v>KAS KANPUS</v>
          </cell>
          <cell r="R368" t="str">
            <v>Belum TL</v>
          </cell>
          <cell r="S368" t="str">
            <v>Belum TL</v>
          </cell>
          <cell r="T368" t="str">
            <v>90185538 - Muhammad Fahikal Auz</v>
          </cell>
          <cell r="U368" t="str">
            <v>"-"</v>
          </cell>
        </row>
        <row r="369">
          <cell r="A369">
            <v>46265</v>
          </cell>
          <cell r="B369" t="str">
            <v xml:space="preserve">BUDI IRAWAN                             </v>
          </cell>
          <cell r="C369" t="str">
            <v>BL20453</v>
          </cell>
          <cell r="D369">
            <v>339201014177104</v>
          </cell>
          <cell r="E369" t="str">
            <v>RENDAH</v>
          </cell>
          <cell r="F369" t="str">
            <v>Tidak</v>
          </cell>
          <cell r="G369" t="str">
            <v>Tidak</v>
          </cell>
          <cell r="H369" t="str">
            <v>Tidak</v>
          </cell>
          <cell r="I369" t="str">
            <v>Korupsi - Loan View</v>
          </cell>
          <cell r="J369">
            <v>33</v>
          </cell>
          <cell r="K369">
            <v>15</v>
          </cell>
          <cell r="L369" t="str">
            <v>Korupsi</v>
          </cell>
          <cell r="M369" t="str">
            <v>Kas Kanpus</v>
          </cell>
          <cell r="N369" t="str">
            <v>Kas Kanpus</v>
          </cell>
          <cell r="O369" t="str">
            <v>KAS KANPUS</v>
          </cell>
          <cell r="R369" t="str">
            <v>Belum TL</v>
          </cell>
          <cell r="S369" t="str">
            <v>Belum TL</v>
          </cell>
          <cell r="T369" t="str">
            <v>90150130 - Intan Aida Pratiwi</v>
          </cell>
          <cell r="U369" t="str">
            <v>"-"</v>
          </cell>
        </row>
        <row r="370">
          <cell r="A370">
            <v>46265</v>
          </cell>
          <cell r="B370" t="str">
            <v xml:space="preserve">BINTANG CEMERLANG UTAMA                 </v>
          </cell>
          <cell r="C370" t="str">
            <v>BL68970</v>
          </cell>
          <cell r="D370">
            <v>26101001073301</v>
          </cell>
          <cell r="E370" t="str">
            <v>SEDANG</v>
          </cell>
          <cell r="F370" t="str">
            <v>Tidak</v>
          </cell>
          <cell r="G370" t="str">
            <v>Tidak</v>
          </cell>
          <cell r="H370" t="str">
            <v>Tidak</v>
          </cell>
          <cell r="I370" t="str">
            <v>Perpajakan</v>
          </cell>
          <cell r="J370">
            <v>48</v>
          </cell>
          <cell r="K370">
            <v>41</v>
          </cell>
          <cell r="L370" t="str">
            <v>Perpajakan</v>
          </cell>
          <cell r="M370" t="str">
            <v xml:space="preserve">KC Jakarta Krekot                       </v>
          </cell>
          <cell r="N370" t="str">
            <v xml:space="preserve">KC Jakarta Krekot                       </v>
          </cell>
          <cell r="O370" t="str">
            <v xml:space="preserve">DKI                                     </v>
          </cell>
          <cell r="R370" t="str">
            <v>Belum TL</v>
          </cell>
          <cell r="S370" t="str">
            <v>Belum TL</v>
          </cell>
          <cell r="T370" t="str">
            <v>90185537 - Moh.Khoerul Fajar Ar</v>
          </cell>
          <cell r="U370" t="str">
            <v>"-"</v>
          </cell>
        </row>
        <row r="371">
          <cell r="A371">
            <v>46265</v>
          </cell>
          <cell r="B371" t="str">
            <v xml:space="preserve">BINA SEJAHTERA WARGA BULOG              </v>
          </cell>
          <cell r="C371" t="str">
            <v>BL81109</v>
          </cell>
          <cell r="D371">
            <v>42601000808309</v>
          </cell>
          <cell r="E371" t="str">
            <v>SEDANG</v>
          </cell>
          <cell r="F371" t="str">
            <v>Tidak</v>
          </cell>
          <cell r="G371" t="str">
            <v>Tidak</v>
          </cell>
          <cell r="H371" t="str">
            <v>Tidak</v>
          </cell>
          <cell r="I371" t="str">
            <v>Korupsi - Cash &amp; Amount</v>
          </cell>
          <cell r="J371">
            <v>48</v>
          </cell>
          <cell r="K371" t="str">
            <v>1,2,20</v>
          </cell>
          <cell r="L371" t="str">
            <v>Korupsi</v>
          </cell>
          <cell r="M371" t="str">
            <v>Kas Kanpus</v>
          </cell>
          <cell r="N371" t="str">
            <v>Kas Kanpus</v>
          </cell>
          <cell r="O371" t="str">
            <v>KAS KANPUS</v>
          </cell>
          <cell r="R371" t="str">
            <v>Belum TL</v>
          </cell>
          <cell r="S371" t="str">
            <v>Belum TL</v>
          </cell>
          <cell r="T371" t="str">
            <v>00394521 - Muhammad Hibbanduta</v>
          </cell>
          <cell r="U371" t="str">
            <v>"-"</v>
          </cell>
        </row>
        <row r="372">
          <cell r="A372">
            <v>46265</v>
          </cell>
          <cell r="B372" t="str">
            <v xml:space="preserve">BILLITON HERO SUKSES CEMERLANG          </v>
          </cell>
          <cell r="C372" t="str">
            <v>BM15300</v>
          </cell>
          <cell r="D372">
            <v>13101501070157</v>
          </cell>
          <cell r="E372" t="str">
            <v>SEDANG</v>
          </cell>
          <cell r="F372" t="str">
            <v>Tidak</v>
          </cell>
          <cell r="G372" t="str">
            <v>Tidak</v>
          </cell>
          <cell r="H372" t="str">
            <v>Tidak</v>
          </cell>
          <cell r="I372" t="str">
            <v>Korupsi - Loan View</v>
          </cell>
          <cell r="J372">
            <v>48</v>
          </cell>
          <cell r="K372">
            <v>15</v>
          </cell>
          <cell r="L372" t="str">
            <v>Korupsi</v>
          </cell>
          <cell r="M372" t="str">
            <v>Kas Kanpus</v>
          </cell>
          <cell r="N372" t="str">
            <v>Kas Kanpus</v>
          </cell>
          <cell r="O372" t="str">
            <v>KAS KANPUS</v>
          </cell>
          <cell r="R372" t="str">
            <v>Belum TL</v>
          </cell>
          <cell r="S372" t="str">
            <v>Belum TL</v>
          </cell>
          <cell r="T372" t="str">
            <v>90170665 - Mutiara Ayuningtyas</v>
          </cell>
          <cell r="U372" t="str">
            <v>"-"</v>
          </cell>
        </row>
        <row r="373">
          <cell r="A373">
            <v>46265</v>
          </cell>
          <cell r="B373" t="str">
            <v xml:space="preserve">BERAU KARETINDO LESTARI                 </v>
          </cell>
          <cell r="C373" t="str">
            <v>BN41544</v>
          </cell>
          <cell r="D373">
            <v>21301000695307</v>
          </cell>
          <cell r="E373" t="str">
            <v>SEDANG</v>
          </cell>
          <cell r="F373" t="str">
            <v>Tidak</v>
          </cell>
          <cell r="G373" t="str">
            <v>Tidak</v>
          </cell>
          <cell r="H373" t="str">
            <v>Tidak</v>
          </cell>
          <cell r="I373" t="str">
            <v>Korupsi - Cash &amp; Amount</v>
          </cell>
          <cell r="J373">
            <v>48</v>
          </cell>
          <cell r="K373" t="str">
            <v>1,2,20</v>
          </cell>
          <cell r="L373" t="str">
            <v>Korupsi</v>
          </cell>
          <cell r="M373" t="str">
            <v>Kas Kanpus</v>
          </cell>
          <cell r="N373" t="str">
            <v>Kas Kanpus</v>
          </cell>
          <cell r="O373" t="str">
            <v>KAS KANPUS</v>
          </cell>
          <cell r="R373" t="str">
            <v>Belum TL</v>
          </cell>
          <cell r="S373" t="str">
            <v>Belum TL</v>
          </cell>
          <cell r="T373" t="str">
            <v>90186796 - Devito Arya Wiradila</v>
          </cell>
          <cell r="U373" t="str">
            <v>"-"</v>
          </cell>
        </row>
        <row r="374">
          <cell r="A374">
            <v>46265</v>
          </cell>
          <cell r="B374" t="str">
            <v xml:space="preserve">BERTHA MUTIA VIMANDA                    </v>
          </cell>
          <cell r="C374" t="str">
            <v>BN56519</v>
          </cell>
          <cell r="D374">
            <v>44001003068560</v>
          </cell>
          <cell r="E374" t="str">
            <v>SEDANG</v>
          </cell>
          <cell r="F374" t="str">
            <v>Tidak</v>
          </cell>
          <cell r="G374" t="str">
            <v>Tidak</v>
          </cell>
          <cell r="H374" t="str">
            <v>Tidak</v>
          </cell>
          <cell r="I374" t="str">
            <v>Bandar Judol Withdrawal</v>
          </cell>
          <cell r="J374">
            <v>50</v>
          </cell>
          <cell r="K374" t="str">
            <v>86,88,87</v>
          </cell>
          <cell r="L374" t="str">
            <v>Judi Online</v>
          </cell>
          <cell r="M374" t="str">
            <v xml:space="preserve">Kas Kanpus                              </v>
          </cell>
          <cell r="N374" t="str">
            <v xml:space="preserve">Kas Kanpus                              </v>
          </cell>
          <cell r="O374" t="str">
            <v xml:space="preserve">KAS KANPUS                              </v>
          </cell>
          <cell r="R374" t="str">
            <v>Belum TL</v>
          </cell>
          <cell r="S374" t="str">
            <v>Belum TL</v>
          </cell>
          <cell r="T374" t="str">
            <v>00336949 - Mochammad Al Farabi</v>
          </cell>
          <cell r="U374" t="str">
            <v>"-"</v>
          </cell>
        </row>
        <row r="375">
          <cell r="A375">
            <v>46265</v>
          </cell>
          <cell r="B375" t="str">
            <v xml:space="preserve">BAKTIAR HARAHAP                         </v>
          </cell>
          <cell r="C375" t="str">
            <v>BP21968</v>
          </cell>
          <cell r="D375">
            <v>11301161679505</v>
          </cell>
          <cell r="E375" t="str">
            <v>SEDANG</v>
          </cell>
          <cell r="F375" t="str">
            <v>Tidak</v>
          </cell>
          <cell r="G375" t="str">
            <v>Tidak</v>
          </cell>
          <cell r="H375" t="str">
            <v>Tidak</v>
          </cell>
          <cell r="I375" t="str">
            <v>Bandar Judol Withdrawal</v>
          </cell>
          <cell r="J375">
            <v>50</v>
          </cell>
          <cell r="K375" t="str">
            <v>86,88,87</v>
          </cell>
          <cell r="L375" t="str">
            <v>Judi Online</v>
          </cell>
          <cell r="M375" t="str">
            <v xml:space="preserve">Kas Kanpus                              </v>
          </cell>
          <cell r="N375" t="str">
            <v xml:space="preserve">Kas Kanpus                              </v>
          </cell>
          <cell r="O375" t="str">
            <v xml:space="preserve">KAS KANPUS                              </v>
          </cell>
          <cell r="R375" t="str">
            <v>Belum TL</v>
          </cell>
          <cell r="S375" t="str">
            <v>Belum TL</v>
          </cell>
          <cell r="T375" t="str">
            <v>90170665 - Mutiara Ayuningtyas</v>
          </cell>
          <cell r="U375" t="str">
            <v>"-"</v>
          </cell>
        </row>
        <row r="376">
          <cell r="A376">
            <v>46265</v>
          </cell>
          <cell r="B376" t="str">
            <v xml:space="preserve">BARITA SEPTIAN SIMANJUNTAK              </v>
          </cell>
          <cell r="C376" t="str">
            <v>BQ51888</v>
          </cell>
          <cell r="D376">
            <v>36201010582103</v>
          </cell>
          <cell r="E376" t="str">
            <v>SEDANG</v>
          </cell>
          <cell r="F376" t="str">
            <v>Tidak</v>
          </cell>
          <cell r="G376" t="str">
            <v>Tidak</v>
          </cell>
          <cell r="H376" t="str">
            <v>Tidak</v>
          </cell>
          <cell r="I376" t="str">
            <v>Korupsi - Loan View</v>
          </cell>
          <cell r="J376">
            <v>48</v>
          </cell>
          <cell r="K376">
            <v>15</v>
          </cell>
          <cell r="L376" t="str">
            <v>Korupsi</v>
          </cell>
          <cell r="M376" t="str">
            <v>Kas Kanpus</v>
          </cell>
          <cell r="N376" t="str">
            <v>Kas Kanpus</v>
          </cell>
          <cell r="O376" t="str">
            <v>KAS KANPUS</v>
          </cell>
          <cell r="R376" t="str">
            <v>Belum TL</v>
          </cell>
          <cell r="S376" t="str">
            <v>Belum TL</v>
          </cell>
          <cell r="T376" t="str">
            <v>00394520 - Frida Akbar Rani</v>
          </cell>
          <cell r="U376" t="str">
            <v>"-"</v>
          </cell>
        </row>
        <row r="377">
          <cell r="A377">
            <v>46265</v>
          </cell>
          <cell r="B377" t="str">
            <v xml:space="preserve">BOVIE DEVIE WATUNG                      </v>
          </cell>
          <cell r="C377" t="str">
            <v>BR11348</v>
          </cell>
          <cell r="D377">
            <v>3601032773107</v>
          </cell>
          <cell r="E377" t="str">
            <v>RENDAH</v>
          </cell>
          <cell r="F377" t="str">
            <v>Tidak</v>
          </cell>
          <cell r="G377" t="str">
            <v>Tidak</v>
          </cell>
          <cell r="H377" t="str">
            <v>Tidak</v>
          </cell>
          <cell r="I377" t="str">
            <v>Korupsi - Loan View</v>
          </cell>
          <cell r="J377">
            <v>33</v>
          </cell>
          <cell r="K377">
            <v>15</v>
          </cell>
          <cell r="L377" t="str">
            <v>Korupsi</v>
          </cell>
          <cell r="M377" t="str">
            <v>Kas Kanpus</v>
          </cell>
          <cell r="N377" t="str">
            <v>Kas Kanpus</v>
          </cell>
          <cell r="O377" t="str">
            <v>KAS KANPUS</v>
          </cell>
          <cell r="R377" t="str">
            <v>Belum TL</v>
          </cell>
          <cell r="S377" t="str">
            <v>Belum TL</v>
          </cell>
          <cell r="T377" t="str">
            <v>90170665 - Mutiara Ayuningtyas</v>
          </cell>
          <cell r="U377" t="str">
            <v>"-"</v>
          </cell>
        </row>
        <row r="378">
          <cell r="A378">
            <v>46265</v>
          </cell>
          <cell r="B378" t="str">
            <v>PERUSAHAAN PERDAGANGAN INDONESIA Persero</v>
          </cell>
          <cell r="C378" t="str">
            <v>BT54873</v>
          </cell>
          <cell r="D378">
            <v>32901500635153</v>
          </cell>
          <cell r="E378" t="str">
            <v>TINGGI</v>
          </cell>
          <cell r="F378" t="str">
            <v>Tidak</v>
          </cell>
          <cell r="G378" t="str">
            <v>Tidak</v>
          </cell>
          <cell r="H378" t="str">
            <v>Tidak</v>
          </cell>
          <cell r="I378" t="str">
            <v>Korupsi - Loan View</v>
          </cell>
          <cell r="J378">
            <v>63</v>
          </cell>
          <cell r="K378">
            <v>15</v>
          </cell>
          <cell r="L378" t="str">
            <v>Korupsi</v>
          </cell>
          <cell r="M378" t="str">
            <v>Kas Kanpus</v>
          </cell>
          <cell r="N378" t="str">
            <v>Kas Kanpus</v>
          </cell>
          <cell r="O378" t="str">
            <v>KAS KANPUS</v>
          </cell>
          <cell r="R378" t="str">
            <v>Belum TL</v>
          </cell>
          <cell r="S378" t="str">
            <v>Belum TL</v>
          </cell>
          <cell r="T378" t="str">
            <v>90185538 - Muhammad Fahikal Auz</v>
          </cell>
          <cell r="U378" t="str">
            <v>"-"</v>
          </cell>
        </row>
        <row r="379">
          <cell r="A379">
            <v>46265</v>
          </cell>
          <cell r="B379" t="str">
            <v xml:space="preserve">BATAM CAHAYA ASIA                       </v>
          </cell>
          <cell r="C379" t="str">
            <v>BY21008</v>
          </cell>
          <cell r="D379">
            <v>65901000544300</v>
          </cell>
          <cell r="E379" t="str">
            <v>TINGGI</v>
          </cell>
          <cell r="F379" t="str">
            <v>Tidak</v>
          </cell>
          <cell r="G379" t="str">
            <v>Tidak</v>
          </cell>
          <cell r="H379" t="str">
            <v>Tidak</v>
          </cell>
          <cell r="I379" t="str">
            <v>Perpajakan</v>
          </cell>
          <cell r="J379">
            <v>65</v>
          </cell>
          <cell r="K379">
            <v>1.33</v>
          </cell>
          <cell r="L379" t="str">
            <v>Perpajakan</v>
          </cell>
          <cell r="M379" t="str">
            <v xml:space="preserve">KCP AVIARI                              </v>
          </cell>
          <cell r="N379" t="str">
            <v xml:space="preserve">KC Batam Center                         </v>
          </cell>
          <cell r="O379" t="str">
            <v xml:space="preserve">KANWIL PEKANBARU                        </v>
          </cell>
          <cell r="R379" t="str">
            <v>Belum TL</v>
          </cell>
          <cell r="S379" t="str">
            <v>Belum TL</v>
          </cell>
          <cell r="T379" t="str">
            <v>90185537 - Moh.Khoerul Fajar Ar</v>
          </cell>
          <cell r="U379" t="str">
            <v>"-"</v>
          </cell>
        </row>
        <row r="380">
          <cell r="A380">
            <v>46265</v>
          </cell>
          <cell r="B380" t="str">
            <v xml:space="preserve">BAYU SENJA PRATAMA                      </v>
          </cell>
          <cell r="C380" t="str">
            <v>BY25976</v>
          </cell>
          <cell r="D380">
            <v>41901056142506</v>
          </cell>
          <cell r="E380" t="str">
            <v>SEDANG</v>
          </cell>
          <cell r="F380" t="str">
            <v>Tidak</v>
          </cell>
          <cell r="G380" t="str">
            <v>Tidak</v>
          </cell>
          <cell r="H380" t="str">
            <v>Tidak</v>
          </cell>
          <cell r="I380" t="str">
            <v>Bandar Judol Depo</v>
          </cell>
          <cell r="J380">
            <v>50</v>
          </cell>
          <cell r="K380" t="str">
            <v>86,74,87</v>
          </cell>
          <cell r="L380" t="str">
            <v>Judi Online</v>
          </cell>
          <cell r="M380" t="str">
            <v xml:space="preserve">Kas Kanpus                              </v>
          </cell>
          <cell r="N380" t="str">
            <v xml:space="preserve">Kas Kanpus                              </v>
          </cell>
          <cell r="O380" t="str">
            <v xml:space="preserve">KAS KANPUS                              </v>
          </cell>
          <cell r="R380" t="str">
            <v>Belum TL</v>
          </cell>
          <cell r="S380" t="str">
            <v>Belum TL</v>
          </cell>
          <cell r="T380" t="str">
            <v>90185537 - Moh.Khoerul Fajar Ar</v>
          </cell>
          <cell r="U380" t="str">
            <v>"-"</v>
          </cell>
        </row>
        <row r="381">
          <cell r="A381">
            <v>46265</v>
          </cell>
          <cell r="B381" t="str">
            <v xml:space="preserve">CARTA                                   </v>
          </cell>
          <cell r="C381" t="str">
            <v>C029382</v>
          </cell>
          <cell r="D381">
            <v>7601045099502</v>
          </cell>
          <cell r="E381" t="str">
            <v>SEDANG</v>
          </cell>
          <cell r="F381" t="str">
            <v>Tidak</v>
          </cell>
          <cell r="G381" t="str">
            <v>Tidak</v>
          </cell>
          <cell r="H381" t="str">
            <v>Tidak</v>
          </cell>
          <cell r="I381" t="str">
            <v>Korupsi - Payroll View</v>
          </cell>
          <cell r="J381">
            <v>55</v>
          </cell>
          <cell r="K381">
            <v>84</v>
          </cell>
          <cell r="L381" t="str">
            <v>Korupsi</v>
          </cell>
          <cell r="M381" t="str">
            <v>Kas Kanpus</v>
          </cell>
          <cell r="N381" t="str">
            <v>Kas Kanpus</v>
          </cell>
          <cell r="O381" t="str">
            <v>KAS KANPUS</v>
          </cell>
          <cell r="R381" t="str">
            <v>Belum TL</v>
          </cell>
          <cell r="S381" t="str">
            <v>Belum TL</v>
          </cell>
          <cell r="T381" t="str">
            <v>90150130 - Intan Aida Pratiwi</v>
          </cell>
          <cell r="U381" t="str">
            <v>"-"</v>
          </cell>
        </row>
        <row r="382">
          <cell r="A382">
            <v>46265</v>
          </cell>
          <cell r="B382" t="str">
            <v xml:space="preserve">CINTA RAJA                              </v>
          </cell>
          <cell r="C382" t="str">
            <v>C060929</v>
          </cell>
          <cell r="D382">
            <v>69401888333569</v>
          </cell>
          <cell r="E382" t="str">
            <v>TINGGI</v>
          </cell>
          <cell r="F382" t="str">
            <v>Tidak</v>
          </cell>
          <cell r="G382" t="str">
            <v>Tidak</v>
          </cell>
          <cell r="H382" t="str">
            <v>Tidak</v>
          </cell>
          <cell r="I382" t="str">
            <v>Perpajakan</v>
          </cell>
          <cell r="J382">
            <v>63</v>
          </cell>
          <cell r="K382">
            <v>1.33</v>
          </cell>
          <cell r="L382" t="str">
            <v>Perpajakan</v>
          </cell>
          <cell r="M382" t="str">
            <v xml:space="preserve">KCP KRAKATAU MEDAN                      </v>
          </cell>
          <cell r="N382" t="str">
            <v xml:space="preserve">KC Medan Putri Hijau                    </v>
          </cell>
          <cell r="O382" t="str">
            <v xml:space="preserve">Medan                                   </v>
          </cell>
          <cell r="R382" t="str">
            <v>Belum TL</v>
          </cell>
          <cell r="S382" t="str">
            <v>Belum TL</v>
          </cell>
          <cell r="T382" t="str">
            <v>90185538 - Muhammad Fahikal Auz</v>
          </cell>
          <cell r="U382" t="str">
            <v>"-"</v>
          </cell>
        </row>
        <row r="383">
          <cell r="A383">
            <v>46265</v>
          </cell>
          <cell r="B383" t="str">
            <v xml:space="preserve">BERCA INDONESIA                         </v>
          </cell>
          <cell r="C383" t="str">
            <v>BX43053</v>
          </cell>
          <cell r="D383">
            <v>37602000159305</v>
          </cell>
          <cell r="E383" t="str">
            <v>SEDANG</v>
          </cell>
          <cell r="F383" t="str">
            <v>Tidak</v>
          </cell>
          <cell r="G383" t="str">
            <v>Tidak</v>
          </cell>
          <cell r="H383" t="str">
            <v>Tidak</v>
          </cell>
          <cell r="I383" t="str">
            <v>Perpajakan</v>
          </cell>
          <cell r="J383">
            <v>50</v>
          </cell>
          <cell r="K383">
            <v>41</v>
          </cell>
          <cell r="L383" t="str">
            <v>Perpajakan</v>
          </cell>
          <cell r="M383" t="str">
            <v xml:space="preserve">KC Jakarta Sudirman 1                   </v>
          </cell>
          <cell r="N383" t="str">
            <v xml:space="preserve">KC Jakarta Sudirman 1                   </v>
          </cell>
          <cell r="O383" t="str">
            <v xml:space="preserve">DKI2                                    </v>
          </cell>
          <cell r="R383" t="str">
            <v>Belum TL</v>
          </cell>
          <cell r="S383" t="str">
            <v>Belum TL</v>
          </cell>
          <cell r="T383" t="str">
            <v>90186790 - Muhammad Alfin Farha</v>
          </cell>
          <cell r="U383" t="str">
            <v>"-"</v>
          </cell>
        </row>
        <row r="384">
          <cell r="A384">
            <v>46265</v>
          </cell>
          <cell r="B384" t="str">
            <v xml:space="preserve">CHRISTIAN ERWIN I                       </v>
          </cell>
          <cell r="C384" t="str">
            <v>C154231</v>
          </cell>
          <cell r="D384">
            <v>5101053485107</v>
          </cell>
          <cell r="E384" t="str">
            <v>RENDAH</v>
          </cell>
          <cell r="F384" t="str">
            <v>Tidak</v>
          </cell>
          <cell r="G384" t="str">
            <v>Tidak</v>
          </cell>
          <cell r="H384" t="str">
            <v>Tidak</v>
          </cell>
          <cell r="I384" t="str">
            <v>Korupsi - Loan View</v>
          </cell>
          <cell r="J384">
            <v>33</v>
          </cell>
          <cell r="K384">
            <v>15</v>
          </cell>
          <cell r="L384" t="str">
            <v>Korupsi</v>
          </cell>
          <cell r="M384" t="str">
            <v>Kas Kanpus</v>
          </cell>
          <cell r="N384" t="str">
            <v>Kas Kanpus</v>
          </cell>
          <cell r="O384" t="str">
            <v>KAS KANPUS</v>
          </cell>
          <cell r="R384" t="str">
            <v>Belum TL</v>
          </cell>
          <cell r="S384" t="str">
            <v>Belum TL</v>
          </cell>
          <cell r="T384" t="str">
            <v>90186796 - Devito Arya Wiradila</v>
          </cell>
          <cell r="U384" t="str">
            <v>"-"</v>
          </cell>
        </row>
        <row r="385">
          <cell r="A385">
            <v>46265</v>
          </cell>
          <cell r="B385" t="str">
            <v xml:space="preserve">CULTURE MANDIRI                         </v>
          </cell>
          <cell r="C385" t="str">
            <v>C516213</v>
          </cell>
          <cell r="D385">
            <v>200301000306157</v>
          </cell>
          <cell r="E385" t="str">
            <v>SEDANG</v>
          </cell>
          <cell r="F385" t="str">
            <v>Tidak</v>
          </cell>
          <cell r="G385" t="str">
            <v>Tidak</v>
          </cell>
          <cell r="H385" t="str">
            <v>Tidak</v>
          </cell>
          <cell r="I385" t="str">
            <v>Korupsi - Loan View</v>
          </cell>
          <cell r="J385">
            <v>48</v>
          </cell>
          <cell r="K385">
            <v>15</v>
          </cell>
          <cell r="L385" t="str">
            <v>Korupsi</v>
          </cell>
          <cell r="M385" t="str">
            <v>Kas Kanpus</v>
          </cell>
          <cell r="N385" t="str">
            <v>Kas Kanpus</v>
          </cell>
          <cell r="O385" t="str">
            <v>KAS KANPUS</v>
          </cell>
          <cell r="R385" t="str">
            <v>Belum TL</v>
          </cell>
          <cell r="S385" t="str">
            <v>Belum TL</v>
          </cell>
          <cell r="T385" t="str">
            <v>90185537 - Moh.Khoerul Fajar Ar</v>
          </cell>
          <cell r="U385" t="str">
            <v>"-"</v>
          </cell>
        </row>
        <row r="386">
          <cell r="A386">
            <v>46265</v>
          </cell>
          <cell r="B386" t="str">
            <v xml:space="preserve">C SIBURIAN                              </v>
          </cell>
          <cell r="C386" t="str">
            <v>C525350</v>
          </cell>
          <cell r="D386">
            <v>15001002928300</v>
          </cell>
          <cell r="E386" t="str">
            <v>SEDANG</v>
          </cell>
          <cell r="F386" t="str">
            <v>Tidak</v>
          </cell>
          <cell r="G386" t="str">
            <v>Tidak</v>
          </cell>
          <cell r="H386" t="str">
            <v>Tidak</v>
          </cell>
          <cell r="I386" t="str">
            <v>Korupsi - Cash &amp; Amount</v>
          </cell>
          <cell r="J386">
            <v>58</v>
          </cell>
          <cell r="K386" t="str">
            <v>1,2,20</v>
          </cell>
          <cell r="L386" t="str">
            <v>Korupsi</v>
          </cell>
          <cell r="M386" t="str">
            <v>Kas Kanpus</v>
          </cell>
          <cell r="N386" t="str">
            <v>Kas Kanpus</v>
          </cell>
          <cell r="O386" t="str">
            <v>KAS KANPUS</v>
          </cell>
          <cell r="R386" t="str">
            <v>Belum TL</v>
          </cell>
          <cell r="S386" t="str">
            <v>Belum TL</v>
          </cell>
          <cell r="T386" t="str">
            <v>90185537 - Moh.Khoerul Fajar Ar</v>
          </cell>
          <cell r="U386" t="str">
            <v>"-"</v>
          </cell>
        </row>
        <row r="387">
          <cell r="A387">
            <v>46265</v>
          </cell>
          <cell r="B387" t="str">
            <v xml:space="preserve">CV MULTI WAHANA AGRO                    </v>
          </cell>
          <cell r="C387" t="str">
            <v>C752432</v>
          </cell>
          <cell r="D387">
            <v>35701503870151</v>
          </cell>
          <cell r="E387" t="str">
            <v>SEDANG</v>
          </cell>
          <cell r="F387" t="str">
            <v>Tidak</v>
          </cell>
          <cell r="G387" t="str">
            <v>Tidak</v>
          </cell>
          <cell r="H387" t="str">
            <v>Tidak</v>
          </cell>
          <cell r="I387" t="str">
            <v>Korupsi - Loan View</v>
          </cell>
          <cell r="J387">
            <v>48</v>
          </cell>
          <cell r="K387">
            <v>15</v>
          </cell>
          <cell r="L387" t="str">
            <v>Korupsi</v>
          </cell>
          <cell r="M387" t="str">
            <v>Kas Kanpus</v>
          </cell>
          <cell r="N387" t="str">
            <v>Kas Kanpus</v>
          </cell>
          <cell r="O387" t="str">
            <v>KAS KANPUS</v>
          </cell>
          <cell r="R387" t="str">
            <v>Belum TL</v>
          </cell>
          <cell r="S387" t="str">
            <v>Belum TL</v>
          </cell>
          <cell r="T387" t="str">
            <v>90186796 - Devito Arya Wiradila</v>
          </cell>
          <cell r="U387" t="str">
            <v>"-"</v>
          </cell>
        </row>
        <row r="388">
          <cell r="A388">
            <v>46265</v>
          </cell>
          <cell r="B388" t="str">
            <v xml:space="preserve">CV GUMELANG JAYA                        </v>
          </cell>
          <cell r="C388" t="str">
            <v>C850795</v>
          </cell>
          <cell r="D388">
            <v>7401501636153</v>
          </cell>
          <cell r="E388" t="str">
            <v>SEDANG</v>
          </cell>
          <cell r="F388" t="str">
            <v>Tidak</v>
          </cell>
          <cell r="G388" t="str">
            <v>Tidak</v>
          </cell>
          <cell r="H388" t="str">
            <v>Tidak</v>
          </cell>
          <cell r="I388" t="str">
            <v>Korupsi - Loan View</v>
          </cell>
          <cell r="J388">
            <v>48</v>
          </cell>
          <cell r="K388">
            <v>15</v>
          </cell>
          <cell r="L388" t="str">
            <v>Korupsi</v>
          </cell>
          <cell r="M388" t="str">
            <v>Kas Kanpus</v>
          </cell>
          <cell r="N388" t="str">
            <v>Kas Kanpus</v>
          </cell>
          <cell r="O388" t="str">
            <v>KAS KANPUS</v>
          </cell>
          <cell r="R388" t="str">
            <v>Belum TL</v>
          </cell>
          <cell r="S388" t="str">
            <v>Belum TL</v>
          </cell>
          <cell r="T388" t="str">
            <v>90171841 - Rifqi Aziz</v>
          </cell>
          <cell r="U388" t="str">
            <v>"-"</v>
          </cell>
        </row>
        <row r="389">
          <cell r="A389">
            <v>46265</v>
          </cell>
          <cell r="B389" t="str">
            <v xml:space="preserve">CV KARUNIA ALAM ABADI                   </v>
          </cell>
          <cell r="C389" t="str">
            <v>C916502</v>
          </cell>
          <cell r="D389">
            <v>11101502582151</v>
          </cell>
          <cell r="E389" t="str">
            <v>SEDANG</v>
          </cell>
          <cell r="F389" t="str">
            <v>Tidak</v>
          </cell>
          <cell r="G389" t="str">
            <v>Tidak</v>
          </cell>
          <cell r="H389" t="str">
            <v>Tidak</v>
          </cell>
          <cell r="I389" t="str">
            <v>Korupsi - Loan View</v>
          </cell>
          <cell r="J389">
            <v>48</v>
          </cell>
          <cell r="K389">
            <v>15</v>
          </cell>
          <cell r="L389" t="str">
            <v>Korupsi</v>
          </cell>
          <cell r="M389" t="str">
            <v>Kas Kanpus</v>
          </cell>
          <cell r="N389" t="str">
            <v>Kas Kanpus</v>
          </cell>
          <cell r="O389" t="str">
            <v>KAS KANPUS</v>
          </cell>
          <cell r="R389" t="str">
            <v>Belum TL</v>
          </cell>
          <cell r="S389" t="str">
            <v>Belum TL</v>
          </cell>
          <cell r="T389" t="str">
            <v>00336949 - Mochammad Al Farabi</v>
          </cell>
          <cell r="U389" t="str">
            <v>"-"</v>
          </cell>
        </row>
        <row r="390">
          <cell r="A390">
            <v>46265</v>
          </cell>
          <cell r="B390" t="str">
            <v xml:space="preserve">CHARLES TOGATOROP                       </v>
          </cell>
          <cell r="C390" t="str">
            <v>C977595</v>
          </cell>
          <cell r="D390">
            <v>61901001095302</v>
          </cell>
          <cell r="E390" t="str">
            <v>TINGGI</v>
          </cell>
          <cell r="F390" t="str">
            <v>Tidak</v>
          </cell>
          <cell r="G390" t="str">
            <v>Tidak</v>
          </cell>
          <cell r="H390" t="str">
            <v>Tidak</v>
          </cell>
          <cell r="I390" t="str">
            <v>Perpajakan</v>
          </cell>
          <cell r="J390">
            <v>73</v>
          </cell>
          <cell r="K390">
            <v>1.33</v>
          </cell>
          <cell r="L390" t="str">
            <v>Perpajakan</v>
          </cell>
          <cell r="M390" t="str">
            <v xml:space="preserve">KC Bagan Batu                           </v>
          </cell>
          <cell r="N390" t="str">
            <v xml:space="preserve">KC Bagan Batu                           </v>
          </cell>
          <cell r="O390" t="str">
            <v xml:space="preserve">KANWIL PEKANBARU                        </v>
          </cell>
          <cell r="R390" t="str">
            <v>Belum TL</v>
          </cell>
          <cell r="S390" t="str">
            <v>Belum TL</v>
          </cell>
          <cell r="T390" t="str">
            <v>00336949 - Mochammad Al Farabi</v>
          </cell>
          <cell r="U390" t="str">
            <v>"-"</v>
          </cell>
        </row>
        <row r="391">
          <cell r="A391">
            <v>46265</v>
          </cell>
          <cell r="B391" t="str">
            <v xml:space="preserve">CATTLEYA DIANLESTARI                    </v>
          </cell>
          <cell r="C391" t="str">
            <v>CA11810</v>
          </cell>
          <cell r="D391">
            <v>38601076223503</v>
          </cell>
          <cell r="E391" t="str">
            <v>TINGGI</v>
          </cell>
          <cell r="F391" t="str">
            <v>Tidak</v>
          </cell>
          <cell r="G391" t="str">
            <v>Tidak</v>
          </cell>
          <cell r="H391" t="str">
            <v>Tidak</v>
          </cell>
          <cell r="I391" t="str">
            <v>Korupsi - Significant Trx View</v>
          </cell>
          <cell r="J391">
            <v>83</v>
          </cell>
          <cell r="K391">
            <v>1.19</v>
          </cell>
          <cell r="L391" t="str">
            <v>Korupsi</v>
          </cell>
          <cell r="M391" t="str">
            <v>Kas Kanpus</v>
          </cell>
          <cell r="N391" t="str">
            <v>Kas Kanpus</v>
          </cell>
          <cell r="O391" t="str">
            <v>KAS KANPUS</v>
          </cell>
          <cell r="R391" t="str">
            <v>Belum TL</v>
          </cell>
          <cell r="S391" t="str">
            <v>Belum TL</v>
          </cell>
          <cell r="T391" t="str">
            <v>90186796 - Devito Arya Wiradila</v>
          </cell>
          <cell r="U391" t="str">
            <v>"-"</v>
          </cell>
        </row>
        <row r="392">
          <cell r="A392">
            <v>46265</v>
          </cell>
          <cell r="B392" t="str">
            <v xml:space="preserve">CITRA MARLABA ABADI                     </v>
          </cell>
          <cell r="C392" t="str">
            <v>CA23123</v>
          </cell>
          <cell r="D392">
            <v>33201501007154</v>
          </cell>
          <cell r="E392" t="str">
            <v>SEDANG</v>
          </cell>
          <cell r="F392" t="str">
            <v>Tidak</v>
          </cell>
          <cell r="G392" t="str">
            <v>Tidak</v>
          </cell>
          <cell r="H392" t="str">
            <v>Tidak</v>
          </cell>
          <cell r="I392" t="str">
            <v>Korupsi - Loan View</v>
          </cell>
          <cell r="J392">
            <v>48</v>
          </cell>
          <cell r="K392">
            <v>15</v>
          </cell>
          <cell r="L392" t="str">
            <v>Korupsi</v>
          </cell>
          <cell r="M392" t="str">
            <v>Kas Kanpus</v>
          </cell>
          <cell r="N392" t="str">
            <v>Kas Kanpus</v>
          </cell>
          <cell r="O392" t="str">
            <v>KAS KANPUS</v>
          </cell>
          <cell r="R392" t="str">
            <v>Belum TL</v>
          </cell>
          <cell r="S392" t="str">
            <v>Belum TL</v>
          </cell>
          <cell r="T392" t="str">
            <v>90185537 - Moh.Khoerul Fajar Ar</v>
          </cell>
          <cell r="U392" t="str">
            <v>"-"</v>
          </cell>
        </row>
        <row r="393">
          <cell r="A393">
            <v>46265</v>
          </cell>
          <cell r="B393" t="str">
            <v xml:space="preserve">CV ALAM DAMAI                           </v>
          </cell>
          <cell r="C393" t="str">
            <v>CA58654</v>
          </cell>
          <cell r="D393">
            <v>16701503349157</v>
          </cell>
          <cell r="E393" t="str">
            <v>SEDANG</v>
          </cell>
          <cell r="F393" t="str">
            <v>Tidak</v>
          </cell>
          <cell r="G393" t="str">
            <v>Tidak</v>
          </cell>
          <cell r="H393" t="str">
            <v>Tidak</v>
          </cell>
          <cell r="I393" t="str">
            <v>Korupsi - Loan View</v>
          </cell>
          <cell r="J393">
            <v>48</v>
          </cell>
          <cell r="K393">
            <v>15</v>
          </cell>
          <cell r="L393" t="str">
            <v>Korupsi</v>
          </cell>
          <cell r="M393" t="str">
            <v>Kas Kanpus</v>
          </cell>
          <cell r="N393" t="str">
            <v>Kas Kanpus</v>
          </cell>
          <cell r="O393" t="str">
            <v>KAS KANPUS</v>
          </cell>
          <cell r="R393" t="str">
            <v>Belum TL</v>
          </cell>
          <cell r="S393" t="str">
            <v>Belum TL</v>
          </cell>
          <cell r="T393" t="str">
            <v>00336949 - Mochammad Al Farabi</v>
          </cell>
          <cell r="U393" t="str">
            <v>"-"</v>
          </cell>
        </row>
        <row r="394">
          <cell r="A394">
            <v>46265</v>
          </cell>
          <cell r="B394" t="str">
            <v xml:space="preserve">CV RIZQY MAJU MAKMUR SEJAHTERA          </v>
          </cell>
          <cell r="C394" t="str">
            <v>CA62663</v>
          </cell>
          <cell r="D394">
            <v>6501001303308</v>
          </cell>
          <cell r="E394" t="str">
            <v>SEDANG</v>
          </cell>
          <cell r="F394" t="str">
            <v>Tidak</v>
          </cell>
          <cell r="G394" t="str">
            <v>Tidak</v>
          </cell>
          <cell r="H394" t="str">
            <v>Tidak</v>
          </cell>
          <cell r="I394" t="str">
            <v>Perpajakan</v>
          </cell>
          <cell r="J394">
            <v>50</v>
          </cell>
          <cell r="K394">
            <v>41</v>
          </cell>
          <cell r="L394" t="str">
            <v>Perpajakan</v>
          </cell>
          <cell r="M394" t="str">
            <v xml:space="preserve">KC Pasuruan                             </v>
          </cell>
          <cell r="N394" t="str">
            <v xml:space="preserve">KC Pasuruan                             </v>
          </cell>
          <cell r="O394" t="str">
            <v xml:space="preserve">KANWIL MALANG                           </v>
          </cell>
          <cell r="R394" t="str">
            <v>Belum TL</v>
          </cell>
          <cell r="S394" t="str">
            <v>Belum TL</v>
          </cell>
          <cell r="T394" t="str">
            <v>90185538 - Muhammad Fahikal Auz</v>
          </cell>
          <cell r="U394" t="str">
            <v>"-"</v>
          </cell>
        </row>
        <row r="395">
          <cell r="A395">
            <v>46265</v>
          </cell>
          <cell r="B395" t="str">
            <v xml:space="preserve">CV MITRA EKATAMA                        </v>
          </cell>
          <cell r="C395" t="str">
            <v>CB00380</v>
          </cell>
          <cell r="D395">
            <v>21501501691155</v>
          </cell>
          <cell r="E395" t="str">
            <v>SEDANG</v>
          </cell>
          <cell r="F395" t="str">
            <v>Tidak</v>
          </cell>
          <cell r="G395" t="str">
            <v>Tidak</v>
          </cell>
          <cell r="H395" t="str">
            <v>Tidak</v>
          </cell>
          <cell r="I395" t="str">
            <v>Korupsi - Loan View</v>
          </cell>
          <cell r="J395">
            <v>48</v>
          </cell>
          <cell r="K395">
            <v>15</v>
          </cell>
          <cell r="L395" t="str">
            <v>Korupsi</v>
          </cell>
          <cell r="M395" t="str">
            <v>Kas Kanpus</v>
          </cell>
          <cell r="N395" t="str">
            <v>Kas Kanpus</v>
          </cell>
          <cell r="O395" t="str">
            <v>KAS KANPUS</v>
          </cell>
          <cell r="R395" t="str">
            <v>Belum TL</v>
          </cell>
          <cell r="S395" t="str">
            <v>Belum TL</v>
          </cell>
          <cell r="T395" t="str">
            <v>90185538 - Muhammad Fahikal Auz</v>
          </cell>
          <cell r="U395" t="str">
            <v>"-"</v>
          </cell>
        </row>
        <row r="396">
          <cell r="A396">
            <v>46265</v>
          </cell>
          <cell r="B396" t="str">
            <v xml:space="preserve">CAHAYA SURYA                            </v>
          </cell>
          <cell r="C396" t="str">
            <v>CB18154</v>
          </cell>
          <cell r="D396">
            <v>68701001010151</v>
          </cell>
          <cell r="E396" t="str">
            <v>SEDANG</v>
          </cell>
          <cell r="F396" t="str">
            <v>Tidak</v>
          </cell>
          <cell r="G396" t="str">
            <v>Tidak</v>
          </cell>
          <cell r="H396" t="str">
            <v>Tidak</v>
          </cell>
          <cell r="I396" t="str">
            <v>Korupsi - Loan View</v>
          </cell>
          <cell r="J396">
            <v>48</v>
          </cell>
          <cell r="K396">
            <v>15</v>
          </cell>
          <cell r="L396" t="str">
            <v>Korupsi</v>
          </cell>
          <cell r="M396" t="str">
            <v>Kas Kanpus</v>
          </cell>
          <cell r="N396" t="str">
            <v>Kas Kanpus</v>
          </cell>
          <cell r="O396" t="str">
            <v>KAS KANPUS</v>
          </cell>
          <cell r="R396" t="str">
            <v>Belum TL</v>
          </cell>
          <cell r="S396" t="str">
            <v>Belum TL</v>
          </cell>
          <cell r="T396" t="str">
            <v>00394521 - Muhammad Hibbanduta</v>
          </cell>
          <cell r="U396" t="str">
            <v>"-"</v>
          </cell>
        </row>
        <row r="397">
          <cell r="A397">
            <v>46265</v>
          </cell>
          <cell r="B397" t="str">
            <v xml:space="preserve">CAHAYA PERDANA                          </v>
          </cell>
          <cell r="C397" t="str">
            <v>CB18161</v>
          </cell>
          <cell r="D397">
            <v>68701001009150</v>
          </cell>
          <cell r="E397" t="str">
            <v>SEDANG</v>
          </cell>
          <cell r="F397" t="str">
            <v>Tidak</v>
          </cell>
          <cell r="G397" t="str">
            <v>Tidak</v>
          </cell>
          <cell r="H397" t="str">
            <v>Tidak</v>
          </cell>
          <cell r="I397" t="str">
            <v>Korupsi - Loan View</v>
          </cell>
          <cell r="J397">
            <v>48</v>
          </cell>
          <cell r="K397">
            <v>15</v>
          </cell>
          <cell r="L397" t="str">
            <v>Korupsi</v>
          </cell>
          <cell r="M397" t="str">
            <v>Kas Kanpus</v>
          </cell>
          <cell r="N397" t="str">
            <v>Kas Kanpus</v>
          </cell>
          <cell r="O397" t="str">
            <v>KAS KANPUS</v>
          </cell>
          <cell r="R397" t="str">
            <v>Belum TL</v>
          </cell>
          <cell r="S397" t="str">
            <v>Belum TL</v>
          </cell>
          <cell r="T397" t="str">
            <v>90186790 - Muhammad Alfin Farha</v>
          </cell>
          <cell r="U397" t="str">
            <v>"-"</v>
          </cell>
        </row>
        <row r="398">
          <cell r="A398">
            <v>46265</v>
          </cell>
          <cell r="B398" t="str">
            <v xml:space="preserve">CV SURYA ANUGERAH                       </v>
          </cell>
          <cell r="C398" t="str">
            <v>CB22790</v>
          </cell>
          <cell r="D398">
            <v>55101000352305</v>
          </cell>
          <cell r="E398" t="str">
            <v>SEDANG</v>
          </cell>
          <cell r="F398" t="str">
            <v>Tidak</v>
          </cell>
          <cell r="G398" t="str">
            <v>Tidak</v>
          </cell>
          <cell r="H398" t="str">
            <v>Tidak</v>
          </cell>
          <cell r="I398" t="str">
            <v>Korupsi - Cash &amp; Amount</v>
          </cell>
          <cell r="J398">
            <v>50</v>
          </cell>
          <cell r="K398" t="str">
            <v>1,2,20</v>
          </cell>
          <cell r="L398" t="str">
            <v>Korupsi</v>
          </cell>
          <cell r="M398" t="str">
            <v>Kas Kanpus</v>
          </cell>
          <cell r="N398" t="str">
            <v>Kas Kanpus</v>
          </cell>
          <cell r="O398" t="str">
            <v>KAS KANPUS</v>
          </cell>
          <cell r="R398" t="str">
            <v>Belum TL</v>
          </cell>
          <cell r="S398" t="str">
            <v>Belum TL</v>
          </cell>
          <cell r="T398" t="str">
            <v>90186790 - Muhammad Alfin Farha</v>
          </cell>
          <cell r="U398" t="str">
            <v>"-"</v>
          </cell>
        </row>
        <row r="399">
          <cell r="A399">
            <v>46265</v>
          </cell>
          <cell r="B399" t="str">
            <v xml:space="preserve">CV DOLPIN                               </v>
          </cell>
          <cell r="C399" t="str">
            <v>C609954</v>
          </cell>
          <cell r="D399">
            <v>28301501712158</v>
          </cell>
          <cell r="E399" t="str">
            <v>SEDANG</v>
          </cell>
          <cell r="F399" t="str">
            <v>Tidak</v>
          </cell>
          <cell r="G399" t="str">
            <v>Tidak</v>
          </cell>
          <cell r="H399" t="str">
            <v>Tidak</v>
          </cell>
          <cell r="I399" t="str">
            <v>Korupsi - Loan View</v>
          </cell>
          <cell r="J399">
            <v>48</v>
          </cell>
          <cell r="K399">
            <v>15</v>
          </cell>
          <cell r="L399" t="str">
            <v>Korupsi</v>
          </cell>
          <cell r="M399" t="str">
            <v>Kas Kanpus</v>
          </cell>
          <cell r="N399" t="str">
            <v>Kas Kanpus</v>
          </cell>
          <cell r="O399" t="str">
            <v>KAS KANPUS</v>
          </cell>
          <cell r="R399" t="str">
            <v>Belum TL</v>
          </cell>
          <cell r="S399" t="str">
            <v>Belum TL</v>
          </cell>
          <cell r="T399" t="str">
            <v>00336949 - Mochammad Al Farabi</v>
          </cell>
          <cell r="U399" t="str">
            <v>"-"</v>
          </cell>
        </row>
        <row r="400">
          <cell r="A400">
            <v>46265</v>
          </cell>
          <cell r="B400" t="str">
            <v xml:space="preserve">CECILIA P HATULELY                      </v>
          </cell>
          <cell r="C400" t="str">
            <v>C627336</v>
          </cell>
          <cell r="D400">
            <v>31001010237103</v>
          </cell>
          <cell r="E400" t="str">
            <v>SEDANG</v>
          </cell>
          <cell r="F400" t="str">
            <v>Tidak</v>
          </cell>
          <cell r="G400" t="str">
            <v>Tidak</v>
          </cell>
          <cell r="H400" t="str">
            <v>Tidak</v>
          </cell>
          <cell r="I400" t="str">
            <v>Korupsi - Loan View</v>
          </cell>
          <cell r="J400">
            <v>48</v>
          </cell>
          <cell r="K400">
            <v>15</v>
          </cell>
          <cell r="L400" t="str">
            <v>Korupsi</v>
          </cell>
          <cell r="M400" t="str">
            <v>Kas Kanpus</v>
          </cell>
          <cell r="N400" t="str">
            <v>Kas Kanpus</v>
          </cell>
          <cell r="O400" t="str">
            <v>KAS KANPUS</v>
          </cell>
          <cell r="R400" t="str">
            <v>Belum TL</v>
          </cell>
          <cell r="S400" t="str">
            <v>Belum TL</v>
          </cell>
          <cell r="T400" t="str">
            <v>00394520 - Frida Akbar Rani</v>
          </cell>
          <cell r="U400" t="str">
            <v>"-"</v>
          </cell>
        </row>
        <row r="401">
          <cell r="A401">
            <v>46265</v>
          </cell>
          <cell r="B401" t="str">
            <v xml:space="preserve">CLEMENTINA RETTOBJAAN                   </v>
          </cell>
          <cell r="C401" t="str">
            <v>C636789</v>
          </cell>
          <cell r="D401">
            <v>715801020134538</v>
          </cell>
          <cell r="E401" t="str">
            <v>TINGGI</v>
          </cell>
          <cell r="F401" t="str">
            <v>Tidak</v>
          </cell>
          <cell r="G401" t="str">
            <v>Tidak</v>
          </cell>
          <cell r="H401" t="str">
            <v>Tidak</v>
          </cell>
          <cell r="I401" t="str">
            <v>Korupsi - Payroll View</v>
          </cell>
          <cell r="J401">
            <v>76</v>
          </cell>
          <cell r="K401">
            <v>84</v>
          </cell>
          <cell r="L401" t="str">
            <v>Korupsi</v>
          </cell>
          <cell r="M401" t="str">
            <v>Kas Kanpus</v>
          </cell>
          <cell r="N401" t="str">
            <v>Kas Kanpus</v>
          </cell>
          <cell r="O401" t="str">
            <v>KAS KANPUS</v>
          </cell>
          <cell r="R401" t="str">
            <v>Belum TL</v>
          </cell>
          <cell r="S401" t="str">
            <v>Belum TL</v>
          </cell>
          <cell r="T401" t="str">
            <v>90185537 - Moh.Khoerul Fajar Ar</v>
          </cell>
          <cell r="U401" t="str">
            <v>"-"</v>
          </cell>
        </row>
        <row r="402">
          <cell r="A402">
            <v>46265</v>
          </cell>
          <cell r="B402" t="str">
            <v xml:space="preserve">CAHAYA MARHAN NAYA                      </v>
          </cell>
          <cell r="C402" t="str">
            <v>C711646</v>
          </cell>
          <cell r="D402">
            <v>62301000945155</v>
          </cell>
          <cell r="E402" t="str">
            <v>SEDANG</v>
          </cell>
          <cell r="F402" t="str">
            <v>Tidak</v>
          </cell>
          <cell r="G402" t="str">
            <v>Tidak</v>
          </cell>
          <cell r="H402" t="str">
            <v>Tidak</v>
          </cell>
          <cell r="I402" t="str">
            <v>Korupsi - Loan View</v>
          </cell>
          <cell r="J402">
            <v>48</v>
          </cell>
          <cell r="K402">
            <v>15</v>
          </cell>
          <cell r="L402" t="str">
            <v>Korupsi</v>
          </cell>
          <cell r="M402" t="str">
            <v>Kas Kanpus</v>
          </cell>
          <cell r="N402" t="str">
            <v>Kas Kanpus</v>
          </cell>
          <cell r="O402" t="str">
            <v>KAS KANPUS</v>
          </cell>
          <cell r="R402" t="str">
            <v>Belum TL</v>
          </cell>
          <cell r="S402" t="str">
            <v>Belum TL</v>
          </cell>
          <cell r="T402" t="str">
            <v>90185537 - Moh.Khoerul Fajar Ar</v>
          </cell>
          <cell r="U402" t="str">
            <v>"-"</v>
          </cell>
        </row>
        <row r="403">
          <cell r="A403">
            <v>46265</v>
          </cell>
          <cell r="B403" t="str">
            <v xml:space="preserve">ARTO MORO                               </v>
          </cell>
          <cell r="C403" t="str">
            <v>C733176</v>
          </cell>
          <cell r="D403">
            <v>10901502744150</v>
          </cell>
          <cell r="E403" t="str">
            <v>SEDANG</v>
          </cell>
          <cell r="F403" t="str">
            <v>Tidak</v>
          </cell>
          <cell r="G403" t="str">
            <v>Tidak</v>
          </cell>
          <cell r="H403" t="str">
            <v>Tidak</v>
          </cell>
          <cell r="I403" t="str">
            <v>Korupsi - Loan View</v>
          </cell>
          <cell r="J403">
            <v>48</v>
          </cell>
          <cell r="K403">
            <v>15</v>
          </cell>
          <cell r="L403" t="str">
            <v>Korupsi</v>
          </cell>
          <cell r="M403" t="str">
            <v>Kas Kanpus</v>
          </cell>
          <cell r="N403" t="str">
            <v>Kas Kanpus</v>
          </cell>
          <cell r="O403" t="str">
            <v>KAS KANPUS</v>
          </cell>
          <cell r="R403" t="str">
            <v>Belum TL</v>
          </cell>
          <cell r="S403" t="str">
            <v>Belum TL</v>
          </cell>
          <cell r="T403" t="str">
            <v>90150130 - Intan Aida Pratiwi</v>
          </cell>
          <cell r="U403" t="str">
            <v>"-"</v>
          </cell>
        </row>
        <row r="404">
          <cell r="A404">
            <v>46265</v>
          </cell>
          <cell r="B404" t="str">
            <v xml:space="preserve">CHATARINA GENNYDD KARANDJA HUPA BEHAR   </v>
          </cell>
          <cell r="C404" t="str">
            <v>CB37848</v>
          </cell>
          <cell r="D404">
            <v>467701013630104</v>
          </cell>
          <cell r="E404" t="str">
            <v>RENDAH</v>
          </cell>
          <cell r="F404" t="str">
            <v>Tidak</v>
          </cell>
          <cell r="G404" t="str">
            <v>Tidak</v>
          </cell>
          <cell r="H404" t="str">
            <v>Tidak</v>
          </cell>
          <cell r="I404" t="str">
            <v>Korupsi - Loan View</v>
          </cell>
          <cell r="J404">
            <v>33</v>
          </cell>
          <cell r="K404">
            <v>15</v>
          </cell>
          <cell r="L404" t="str">
            <v>Korupsi</v>
          </cell>
          <cell r="M404" t="str">
            <v>Kas Kanpus</v>
          </cell>
          <cell r="N404" t="str">
            <v>Kas Kanpus</v>
          </cell>
          <cell r="O404" t="str">
            <v>KAS KANPUS</v>
          </cell>
          <cell r="R404" t="str">
            <v>Belum TL</v>
          </cell>
          <cell r="S404" t="str">
            <v>Belum TL</v>
          </cell>
          <cell r="T404" t="str">
            <v>90170665 - Mutiara Ayuningtyas</v>
          </cell>
          <cell r="U404" t="str">
            <v>"-"</v>
          </cell>
        </row>
        <row r="405">
          <cell r="A405">
            <v>46265</v>
          </cell>
          <cell r="B405" t="str">
            <v xml:space="preserve">CV SINARTA                              </v>
          </cell>
          <cell r="C405" t="str">
            <v>CB51194</v>
          </cell>
          <cell r="D405">
            <v>36701000790156</v>
          </cell>
          <cell r="E405" t="str">
            <v>SEDANG</v>
          </cell>
          <cell r="F405" t="str">
            <v>Tidak</v>
          </cell>
          <cell r="G405" t="str">
            <v>Tidak</v>
          </cell>
          <cell r="H405" t="str">
            <v>Tidak</v>
          </cell>
          <cell r="I405" t="str">
            <v>Korupsi - Loan View</v>
          </cell>
          <cell r="J405">
            <v>48</v>
          </cell>
          <cell r="K405">
            <v>15</v>
          </cell>
          <cell r="L405" t="str">
            <v>Korupsi</v>
          </cell>
          <cell r="M405" t="str">
            <v>Kas Kanpus</v>
          </cell>
          <cell r="N405" t="str">
            <v>Kas Kanpus</v>
          </cell>
          <cell r="O405" t="str">
            <v>KAS KANPUS</v>
          </cell>
          <cell r="R405" t="str">
            <v>Belum TL</v>
          </cell>
          <cell r="S405" t="str">
            <v>Belum TL</v>
          </cell>
          <cell r="T405" t="str">
            <v>90185537 - Moh.Khoerul Fajar Ar</v>
          </cell>
          <cell r="U405" t="str">
            <v>"-"</v>
          </cell>
        </row>
        <row r="406">
          <cell r="A406">
            <v>46265</v>
          </cell>
          <cell r="B406" t="str">
            <v xml:space="preserve">CV WAHYU SENTOSA ADI                    </v>
          </cell>
          <cell r="C406" t="str">
            <v>CB79990</v>
          </cell>
          <cell r="D406">
            <v>21101501307158</v>
          </cell>
          <cell r="E406" t="str">
            <v>SEDANG</v>
          </cell>
          <cell r="F406" t="str">
            <v>Tidak</v>
          </cell>
          <cell r="G406" t="str">
            <v>Tidak</v>
          </cell>
          <cell r="H406" t="str">
            <v>Tidak</v>
          </cell>
          <cell r="I406" t="str">
            <v>Korupsi - Loan View</v>
          </cell>
          <cell r="J406">
            <v>48</v>
          </cell>
          <cell r="K406">
            <v>15</v>
          </cell>
          <cell r="L406" t="str">
            <v>Korupsi</v>
          </cell>
          <cell r="M406" t="str">
            <v>Kas Kanpus</v>
          </cell>
          <cell r="N406" t="str">
            <v>Kas Kanpus</v>
          </cell>
          <cell r="O406" t="str">
            <v>KAS KANPUS</v>
          </cell>
          <cell r="R406" t="str">
            <v>Belum TL</v>
          </cell>
          <cell r="S406" t="str">
            <v>Belum TL</v>
          </cell>
          <cell r="T406" t="str">
            <v>90185538 - Muhammad Fahikal Auz</v>
          </cell>
          <cell r="U406" t="str">
            <v>"-"</v>
          </cell>
        </row>
        <row r="407">
          <cell r="A407">
            <v>46265</v>
          </cell>
          <cell r="B407" t="str">
            <v xml:space="preserve">CV CIANJUR ASRI                         </v>
          </cell>
          <cell r="C407" t="str">
            <v>CB96464</v>
          </cell>
          <cell r="D407">
            <v>10501502114155</v>
          </cell>
          <cell r="E407" t="str">
            <v>SEDANG</v>
          </cell>
          <cell r="F407" t="str">
            <v>Tidak</v>
          </cell>
          <cell r="G407" t="str">
            <v>Tidak</v>
          </cell>
          <cell r="H407" t="str">
            <v>Tidak</v>
          </cell>
          <cell r="I407" t="str">
            <v>Korupsi - Loan View</v>
          </cell>
          <cell r="J407">
            <v>48</v>
          </cell>
          <cell r="K407">
            <v>15</v>
          </cell>
          <cell r="L407" t="str">
            <v>Korupsi</v>
          </cell>
          <cell r="M407" t="str">
            <v>Kas Kanpus</v>
          </cell>
          <cell r="N407" t="str">
            <v>Kas Kanpus</v>
          </cell>
          <cell r="O407" t="str">
            <v>KAS KANPUS</v>
          </cell>
          <cell r="R407" t="str">
            <v>Belum TL</v>
          </cell>
          <cell r="S407" t="str">
            <v>Belum TL</v>
          </cell>
          <cell r="T407" t="str">
            <v>00394520 - Frida Akbar Rani</v>
          </cell>
          <cell r="U407" t="str">
            <v>"-"</v>
          </cell>
        </row>
        <row r="408">
          <cell r="A408">
            <v>46265</v>
          </cell>
          <cell r="B408" t="str">
            <v xml:space="preserve">CORNELES ALEX AMON IMBIRI               </v>
          </cell>
          <cell r="C408" t="str">
            <v>CF66906</v>
          </cell>
          <cell r="D408">
            <v>31001024027532</v>
          </cell>
          <cell r="E408" t="str">
            <v>SEDANG</v>
          </cell>
          <cell r="F408" t="str">
            <v>Tidak</v>
          </cell>
          <cell r="G408" t="str">
            <v>Tidak</v>
          </cell>
          <cell r="H408" t="str">
            <v>Tidak</v>
          </cell>
          <cell r="I408" t="str">
            <v>Bandar Judol Depo</v>
          </cell>
          <cell r="J408">
            <v>50</v>
          </cell>
          <cell r="K408" t="str">
            <v>86,74,87</v>
          </cell>
          <cell r="L408" t="str">
            <v>Judi Online</v>
          </cell>
          <cell r="M408" t="str">
            <v xml:space="preserve">Kas Kanpus                              </v>
          </cell>
          <cell r="N408" t="str">
            <v xml:space="preserve">Kas Kanpus                              </v>
          </cell>
          <cell r="O408" t="str">
            <v xml:space="preserve">KAS KANPUS                              </v>
          </cell>
          <cell r="R408" t="str">
            <v>Belum TL</v>
          </cell>
          <cell r="S408" t="str">
            <v>Belum TL</v>
          </cell>
          <cell r="T408" t="str">
            <v>90150130 - Intan Aida Pratiwi</v>
          </cell>
          <cell r="U408" t="str">
            <v>"-"</v>
          </cell>
        </row>
        <row r="409">
          <cell r="A409">
            <v>46265</v>
          </cell>
          <cell r="B409" t="str">
            <v xml:space="preserve">CAHAYA ANEKA USAHA SWADAYA              </v>
          </cell>
          <cell r="C409" t="str">
            <v>CF93227</v>
          </cell>
          <cell r="D409">
            <v>2601502318159</v>
          </cell>
          <cell r="E409" t="str">
            <v>SEDANG</v>
          </cell>
          <cell r="F409" t="str">
            <v>Tidak</v>
          </cell>
          <cell r="G409" t="str">
            <v>Tidak</v>
          </cell>
          <cell r="H409" t="str">
            <v>Tidak</v>
          </cell>
          <cell r="I409" t="str">
            <v>Korupsi - Loan View</v>
          </cell>
          <cell r="J409">
            <v>48</v>
          </cell>
          <cell r="K409">
            <v>15</v>
          </cell>
          <cell r="L409" t="str">
            <v>Korupsi</v>
          </cell>
          <cell r="M409" t="str">
            <v>Kas Kanpus</v>
          </cell>
          <cell r="N409" t="str">
            <v>Kas Kanpus</v>
          </cell>
          <cell r="O409" t="str">
            <v>KAS KANPUS</v>
          </cell>
          <cell r="R409" t="str">
            <v>Belum TL</v>
          </cell>
          <cell r="S409" t="str">
            <v>Belum TL</v>
          </cell>
          <cell r="T409" t="str">
            <v>00394521 - Muhammad Hibbanduta</v>
          </cell>
          <cell r="U409" t="str">
            <v>"-"</v>
          </cell>
        </row>
        <row r="410">
          <cell r="A410">
            <v>46265</v>
          </cell>
          <cell r="B410" t="str">
            <v xml:space="preserve">CIPTA CAKRA MURDAYA                     </v>
          </cell>
          <cell r="C410" t="str">
            <v>CG23315</v>
          </cell>
          <cell r="D410">
            <v>37601001937302</v>
          </cell>
          <cell r="E410" t="str">
            <v>SEDANG</v>
          </cell>
          <cell r="F410" t="str">
            <v>Tidak</v>
          </cell>
          <cell r="G410" t="str">
            <v>Tidak</v>
          </cell>
          <cell r="H410" t="str">
            <v>Tidak</v>
          </cell>
          <cell r="I410" t="str">
            <v>Perpajakan</v>
          </cell>
          <cell r="J410">
            <v>48</v>
          </cell>
          <cell r="K410">
            <v>41</v>
          </cell>
          <cell r="L410" t="str">
            <v>Perpajakan</v>
          </cell>
          <cell r="M410" t="str">
            <v xml:space="preserve">KC Jakarta Sudirman 1                   </v>
          </cell>
          <cell r="N410" t="str">
            <v xml:space="preserve">KC Jakarta Sudirman 1                   </v>
          </cell>
          <cell r="O410" t="str">
            <v xml:space="preserve">DKI2                                    </v>
          </cell>
          <cell r="R410" t="str">
            <v>Belum TL</v>
          </cell>
          <cell r="S410" t="str">
            <v>Belum TL</v>
          </cell>
          <cell r="T410" t="str">
            <v>00394520 - Frida Akbar Rani</v>
          </cell>
          <cell r="U410" t="str">
            <v>"-"</v>
          </cell>
        </row>
        <row r="411">
          <cell r="A411">
            <v>46265</v>
          </cell>
          <cell r="B411" t="str">
            <v xml:space="preserve">CV TATAYANNA BRIKET                     </v>
          </cell>
          <cell r="C411" t="str">
            <v>CG34389</v>
          </cell>
          <cell r="D411">
            <v>2201502733159</v>
          </cell>
          <cell r="E411" t="str">
            <v>SEDANG</v>
          </cell>
          <cell r="F411" t="str">
            <v>Tidak</v>
          </cell>
          <cell r="G411" t="str">
            <v>Tidak</v>
          </cell>
          <cell r="H411" t="str">
            <v>Tidak</v>
          </cell>
          <cell r="I411" t="str">
            <v>Korupsi - Loan View</v>
          </cell>
          <cell r="J411">
            <v>48</v>
          </cell>
          <cell r="K411">
            <v>15</v>
          </cell>
          <cell r="L411" t="str">
            <v>Korupsi</v>
          </cell>
          <cell r="M411" t="str">
            <v>Kas Kanpus</v>
          </cell>
          <cell r="N411" t="str">
            <v>Kas Kanpus</v>
          </cell>
          <cell r="O411" t="str">
            <v>KAS KANPUS</v>
          </cell>
          <cell r="R411" t="str">
            <v>Belum TL</v>
          </cell>
          <cell r="S411" t="str">
            <v>Belum TL</v>
          </cell>
          <cell r="T411" t="str">
            <v>90185538 - Muhammad Fahikal Auz</v>
          </cell>
          <cell r="U411" t="str">
            <v>"-"</v>
          </cell>
        </row>
        <row r="412">
          <cell r="A412">
            <v>46265</v>
          </cell>
          <cell r="B412" t="str">
            <v xml:space="preserve">BUKIT ANUGERAH SENTOSA                  </v>
          </cell>
          <cell r="C412" t="str">
            <v>CG39577</v>
          </cell>
          <cell r="D412">
            <v>51801000336305</v>
          </cell>
          <cell r="E412" t="str">
            <v>SEDANG</v>
          </cell>
          <cell r="F412" t="str">
            <v>Tidak</v>
          </cell>
          <cell r="G412" t="str">
            <v>Tidak</v>
          </cell>
          <cell r="H412" t="str">
            <v>Tidak</v>
          </cell>
          <cell r="I412" t="str">
            <v>Perpajakan</v>
          </cell>
          <cell r="J412">
            <v>48</v>
          </cell>
          <cell r="K412">
            <v>41</v>
          </cell>
          <cell r="L412" t="str">
            <v>Perpajakan</v>
          </cell>
          <cell r="M412" t="str">
            <v xml:space="preserve">KCP Pandaan                             </v>
          </cell>
          <cell r="N412" t="str">
            <v xml:space="preserve">KC Pasuruan                             </v>
          </cell>
          <cell r="O412" t="str">
            <v xml:space="preserve">KANWIL MALANG                           </v>
          </cell>
          <cell r="R412" t="str">
            <v>Belum TL</v>
          </cell>
          <cell r="S412" t="str">
            <v>Belum TL</v>
          </cell>
          <cell r="T412" t="str">
            <v>90185537 - Moh.Khoerul Fajar Ar</v>
          </cell>
          <cell r="U412" t="str">
            <v>"-"</v>
          </cell>
        </row>
        <row r="413">
          <cell r="A413">
            <v>46265</v>
          </cell>
          <cell r="B413" t="str">
            <v xml:space="preserve">CV EKA PERDANA                          </v>
          </cell>
          <cell r="C413" t="str">
            <v>CH04071</v>
          </cell>
          <cell r="D413">
            <v>50301501872152</v>
          </cell>
          <cell r="E413" t="str">
            <v>SEDANG</v>
          </cell>
          <cell r="F413" t="str">
            <v>Tidak</v>
          </cell>
          <cell r="G413" t="str">
            <v>Tidak</v>
          </cell>
          <cell r="H413" t="str">
            <v>Tidak</v>
          </cell>
          <cell r="I413" t="str">
            <v>Korupsi - Loan View</v>
          </cell>
          <cell r="J413">
            <v>48</v>
          </cell>
          <cell r="K413">
            <v>15</v>
          </cell>
          <cell r="L413" t="str">
            <v>Korupsi</v>
          </cell>
          <cell r="M413" t="str">
            <v>Kas Kanpus</v>
          </cell>
          <cell r="N413" t="str">
            <v>Kas Kanpus</v>
          </cell>
          <cell r="O413" t="str">
            <v>KAS KANPUS</v>
          </cell>
          <cell r="R413" t="str">
            <v>Belum TL</v>
          </cell>
          <cell r="S413" t="str">
            <v>Belum TL</v>
          </cell>
          <cell r="T413" t="str">
            <v>90186796 - Devito Arya Wiradila</v>
          </cell>
          <cell r="U413" t="str">
            <v>"-"</v>
          </cell>
        </row>
        <row r="414">
          <cell r="A414">
            <v>46265</v>
          </cell>
          <cell r="B414" t="str">
            <v xml:space="preserve">CORNELIUS SWIYANTO                      </v>
          </cell>
          <cell r="C414" t="str">
            <v>CH10923</v>
          </cell>
          <cell r="D414">
            <v>4359720224837100</v>
          </cell>
          <cell r="E414" t="str">
            <v>SEDANG</v>
          </cell>
          <cell r="F414" t="str">
            <v>Tidak</v>
          </cell>
          <cell r="G414" t="str">
            <v>Tidak</v>
          </cell>
          <cell r="H414" t="str">
            <v>Tidak</v>
          </cell>
          <cell r="I414" t="str">
            <v>Penghindaran Pajak (Transaksi Fiktif)/Penyuapan CC</v>
          </cell>
          <cell r="J414">
            <v>45</v>
          </cell>
          <cell r="K414">
            <v>118</v>
          </cell>
          <cell r="L414" t="str">
            <v>Penyuapan / Penghindaran Pajak CC View</v>
          </cell>
          <cell r="M414" t="str">
            <v xml:space="preserve">Kas Kanpus                              </v>
          </cell>
          <cell r="N414" t="str">
            <v xml:space="preserve">Kas Kanpus                              </v>
          </cell>
          <cell r="O414" t="str">
            <v xml:space="preserve">KAS KANPUS                              </v>
          </cell>
          <cell r="R414" t="str">
            <v>Belum TL</v>
          </cell>
          <cell r="S414" t="str">
            <v>Belum TL</v>
          </cell>
          <cell r="T414" t="str">
            <v>90171841 - Rifqi Aziz</v>
          </cell>
          <cell r="U414" t="str">
            <v>"-"</v>
          </cell>
        </row>
        <row r="415">
          <cell r="A415">
            <v>46265</v>
          </cell>
          <cell r="B415" t="str">
            <v xml:space="preserve">CV LARIS ADINATA SEJATI                 </v>
          </cell>
          <cell r="C415" t="str">
            <v>CC14818</v>
          </cell>
          <cell r="D415">
            <v>3501003453304</v>
          </cell>
          <cell r="E415" t="str">
            <v>SEDANG</v>
          </cell>
          <cell r="F415" t="str">
            <v>Tidak</v>
          </cell>
          <cell r="G415" t="str">
            <v>Tidak</v>
          </cell>
          <cell r="H415" t="str">
            <v>Tidak</v>
          </cell>
          <cell r="I415" t="str">
            <v>Korupsi - Cash &amp; Amount</v>
          </cell>
          <cell r="J415">
            <v>50</v>
          </cell>
          <cell r="K415" t="str">
            <v>1,2,20</v>
          </cell>
          <cell r="L415" t="str">
            <v>Korupsi</v>
          </cell>
          <cell r="M415" t="str">
            <v>Kas Kanpus</v>
          </cell>
          <cell r="N415" t="str">
            <v>Kas Kanpus</v>
          </cell>
          <cell r="O415" t="str">
            <v>KAS KANPUS</v>
          </cell>
          <cell r="R415" t="str">
            <v>Belum TL</v>
          </cell>
          <cell r="S415" t="str">
            <v>Belum TL</v>
          </cell>
          <cell r="T415" t="str">
            <v>90150130 - Intan Aida Pratiwi</v>
          </cell>
          <cell r="U415" t="str">
            <v>"-"</v>
          </cell>
        </row>
        <row r="416">
          <cell r="A416">
            <v>46265</v>
          </cell>
          <cell r="B416" t="str">
            <v xml:space="preserve">CVPHOENIX MAS                           </v>
          </cell>
          <cell r="C416" t="str">
            <v>CC15426</v>
          </cell>
          <cell r="D416">
            <v>14101501766159</v>
          </cell>
          <cell r="E416" t="str">
            <v>SEDANG</v>
          </cell>
          <cell r="F416" t="str">
            <v>Tidak</v>
          </cell>
          <cell r="G416" t="str">
            <v>Tidak</v>
          </cell>
          <cell r="H416" t="str">
            <v>Tidak</v>
          </cell>
          <cell r="I416" t="str">
            <v>Korupsi - Loan View</v>
          </cell>
          <cell r="J416">
            <v>48</v>
          </cell>
          <cell r="K416">
            <v>15</v>
          </cell>
          <cell r="L416" t="str">
            <v>Korupsi</v>
          </cell>
          <cell r="M416" t="str">
            <v>Kas Kanpus</v>
          </cell>
          <cell r="N416" t="str">
            <v>Kas Kanpus</v>
          </cell>
          <cell r="O416" t="str">
            <v>KAS KANPUS</v>
          </cell>
          <cell r="R416" t="str">
            <v>Belum TL</v>
          </cell>
          <cell r="S416" t="str">
            <v>Belum TL</v>
          </cell>
          <cell r="T416" t="str">
            <v>90170665 - Mutiara Ayuningtyas</v>
          </cell>
          <cell r="U416" t="str">
            <v>"-"</v>
          </cell>
        </row>
        <row r="417">
          <cell r="A417">
            <v>46265</v>
          </cell>
          <cell r="B417" t="str">
            <v xml:space="preserve">CLIF SUMERAH                            </v>
          </cell>
          <cell r="C417" t="str">
            <v>CI53546</v>
          </cell>
          <cell r="D417">
            <v>520101020022106</v>
          </cell>
          <cell r="E417" t="str">
            <v>SEDANG</v>
          </cell>
          <cell r="F417" t="str">
            <v>Tidak</v>
          </cell>
          <cell r="G417" t="str">
            <v>Tidak</v>
          </cell>
          <cell r="H417" t="str">
            <v>Tidak</v>
          </cell>
          <cell r="I417" t="str">
            <v>Korupsi - Loan View</v>
          </cell>
          <cell r="J417">
            <v>48</v>
          </cell>
          <cell r="K417">
            <v>15</v>
          </cell>
          <cell r="L417" t="str">
            <v>Korupsi</v>
          </cell>
          <cell r="M417" t="str">
            <v>Kas Kanpus</v>
          </cell>
          <cell r="N417" t="str">
            <v>Kas Kanpus</v>
          </cell>
          <cell r="O417" t="str">
            <v>KAS KANPUS</v>
          </cell>
          <cell r="R417" t="str">
            <v>Belum TL</v>
          </cell>
          <cell r="S417" t="str">
            <v>Belum TL</v>
          </cell>
          <cell r="T417" t="str">
            <v>90186796 - Devito Arya Wiradila</v>
          </cell>
          <cell r="U417" t="str">
            <v>"-"</v>
          </cell>
        </row>
        <row r="418">
          <cell r="A418">
            <v>46265</v>
          </cell>
          <cell r="B418" t="str">
            <v xml:space="preserve">CV ARISTA KARYA                         </v>
          </cell>
          <cell r="C418" t="str">
            <v>CJ50832</v>
          </cell>
          <cell r="D418">
            <v>1601503339155</v>
          </cell>
          <cell r="E418" t="str">
            <v>SEDANG</v>
          </cell>
          <cell r="F418" t="str">
            <v>Tidak</v>
          </cell>
          <cell r="G418" t="str">
            <v>Tidak</v>
          </cell>
          <cell r="H418" t="str">
            <v>Tidak</v>
          </cell>
          <cell r="I418" t="str">
            <v>Korupsi - Loan View</v>
          </cell>
          <cell r="J418">
            <v>48</v>
          </cell>
          <cell r="K418">
            <v>15</v>
          </cell>
          <cell r="L418" t="str">
            <v>Korupsi</v>
          </cell>
          <cell r="M418" t="str">
            <v>Kas Kanpus</v>
          </cell>
          <cell r="N418" t="str">
            <v>Kas Kanpus</v>
          </cell>
          <cell r="O418" t="str">
            <v>KAS KANPUS</v>
          </cell>
          <cell r="R418" t="str">
            <v>Belum TL</v>
          </cell>
          <cell r="S418" t="str">
            <v>Belum TL</v>
          </cell>
          <cell r="T418" t="str">
            <v>90170665 - Mutiara Ayuningtyas</v>
          </cell>
          <cell r="U418" t="str">
            <v>"-"</v>
          </cell>
        </row>
        <row r="419">
          <cell r="A419">
            <v>46265</v>
          </cell>
          <cell r="B419" t="str">
            <v xml:space="preserve">CV FAJAR TOBACCO                        </v>
          </cell>
          <cell r="C419" t="str">
            <v>CJ57325</v>
          </cell>
          <cell r="D419">
            <v>51801000458563</v>
          </cell>
          <cell r="E419" t="str">
            <v>SEDANG</v>
          </cell>
          <cell r="F419" t="str">
            <v>Tidak</v>
          </cell>
          <cell r="G419" t="str">
            <v>Tidak</v>
          </cell>
          <cell r="H419" t="str">
            <v>Tidak</v>
          </cell>
          <cell r="I419" t="str">
            <v>Perpajakan</v>
          </cell>
          <cell r="J419">
            <v>51</v>
          </cell>
          <cell r="K419">
            <v>41</v>
          </cell>
          <cell r="L419" t="str">
            <v>Perpajakan</v>
          </cell>
          <cell r="M419" t="str">
            <v xml:space="preserve">KCP Pandaan                             </v>
          </cell>
          <cell r="N419" t="str">
            <v xml:space="preserve">KC Pasuruan                             </v>
          </cell>
          <cell r="O419" t="str">
            <v xml:space="preserve">KANWIL MALANG                           </v>
          </cell>
          <cell r="R419" t="str">
            <v>Belum TL</v>
          </cell>
          <cell r="S419" t="str">
            <v>Belum TL</v>
          </cell>
          <cell r="T419" t="str">
            <v>90171841 - Rifqi Aziz</v>
          </cell>
          <cell r="U419" t="str">
            <v>"-"</v>
          </cell>
        </row>
        <row r="420">
          <cell r="A420">
            <v>46265</v>
          </cell>
          <cell r="B420" t="str">
            <v xml:space="preserve">CV BERKAH DUA PUTRI                     </v>
          </cell>
          <cell r="C420" t="str">
            <v>CJ85024</v>
          </cell>
          <cell r="D420">
            <v>2501502437153</v>
          </cell>
          <cell r="E420" t="str">
            <v>SEDANG</v>
          </cell>
          <cell r="F420" t="str">
            <v>Tidak</v>
          </cell>
          <cell r="G420" t="str">
            <v>Tidak</v>
          </cell>
          <cell r="H420" t="str">
            <v>Tidak</v>
          </cell>
          <cell r="I420" t="str">
            <v>Korupsi - Loan View</v>
          </cell>
          <cell r="J420">
            <v>48</v>
          </cell>
          <cell r="K420">
            <v>15</v>
          </cell>
          <cell r="L420" t="str">
            <v>Korupsi</v>
          </cell>
          <cell r="M420" t="str">
            <v>Kas Kanpus</v>
          </cell>
          <cell r="N420" t="str">
            <v>Kas Kanpus</v>
          </cell>
          <cell r="O420" t="str">
            <v>KAS KANPUS</v>
          </cell>
          <cell r="R420" t="str">
            <v>Belum TL</v>
          </cell>
          <cell r="S420" t="str">
            <v>Belum TL</v>
          </cell>
          <cell r="T420" t="str">
            <v>90170665 - Mutiara Ayuningtyas</v>
          </cell>
          <cell r="U420" t="str">
            <v>"-"</v>
          </cell>
        </row>
        <row r="421">
          <cell r="A421">
            <v>46265</v>
          </cell>
          <cell r="B421" t="str">
            <v xml:space="preserve">CICIH MINTARSIH                         </v>
          </cell>
          <cell r="C421" t="str">
            <v>CJ95469</v>
          </cell>
          <cell r="D421">
            <v>441601080415537</v>
          </cell>
          <cell r="E421" t="str">
            <v>SEDANG</v>
          </cell>
          <cell r="F421" t="str">
            <v>Tidak</v>
          </cell>
          <cell r="G421" t="str">
            <v>Tidak</v>
          </cell>
          <cell r="H421" t="str">
            <v>Tidak</v>
          </cell>
          <cell r="I421" t="str">
            <v>Bandar Judol Withdrawal</v>
          </cell>
          <cell r="J421">
            <v>50</v>
          </cell>
          <cell r="K421" t="str">
            <v>86,88,87</v>
          </cell>
          <cell r="L421" t="str">
            <v>Judi Online</v>
          </cell>
          <cell r="M421" t="str">
            <v xml:space="preserve">Kas Kanpus                              </v>
          </cell>
          <cell r="N421" t="str">
            <v xml:space="preserve">Kas Kanpus                              </v>
          </cell>
          <cell r="O421" t="str">
            <v xml:space="preserve">KAS KANPUS                              </v>
          </cell>
          <cell r="R421" t="str">
            <v>Belum TL</v>
          </cell>
          <cell r="S421" t="str">
            <v>Belum TL</v>
          </cell>
          <cell r="T421" t="str">
            <v>90170665 - Mutiara Ayuningtyas</v>
          </cell>
          <cell r="U421" t="str">
            <v>"-"</v>
          </cell>
        </row>
        <row r="422">
          <cell r="A422">
            <v>46265</v>
          </cell>
          <cell r="B422" t="str">
            <v xml:space="preserve">CHANDRA LESMANA                         </v>
          </cell>
          <cell r="C422" t="str">
            <v>CK59576</v>
          </cell>
          <cell r="D422">
            <v>44501077096503</v>
          </cell>
          <cell r="E422" t="str">
            <v>SEDANG</v>
          </cell>
          <cell r="F422" t="str">
            <v>Tidak</v>
          </cell>
          <cell r="G422" t="str">
            <v>Tidak</v>
          </cell>
          <cell r="H422" t="str">
            <v>Tidak</v>
          </cell>
          <cell r="I422" t="str">
            <v>Bandar Judol Depo</v>
          </cell>
          <cell r="J422">
            <v>50</v>
          </cell>
          <cell r="K422" t="str">
            <v>86,74,87</v>
          </cell>
          <cell r="L422" t="str">
            <v>Judi Online</v>
          </cell>
          <cell r="M422" t="str">
            <v xml:space="preserve">Kas Kanpus                              </v>
          </cell>
          <cell r="N422" t="str">
            <v xml:space="preserve">Kas Kanpus                              </v>
          </cell>
          <cell r="O422" t="str">
            <v xml:space="preserve">KAS KANPUS                              </v>
          </cell>
          <cell r="R422" t="str">
            <v>Belum TL</v>
          </cell>
          <cell r="S422" t="str">
            <v>Belum TL</v>
          </cell>
          <cell r="T422" t="str">
            <v>00394520 - Frida Akbar Rani</v>
          </cell>
          <cell r="U422" t="str">
            <v>"-"</v>
          </cell>
        </row>
        <row r="423">
          <cell r="A423">
            <v>46265</v>
          </cell>
          <cell r="B423" t="str">
            <v xml:space="preserve">CV BINTANG TERANG                       </v>
          </cell>
          <cell r="C423" t="str">
            <v>CL39185</v>
          </cell>
          <cell r="D423">
            <v>28201501799156</v>
          </cell>
          <cell r="E423" t="str">
            <v>SEDANG</v>
          </cell>
          <cell r="F423" t="str">
            <v>Tidak</v>
          </cell>
          <cell r="G423" t="str">
            <v>Tidak</v>
          </cell>
          <cell r="H423" t="str">
            <v>Tidak</v>
          </cell>
          <cell r="I423" t="str">
            <v>Korupsi - Loan View</v>
          </cell>
          <cell r="J423">
            <v>48</v>
          </cell>
          <cell r="K423">
            <v>15</v>
          </cell>
          <cell r="L423" t="str">
            <v>Korupsi</v>
          </cell>
          <cell r="M423" t="str">
            <v>Kas Kanpus</v>
          </cell>
          <cell r="N423" t="str">
            <v>Kas Kanpus</v>
          </cell>
          <cell r="O423" t="str">
            <v>KAS KANPUS</v>
          </cell>
          <cell r="R423" t="str">
            <v>Belum TL</v>
          </cell>
          <cell r="S423" t="str">
            <v>Belum TL</v>
          </cell>
          <cell r="T423" t="str">
            <v>90186790 - Muhammad Alfin Farha</v>
          </cell>
          <cell r="U423" t="str">
            <v>"-"</v>
          </cell>
        </row>
        <row r="424">
          <cell r="A424">
            <v>46265</v>
          </cell>
          <cell r="B424" t="str">
            <v xml:space="preserve">CV SAMUDERA                             </v>
          </cell>
          <cell r="C424" t="str">
            <v>CL92458</v>
          </cell>
          <cell r="D424">
            <v>10201502292155</v>
          </cell>
          <cell r="E424" t="str">
            <v>SEDANG</v>
          </cell>
          <cell r="F424" t="str">
            <v>Tidak</v>
          </cell>
          <cell r="G424" t="str">
            <v>Tidak</v>
          </cell>
          <cell r="H424" t="str">
            <v>Tidak</v>
          </cell>
          <cell r="I424" t="str">
            <v>Korupsi - Loan View</v>
          </cell>
          <cell r="J424">
            <v>48</v>
          </cell>
          <cell r="K424">
            <v>15</v>
          </cell>
          <cell r="L424" t="str">
            <v>Korupsi</v>
          </cell>
          <cell r="M424" t="str">
            <v>Kas Kanpus</v>
          </cell>
          <cell r="N424" t="str">
            <v>Kas Kanpus</v>
          </cell>
          <cell r="O424" t="str">
            <v>KAS KANPUS</v>
          </cell>
          <cell r="R424" t="str">
            <v>Belum TL</v>
          </cell>
          <cell r="S424" t="str">
            <v>Belum TL</v>
          </cell>
          <cell r="T424" t="str">
            <v>90186790 - Muhammad Alfin Farha</v>
          </cell>
          <cell r="U424" t="str">
            <v>"-"</v>
          </cell>
        </row>
        <row r="425">
          <cell r="A425">
            <v>46265</v>
          </cell>
          <cell r="B425" t="str">
            <v xml:space="preserve">CV KARUNIA SINAR SEMESTA                </v>
          </cell>
          <cell r="C425" t="str">
            <v>CL97584</v>
          </cell>
          <cell r="D425">
            <v>43001000563152</v>
          </cell>
          <cell r="E425" t="str">
            <v>SEDANG</v>
          </cell>
          <cell r="F425" t="str">
            <v>Tidak</v>
          </cell>
          <cell r="G425" t="str">
            <v>Tidak</v>
          </cell>
          <cell r="H425" t="str">
            <v>Tidak</v>
          </cell>
          <cell r="I425" t="str">
            <v>Korupsi - Loan View</v>
          </cell>
          <cell r="J425">
            <v>48</v>
          </cell>
          <cell r="K425">
            <v>15</v>
          </cell>
          <cell r="L425" t="str">
            <v>Korupsi</v>
          </cell>
          <cell r="M425" t="str">
            <v>Kas Kanpus</v>
          </cell>
          <cell r="N425" t="str">
            <v>Kas Kanpus</v>
          </cell>
          <cell r="O425" t="str">
            <v>KAS KANPUS</v>
          </cell>
          <cell r="R425" t="str">
            <v>Belum TL</v>
          </cell>
          <cell r="S425" t="str">
            <v>Belum TL</v>
          </cell>
          <cell r="T425" t="str">
            <v>90185537 - Moh.Khoerul Fajar Ar</v>
          </cell>
          <cell r="U425" t="str">
            <v>"-"</v>
          </cell>
        </row>
        <row r="426">
          <cell r="A426">
            <v>46265</v>
          </cell>
          <cell r="B426" t="str">
            <v xml:space="preserve">CV CAHAYA PERMAI                        </v>
          </cell>
          <cell r="C426" t="str">
            <v>CN52481</v>
          </cell>
          <cell r="D426">
            <v>8201502418155</v>
          </cell>
          <cell r="E426" t="str">
            <v>SEDANG</v>
          </cell>
          <cell r="F426" t="str">
            <v>Tidak</v>
          </cell>
          <cell r="G426" t="str">
            <v>Tidak</v>
          </cell>
          <cell r="H426" t="str">
            <v>Tidak</v>
          </cell>
          <cell r="I426" t="str">
            <v>Korupsi - Loan View</v>
          </cell>
          <cell r="J426">
            <v>48</v>
          </cell>
          <cell r="K426">
            <v>15</v>
          </cell>
          <cell r="L426" t="str">
            <v>Korupsi</v>
          </cell>
          <cell r="M426" t="str">
            <v>Kas Kanpus</v>
          </cell>
          <cell r="N426" t="str">
            <v>Kas Kanpus</v>
          </cell>
          <cell r="O426" t="str">
            <v>KAS KANPUS</v>
          </cell>
          <cell r="R426" t="str">
            <v>Belum TL</v>
          </cell>
          <cell r="S426" t="str">
            <v>Belum TL</v>
          </cell>
          <cell r="T426" t="str">
            <v>90171841 - Rifqi Aziz</v>
          </cell>
          <cell r="U426" t="str">
            <v>"-"</v>
          </cell>
        </row>
        <row r="427">
          <cell r="A427">
            <v>46265</v>
          </cell>
          <cell r="B427" t="str">
            <v xml:space="preserve">CV TONONDRO MANDIRI UTAMA               </v>
          </cell>
          <cell r="C427" t="str">
            <v>CN68547</v>
          </cell>
          <cell r="D427">
            <v>35701503717159</v>
          </cell>
          <cell r="E427" t="str">
            <v>SEDANG</v>
          </cell>
          <cell r="F427" t="str">
            <v>Tidak</v>
          </cell>
          <cell r="G427" t="str">
            <v>Tidak</v>
          </cell>
          <cell r="H427" t="str">
            <v>Tidak</v>
          </cell>
          <cell r="I427" t="str">
            <v>Korupsi - Loan View</v>
          </cell>
          <cell r="J427">
            <v>48</v>
          </cell>
          <cell r="K427">
            <v>15</v>
          </cell>
          <cell r="L427" t="str">
            <v>Korupsi</v>
          </cell>
          <cell r="M427" t="str">
            <v>Kas Kanpus</v>
          </cell>
          <cell r="N427" t="str">
            <v>Kas Kanpus</v>
          </cell>
          <cell r="O427" t="str">
            <v>KAS KANPUS</v>
          </cell>
          <cell r="R427" t="str">
            <v>Belum TL</v>
          </cell>
          <cell r="S427" t="str">
            <v>Belum TL</v>
          </cell>
          <cell r="T427" t="str">
            <v>90186796 - Devito Arya Wiradila</v>
          </cell>
          <cell r="U427" t="str">
            <v>"-"</v>
          </cell>
        </row>
        <row r="428">
          <cell r="A428">
            <v>46265</v>
          </cell>
          <cell r="B428" t="str">
            <v xml:space="preserve">CV CIPTA NUGRAHA                        </v>
          </cell>
          <cell r="C428" t="str">
            <v>CP07565</v>
          </cell>
          <cell r="D428">
            <v>216001000412156</v>
          </cell>
          <cell r="E428" t="str">
            <v>SEDANG</v>
          </cell>
          <cell r="F428" t="str">
            <v>Tidak</v>
          </cell>
          <cell r="G428" t="str">
            <v>Tidak</v>
          </cell>
          <cell r="H428" t="str">
            <v>Tidak</v>
          </cell>
          <cell r="I428" t="str">
            <v>Korupsi - Loan View</v>
          </cell>
          <cell r="J428">
            <v>48</v>
          </cell>
          <cell r="K428">
            <v>15</v>
          </cell>
          <cell r="L428" t="str">
            <v>Korupsi</v>
          </cell>
          <cell r="M428" t="str">
            <v>Kas Kanpus</v>
          </cell>
          <cell r="N428" t="str">
            <v>Kas Kanpus</v>
          </cell>
          <cell r="O428" t="str">
            <v>KAS KANPUS</v>
          </cell>
          <cell r="R428" t="str">
            <v>Belum TL</v>
          </cell>
          <cell r="S428" t="str">
            <v>Belum TL</v>
          </cell>
          <cell r="T428" t="str">
            <v>90186796 - Devito Arya Wiradila</v>
          </cell>
          <cell r="U428" t="str">
            <v>"-"</v>
          </cell>
        </row>
        <row r="429">
          <cell r="A429">
            <v>46265</v>
          </cell>
          <cell r="B429" t="str">
            <v xml:space="preserve">CV TANJUNG MAS DISTRIBUTION             </v>
          </cell>
          <cell r="C429" t="str">
            <v>CP31894</v>
          </cell>
          <cell r="D429">
            <v>14101501705153</v>
          </cell>
          <cell r="E429" t="str">
            <v>SEDANG</v>
          </cell>
          <cell r="F429" t="str">
            <v>Tidak</v>
          </cell>
          <cell r="G429" t="str">
            <v>Tidak</v>
          </cell>
          <cell r="H429" t="str">
            <v>Tidak</v>
          </cell>
          <cell r="I429" t="str">
            <v>Korupsi - Loan View</v>
          </cell>
          <cell r="J429">
            <v>48</v>
          </cell>
          <cell r="K429">
            <v>15</v>
          </cell>
          <cell r="L429" t="str">
            <v>Korupsi</v>
          </cell>
          <cell r="M429" t="str">
            <v>Kas Kanpus</v>
          </cell>
          <cell r="N429" t="str">
            <v>Kas Kanpus</v>
          </cell>
          <cell r="O429" t="str">
            <v>KAS KANPUS</v>
          </cell>
          <cell r="R429" t="str">
            <v>Belum TL</v>
          </cell>
          <cell r="S429" t="str">
            <v>Belum TL</v>
          </cell>
          <cell r="T429" t="str">
            <v>90186790 - Muhammad Alfin Farha</v>
          </cell>
          <cell r="U429" t="str">
            <v>"-"</v>
          </cell>
        </row>
        <row r="430">
          <cell r="A430">
            <v>46265</v>
          </cell>
          <cell r="B430" t="str">
            <v xml:space="preserve">CV MAROS JAYA                           </v>
          </cell>
          <cell r="C430" t="str">
            <v>CP61650</v>
          </cell>
          <cell r="D430">
            <v>172701000336569</v>
          </cell>
          <cell r="E430" t="str">
            <v>SEDANG</v>
          </cell>
          <cell r="F430" t="str">
            <v>Tidak</v>
          </cell>
          <cell r="G430" t="str">
            <v>Tidak</v>
          </cell>
          <cell r="H430" t="str">
            <v>Tidak</v>
          </cell>
          <cell r="I430" t="str">
            <v>Perpajakan</v>
          </cell>
          <cell r="J430">
            <v>48</v>
          </cell>
          <cell r="K430">
            <v>41</v>
          </cell>
          <cell r="L430" t="str">
            <v>Perpajakan</v>
          </cell>
          <cell r="M430" t="str">
            <v xml:space="preserve">KK RSUD MERAUKE                         </v>
          </cell>
          <cell r="N430" t="str">
            <v xml:space="preserve">KC Merauke                              </v>
          </cell>
          <cell r="O430" t="str">
            <v xml:space="preserve">KANWIL JAYAPURA                         </v>
          </cell>
          <cell r="R430" t="str">
            <v>Belum TL</v>
          </cell>
          <cell r="S430" t="str">
            <v>Belum TL</v>
          </cell>
          <cell r="T430" t="str">
            <v>90171841 - Rifqi Aziz</v>
          </cell>
          <cell r="U430" t="str">
            <v>"-"</v>
          </cell>
        </row>
        <row r="431">
          <cell r="A431">
            <v>46265</v>
          </cell>
          <cell r="B431" t="str">
            <v xml:space="preserve">CIPTA PERKASA BERSAMA                   </v>
          </cell>
          <cell r="C431" t="str">
            <v>CP78549</v>
          </cell>
          <cell r="D431">
            <v>58701000852154</v>
          </cell>
          <cell r="E431" t="str">
            <v>SEDANG</v>
          </cell>
          <cell r="F431" t="str">
            <v>Tidak</v>
          </cell>
          <cell r="G431" t="str">
            <v>Tidak</v>
          </cell>
          <cell r="H431" t="str">
            <v>Tidak</v>
          </cell>
          <cell r="I431" t="str">
            <v>Korupsi - Loan View</v>
          </cell>
          <cell r="J431">
            <v>48</v>
          </cell>
          <cell r="K431">
            <v>15</v>
          </cell>
          <cell r="L431" t="str">
            <v>Korupsi</v>
          </cell>
          <cell r="M431" t="str">
            <v>Kas Kanpus</v>
          </cell>
          <cell r="N431" t="str">
            <v>Kas Kanpus</v>
          </cell>
          <cell r="O431" t="str">
            <v>KAS KANPUS</v>
          </cell>
          <cell r="R431" t="str">
            <v>Belum TL</v>
          </cell>
          <cell r="S431" t="str">
            <v>Belum TL</v>
          </cell>
          <cell r="T431" t="str">
            <v>90150130 - Intan Aida Pratiwi</v>
          </cell>
          <cell r="U431" t="str">
            <v>"-"</v>
          </cell>
        </row>
        <row r="432">
          <cell r="A432">
            <v>46265</v>
          </cell>
          <cell r="B432" t="str">
            <v xml:space="preserve">CV SURYA JAYA BERJAYA                   </v>
          </cell>
          <cell r="C432" t="str">
            <v>CP81788</v>
          </cell>
          <cell r="D432">
            <v>701503599154</v>
          </cell>
          <cell r="E432" t="str">
            <v>SEDANG</v>
          </cell>
          <cell r="F432" t="str">
            <v>Tidak</v>
          </cell>
          <cell r="G432" t="str">
            <v>Tidak</v>
          </cell>
          <cell r="H432" t="str">
            <v>Tidak</v>
          </cell>
          <cell r="I432" t="str">
            <v>Korupsi - Loan View</v>
          </cell>
          <cell r="J432">
            <v>48</v>
          </cell>
          <cell r="K432">
            <v>15</v>
          </cell>
          <cell r="L432" t="str">
            <v>Korupsi</v>
          </cell>
          <cell r="M432" t="str">
            <v>Kas Kanpus</v>
          </cell>
          <cell r="N432" t="str">
            <v>Kas Kanpus</v>
          </cell>
          <cell r="O432" t="str">
            <v>KAS KANPUS</v>
          </cell>
          <cell r="R432" t="str">
            <v>Belum TL</v>
          </cell>
          <cell r="S432" t="str">
            <v>Belum TL</v>
          </cell>
          <cell r="T432" t="str">
            <v>90171841 - Rifqi Aziz</v>
          </cell>
          <cell r="U432" t="str">
            <v>"-"</v>
          </cell>
        </row>
        <row r="433">
          <cell r="A433">
            <v>46265</v>
          </cell>
          <cell r="B433" t="str">
            <v xml:space="preserve">CV JAYA ABADI                           </v>
          </cell>
          <cell r="C433" t="str">
            <v>CQ48030</v>
          </cell>
          <cell r="D433">
            <v>28501502922152</v>
          </cell>
          <cell r="E433" t="str">
            <v>SEDANG</v>
          </cell>
          <cell r="F433" t="str">
            <v>Tidak</v>
          </cell>
          <cell r="G433" t="str">
            <v>Tidak</v>
          </cell>
          <cell r="H433" t="str">
            <v>Tidak</v>
          </cell>
          <cell r="I433" t="str">
            <v>Korupsi - Loan View</v>
          </cell>
          <cell r="J433">
            <v>48</v>
          </cell>
          <cell r="K433">
            <v>15</v>
          </cell>
          <cell r="L433" t="str">
            <v>Korupsi</v>
          </cell>
          <cell r="M433" t="str">
            <v>Kas Kanpus</v>
          </cell>
          <cell r="N433" t="str">
            <v>Kas Kanpus</v>
          </cell>
          <cell r="O433" t="str">
            <v>KAS KANPUS</v>
          </cell>
          <cell r="R433" t="str">
            <v>Belum TL</v>
          </cell>
          <cell r="S433" t="str">
            <v>Belum TL</v>
          </cell>
          <cell r="T433" t="str">
            <v>00336949 - Mochammad Al Farabi</v>
          </cell>
          <cell r="U433" t="str">
            <v>"-"</v>
          </cell>
        </row>
        <row r="434">
          <cell r="A434">
            <v>46265</v>
          </cell>
          <cell r="B434" t="str">
            <v xml:space="preserve">CHIKA MULYA MULTIMEDIA                  </v>
          </cell>
          <cell r="C434" t="str">
            <v>CQ70240</v>
          </cell>
          <cell r="D434">
            <v>117701000218158</v>
          </cell>
          <cell r="E434" t="str">
            <v>SEDANG</v>
          </cell>
          <cell r="F434" t="str">
            <v>Tidak</v>
          </cell>
          <cell r="G434" t="str">
            <v>Tidak</v>
          </cell>
          <cell r="H434" t="str">
            <v>Tidak</v>
          </cell>
          <cell r="I434" t="str">
            <v>Korupsi - Loan View</v>
          </cell>
          <cell r="J434">
            <v>48</v>
          </cell>
          <cell r="K434">
            <v>15</v>
          </cell>
          <cell r="L434" t="str">
            <v>Korupsi</v>
          </cell>
          <cell r="M434" t="str">
            <v>Kas Kanpus</v>
          </cell>
          <cell r="N434" t="str">
            <v>Kas Kanpus</v>
          </cell>
          <cell r="O434" t="str">
            <v>KAS KANPUS</v>
          </cell>
          <cell r="R434" t="str">
            <v>Belum TL</v>
          </cell>
          <cell r="S434" t="str">
            <v>Belum TL</v>
          </cell>
          <cell r="T434" t="str">
            <v>00394520 - Frida Akbar Rani</v>
          </cell>
          <cell r="U434" t="str">
            <v>"-"</v>
          </cell>
        </row>
        <row r="435">
          <cell r="A435">
            <v>46265</v>
          </cell>
          <cell r="B435" t="str">
            <v xml:space="preserve">CV GEMA SEJAHTERA                       </v>
          </cell>
          <cell r="C435" t="str">
            <v>CQ97288</v>
          </cell>
          <cell r="D435">
            <v>7701800800566</v>
          </cell>
          <cell r="E435" t="str">
            <v>SEDANG</v>
          </cell>
          <cell r="F435" t="str">
            <v>Tidak</v>
          </cell>
          <cell r="G435" t="str">
            <v>Tidak</v>
          </cell>
          <cell r="H435" t="str">
            <v>Tidak</v>
          </cell>
          <cell r="I435" t="str">
            <v>Perpajakan</v>
          </cell>
          <cell r="J435">
            <v>50</v>
          </cell>
          <cell r="K435">
            <v>41</v>
          </cell>
          <cell r="L435" t="str">
            <v>Perpajakan</v>
          </cell>
          <cell r="M435" t="str">
            <v xml:space="preserve">KC Purwokerto                           </v>
          </cell>
          <cell r="N435" t="str">
            <v xml:space="preserve">KC Purwokerto                           </v>
          </cell>
          <cell r="O435" t="str">
            <v xml:space="preserve">Yogyakarta                              </v>
          </cell>
          <cell r="R435" t="str">
            <v>Belum TL</v>
          </cell>
          <cell r="S435" t="str">
            <v>Belum TL</v>
          </cell>
          <cell r="T435" t="str">
            <v>90185537 - Moh.Khoerul Fajar Ar</v>
          </cell>
          <cell r="U435" t="str">
            <v>"-"</v>
          </cell>
        </row>
        <row r="436">
          <cell r="A436">
            <v>46265</v>
          </cell>
          <cell r="B436" t="str">
            <v xml:space="preserve">CRYSANTHUS RAHARJO                      </v>
          </cell>
          <cell r="C436" t="str">
            <v>CS83883</v>
          </cell>
          <cell r="D436">
            <v>4687400202831600</v>
          </cell>
          <cell r="E436" t="str">
            <v>TINGGI</v>
          </cell>
          <cell r="F436" t="str">
            <v>Tidak</v>
          </cell>
          <cell r="G436" t="str">
            <v>Tidak</v>
          </cell>
          <cell r="H436" t="str">
            <v>Tidak</v>
          </cell>
          <cell r="I436" t="str">
            <v>Anomali Transaksi Kartu Kredit</v>
          </cell>
          <cell r="J436">
            <v>70</v>
          </cell>
          <cell r="K436">
            <v>116</v>
          </cell>
          <cell r="L436" t="str">
            <v>Anomali Transaksi Kartu Kredit</v>
          </cell>
          <cell r="M436" t="str">
            <v xml:space="preserve">Kas Kanpus                              </v>
          </cell>
          <cell r="N436" t="str">
            <v xml:space="preserve">Kas Kanpus                              </v>
          </cell>
          <cell r="O436" t="str">
            <v xml:space="preserve">KAS KANPUS                              </v>
          </cell>
          <cell r="R436" t="str">
            <v>Belum TL</v>
          </cell>
          <cell r="S436" t="str">
            <v>Belum TL</v>
          </cell>
          <cell r="T436" t="str">
            <v>90185538 - Muhammad Fahikal Auz</v>
          </cell>
          <cell r="U436" t="str">
            <v>"-"</v>
          </cell>
        </row>
        <row r="437">
          <cell r="A437">
            <v>46265</v>
          </cell>
          <cell r="B437" t="str">
            <v xml:space="preserve">CV TENTREM JAYA SENTOSA                 </v>
          </cell>
          <cell r="C437" t="str">
            <v>CR64018</v>
          </cell>
          <cell r="D437">
            <v>11001002726560</v>
          </cell>
          <cell r="E437" t="str">
            <v>SEDANG</v>
          </cell>
          <cell r="F437" t="str">
            <v>Tidak</v>
          </cell>
          <cell r="G437" t="str">
            <v>Tidak</v>
          </cell>
          <cell r="H437" t="str">
            <v>Tidak</v>
          </cell>
          <cell r="I437" t="str">
            <v>Perpajakan</v>
          </cell>
          <cell r="J437">
            <v>50</v>
          </cell>
          <cell r="K437">
            <v>41</v>
          </cell>
          <cell r="L437" t="str">
            <v>Perpajakan</v>
          </cell>
          <cell r="M437" t="str">
            <v xml:space="preserve">KC Tulungagung                          </v>
          </cell>
          <cell r="N437" t="str">
            <v xml:space="preserve">KC Tulungagung                          </v>
          </cell>
          <cell r="O437" t="str">
            <v xml:space="preserve">KANWIL MALANG                           </v>
          </cell>
          <cell r="R437" t="str">
            <v>Belum TL</v>
          </cell>
          <cell r="S437" t="str">
            <v>Belum TL</v>
          </cell>
          <cell r="T437" t="str">
            <v>90185538 - Muhammad Fahikal Auz</v>
          </cell>
          <cell r="U437" t="str">
            <v>"-"</v>
          </cell>
        </row>
        <row r="438">
          <cell r="A438">
            <v>46265</v>
          </cell>
          <cell r="B438" t="str">
            <v xml:space="preserve">CV WONDAMA SENTOSA                      </v>
          </cell>
          <cell r="C438" t="str">
            <v>CR74103</v>
          </cell>
          <cell r="D438">
            <v>35301501522154</v>
          </cell>
          <cell r="E438" t="str">
            <v>TINGGI</v>
          </cell>
          <cell r="F438" t="str">
            <v>Tidak</v>
          </cell>
          <cell r="G438" t="str">
            <v>Tidak</v>
          </cell>
          <cell r="H438" t="str">
            <v>Tidak</v>
          </cell>
          <cell r="I438" t="str">
            <v>Korupsi - Loan View</v>
          </cell>
          <cell r="J438">
            <v>63</v>
          </cell>
          <cell r="K438">
            <v>15</v>
          </cell>
          <cell r="L438" t="str">
            <v>Korupsi</v>
          </cell>
          <cell r="M438" t="str">
            <v>Kas Kanpus</v>
          </cell>
          <cell r="N438" t="str">
            <v>Kas Kanpus</v>
          </cell>
          <cell r="O438" t="str">
            <v>KAS KANPUS</v>
          </cell>
          <cell r="R438" t="str">
            <v>Belum TL</v>
          </cell>
          <cell r="S438" t="str">
            <v>Belum TL</v>
          </cell>
          <cell r="T438" t="str">
            <v>90185537 - Moh.Khoerul Fajar Ar</v>
          </cell>
          <cell r="U438" t="str">
            <v>"-"</v>
          </cell>
        </row>
        <row r="439">
          <cell r="A439">
            <v>46265</v>
          </cell>
          <cell r="B439" t="str">
            <v xml:space="preserve">CEP HAMBALI                             </v>
          </cell>
          <cell r="C439" t="str">
            <v>CR90085</v>
          </cell>
          <cell r="D439">
            <v>118101056778503</v>
          </cell>
          <cell r="E439" t="str">
            <v>SEDANG</v>
          </cell>
          <cell r="F439" t="str">
            <v>Tidak</v>
          </cell>
          <cell r="G439" t="str">
            <v>Tidak</v>
          </cell>
          <cell r="H439" t="str">
            <v>Tidak</v>
          </cell>
          <cell r="I439" t="str">
            <v>Bandar Judol Withdrawal</v>
          </cell>
          <cell r="J439">
            <v>50</v>
          </cell>
          <cell r="K439" t="str">
            <v>86,88,87</v>
          </cell>
          <cell r="L439" t="str">
            <v>Judi Online</v>
          </cell>
          <cell r="M439" t="str">
            <v xml:space="preserve">Kas Kanpus                              </v>
          </cell>
          <cell r="N439" t="str">
            <v xml:space="preserve">Kas Kanpus                              </v>
          </cell>
          <cell r="O439" t="str">
            <v xml:space="preserve">KAS KANPUS                              </v>
          </cell>
          <cell r="R439" t="str">
            <v>Belum TL</v>
          </cell>
          <cell r="S439" t="str">
            <v>Belum TL</v>
          </cell>
          <cell r="T439" t="str">
            <v>90170665 - Mutiara Ayuningtyas</v>
          </cell>
          <cell r="U439" t="str">
            <v>"-"</v>
          </cell>
        </row>
        <row r="440">
          <cell r="A440">
            <v>46265</v>
          </cell>
          <cell r="B440" t="str">
            <v xml:space="preserve">CANDRA ANGGARA                          </v>
          </cell>
          <cell r="C440" t="str">
            <v>CT83405</v>
          </cell>
          <cell r="D440">
            <v>529101023734505</v>
          </cell>
          <cell r="F440" t="str">
            <v>Tidak</v>
          </cell>
          <cell r="G440" t="str">
            <v>Tidak</v>
          </cell>
          <cell r="H440" t="str">
            <v>Tidak</v>
          </cell>
          <cell r="I440" t="str">
            <v>Bandar Judol Withdrawal</v>
          </cell>
          <cell r="J440">
            <v>35</v>
          </cell>
          <cell r="K440" t="str">
            <v>86,88,87</v>
          </cell>
          <cell r="L440" t="str">
            <v>Judi Online</v>
          </cell>
          <cell r="M440" t="str">
            <v xml:space="preserve">Kas Kanpus                              </v>
          </cell>
          <cell r="N440" t="str">
            <v xml:space="preserve">Kas Kanpus                              </v>
          </cell>
          <cell r="O440" t="str">
            <v xml:space="preserve">KAS KANPUS                              </v>
          </cell>
          <cell r="R440" t="str">
            <v>Belum TL</v>
          </cell>
          <cell r="S440" t="str">
            <v>Belum TL</v>
          </cell>
          <cell r="T440" t="str">
            <v>90185538 - Muhammad Fahikal Auz</v>
          </cell>
          <cell r="U440" t="str">
            <v>"-"</v>
          </cell>
        </row>
        <row r="441">
          <cell r="A441">
            <v>46265</v>
          </cell>
          <cell r="B441" t="str">
            <v xml:space="preserve">CV PANJI TIMUR RAYA                     </v>
          </cell>
          <cell r="C441" t="str">
            <v>CT86349</v>
          </cell>
          <cell r="D441">
            <v>701504124156</v>
          </cell>
          <cell r="F441" t="str">
            <v>Tidak</v>
          </cell>
          <cell r="G441" t="str">
            <v>Tidak</v>
          </cell>
          <cell r="H441" t="str">
            <v>Tidak</v>
          </cell>
          <cell r="I441" t="str">
            <v>Korupsi - Loan View</v>
          </cell>
          <cell r="J441">
            <v>33</v>
          </cell>
          <cell r="K441">
            <v>15</v>
          </cell>
          <cell r="L441" t="str">
            <v>Korupsi</v>
          </cell>
          <cell r="M441" t="str">
            <v>Kas Kanpus</v>
          </cell>
          <cell r="N441" t="str">
            <v>Kas Kanpus</v>
          </cell>
          <cell r="O441" t="str">
            <v>KAS KANPUS</v>
          </cell>
          <cell r="R441" t="str">
            <v>Belum TL</v>
          </cell>
          <cell r="S441" t="str">
            <v>Belum TL</v>
          </cell>
          <cell r="T441" t="str">
            <v>00394520 - Frida Akbar Rani</v>
          </cell>
          <cell r="U441" t="str">
            <v>"-"</v>
          </cell>
        </row>
        <row r="442">
          <cell r="A442">
            <v>46265</v>
          </cell>
          <cell r="B442" t="str">
            <v xml:space="preserve">CAMELA BALQIS SYAM                      </v>
          </cell>
          <cell r="C442" t="str">
            <v>CS75675</v>
          </cell>
          <cell r="D442">
            <v>530201000050561</v>
          </cell>
          <cell r="E442" t="str">
            <v>SEDANG</v>
          </cell>
          <cell r="F442" t="str">
            <v>Tidak</v>
          </cell>
          <cell r="G442" t="str">
            <v>Ya</v>
          </cell>
          <cell r="H442" t="str">
            <v>Tidak</v>
          </cell>
          <cell r="I442" t="str">
            <v>Korupsi - Significant Trx View</v>
          </cell>
          <cell r="J442">
            <v>68</v>
          </cell>
          <cell r="K442">
            <v>1.19</v>
          </cell>
          <cell r="L442" t="str">
            <v>Korupsi</v>
          </cell>
          <cell r="M442" t="str">
            <v>Kas Kanpus</v>
          </cell>
          <cell r="N442" t="str">
            <v>Kas Kanpus</v>
          </cell>
          <cell r="O442" t="str">
            <v>KAS KANPUS</v>
          </cell>
          <cell r="R442" t="str">
            <v>Belum TL</v>
          </cell>
          <cell r="S442" t="str">
            <v>Belum TL</v>
          </cell>
          <cell r="T442" t="str">
            <v>90150130 - Intan Aida Pratiwi</v>
          </cell>
          <cell r="U442" t="str">
            <v>"-"</v>
          </cell>
        </row>
        <row r="443">
          <cell r="A443">
            <v>46265</v>
          </cell>
          <cell r="B443" t="str">
            <v xml:space="preserve">CANDRA RAHAYU PUTRA                     </v>
          </cell>
          <cell r="C443" t="str">
            <v>CS78786</v>
          </cell>
          <cell r="D443">
            <v>225101005301537</v>
          </cell>
          <cell r="E443" t="str">
            <v>SEDANG</v>
          </cell>
          <cell r="F443" t="str">
            <v>Tidak</v>
          </cell>
          <cell r="G443" t="str">
            <v>Tidak</v>
          </cell>
          <cell r="H443" t="str">
            <v>Tidak</v>
          </cell>
          <cell r="I443" t="str">
            <v>Bandar Judol Depo</v>
          </cell>
          <cell r="J443">
            <v>50</v>
          </cell>
          <cell r="K443" t="str">
            <v>86,74,87</v>
          </cell>
          <cell r="L443" t="str">
            <v>Judi Online</v>
          </cell>
          <cell r="M443" t="str">
            <v xml:space="preserve">Kas Kanpus                              </v>
          </cell>
          <cell r="N443" t="str">
            <v xml:space="preserve">Kas Kanpus                              </v>
          </cell>
          <cell r="O443" t="str">
            <v xml:space="preserve">KAS KANPUS                              </v>
          </cell>
          <cell r="R443" t="str">
            <v>Belum TL</v>
          </cell>
          <cell r="S443" t="str">
            <v>Belum TL</v>
          </cell>
          <cell r="T443" t="str">
            <v>90171841 - Rifqi Aziz</v>
          </cell>
          <cell r="U443" t="str">
            <v>"-"</v>
          </cell>
        </row>
        <row r="444">
          <cell r="A444">
            <v>46265</v>
          </cell>
          <cell r="B444" t="str">
            <v xml:space="preserve">CIRINK LOGAM INDONESIA                  </v>
          </cell>
          <cell r="C444" t="str">
            <v>CU57792</v>
          </cell>
          <cell r="D444">
            <v>33101668899309</v>
          </cell>
          <cell r="F444" t="str">
            <v>Tidak</v>
          </cell>
          <cell r="G444" t="str">
            <v>Tidak</v>
          </cell>
          <cell r="H444" t="str">
            <v>Tidak</v>
          </cell>
          <cell r="I444" t="str">
            <v>Korupsi - Cash &amp; Amount</v>
          </cell>
          <cell r="J444">
            <v>33</v>
          </cell>
          <cell r="K444" t="str">
            <v>1,2,20</v>
          </cell>
          <cell r="L444" t="str">
            <v>Korupsi</v>
          </cell>
          <cell r="M444" t="str">
            <v>Kas Kanpus</v>
          </cell>
          <cell r="N444" t="str">
            <v>Kas Kanpus</v>
          </cell>
          <cell r="O444" t="str">
            <v>KAS KANPUS</v>
          </cell>
          <cell r="R444" t="str">
            <v>Belum TL</v>
          </cell>
          <cell r="S444" t="str">
            <v>Belum TL</v>
          </cell>
          <cell r="T444" t="str">
            <v>90170665 - Mutiara Ayuningtyas</v>
          </cell>
          <cell r="U444" t="str">
            <v>"-"</v>
          </cell>
        </row>
        <row r="445">
          <cell r="A445">
            <v>46265</v>
          </cell>
          <cell r="B445" t="str">
            <v xml:space="preserve">CHNTYA ALZACRHRA                        </v>
          </cell>
          <cell r="C445" t="str">
            <v>CW20819</v>
          </cell>
          <cell r="D445">
            <v>708801036105502</v>
          </cell>
          <cell r="F445" t="str">
            <v>Tidak</v>
          </cell>
          <cell r="G445" t="str">
            <v>Tidak</v>
          </cell>
          <cell r="H445" t="str">
            <v>Tidak</v>
          </cell>
          <cell r="I445" t="str">
            <v>Bandar Judol Withdrawal</v>
          </cell>
          <cell r="J445">
            <v>35</v>
          </cell>
          <cell r="K445" t="str">
            <v>86,88,87</v>
          </cell>
          <cell r="L445" t="str">
            <v>Judi Online</v>
          </cell>
          <cell r="M445" t="str">
            <v xml:space="preserve">Kas Kanpus                              </v>
          </cell>
          <cell r="N445" t="str">
            <v xml:space="preserve">Kas Kanpus                              </v>
          </cell>
          <cell r="O445" t="str">
            <v xml:space="preserve">KAS KANPUS                              </v>
          </cell>
          <cell r="R445" t="str">
            <v>Belum TL</v>
          </cell>
          <cell r="S445" t="str">
            <v>Belum TL</v>
          </cell>
          <cell r="T445" t="str">
            <v>00336949 - Mochammad Al Farabi</v>
          </cell>
          <cell r="U445" t="str">
            <v>"-"</v>
          </cell>
        </row>
        <row r="446">
          <cell r="A446">
            <v>46265</v>
          </cell>
          <cell r="B446" t="str">
            <v xml:space="preserve">CIARINA SETIA                           </v>
          </cell>
          <cell r="C446" t="str">
            <v>CW31381</v>
          </cell>
          <cell r="D446">
            <v>4359720203615900</v>
          </cell>
          <cell r="F446" t="str">
            <v>Tidak</v>
          </cell>
          <cell r="G446" t="str">
            <v>Tidak</v>
          </cell>
          <cell r="H446" t="str">
            <v>Tidak</v>
          </cell>
          <cell r="I446" t="str">
            <v>Penghindaran Pajak (Transaksi Fiktif)/Penyuapan CC</v>
          </cell>
          <cell r="J446">
            <v>30</v>
          </cell>
          <cell r="K446">
            <v>118</v>
          </cell>
          <cell r="L446" t="str">
            <v>Penyuapan / Penghindaran Pajak CC View</v>
          </cell>
          <cell r="M446" t="str">
            <v xml:space="preserve">Kas Kanpus                              </v>
          </cell>
          <cell r="N446" t="str">
            <v xml:space="preserve">Kas Kanpus                              </v>
          </cell>
          <cell r="O446" t="str">
            <v xml:space="preserve">KAS KANPUS                              </v>
          </cell>
          <cell r="R446" t="str">
            <v>Belum TL</v>
          </cell>
          <cell r="S446" t="str">
            <v>Belum TL</v>
          </cell>
          <cell r="T446" t="str">
            <v>90170665 - Mutiara Ayuningtyas</v>
          </cell>
          <cell r="U446" t="str">
            <v>"-"</v>
          </cell>
        </row>
        <row r="447">
          <cell r="A447">
            <v>46247</v>
          </cell>
          <cell r="B447" t="str">
            <v>PT TUGU REASURANSI INDONESIA USD</v>
          </cell>
          <cell r="C447" t="str">
            <v>CUSTCIS2000027</v>
          </cell>
          <cell r="D447" t="str">
            <v>TUGURE USD</v>
          </cell>
          <cell r="F447" t="str">
            <v>Tidak</v>
          </cell>
          <cell r="G447" t="str">
            <v>Tidak</v>
          </cell>
          <cell r="I447" t="str">
            <v>Free Of Payment Kustodian</v>
          </cell>
          <cell r="J447">
            <v>31</v>
          </cell>
          <cell r="K447" t="str">
            <v>109 - TRANSFER ASET</v>
          </cell>
          <cell r="L447" t="str">
            <v>Kustodian</v>
          </cell>
          <cell r="M447" t="str">
            <v xml:space="preserve">Kas Kanpus                              </v>
          </cell>
          <cell r="N447" t="str">
            <v xml:space="preserve">Kas Kanpus                              </v>
          </cell>
          <cell r="O447" t="str">
            <v xml:space="preserve">KAS KANPUS                              </v>
          </cell>
          <cell r="R447" t="str">
            <v>Belum TL</v>
          </cell>
          <cell r="S447" t="str">
            <v>Belum TL</v>
          </cell>
          <cell r="T447" t="str">
            <v>90185537 - Moh.Khoerul Fajar Ar</v>
          </cell>
          <cell r="U447" t="str">
            <v>"-"</v>
          </cell>
        </row>
        <row r="448">
          <cell r="A448">
            <v>46260</v>
          </cell>
          <cell r="B448" t="str">
            <v>PT. ASURANSI SINAR MAS (IDR)</v>
          </cell>
          <cell r="C448" t="str">
            <v>CUSTCIS6000002</v>
          </cell>
          <cell r="D448" t="str">
            <v>ASUSINMA (IDR)</v>
          </cell>
          <cell r="F448" t="str">
            <v>Tidak</v>
          </cell>
          <cell r="G448" t="str">
            <v>Tidak</v>
          </cell>
          <cell r="I448" t="str">
            <v>Free Of Payment Kustodian</v>
          </cell>
          <cell r="J448">
            <v>31</v>
          </cell>
          <cell r="K448" t="str">
            <v>109 - TRANSFER ASET</v>
          </cell>
          <cell r="L448" t="str">
            <v>Kustodian</v>
          </cell>
          <cell r="M448" t="str">
            <v xml:space="preserve">Kas Kanpus                              </v>
          </cell>
          <cell r="N448" t="str">
            <v xml:space="preserve">Kas Kanpus                              </v>
          </cell>
          <cell r="O448" t="str">
            <v xml:space="preserve">KAS KANPUS                              </v>
          </cell>
          <cell r="R448" t="str">
            <v>Belum TL</v>
          </cell>
          <cell r="S448" t="str">
            <v>Belum TL</v>
          </cell>
          <cell r="T448" t="str">
            <v>00394521 - Muhammad Hibbanduta</v>
          </cell>
          <cell r="U448" t="str">
            <v>"-"</v>
          </cell>
        </row>
        <row r="449">
          <cell r="A449">
            <v>46248</v>
          </cell>
          <cell r="B449" t="str">
            <v>PT. ASURANSI SINAR MAS (IDR)</v>
          </cell>
          <cell r="C449" t="str">
            <v>CUSTCIS6000002</v>
          </cell>
          <cell r="D449" t="str">
            <v>ASUSINMA (IDR)</v>
          </cell>
          <cell r="F449" t="str">
            <v>Tidak</v>
          </cell>
          <cell r="G449" t="str">
            <v>Tidak</v>
          </cell>
          <cell r="I449" t="str">
            <v>Free Of Payment Kustodian</v>
          </cell>
          <cell r="J449">
            <v>31</v>
          </cell>
          <cell r="K449" t="str">
            <v>109 - TRANSFER ASET</v>
          </cell>
          <cell r="L449" t="str">
            <v>Kustodian</v>
          </cell>
          <cell r="M449" t="str">
            <v xml:space="preserve">Kas Kanpus                              </v>
          </cell>
          <cell r="N449" t="str">
            <v xml:space="preserve">Kas Kanpus                              </v>
          </cell>
          <cell r="O449" t="str">
            <v xml:space="preserve">KAS KANPUS                              </v>
          </cell>
          <cell r="R449" t="str">
            <v>Belum TL</v>
          </cell>
          <cell r="S449" t="str">
            <v>Belum TL</v>
          </cell>
          <cell r="T449" t="str">
            <v>90150130 - Intan Aida Pratiwi</v>
          </cell>
          <cell r="U449" t="str">
            <v>"-"</v>
          </cell>
        </row>
        <row r="450">
          <cell r="A450">
            <v>46248</v>
          </cell>
          <cell r="B450" t="str">
            <v>PT. ASURANSI SINAR MAS (USD)</v>
          </cell>
          <cell r="C450" t="str">
            <v>CUSTCIS6000003</v>
          </cell>
          <cell r="D450" t="str">
            <v>ASUSINMA (USD)</v>
          </cell>
          <cell r="F450" t="str">
            <v>Tidak</v>
          </cell>
          <cell r="G450" t="str">
            <v>Tidak</v>
          </cell>
          <cell r="I450" t="str">
            <v>Free Of Payment Kustodian</v>
          </cell>
          <cell r="J450">
            <v>31</v>
          </cell>
          <cell r="K450" t="str">
            <v>109 - TRANSFER ASET</v>
          </cell>
          <cell r="L450" t="str">
            <v>Kustodian</v>
          </cell>
          <cell r="M450" t="str">
            <v xml:space="preserve">Kas Kanpus                              </v>
          </cell>
          <cell r="N450" t="str">
            <v xml:space="preserve">Kas Kanpus                              </v>
          </cell>
          <cell r="O450" t="str">
            <v xml:space="preserve">KAS KANPUS                              </v>
          </cell>
          <cell r="R450" t="str">
            <v>Belum TL</v>
          </cell>
          <cell r="S450" t="str">
            <v>Belum TL</v>
          </cell>
          <cell r="T450" t="str">
            <v>90171841 - Rifqi Aziz</v>
          </cell>
          <cell r="U450" t="str">
            <v>"-"</v>
          </cell>
        </row>
        <row r="451">
          <cell r="A451">
            <v>46247</v>
          </cell>
          <cell r="B451" t="str">
            <v>PT TUGU REASURANSI INDONESIA</v>
          </cell>
          <cell r="C451" t="str">
            <v>CUSTC340000131</v>
          </cell>
          <cell r="D451" t="str">
            <v>TUGU-RE</v>
          </cell>
          <cell r="F451" t="str">
            <v>Tidak</v>
          </cell>
          <cell r="G451" t="str">
            <v>Tidak</v>
          </cell>
          <cell r="I451" t="str">
            <v>Free Of Payment Kustodian</v>
          </cell>
          <cell r="J451">
            <v>31</v>
          </cell>
          <cell r="K451" t="str">
            <v>109 - TRANSFER ASET</v>
          </cell>
          <cell r="L451" t="str">
            <v>Kustodian</v>
          </cell>
          <cell r="M451" t="str">
            <v xml:space="preserve">Kas Kanpus                              </v>
          </cell>
          <cell r="N451" t="str">
            <v xml:space="preserve">Kas Kanpus                              </v>
          </cell>
          <cell r="O451" t="str">
            <v xml:space="preserve">KAS KANPUS                              </v>
          </cell>
          <cell r="R451" t="str">
            <v>Belum TL</v>
          </cell>
          <cell r="S451" t="str">
            <v>Belum TL</v>
          </cell>
          <cell r="T451" t="str">
            <v>90185538 - Muhammad Fahikal Auz</v>
          </cell>
          <cell r="U451" t="str">
            <v>"-"</v>
          </cell>
        </row>
        <row r="452">
          <cell r="A452">
            <v>46260</v>
          </cell>
          <cell r="B452" t="str">
            <v>PT SINARMAS PENJAMINAN KREDIT</v>
          </cell>
          <cell r="C452" t="str">
            <v>CUSTCIB2000006</v>
          </cell>
          <cell r="D452" t="str">
            <v>SINPEK</v>
          </cell>
          <cell r="F452" t="str">
            <v>Tidak</v>
          </cell>
          <cell r="G452" t="str">
            <v>Tidak</v>
          </cell>
          <cell r="I452" t="str">
            <v>Free Of Payment Kustodian</v>
          </cell>
          <cell r="J452">
            <v>31</v>
          </cell>
          <cell r="K452" t="str">
            <v>109 - TRANSFER ASET</v>
          </cell>
          <cell r="L452" t="str">
            <v>Kustodian</v>
          </cell>
          <cell r="M452" t="str">
            <v xml:space="preserve">Kas Kanpus                              </v>
          </cell>
          <cell r="N452" t="str">
            <v xml:space="preserve">Kas Kanpus                              </v>
          </cell>
          <cell r="O452" t="str">
            <v xml:space="preserve">KAS KANPUS                              </v>
          </cell>
          <cell r="R452" t="str">
            <v>Belum TL</v>
          </cell>
          <cell r="S452" t="str">
            <v>Belum TL</v>
          </cell>
          <cell r="T452" t="str">
            <v>90150130 - Intan Aida Pratiwi</v>
          </cell>
          <cell r="U452" t="str">
            <v>"-"</v>
          </cell>
        </row>
        <row r="453">
          <cell r="A453">
            <v>46265</v>
          </cell>
          <cell r="B453" t="str">
            <v xml:space="preserve">CHELSEA APRIYOLA MOONTY                 </v>
          </cell>
          <cell r="C453" t="str">
            <v>CX24591</v>
          </cell>
          <cell r="D453">
            <v>801701018169508</v>
          </cell>
          <cell r="F453" t="str">
            <v>Tidak</v>
          </cell>
          <cell r="G453" t="str">
            <v>Tidak</v>
          </cell>
          <cell r="H453" t="str">
            <v>Tidak</v>
          </cell>
          <cell r="I453" t="str">
            <v>Bandar Judol Withdrawal</v>
          </cell>
          <cell r="J453">
            <v>35</v>
          </cell>
          <cell r="K453" t="str">
            <v>86,88,87</v>
          </cell>
          <cell r="L453" t="str">
            <v>Judi Online</v>
          </cell>
          <cell r="M453" t="str">
            <v xml:space="preserve">Kas Kanpus                              </v>
          </cell>
          <cell r="N453" t="str">
            <v xml:space="preserve">Kas Kanpus                              </v>
          </cell>
          <cell r="O453" t="str">
            <v xml:space="preserve">KAS KANPUS                              </v>
          </cell>
          <cell r="R453" t="str">
            <v>Belum TL</v>
          </cell>
          <cell r="S453" t="str">
            <v>Belum TL</v>
          </cell>
          <cell r="T453" t="str">
            <v>00394521 - Muhammad Hibbanduta</v>
          </cell>
          <cell r="U453" t="str">
            <v>"-"</v>
          </cell>
        </row>
        <row r="454">
          <cell r="A454">
            <v>46265</v>
          </cell>
          <cell r="B454" t="str">
            <v xml:space="preserve">CARYADI                                 </v>
          </cell>
          <cell r="C454" t="str">
            <v>CX60091</v>
          </cell>
          <cell r="D454">
            <v>20601259394503</v>
          </cell>
          <cell r="F454" t="str">
            <v>Tidak</v>
          </cell>
          <cell r="G454" t="str">
            <v>Tidak</v>
          </cell>
          <cell r="H454" t="str">
            <v>Tidak</v>
          </cell>
          <cell r="I454" t="str">
            <v>Bandar Judol Withdrawal</v>
          </cell>
          <cell r="J454">
            <v>35</v>
          </cell>
          <cell r="K454" t="str">
            <v>86,88,87</v>
          </cell>
          <cell r="L454" t="str">
            <v>Judi Online</v>
          </cell>
          <cell r="M454" t="str">
            <v xml:space="preserve">Kas Kanpus                              </v>
          </cell>
          <cell r="N454" t="str">
            <v xml:space="preserve">Kas Kanpus                              </v>
          </cell>
          <cell r="O454" t="str">
            <v xml:space="preserve">KAS KANPUS                              </v>
          </cell>
          <cell r="R454" t="str">
            <v>Belum TL</v>
          </cell>
          <cell r="S454" t="str">
            <v>Belum TL</v>
          </cell>
          <cell r="T454" t="str">
            <v>90186790 - Muhammad Alfin Farha</v>
          </cell>
          <cell r="U454" t="str">
            <v>"-"</v>
          </cell>
        </row>
        <row r="455">
          <cell r="A455">
            <v>46265</v>
          </cell>
          <cell r="B455" t="str">
            <v xml:space="preserve">CV. SURYA KATUL JAYA                    </v>
          </cell>
          <cell r="C455" t="str">
            <v>CY75400</v>
          </cell>
          <cell r="D455">
            <v>9801504833154</v>
          </cell>
          <cell r="F455" t="str">
            <v>Tidak</v>
          </cell>
          <cell r="G455" t="str">
            <v>Tidak</v>
          </cell>
          <cell r="H455" t="str">
            <v>Tidak</v>
          </cell>
          <cell r="I455" t="str">
            <v>Korupsi - Loan View</v>
          </cell>
          <cell r="J455">
            <v>33</v>
          </cell>
          <cell r="K455">
            <v>15</v>
          </cell>
          <cell r="L455" t="str">
            <v>Korupsi</v>
          </cell>
          <cell r="M455" t="str">
            <v>Kas Kanpus</v>
          </cell>
          <cell r="N455" t="str">
            <v>Kas Kanpus</v>
          </cell>
          <cell r="O455" t="str">
            <v>KAS KANPUS</v>
          </cell>
          <cell r="R455" t="str">
            <v>Belum TL</v>
          </cell>
          <cell r="S455" t="str">
            <v>Belum TL</v>
          </cell>
          <cell r="T455" t="str">
            <v>90150130 - Intan Aida Pratiwi</v>
          </cell>
          <cell r="U455" t="str">
            <v>"-"</v>
          </cell>
        </row>
        <row r="456">
          <cell r="A456">
            <v>46265</v>
          </cell>
          <cell r="B456" t="str">
            <v xml:space="preserve">CU KELING KUMANG BO BATU BUIL           </v>
          </cell>
          <cell r="C456" t="str">
            <v>CZ02639</v>
          </cell>
          <cell r="D456">
            <v>723501001381506</v>
          </cell>
          <cell r="F456" t="str">
            <v>Tidak</v>
          </cell>
          <cell r="G456" t="str">
            <v>Tidak</v>
          </cell>
          <cell r="H456" t="str">
            <v>Tidak</v>
          </cell>
          <cell r="I456" t="str">
            <v>Korupsi - Cash &amp; Amount</v>
          </cell>
          <cell r="J456">
            <v>33</v>
          </cell>
          <cell r="K456" t="str">
            <v>1,2,20</v>
          </cell>
          <cell r="L456" t="str">
            <v>Korupsi</v>
          </cell>
          <cell r="M456" t="str">
            <v>Kas Kanpus</v>
          </cell>
          <cell r="N456" t="str">
            <v>Kas Kanpus</v>
          </cell>
          <cell r="O456" t="str">
            <v>KAS KANPUS</v>
          </cell>
          <cell r="R456" t="str">
            <v>Belum TL</v>
          </cell>
          <cell r="S456" t="str">
            <v>Belum TL</v>
          </cell>
          <cell r="T456" t="str">
            <v>90150130 - Intan Aida Pratiwi</v>
          </cell>
          <cell r="U456" t="str">
            <v>"-"</v>
          </cell>
        </row>
        <row r="457">
          <cell r="A457">
            <v>46265</v>
          </cell>
          <cell r="B457" t="str">
            <v xml:space="preserve">CV KREASINDO SUMBER REZEKI              </v>
          </cell>
          <cell r="C457" t="str">
            <v>CZ07604</v>
          </cell>
          <cell r="D457">
            <v>68401001081150</v>
          </cell>
          <cell r="F457" t="str">
            <v>Tidak</v>
          </cell>
          <cell r="G457" t="str">
            <v>Tidak</v>
          </cell>
          <cell r="H457" t="str">
            <v>Tidak</v>
          </cell>
          <cell r="I457" t="str">
            <v>Korupsi - Loan View</v>
          </cell>
          <cell r="J457">
            <v>33</v>
          </cell>
          <cell r="K457">
            <v>15</v>
          </cell>
          <cell r="L457" t="str">
            <v>Korupsi</v>
          </cell>
          <cell r="M457" t="str">
            <v>Kas Kanpus</v>
          </cell>
          <cell r="N457" t="str">
            <v>Kas Kanpus</v>
          </cell>
          <cell r="O457" t="str">
            <v>KAS KANPUS</v>
          </cell>
          <cell r="R457" t="str">
            <v>Belum TL</v>
          </cell>
          <cell r="S457" t="str">
            <v>Belum TL</v>
          </cell>
          <cell r="T457" t="str">
            <v>00394521 - Muhammad Hibbanduta</v>
          </cell>
          <cell r="U457" t="str">
            <v>"-"</v>
          </cell>
        </row>
        <row r="458">
          <cell r="A458">
            <v>46265</v>
          </cell>
          <cell r="B458" t="str">
            <v xml:space="preserve">CV BERKAH TEXTILE ABADI                 </v>
          </cell>
          <cell r="C458" t="str">
            <v>CX68960</v>
          </cell>
          <cell r="D458">
            <v>33701888168566</v>
          </cell>
          <cell r="F458" t="str">
            <v>Tidak</v>
          </cell>
          <cell r="G458" t="str">
            <v>Tidak</v>
          </cell>
          <cell r="H458" t="str">
            <v>Tidak</v>
          </cell>
          <cell r="I458" t="str">
            <v>Perpajakan</v>
          </cell>
          <cell r="J458">
            <v>33</v>
          </cell>
          <cell r="K458">
            <v>41</v>
          </cell>
          <cell r="L458" t="str">
            <v>Perpajakan</v>
          </cell>
          <cell r="M458" t="str">
            <v xml:space="preserve">KC Bandung Naripan                      </v>
          </cell>
          <cell r="N458" t="str">
            <v xml:space="preserve">KC Bandung Naripan                      </v>
          </cell>
          <cell r="O458" t="str">
            <v xml:space="preserve">Bandung                                 </v>
          </cell>
          <cell r="R458" t="str">
            <v>Belum TL</v>
          </cell>
          <cell r="S458" t="str">
            <v>Belum TL</v>
          </cell>
          <cell r="T458" t="str">
            <v>00394521 - Muhammad Hibbanduta</v>
          </cell>
          <cell r="U458" t="str">
            <v>"-"</v>
          </cell>
        </row>
        <row r="459">
          <cell r="A459">
            <v>46265</v>
          </cell>
          <cell r="B459" t="str">
            <v xml:space="preserve">CINDI KALISTA                           </v>
          </cell>
          <cell r="C459" t="str">
            <v>CY60142</v>
          </cell>
          <cell r="D459">
            <v>731101004251502</v>
          </cell>
          <cell r="F459" t="str">
            <v>Tidak</v>
          </cell>
          <cell r="G459" t="str">
            <v>Tidak</v>
          </cell>
          <cell r="H459" t="str">
            <v>Tidak</v>
          </cell>
          <cell r="I459" t="str">
            <v>Bandar Judol Depo</v>
          </cell>
          <cell r="J459">
            <v>35</v>
          </cell>
          <cell r="K459" t="str">
            <v>86,74,87</v>
          </cell>
          <cell r="L459" t="str">
            <v>Judi Online</v>
          </cell>
          <cell r="M459" t="str">
            <v xml:space="preserve">Kas Kanpus                              </v>
          </cell>
          <cell r="N459" t="str">
            <v xml:space="preserve">Kas Kanpus                              </v>
          </cell>
          <cell r="O459" t="str">
            <v xml:space="preserve">KAS KANPUS                              </v>
          </cell>
          <cell r="R459" t="str">
            <v>Belum TL</v>
          </cell>
          <cell r="S459" t="str">
            <v>Belum TL</v>
          </cell>
          <cell r="T459" t="str">
            <v>90185538 - Muhammad Fahikal Auz</v>
          </cell>
          <cell r="U459" t="str">
            <v>"-"</v>
          </cell>
        </row>
        <row r="460">
          <cell r="A460">
            <v>46263</v>
          </cell>
          <cell r="B460" t="str">
            <v xml:space="preserve">DEDY SUKMA                              </v>
          </cell>
          <cell r="C460" t="str">
            <v>D500566</v>
          </cell>
          <cell r="D460">
            <v>552601014371533</v>
          </cell>
          <cell r="E460" t="str">
            <v>SEDANG</v>
          </cell>
          <cell r="F460" t="str">
            <v>Tidak</v>
          </cell>
          <cell r="G460" t="str">
            <v>Ya</v>
          </cell>
          <cell r="I460" t="str">
            <v>Teroris - Remark</v>
          </cell>
          <cell r="J460">
            <v>178</v>
          </cell>
          <cell r="K460">
            <v>50</v>
          </cell>
          <cell r="L460" t="str">
            <v>Terorisme</v>
          </cell>
          <cell r="M460" t="str">
            <v xml:space="preserve">Kas Kanpus                              </v>
          </cell>
          <cell r="N460" t="str">
            <v xml:space="preserve">Kas Kanpus                              </v>
          </cell>
          <cell r="O460" t="str">
            <v xml:space="preserve">KAS KANPUS                              </v>
          </cell>
          <cell r="R460" t="str">
            <v>Belum TL</v>
          </cell>
          <cell r="S460" t="str">
            <v>Belum TL</v>
          </cell>
          <cell r="T460" t="str">
            <v>90150130 - Intan Aida Pratiwi</v>
          </cell>
          <cell r="U460" t="str">
            <v>"-"</v>
          </cell>
        </row>
        <row r="461">
          <cell r="A461">
            <v>46265</v>
          </cell>
          <cell r="B461" t="str">
            <v xml:space="preserve">DENI RUBIANA SUARDI                     </v>
          </cell>
          <cell r="C461" t="str">
            <v>D589452</v>
          </cell>
          <cell r="D461">
            <v>501062262107</v>
          </cell>
          <cell r="E461" t="str">
            <v>SEDANG</v>
          </cell>
          <cell r="F461" t="str">
            <v>Tidak</v>
          </cell>
          <cell r="G461" t="str">
            <v>Tidak</v>
          </cell>
          <cell r="H461" t="str">
            <v>Tidak</v>
          </cell>
          <cell r="I461" t="str">
            <v>Korupsi - Loan View</v>
          </cell>
          <cell r="J461">
            <v>48</v>
          </cell>
          <cell r="K461">
            <v>15</v>
          </cell>
          <cell r="L461" t="str">
            <v>Korupsi</v>
          </cell>
          <cell r="M461" t="str">
            <v>Kas Kanpus</v>
          </cell>
          <cell r="N461" t="str">
            <v>Kas Kanpus</v>
          </cell>
          <cell r="O461" t="str">
            <v>KAS KANPUS</v>
          </cell>
          <cell r="R461" t="str">
            <v>Belum TL</v>
          </cell>
          <cell r="S461" t="str">
            <v>Belum TL</v>
          </cell>
          <cell r="T461" t="str">
            <v>00394520 - Frida Akbar Rani</v>
          </cell>
          <cell r="U461" t="str">
            <v>"-"</v>
          </cell>
        </row>
        <row r="462">
          <cell r="A462">
            <v>46265</v>
          </cell>
          <cell r="B462" t="str">
            <v xml:space="preserve">DELY DARMAWATI ZALUKHU                  </v>
          </cell>
          <cell r="C462" t="str">
            <v>D881400</v>
          </cell>
          <cell r="D462">
            <v>17601003160565</v>
          </cell>
          <cell r="E462" t="str">
            <v>SEDANG</v>
          </cell>
          <cell r="F462" t="str">
            <v>Tidak</v>
          </cell>
          <cell r="G462" t="str">
            <v>Tidak</v>
          </cell>
          <cell r="H462" t="str">
            <v>Tidak</v>
          </cell>
          <cell r="I462" t="str">
            <v>Korupsi - Cash &amp; Amount</v>
          </cell>
          <cell r="J462">
            <v>48</v>
          </cell>
          <cell r="K462" t="str">
            <v>1,2,20</v>
          </cell>
          <cell r="L462" t="str">
            <v>Korupsi</v>
          </cell>
          <cell r="M462" t="str">
            <v>Kas Kanpus</v>
          </cell>
          <cell r="N462" t="str">
            <v>Kas Kanpus</v>
          </cell>
          <cell r="O462" t="str">
            <v>KAS KANPUS</v>
          </cell>
          <cell r="R462" t="str">
            <v>Belum TL</v>
          </cell>
          <cell r="S462" t="str">
            <v>Belum TL</v>
          </cell>
          <cell r="T462" t="str">
            <v>90186796 - Devito Arya Wiradila</v>
          </cell>
          <cell r="U462" t="str">
            <v>"-"</v>
          </cell>
        </row>
        <row r="463">
          <cell r="A463">
            <v>46265</v>
          </cell>
          <cell r="B463" t="str">
            <v xml:space="preserve">DARWIN SITOMPUL                         </v>
          </cell>
          <cell r="C463" t="str">
            <v>DAD2892</v>
          </cell>
          <cell r="D463">
            <v>8501014449107</v>
          </cell>
          <cell r="E463" t="str">
            <v>TINGGI</v>
          </cell>
          <cell r="F463" t="str">
            <v>Tidak</v>
          </cell>
          <cell r="G463" t="str">
            <v>Tidak</v>
          </cell>
          <cell r="H463" t="str">
            <v>Tidak</v>
          </cell>
          <cell r="I463" t="str">
            <v>Korupsi - Loan View</v>
          </cell>
          <cell r="J463">
            <v>73</v>
          </cell>
          <cell r="K463">
            <v>15</v>
          </cell>
          <cell r="L463" t="str">
            <v>Korupsi</v>
          </cell>
          <cell r="M463" t="str">
            <v>Kas Kanpus</v>
          </cell>
          <cell r="N463" t="str">
            <v>Kas Kanpus</v>
          </cell>
          <cell r="O463" t="str">
            <v>KAS KANPUS</v>
          </cell>
          <cell r="R463" t="str">
            <v>Belum TL</v>
          </cell>
          <cell r="S463" t="str">
            <v>Belum TL</v>
          </cell>
          <cell r="T463" t="str">
            <v>90150130 - Intan Aida Pratiwi</v>
          </cell>
          <cell r="U463" t="str">
            <v>"-"</v>
          </cell>
        </row>
        <row r="464">
          <cell r="A464">
            <v>46265</v>
          </cell>
          <cell r="B464" t="str">
            <v xml:space="preserve">DEDI HERMAWAN                           </v>
          </cell>
          <cell r="C464" t="str">
            <v>DADA183</v>
          </cell>
          <cell r="D464">
            <v>4359720210378500</v>
          </cell>
          <cell r="E464" t="str">
            <v>SEDANG</v>
          </cell>
          <cell r="F464" t="str">
            <v>Tidak</v>
          </cell>
          <cell r="G464" t="str">
            <v>Tidak</v>
          </cell>
          <cell r="H464" t="str">
            <v>Tidak</v>
          </cell>
          <cell r="I464" t="str">
            <v>Penyuapan - CC View</v>
          </cell>
          <cell r="J464">
            <v>45</v>
          </cell>
          <cell r="K464">
            <v>16.170000000000002</v>
          </cell>
          <cell r="L464" t="str">
            <v>Penyuapan</v>
          </cell>
          <cell r="M464" t="str">
            <v xml:space="preserve">Kas Kanpus                              </v>
          </cell>
          <cell r="N464" t="str">
            <v xml:space="preserve">Kas Kanpus                              </v>
          </cell>
          <cell r="O464" t="str">
            <v xml:space="preserve">KAS KANPUS                              </v>
          </cell>
          <cell r="R464" t="str">
            <v>Belum TL</v>
          </cell>
          <cell r="S464" t="str">
            <v>Belum TL</v>
          </cell>
          <cell r="T464" t="str">
            <v>90185538 - Muhammad Fahikal Auz</v>
          </cell>
          <cell r="U464" t="str">
            <v>"-"</v>
          </cell>
        </row>
        <row r="465">
          <cell r="A465">
            <v>46265</v>
          </cell>
          <cell r="B465" t="str">
            <v xml:space="preserve">DIBYANA PRAJNA WIDAYAT                  </v>
          </cell>
          <cell r="C465" t="str">
            <v>DAJ9138</v>
          </cell>
          <cell r="D465">
            <v>5101068601104</v>
          </cell>
          <cell r="E465" t="str">
            <v>SEDANG</v>
          </cell>
          <cell r="F465" t="str">
            <v>Tidak</v>
          </cell>
          <cell r="G465" t="str">
            <v>Ya</v>
          </cell>
          <cell r="H465" t="str">
            <v>Tidak</v>
          </cell>
          <cell r="I465" t="str">
            <v>Korupsi - Loan View</v>
          </cell>
          <cell r="J465">
            <v>58</v>
          </cell>
          <cell r="K465">
            <v>15</v>
          </cell>
          <cell r="L465" t="str">
            <v>Korupsi</v>
          </cell>
          <cell r="M465" t="str">
            <v>Kas Kanpus</v>
          </cell>
          <cell r="N465" t="str">
            <v>Kas Kanpus</v>
          </cell>
          <cell r="O465" t="str">
            <v>KAS KANPUS</v>
          </cell>
          <cell r="R465" t="str">
            <v>Belum TL</v>
          </cell>
          <cell r="S465" t="str">
            <v>Belum TL</v>
          </cell>
          <cell r="T465" t="str">
            <v>00394521 - Muhammad Hibbanduta</v>
          </cell>
          <cell r="U465" t="str">
            <v>"-"</v>
          </cell>
        </row>
        <row r="466">
          <cell r="A466">
            <v>46265</v>
          </cell>
          <cell r="B466" t="str">
            <v xml:space="preserve">DEVI NURLIANA SARI                      </v>
          </cell>
          <cell r="C466" t="str">
            <v>DAJV656</v>
          </cell>
          <cell r="D466">
            <v>126301000105566</v>
          </cell>
          <cell r="E466" t="str">
            <v>SEDANG</v>
          </cell>
          <cell r="F466" t="str">
            <v>Tidak</v>
          </cell>
          <cell r="G466" t="str">
            <v>Tidak</v>
          </cell>
          <cell r="H466" t="str">
            <v>Ya</v>
          </cell>
          <cell r="I466" t="str">
            <v>Bandar Judol Withdrawal</v>
          </cell>
          <cell r="J466">
            <v>50</v>
          </cell>
          <cell r="K466" t="str">
            <v>86,88,87</v>
          </cell>
          <cell r="L466" t="str">
            <v>Judi Online</v>
          </cell>
          <cell r="M466" t="str">
            <v xml:space="preserve">Kas Kanpus                              </v>
          </cell>
          <cell r="N466" t="str">
            <v xml:space="preserve">Kas Kanpus                              </v>
          </cell>
          <cell r="O466" t="str">
            <v xml:space="preserve">KAS KANPUS                              </v>
          </cell>
          <cell r="R466" t="str">
            <v>Belum TL</v>
          </cell>
          <cell r="S466" t="str">
            <v>Belum TL</v>
          </cell>
          <cell r="T466" t="str">
            <v>90186790 - Muhammad Alfin Farha</v>
          </cell>
          <cell r="U466" t="str">
            <v>"-"</v>
          </cell>
        </row>
        <row r="467">
          <cell r="A467">
            <v>46265</v>
          </cell>
          <cell r="B467" t="str">
            <v xml:space="preserve">DJAIMAN                                 </v>
          </cell>
          <cell r="C467" t="str">
            <v>DALX370</v>
          </cell>
          <cell r="D467">
            <v>640201039747538</v>
          </cell>
          <cell r="E467" t="str">
            <v>SEDANG</v>
          </cell>
          <cell r="F467" t="str">
            <v>Ya</v>
          </cell>
          <cell r="G467" t="str">
            <v>Tidak</v>
          </cell>
          <cell r="H467" t="str">
            <v>Tidak</v>
          </cell>
          <cell r="I467" t="str">
            <v>Narkotika - Area Lapas</v>
          </cell>
          <cell r="J467">
            <v>50</v>
          </cell>
          <cell r="K467">
            <v>46</v>
          </cell>
          <cell r="L467" t="str">
            <v>Narkotika</v>
          </cell>
          <cell r="M467" t="str">
            <v>UNIT SUMBERMANJING MLG MARTA</v>
          </cell>
          <cell r="N467" t="str">
            <v>KC Malang Martadinata</v>
          </cell>
          <cell r="O467" t="str">
            <v>KANWIL MALANG</v>
          </cell>
          <cell r="R467" t="str">
            <v>Belum TL</v>
          </cell>
          <cell r="S467" t="str">
            <v>Belum TL</v>
          </cell>
          <cell r="T467" t="str">
            <v>90186790 - Muhammad Alfin Farha</v>
          </cell>
          <cell r="U467" t="str">
            <v>"-"</v>
          </cell>
        </row>
        <row r="468">
          <cell r="A468">
            <v>46265</v>
          </cell>
          <cell r="B468" t="str">
            <v xml:space="preserve">CV DHARINDO CORP                        </v>
          </cell>
          <cell r="C468" t="str">
            <v>CZ20634</v>
          </cell>
          <cell r="D468">
            <v>222701001543564</v>
          </cell>
          <cell r="F468" t="str">
            <v>Tidak</v>
          </cell>
          <cell r="G468" t="str">
            <v>Tidak</v>
          </cell>
          <cell r="H468" t="str">
            <v>Tidak</v>
          </cell>
          <cell r="I468" t="str">
            <v>Business Email Compromise (BEC)</v>
          </cell>
          <cell r="J468">
            <v>30</v>
          </cell>
          <cell r="K468">
            <v>13</v>
          </cell>
          <cell r="L468" t="str">
            <v>Penipuan</v>
          </cell>
          <cell r="M468" t="str">
            <v xml:space="preserve">KCP RING ROAD                           </v>
          </cell>
          <cell r="N468" t="str">
            <v xml:space="preserve">KC Medan Iskandar Muda                  </v>
          </cell>
          <cell r="O468" t="str">
            <v xml:space="preserve">Medan                                   </v>
          </cell>
          <cell r="R468" t="str">
            <v>Belum TL</v>
          </cell>
          <cell r="S468" t="str">
            <v>Belum TL</v>
          </cell>
          <cell r="T468" t="str">
            <v>90185537 - Moh.Khoerul Fajar Ar</v>
          </cell>
          <cell r="U468" t="str">
            <v>"-"</v>
          </cell>
        </row>
        <row r="469">
          <cell r="A469">
            <v>46265</v>
          </cell>
          <cell r="B469" t="str">
            <v xml:space="preserve">DENNY PRASETYA IR                       </v>
          </cell>
          <cell r="C469" t="str">
            <v>D029324</v>
          </cell>
          <cell r="D469">
            <v>18801002111564</v>
          </cell>
          <cell r="E469" t="str">
            <v>TINGGI</v>
          </cell>
          <cell r="F469" t="str">
            <v>Tidak</v>
          </cell>
          <cell r="G469" t="str">
            <v>Tidak</v>
          </cell>
          <cell r="H469" t="str">
            <v>Tidak</v>
          </cell>
          <cell r="I469" t="str">
            <v>Korupsi - Significant Trx View</v>
          </cell>
          <cell r="J469">
            <v>83</v>
          </cell>
          <cell r="K469">
            <v>1.19</v>
          </cell>
          <cell r="L469" t="str">
            <v>Korupsi</v>
          </cell>
          <cell r="M469" t="str">
            <v>Kas Kanpus</v>
          </cell>
          <cell r="N469" t="str">
            <v>Kas Kanpus</v>
          </cell>
          <cell r="O469" t="str">
            <v>KAS KANPUS</v>
          </cell>
          <cell r="R469" t="str">
            <v>Belum TL</v>
          </cell>
          <cell r="S469" t="str">
            <v>Belum TL</v>
          </cell>
          <cell r="T469" t="str">
            <v>90170665 - Mutiara Ayuningtyas</v>
          </cell>
          <cell r="U469" t="str">
            <v>"-"</v>
          </cell>
        </row>
        <row r="470">
          <cell r="A470">
            <v>46265</v>
          </cell>
          <cell r="B470" t="str">
            <v xml:space="preserve">DWI HANDAYANI                           </v>
          </cell>
          <cell r="C470" t="str">
            <v>DAMB604</v>
          </cell>
          <cell r="D470">
            <v>26601028923537</v>
          </cell>
          <cell r="E470" t="str">
            <v>SEDANG</v>
          </cell>
          <cell r="F470" t="str">
            <v>Tidak</v>
          </cell>
          <cell r="G470" t="str">
            <v>Tidak</v>
          </cell>
          <cell r="H470" t="str">
            <v>Tidak</v>
          </cell>
          <cell r="I470" t="str">
            <v>Bandar Judol Withdrawal</v>
          </cell>
          <cell r="J470">
            <v>50</v>
          </cell>
          <cell r="K470" t="str">
            <v>86,88,87</v>
          </cell>
          <cell r="L470" t="str">
            <v>Judi Online</v>
          </cell>
          <cell r="M470" t="str">
            <v xml:space="preserve">Kas Kanpus                              </v>
          </cell>
          <cell r="N470" t="str">
            <v xml:space="preserve">Kas Kanpus                              </v>
          </cell>
          <cell r="O470" t="str">
            <v xml:space="preserve">KAS KANPUS                              </v>
          </cell>
          <cell r="R470" t="str">
            <v>Belum TL</v>
          </cell>
          <cell r="S470" t="str">
            <v>Belum TL</v>
          </cell>
          <cell r="T470" t="str">
            <v>90185537 - Moh.Khoerul Fajar Ar</v>
          </cell>
          <cell r="U470" t="str">
            <v>"-"</v>
          </cell>
        </row>
        <row r="471">
          <cell r="A471">
            <v>46265</v>
          </cell>
          <cell r="B471" t="str">
            <v xml:space="preserve">DENI                                    </v>
          </cell>
          <cell r="C471" t="str">
            <v>DARE535</v>
          </cell>
          <cell r="D471">
            <v>41901056141500</v>
          </cell>
          <cell r="E471" t="str">
            <v>SEDANG</v>
          </cell>
          <cell r="F471" t="str">
            <v>Ya</v>
          </cell>
          <cell r="G471" t="str">
            <v>Tidak</v>
          </cell>
          <cell r="H471" t="str">
            <v>Tidak</v>
          </cell>
          <cell r="I471" t="str">
            <v>Bandar Judol Depo</v>
          </cell>
          <cell r="J471">
            <v>50</v>
          </cell>
          <cell r="K471" t="str">
            <v>86,74,87</v>
          </cell>
          <cell r="L471" t="str">
            <v>Judi Online</v>
          </cell>
          <cell r="M471" t="str">
            <v xml:space="preserve">Kas Kanpus                              </v>
          </cell>
          <cell r="N471" t="str">
            <v xml:space="preserve">Kas Kanpus                              </v>
          </cell>
          <cell r="O471" t="str">
            <v xml:space="preserve">KAS KANPUS                              </v>
          </cell>
          <cell r="R471" t="str">
            <v>Belum TL</v>
          </cell>
          <cell r="S471" t="str">
            <v>Belum TL</v>
          </cell>
          <cell r="T471" t="str">
            <v>00394520 - Frida Akbar Rani</v>
          </cell>
          <cell r="U471" t="str">
            <v>"-"</v>
          </cell>
        </row>
        <row r="472">
          <cell r="A472">
            <v>46265</v>
          </cell>
          <cell r="B472" t="str">
            <v xml:space="preserve">DARWOTO                                 </v>
          </cell>
          <cell r="C472" t="str">
            <v>DBB2983</v>
          </cell>
          <cell r="D472">
            <v>12201109911504</v>
          </cell>
          <cell r="E472" t="str">
            <v>SEDANG</v>
          </cell>
          <cell r="F472" t="str">
            <v>Tidak</v>
          </cell>
          <cell r="G472" t="str">
            <v>Tidak</v>
          </cell>
          <cell r="H472" t="str">
            <v>Tidak</v>
          </cell>
          <cell r="I472" t="str">
            <v>Narkotika - Area Lapas</v>
          </cell>
          <cell r="J472">
            <v>50</v>
          </cell>
          <cell r="K472">
            <v>48</v>
          </cell>
          <cell r="L472" t="str">
            <v>Narkotika</v>
          </cell>
          <cell r="M472" t="str">
            <v>KC Jakarta Jatinegara</v>
          </cell>
          <cell r="N472" t="str">
            <v>KC Jakarta Jatinegara</v>
          </cell>
          <cell r="O472" t="str">
            <v>DKI</v>
          </cell>
          <cell r="R472" t="str">
            <v>Belum TL</v>
          </cell>
          <cell r="S472" t="str">
            <v>Belum TL</v>
          </cell>
          <cell r="T472" t="str">
            <v>90186796 - Devito Arya Wiradila</v>
          </cell>
          <cell r="U472" t="str">
            <v>"-"</v>
          </cell>
        </row>
        <row r="473">
          <cell r="A473">
            <v>46265</v>
          </cell>
          <cell r="B473" t="str">
            <v xml:space="preserve">DIDIN RAMDANI                           </v>
          </cell>
          <cell r="C473" t="str">
            <v>DBP2605</v>
          </cell>
          <cell r="D473">
            <v>501249061500</v>
          </cell>
          <cell r="E473" t="str">
            <v>SEDANG</v>
          </cell>
          <cell r="F473" t="str">
            <v>Tidak</v>
          </cell>
          <cell r="G473" t="str">
            <v>Tidak</v>
          </cell>
          <cell r="H473" t="str">
            <v>Tidak</v>
          </cell>
          <cell r="I473" t="str">
            <v>Bandar Judol Withdrawal</v>
          </cell>
          <cell r="J473">
            <v>50</v>
          </cell>
          <cell r="K473" t="str">
            <v>86,88,87</v>
          </cell>
          <cell r="L473" t="str">
            <v>Judi Online</v>
          </cell>
          <cell r="M473" t="str">
            <v xml:space="preserve">Kas Kanpus                              </v>
          </cell>
          <cell r="N473" t="str">
            <v xml:space="preserve">Kas Kanpus                              </v>
          </cell>
          <cell r="O473" t="str">
            <v xml:space="preserve">KAS KANPUS                              </v>
          </cell>
          <cell r="R473" t="str">
            <v>Belum TL</v>
          </cell>
          <cell r="S473" t="str">
            <v>Belum TL</v>
          </cell>
          <cell r="T473" t="str">
            <v>00394520 - Frida Akbar Rani</v>
          </cell>
          <cell r="U473" t="str">
            <v>"-"</v>
          </cell>
        </row>
        <row r="474">
          <cell r="A474">
            <v>46265</v>
          </cell>
          <cell r="B474" t="str">
            <v xml:space="preserve">DEDI SURYADI                            </v>
          </cell>
          <cell r="C474" t="str">
            <v>DBQT805</v>
          </cell>
          <cell r="D474">
            <v>39901001944569</v>
          </cell>
          <cell r="E474" t="str">
            <v>SEDANG</v>
          </cell>
          <cell r="F474" t="str">
            <v>Tidak</v>
          </cell>
          <cell r="G474" t="str">
            <v>Tidak</v>
          </cell>
          <cell r="H474" t="str">
            <v>Tidak</v>
          </cell>
          <cell r="I474" t="str">
            <v>Bandar Judol Withdrawal</v>
          </cell>
          <cell r="J474">
            <v>50</v>
          </cell>
          <cell r="K474" t="str">
            <v>86,88,87</v>
          </cell>
          <cell r="L474" t="str">
            <v>Judi Online</v>
          </cell>
          <cell r="M474" t="str">
            <v xml:space="preserve">Kas Kanpus                              </v>
          </cell>
          <cell r="N474" t="str">
            <v xml:space="preserve">Kas Kanpus                              </v>
          </cell>
          <cell r="O474" t="str">
            <v xml:space="preserve">KAS KANPUS                              </v>
          </cell>
          <cell r="R474" t="str">
            <v>Belum TL</v>
          </cell>
          <cell r="S474" t="str">
            <v>Belum TL</v>
          </cell>
          <cell r="T474" t="str">
            <v>90186796 - Devito Arya Wiradila</v>
          </cell>
          <cell r="U474" t="str">
            <v>"-"</v>
          </cell>
        </row>
        <row r="475">
          <cell r="A475">
            <v>46265</v>
          </cell>
          <cell r="B475" t="str">
            <v xml:space="preserve">DENISA LESTARI                          </v>
          </cell>
          <cell r="C475" t="str">
            <v>DBTW363</v>
          </cell>
          <cell r="D475">
            <v>784601045966533</v>
          </cell>
          <cell r="E475" t="str">
            <v>SEDANG</v>
          </cell>
          <cell r="F475" t="str">
            <v>Tidak</v>
          </cell>
          <cell r="G475" t="str">
            <v>Tidak</v>
          </cell>
          <cell r="H475" t="str">
            <v>Tidak</v>
          </cell>
          <cell r="I475" t="str">
            <v>Bandar Judol Withdrawal</v>
          </cell>
          <cell r="J475">
            <v>50</v>
          </cell>
          <cell r="K475" t="str">
            <v>86,88,87</v>
          </cell>
          <cell r="L475" t="str">
            <v>Judi Online</v>
          </cell>
          <cell r="M475" t="str">
            <v xml:space="preserve">Kas Kanpus                              </v>
          </cell>
          <cell r="N475" t="str">
            <v xml:space="preserve">Kas Kanpus                              </v>
          </cell>
          <cell r="O475" t="str">
            <v xml:space="preserve">KAS KANPUS                              </v>
          </cell>
          <cell r="R475" t="str">
            <v>Belum TL</v>
          </cell>
          <cell r="S475" t="str">
            <v>Belum TL</v>
          </cell>
          <cell r="T475" t="str">
            <v>90170665 - Mutiara Ayuningtyas</v>
          </cell>
          <cell r="U475" t="str">
            <v>"-"</v>
          </cell>
        </row>
        <row r="476">
          <cell r="A476">
            <v>46265</v>
          </cell>
          <cell r="B476" t="str">
            <v xml:space="preserve">DIMAS HADI                              </v>
          </cell>
          <cell r="C476" t="str">
            <v>DCEV688</v>
          </cell>
          <cell r="D476">
            <v>5520020243103700</v>
          </cell>
          <cell r="E476" t="str">
            <v>SEDANG</v>
          </cell>
          <cell r="F476" t="str">
            <v>Tidak</v>
          </cell>
          <cell r="G476" t="str">
            <v>Tidak</v>
          </cell>
          <cell r="H476" t="str">
            <v>Tidak</v>
          </cell>
          <cell r="I476" t="str">
            <v>Penghindaran Pajak (Transaksi Fiktif)/Penyuapan CC</v>
          </cell>
          <cell r="J476">
            <v>45</v>
          </cell>
          <cell r="K476">
            <v>118</v>
          </cell>
          <cell r="L476" t="str">
            <v>Penyuapan / Penghindaran Pajak CC View</v>
          </cell>
          <cell r="M476" t="str">
            <v xml:space="preserve">Kas Kanpus                              </v>
          </cell>
          <cell r="N476" t="str">
            <v xml:space="preserve">Kas Kanpus                              </v>
          </cell>
          <cell r="O476" t="str">
            <v xml:space="preserve">KAS KANPUS                              </v>
          </cell>
          <cell r="R476" t="str">
            <v>Belum TL</v>
          </cell>
          <cell r="S476" t="str">
            <v>Belum TL</v>
          </cell>
          <cell r="T476" t="str">
            <v>90185537 - Moh.Khoerul Fajar Ar</v>
          </cell>
          <cell r="U476" t="str">
            <v>"-"</v>
          </cell>
        </row>
        <row r="477">
          <cell r="A477">
            <v>46265</v>
          </cell>
          <cell r="B477" t="str">
            <v xml:space="preserve">DENDY IRWANTO                           </v>
          </cell>
          <cell r="C477" t="str">
            <v>DCH5283</v>
          </cell>
          <cell r="D477">
            <v>4359720236359700</v>
          </cell>
          <cell r="E477" t="str">
            <v>SEDANG</v>
          </cell>
          <cell r="F477" t="str">
            <v>Tidak</v>
          </cell>
          <cell r="G477" t="str">
            <v>Tidak</v>
          </cell>
          <cell r="H477" t="str">
            <v>Tidak</v>
          </cell>
          <cell r="I477" t="str">
            <v>Penghindaran Pajak (Transaksi Fiktif)/Penyuapan CC</v>
          </cell>
          <cell r="J477">
            <v>45</v>
          </cell>
          <cell r="K477">
            <v>118</v>
          </cell>
          <cell r="L477" t="str">
            <v>Penyuapan / Penghindaran Pajak CC View</v>
          </cell>
          <cell r="M477" t="str">
            <v xml:space="preserve">Kas Kanpus                              </v>
          </cell>
          <cell r="N477" t="str">
            <v xml:space="preserve">Kas Kanpus                              </v>
          </cell>
          <cell r="O477" t="str">
            <v xml:space="preserve">KAS KANPUS                              </v>
          </cell>
          <cell r="R477" t="str">
            <v>Belum TL</v>
          </cell>
          <cell r="S477" t="str">
            <v>Belum TL</v>
          </cell>
          <cell r="T477" t="str">
            <v>90186796 - Devito Arya Wiradila</v>
          </cell>
          <cell r="U477" t="str">
            <v>"-"</v>
          </cell>
        </row>
        <row r="478">
          <cell r="A478">
            <v>46265</v>
          </cell>
          <cell r="B478" t="str">
            <v xml:space="preserve">DANIELA FEBRIANA BR TARIGAN             </v>
          </cell>
          <cell r="C478" t="str">
            <v>DCKG475</v>
          </cell>
          <cell r="D478">
            <v>36701004464561</v>
          </cell>
          <cell r="E478" t="str">
            <v>SEDANG</v>
          </cell>
          <cell r="F478" t="str">
            <v>Tidak</v>
          </cell>
          <cell r="G478" t="str">
            <v>Tidak</v>
          </cell>
          <cell r="H478" t="str">
            <v>Tidak</v>
          </cell>
          <cell r="I478" t="str">
            <v>Bandar Judol Withdrawal</v>
          </cell>
          <cell r="J478">
            <v>50</v>
          </cell>
          <cell r="K478" t="str">
            <v>86,88,87</v>
          </cell>
          <cell r="L478" t="str">
            <v>Judi Online</v>
          </cell>
          <cell r="M478" t="str">
            <v xml:space="preserve">Kas Kanpus                              </v>
          </cell>
          <cell r="N478" t="str">
            <v xml:space="preserve">Kas Kanpus                              </v>
          </cell>
          <cell r="O478" t="str">
            <v xml:space="preserve">KAS KANPUS                              </v>
          </cell>
          <cell r="R478" t="str">
            <v>Belum TL</v>
          </cell>
          <cell r="S478" t="str">
            <v>Belum TL</v>
          </cell>
          <cell r="T478" t="str">
            <v>90170665 - Mutiara Ayuningtyas</v>
          </cell>
          <cell r="U478" t="str">
            <v>"-"</v>
          </cell>
        </row>
        <row r="479">
          <cell r="A479">
            <v>46265</v>
          </cell>
          <cell r="B479" t="str">
            <v xml:space="preserve">DOK PERKAPALAN KALTIM                   </v>
          </cell>
          <cell r="C479" t="str">
            <v>DCLY703</v>
          </cell>
          <cell r="D479">
            <v>12101501958158</v>
          </cell>
          <cell r="E479" t="str">
            <v>SEDANG</v>
          </cell>
          <cell r="F479" t="str">
            <v>Tidak</v>
          </cell>
          <cell r="G479" t="str">
            <v>Tidak</v>
          </cell>
          <cell r="H479" t="str">
            <v>Tidak</v>
          </cell>
          <cell r="I479" t="str">
            <v>Korupsi - Loan View</v>
          </cell>
          <cell r="J479">
            <v>48</v>
          </cell>
          <cell r="K479">
            <v>15</v>
          </cell>
          <cell r="L479" t="str">
            <v>Korupsi</v>
          </cell>
          <cell r="M479" t="str">
            <v>Kas Kanpus</v>
          </cell>
          <cell r="N479" t="str">
            <v>Kas Kanpus</v>
          </cell>
          <cell r="O479" t="str">
            <v>KAS KANPUS</v>
          </cell>
          <cell r="R479" t="str">
            <v>Belum TL</v>
          </cell>
          <cell r="S479" t="str">
            <v>Belum TL</v>
          </cell>
          <cell r="T479" t="str">
            <v>90171841 - Rifqi Aziz</v>
          </cell>
          <cell r="U479" t="str">
            <v>"-"</v>
          </cell>
        </row>
        <row r="480">
          <cell r="A480">
            <v>46265</v>
          </cell>
          <cell r="B480" t="str">
            <v xml:space="preserve">DPC PARTAI GERINDRA KABUPATEN TEGAL     </v>
          </cell>
          <cell r="C480" t="str">
            <v>DCMH946</v>
          </cell>
          <cell r="D480">
            <v>66101000899560</v>
          </cell>
          <cell r="E480" t="str">
            <v>SEDANG</v>
          </cell>
          <cell r="F480" t="str">
            <v>Tidak</v>
          </cell>
          <cell r="G480" t="str">
            <v>Tidak</v>
          </cell>
          <cell r="H480" t="str">
            <v>Tidak</v>
          </cell>
          <cell r="I480" t="str">
            <v>Perpajakan</v>
          </cell>
          <cell r="J480">
            <v>48</v>
          </cell>
          <cell r="K480">
            <v>41</v>
          </cell>
          <cell r="L480" t="str">
            <v>Perpajakan</v>
          </cell>
          <cell r="M480" t="str">
            <v xml:space="preserve">KC Slawi                                </v>
          </cell>
          <cell r="N480" t="str">
            <v xml:space="preserve">KC Slawi                                </v>
          </cell>
          <cell r="O480" t="str">
            <v xml:space="preserve">Semarang                                </v>
          </cell>
          <cell r="R480" t="str">
            <v>Belum TL</v>
          </cell>
          <cell r="S480" t="str">
            <v>Belum TL</v>
          </cell>
          <cell r="T480" t="str">
            <v>90186790 - Muhammad Alfin Farha</v>
          </cell>
          <cell r="U480" t="str">
            <v>"-"</v>
          </cell>
        </row>
        <row r="481">
          <cell r="A481">
            <v>46265</v>
          </cell>
          <cell r="B481" t="str">
            <v xml:space="preserve">DAFFA ARDIANSYAH                        </v>
          </cell>
          <cell r="C481" t="str">
            <v>DCPY359</v>
          </cell>
          <cell r="D481">
            <v>107101022595500</v>
          </cell>
          <cell r="E481" t="str">
            <v>SEDANG</v>
          </cell>
          <cell r="F481" t="str">
            <v>Tidak</v>
          </cell>
          <cell r="G481" t="str">
            <v>Tidak</v>
          </cell>
          <cell r="H481" t="str">
            <v>Tidak</v>
          </cell>
          <cell r="I481" t="str">
            <v>Bandar Judol Withdrawal</v>
          </cell>
          <cell r="J481">
            <v>50</v>
          </cell>
          <cell r="K481" t="str">
            <v>86,88,87</v>
          </cell>
          <cell r="L481" t="str">
            <v>Judi Online</v>
          </cell>
          <cell r="M481" t="str">
            <v xml:space="preserve">Kas Kanpus                              </v>
          </cell>
          <cell r="N481" t="str">
            <v xml:space="preserve">Kas Kanpus                              </v>
          </cell>
          <cell r="O481" t="str">
            <v xml:space="preserve">KAS KANPUS                              </v>
          </cell>
          <cell r="R481" t="str">
            <v>Belum TL</v>
          </cell>
          <cell r="S481" t="str">
            <v>Belum TL</v>
          </cell>
          <cell r="T481" t="str">
            <v>90171841 - Rifqi Aziz</v>
          </cell>
          <cell r="U481" t="str">
            <v>"-"</v>
          </cell>
        </row>
        <row r="482">
          <cell r="A482">
            <v>46265</v>
          </cell>
          <cell r="B482" t="str">
            <v xml:space="preserve">DENI OKTA YUSANTO                       </v>
          </cell>
          <cell r="C482" t="str">
            <v>DCEM959</v>
          </cell>
          <cell r="D482">
            <v>4359720200461400</v>
          </cell>
          <cell r="E482" t="str">
            <v>SEDANG</v>
          </cell>
          <cell r="F482" t="str">
            <v>Tidak</v>
          </cell>
          <cell r="G482" t="str">
            <v>Tidak</v>
          </cell>
          <cell r="H482" t="str">
            <v>Tidak</v>
          </cell>
          <cell r="I482" t="str">
            <v>Anomali Transaksi Kartu Kredit</v>
          </cell>
          <cell r="J482">
            <v>45</v>
          </cell>
          <cell r="K482">
            <v>117</v>
          </cell>
          <cell r="L482" t="str">
            <v>Anomali Transaksi Kartu Kredit</v>
          </cell>
          <cell r="M482" t="str">
            <v xml:space="preserve">Kas Kanpus                              </v>
          </cell>
          <cell r="N482" t="str">
            <v xml:space="preserve">Kas Kanpus                              </v>
          </cell>
          <cell r="O482" t="str">
            <v xml:space="preserve">KAS KANPUS                              </v>
          </cell>
          <cell r="R482" t="str">
            <v>Belum TL</v>
          </cell>
          <cell r="S482" t="str">
            <v>Belum TL</v>
          </cell>
          <cell r="T482" t="str">
            <v>90186790 - Muhammad Alfin Farha</v>
          </cell>
          <cell r="U482" t="str">
            <v>"-"</v>
          </cell>
        </row>
        <row r="483">
          <cell r="A483">
            <v>46265</v>
          </cell>
          <cell r="B483" t="str">
            <v xml:space="preserve">DEA DWI FITRIANI                        </v>
          </cell>
          <cell r="C483" t="str">
            <v>DCZV552</v>
          </cell>
          <cell r="D483">
            <v>224801004778508</v>
          </cell>
          <cell r="E483" t="str">
            <v>TINGGI</v>
          </cell>
          <cell r="F483" t="str">
            <v>Tidak</v>
          </cell>
          <cell r="G483" t="str">
            <v>Tidak</v>
          </cell>
          <cell r="H483" t="str">
            <v>Ya</v>
          </cell>
          <cell r="I483" t="str">
            <v>Bandar Judol Withdrawal</v>
          </cell>
          <cell r="J483">
            <v>65</v>
          </cell>
          <cell r="K483" t="str">
            <v>86,88,87</v>
          </cell>
          <cell r="L483" t="str">
            <v>Judi Online</v>
          </cell>
          <cell r="M483" t="str">
            <v xml:space="preserve">Kas Kanpus                              </v>
          </cell>
          <cell r="N483" t="str">
            <v xml:space="preserve">Kas Kanpus                              </v>
          </cell>
          <cell r="O483" t="str">
            <v xml:space="preserve">KAS KANPUS                              </v>
          </cell>
          <cell r="R483" t="str">
            <v>Belum TL</v>
          </cell>
          <cell r="S483" t="str">
            <v>Belum TL</v>
          </cell>
          <cell r="T483" t="str">
            <v>90185538 - Muhammad Fahikal Auz</v>
          </cell>
          <cell r="U483" t="str">
            <v>"-"</v>
          </cell>
        </row>
        <row r="484">
          <cell r="A484">
            <v>46265</v>
          </cell>
          <cell r="B484" t="str">
            <v xml:space="preserve">DEDI ISWANTO                            </v>
          </cell>
          <cell r="C484" t="str">
            <v>DDFT201</v>
          </cell>
          <cell r="D484">
            <v>4359720217810400</v>
          </cell>
          <cell r="E484" t="str">
            <v>SEDANG</v>
          </cell>
          <cell r="F484" t="str">
            <v>Tidak</v>
          </cell>
          <cell r="G484" t="str">
            <v>Tidak</v>
          </cell>
          <cell r="H484" t="str">
            <v>Tidak</v>
          </cell>
          <cell r="I484" t="str">
            <v>Penghindaran Pajak (Transaksi Fiktif)/Penyuapan CC</v>
          </cell>
          <cell r="J484">
            <v>45</v>
          </cell>
          <cell r="K484">
            <v>118</v>
          </cell>
          <cell r="L484" t="str">
            <v>Penyuapan / Penghindaran Pajak CC View</v>
          </cell>
          <cell r="M484" t="str">
            <v xml:space="preserve">Kas Kanpus                              </v>
          </cell>
          <cell r="N484" t="str">
            <v xml:space="preserve">Kas Kanpus                              </v>
          </cell>
          <cell r="O484" t="str">
            <v xml:space="preserve">KAS KANPUS                              </v>
          </cell>
          <cell r="R484" t="str">
            <v>Belum TL</v>
          </cell>
          <cell r="S484" t="str">
            <v>Belum TL</v>
          </cell>
          <cell r="T484" t="str">
            <v>90186790 - Muhammad Alfin Farha</v>
          </cell>
          <cell r="U484" t="str">
            <v>"-"</v>
          </cell>
        </row>
        <row r="485">
          <cell r="A485">
            <v>46265</v>
          </cell>
          <cell r="B485" t="str">
            <v xml:space="preserve">DINDA ZULIANTI                          </v>
          </cell>
          <cell r="C485" t="str">
            <v>DDFV070</v>
          </cell>
          <cell r="D485">
            <v>1201030504534</v>
          </cell>
          <cell r="E485" t="str">
            <v>SEDANG</v>
          </cell>
          <cell r="F485" t="str">
            <v>Tidak</v>
          </cell>
          <cell r="G485" t="str">
            <v>Tidak</v>
          </cell>
          <cell r="H485" t="str">
            <v>Tidak</v>
          </cell>
          <cell r="I485" t="str">
            <v>Bandar Judol Depo</v>
          </cell>
          <cell r="J485">
            <v>50</v>
          </cell>
          <cell r="K485" t="str">
            <v>86,74,87</v>
          </cell>
          <cell r="L485" t="str">
            <v>Judi Online</v>
          </cell>
          <cell r="M485" t="str">
            <v xml:space="preserve">Kas Kanpus                              </v>
          </cell>
          <cell r="N485" t="str">
            <v xml:space="preserve">Kas Kanpus                              </v>
          </cell>
          <cell r="O485" t="str">
            <v xml:space="preserve">KAS KANPUS                              </v>
          </cell>
          <cell r="R485" t="str">
            <v>Belum TL</v>
          </cell>
          <cell r="S485" t="str">
            <v>Belum TL</v>
          </cell>
          <cell r="T485" t="str">
            <v>90170665 - Mutiara Ayuningtyas</v>
          </cell>
          <cell r="U485" t="str">
            <v>"-"</v>
          </cell>
        </row>
        <row r="486">
          <cell r="A486">
            <v>46243</v>
          </cell>
          <cell r="B486" t="str">
            <v xml:space="preserve">DEDI IRAWAN                             </v>
          </cell>
          <cell r="C486" t="str">
            <v>DDHM810</v>
          </cell>
          <cell r="D486">
            <v>577101028494536</v>
          </cell>
          <cell r="E486" t="str">
            <v>SEDANG</v>
          </cell>
          <cell r="F486" t="str">
            <v>Tidak</v>
          </cell>
          <cell r="G486" t="str">
            <v>Tidak</v>
          </cell>
          <cell r="I486" t="str">
            <v>Teroris - Remark</v>
          </cell>
          <cell r="J486">
            <v>168</v>
          </cell>
          <cell r="K486">
            <v>50</v>
          </cell>
          <cell r="L486" t="str">
            <v>Terorisme</v>
          </cell>
          <cell r="M486" t="str">
            <v xml:space="preserve">Kas Kanpus                              </v>
          </cell>
          <cell r="N486" t="str">
            <v xml:space="preserve">Kas Kanpus                              </v>
          </cell>
          <cell r="O486" t="str">
            <v xml:space="preserve">KAS KANPUS                              </v>
          </cell>
          <cell r="R486" t="str">
            <v>Belum TL</v>
          </cell>
          <cell r="S486" t="str">
            <v>Belum TL</v>
          </cell>
          <cell r="T486" t="str">
            <v>90150130 - Intan Aida Pratiwi</v>
          </cell>
          <cell r="U486" t="str">
            <v>"-"</v>
          </cell>
        </row>
        <row r="487">
          <cell r="A487">
            <v>46265</v>
          </cell>
          <cell r="B487" t="str">
            <v xml:space="preserve">DERI HERMAWAN                           </v>
          </cell>
          <cell r="C487" t="str">
            <v>DDHQ022</v>
          </cell>
          <cell r="D487">
            <v>53301006736533</v>
          </cell>
          <cell r="E487" t="str">
            <v>SEDANG</v>
          </cell>
          <cell r="F487" t="str">
            <v>Tidak</v>
          </cell>
          <cell r="G487" t="str">
            <v>Tidak</v>
          </cell>
          <cell r="H487" t="str">
            <v>Tidak</v>
          </cell>
          <cell r="I487" t="str">
            <v>Bandar Judol Withdrawal</v>
          </cell>
          <cell r="J487">
            <v>50</v>
          </cell>
          <cell r="K487" t="str">
            <v>86,88,87</v>
          </cell>
          <cell r="L487" t="str">
            <v>Judi Online</v>
          </cell>
          <cell r="M487" t="str">
            <v xml:space="preserve">Kas Kanpus                              </v>
          </cell>
          <cell r="N487" t="str">
            <v xml:space="preserve">Kas Kanpus                              </v>
          </cell>
          <cell r="O487" t="str">
            <v xml:space="preserve">KAS KANPUS                              </v>
          </cell>
          <cell r="R487" t="str">
            <v>Belum TL</v>
          </cell>
          <cell r="S487" t="str">
            <v>Belum TL</v>
          </cell>
          <cell r="T487" t="str">
            <v>90186796 - Devito Arya Wiradila</v>
          </cell>
          <cell r="U487" t="str">
            <v>"-"</v>
          </cell>
        </row>
        <row r="488">
          <cell r="A488">
            <v>46265</v>
          </cell>
          <cell r="B488" t="str">
            <v xml:space="preserve">DELA SEPTIYANI                          </v>
          </cell>
          <cell r="C488" t="str">
            <v>DDOZ057</v>
          </cell>
          <cell r="D488">
            <v>53801017337534</v>
          </cell>
          <cell r="E488" t="str">
            <v>SEDANG</v>
          </cell>
          <cell r="F488" t="str">
            <v>Tidak</v>
          </cell>
          <cell r="G488" t="str">
            <v>Tidak</v>
          </cell>
          <cell r="H488" t="str">
            <v>Tidak</v>
          </cell>
          <cell r="I488" t="str">
            <v>Bandar Judol Withdrawal</v>
          </cell>
          <cell r="J488">
            <v>50</v>
          </cell>
          <cell r="K488" t="str">
            <v>86,88,87</v>
          </cell>
          <cell r="L488" t="str">
            <v>Judi Online</v>
          </cell>
          <cell r="M488" t="str">
            <v xml:space="preserve">Kas Kanpus                              </v>
          </cell>
          <cell r="N488" t="str">
            <v xml:space="preserve">Kas Kanpus                              </v>
          </cell>
          <cell r="O488" t="str">
            <v xml:space="preserve">KAS KANPUS                              </v>
          </cell>
          <cell r="R488" t="str">
            <v>Belum TL</v>
          </cell>
          <cell r="S488" t="str">
            <v>Belum TL</v>
          </cell>
          <cell r="T488" t="str">
            <v>90186796 - Devito Arya Wiradila</v>
          </cell>
          <cell r="U488" t="str">
            <v>"-"</v>
          </cell>
        </row>
        <row r="489">
          <cell r="A489">
            <v>46247</v>
          </cell>
          <cell r="B489" t="str">
            <v xml:space="preserve">DEWI SRI INDRA RAMESWARI                </v>
          </cell>
          <cell r="C489" t="str">
            <v>DDXX801</v>
          </cell>
          <cell r="D489">
            <v>15701115340504</v>
          </cell>
          <cell r="E489" t="str">
            <v>SEDANG</v>
          </cell>
          <cell r="F489" t="str">
            <v>Tidak</v>
          </cell>
          <cell r="G489" t="str">
            <v>Tidak</v>
          </cell>
          <cell r="I489" t="str">
            <v>Teroris - Remark</v>
          </cell>
          <cell r="J489">
            <v>168</v>
          </cell>
          <cell r="K489">
            <v>50</v>
          </cell>
          <cell r="L489" t="str">
            <v>Terorisme</v>
          </cell>
          <cell r="M489" t="str">
            <v xml:space="preserve">Kas Kanpus                              </v>
          </cell>
          <cell r="N489" t="str">
            <v xml:space="preserve">Kas Kanpus                              </v>
          </cell>
          <cell r="O489" t="str">
            <v xml:space="preserve">KAS KANPUS                              </v>
          </cell>
          <cell r="R489" t="str">
            <v>Belum TL</v>
          </cell>
          <cell r="S489" t="str">
            <v>Belum TL</v>
          </cell>
          <cell r="T489" t="str">
            <v>90150130 - Intan Aida Pratiwi</v>
          </cell>
          <cell r="U489" t="str">
            <v>"-"</v>
          </cell>
        </row>
        <row r="490">
          <cell r="A490">
            <v>46244</v>
          </cell>
          <cell r="B490" t="str">
            <v xml:space="preserve">DEWI SRI INDRA RAMESWARI                </v>
          </cell>
          <cell r="C490" t="str">
            <v>DDXX801</v>
          </cell>
          <cell r="D490">
            <v>15701115340504</v>
          </cell>
          <cell r="E490" t="str">
            <v>SEDANG</v>
          </cell>
          <cell r="F490" t="str">
            <v>Tidak</v>
          </cell>
          <cell r="G490" t="str">
            <v>Tidak</v>
          </cell>
          <cell r="I490" t="str">
            <v>Teroris - Remark</v>
          </cell>
          <cell r="J490">
            <v>168</v>
          </cell>
          <cell r="K490">
            <v>50</v>
          </cell>
          <cell r="L490" t="str">
            <v>Terorisme</v>
          </cell>
          <cell r="M490" t="str">
            <v xml:space="preserve">Kas Kanpus                              </v>
          </cell>
          <cell r="N490" t="str">
            <v xml:space="preserve">Kas Kanpus                              </v>
          </cell>
          <cell r="O490" t="str">
            <v xml:space="preserve">KAS KANPUS                              </v>
          </cell>
          <cell r="R490" t="str">
            <v>Belum TL</v>
          </cell>
          <cell r="S490" t="str">
            <v>Belum TL</v>
          </cell>
          <cell r="T490" t="str">
            <v>00394521 - Muhammad Hibbanduta</v>
          </cell>
          <cell r="U490" t="str">
            <v>"-"</v>
          </cell>
        </row>
        <row r="491">
          <cell r="A491">
            <v>46265</v>
          </cell>
          <cell r="B491" t="str">
            <v xml:space="preserve">DINKY CHAIRANI                          </v>
          </cell>
          <cell r="C491" t="str">
            <v>DEAI722</v>
          </cell>
          <cell r="D491">
            <v>173101009275507</v>
          </cell>
          <cell r="E491" t="str">
            <v>SEDANG</v>
          </cell>
          <cell r="F491" t="str">
            <v>Tidak</v>
          </cell>
          <cell r="G491" t="str">
            <v>Tidak</v>
          </cell>
          <cell r="H491" t="str">
            <v>Tidak</v>
          </cell>
          <cell r="I491" t="str">
            <v>Bandar Judol Withdrawal</v>
          </cell>
          <cell r="J491">
            <v>50</v>
          </cell>
          <cell r="K491" t="str">
            <v>86,88,87</v>
          </cell>
          <cell r="L491" t="str">
            <v>Judi Online</v>
          </cell>
          <cell r="M491" t="str">
            <v xml:space="preserve">Kas Kanpus                              </v>
          </cell>
          <cell r="N491" t="str">
            <v xml:space="preserve">Kas Kanpus                              </v>
          </cell>
          <cell r="O491" t="str">
            <v xml:space="preserve">KAS KANPUS                              </v>
          </cell>
          <cell r="R491" t="str">
            <v>Belum TL</v>
          </cell>
          <cell r="S491" t="str">
            <v>Belum TL</v>
          </cell>
          <cell r="T491" t="str">
            <v>90185538 - Muhammad Fahikal Auz</v>
          </cell>
          <cell r="U491" t="str">
            <v>"-"</v>
          </cell>
        </row>
        <row r="492">
          <cell r="A492">
            <v>46265</v>
          </cell>
          <cell r="B492" t="str">
            <v xml:space="preserve">DUET GINTING                            </v>
          </cell>
          <cell r="C492" t="str">
            <v>DEN3355</v>
          </cell>
          <cell r="D492">
            <v>327501015443108</v>
          </cell>
          <cell r="E492" t="str">
            <v>SEDANG</v>
          </cell>
          <cell r="F492" t="str">
            <v>Tidak</v>
          </cell>
          <cell r="G492" t="str">
            <v>Tidak</v>
          </cell>
          <cell r="H492" t="str">
            <v>Tidak</v>
          </cell>
          <cell r="I492" t="str">
            <v>Korupsi - Loan View</v>
          </cell>
          <cell r="J492">
            <v>48</v>
          </cell>
          <cell r="K492">
            <v>15</v>
          </cell>
          <cell r="L492" t="str">
            <v>Korupsi</v>
          </cell>
          <cell r="M492" t="str">
            <v>Kas Kanpus</v>
          </cell>
          <cell r="N492" t="str">
            <v>Kas Kanpus</v>
          </cell>
          <cell r="O492" t="str">
            <v>KAS KANPUS</v>
          </cell>
          <cell r="R492" t="str">
            <v>Belum TL</v>
          </cell>
          <cell r="S492" t="str">
            <v>Belum TL</v>
          </cell>
          <cell r="T492" t="str">
            <v>90185537 - Moh.Khoerul Fajar Ar</v>
          </cell>
          <cell r="U492" t="str">
            <v>"-"</v>
          </cell>
        </row>
        <row r="493">
          <cell r="A493">
            <v>46265</v>
          </cell>
          <cell r="B493" t="str">
            <v xml:space="preserve">DESI YULIA HANDAYANI                    </v>
          </cell>
          <cell r="C493" t="str">
            <v>DEND567</v>
          </cell>
          <cell r="D493">
            <v>795501013502530</v>
          </cell>
          <cell r="E493" t="str">
            <v>SEDANG</v>
          </cell>
          <cell r="F493" t="str">
            <v>Tidak</v>
          </cell>
          <cell r="G493" t="str">
            <v>Tidak</v>
          </cell>
          <cell r="H493" t="str">
            <v>Tidak</v>
          </cell>
          <cell r="I493" t="str">
            <v>Bandar Judol Withdrawal</v>
          </cell>
          <cell r="J493">
            <v>50</v>
          </cell>
          <cell r="K493" t="str">
            <v>86,88,87</v>
          </cell>
          <cell r="L493" t="str">
            <v>Judi Online</v>
          </cell>
          <cell r="M493" t="str">
            <v xml:space="preserve">Kas Kanpus                              </v>
          </cell>
          <cell r="N493" t="str">
            <v xml:space="preserve">Kas Kanpus                              </v>
          </cell>
          <cell r="O493" t="str">
            <v xml:space="preserve">KAS KANPUS                              </v>
          </cell>
          <cell r="R493" t="str">
            <v>Belum TL</v>
          </cell>
          <cell r="S493" t="str">
            <v>Belum TL</v>
          </cell>
          <cell r="T493" t="str">
            <v>90150130 - Intan Aida Pratiwi</v>
          </cell>
          <cell r="U493" t="str">
            <v>"-"</v>
          </cell>
        </row>
        <row r="494">
          <cell r="A494">
            <v>46265</v>
          </cell>
          <cell r="B494" t="str">
            <v xml:space="preserve">DADANG SAPUTRA                          </v>
          </cell>
          <cell r="C494" t="str">
            <v>DETV324</v>
          </cell>
          <cell r="D494">
            <v>574201012263104</v>
          </cell>
          <cell r="E494" t="str">
            <v>SEDANG</v>
          </cell>
          <cell r="F494" t="str">
            <v>Tidak</v>
          </cell>
          <cell r="G494" t="str">
            <v>Tidak</v>
          </cell>
          <cell r="H494" t="str">
            <v>Tidak</v>
          </cell>
          <cell r="I494" t="str">
            <v>Korupsi - Loan View</v>
          </cell>
          <cell r="J494">
            <v>48</v>
          </cell>
          <cell r="K494">
            <v>15</v>
          </cell>
          <cell r="L494" t="str">
            <v>Korupsi</v>
          </cell>
          <cell r="M494" t="str">
            <v>Kas Kanpus</v>
          </cell>
          <cell r="N494" t="str">
            <v>Kas Kanpus</v>
          </cell>
          <cell r="O494" t="str">
            <v>KAS KANPUS</v>
          </cell>
          <cell r="R494" t="str">
            <v>Belum TL</v>
          </cell>
          <cell r="S494" t="str">
            <v>Belum TL</v>
          </cell>
          <cell r="T494" t="str">
            <v>90185537 - Moh.Khoerul Fajar Ar</v>
          </cell>
          <cell r="U494" t="str">
            <v>"-"</v>
          </cell>
        </row>
        <row r="495">
          <cell r="A495">
            <v>46265</v>
          </cell>
          <cell r="B495" t="str">
            <v xml:space="preserve">DHARMA ELOK VARIA                       </v>
          </cell>
          <cell r="C495" t="str">
            <v>DEYS871</v>
          </cell>
          <cell r="D495">
            <v>50501000652308</v>
          </cell>
          <cell r="F495" t="str">
            <v>Tidak</v>
          </cell>
          <cell r="G495" t="str">
            <v>Tidak</v>
          </cell>
          <cell r="H495" t="str">
            <v>Tidak</v>
          </cell>
          <cell r="I495" t="str">
            <v>Perpajakan</v>
          </cell>
          <cell r="J495">
            <v>33</v>
          </cell>
          <cell r="K495">
            <v>41</v>
          </cell>
          <cell r="L495" t="str">
            <v>Perpajakan</v>
          </cell>
          <cell r="M495" t="str">
            <v xml:space="preserve">KCP Central Park                        </v>
          </cell>
          <cell r="N495" t="str">
            <v xml:space="preserve">KC Jakarta Tanjung Duren                </v>
          </cell>
          <cell r="O495" t="str">
            <v xml:space="preserve">KANWIL JAKARTA 3                        </v>
          </cell>
          <cell r="R495" t="str">
            <v>Belum TL</v>
          </cell>
          <cell r="S495" t="str">
            <v>Belum TL</v>
          </cell>
          <cell r="T495" t="str">
            <v>90186796 - Devito Arya Wiradila</v>
          </cell>
          <cell r="U495" t="str">
            <v>"-"</v>
          </cell>
        </row>
        <row r="496">
          <cell r="A496">
            <v>46265</v>
          </cell>
          <cell r="B496" t="str">
            <v xml:space="preserve">DZULFIKAR FIRDAUS                       </v>
          </cell>
          <cell r="C496" t="str">
            <v>DEZA998</v>
          </cell>
          <cell r="D496">
            <v>23801098080504</v>
          </cell>
          <cell r="F496" t="str">
            <v>Tidak</v>
          </cell>
          <cell r="G496" t="str">
            <v>Tidak</v>
          </cell>
          <cell r="H496" t="str">
            <v>Tidak</v>
          </cell>
          <cell r="I496" t="str">
            <v>Bandar Judol Withdrawal</v>
          </cell>
          <cell r="J496">
            <v>35</v>
          </cell>
          <cell r="K496" t="str">
            <v>86,88,87</v>
          </cell>
          <cell r="L496" t="str">
            <v>Judi Online</v>
          </cell>
          <cell r="M496" t="str">
            <v xml:space="preserve">Kas Kanpus                              </v>
          </cell>
          <cell r="N496" t="str">
            <v xml:space="preserve">Kas Kanpus                              </v>
          </cell>
          <cell r="O496" t="str">
            <v xml:space="preserve">KAS KANPUS                              </v>
          </cell>
          <cell r="R496" t="str">
            <v>Belum TL</v>
          </cell>
          <cell r="S496" t="str">
            <v>Belum TL</v>
          </cell>
          <cell r="T496" t="str">
            <v>90170665 - Mutiara Ayuningtyas</v>
          </cell>
          <cell r="U496" t="str">
            <v>"-"</v>
          </cell>
        </row>
        <row r="497">
          <cell r="A497">
            <v>46265</v>
          </cell>
          <cell r="B497" t="str">
            <v xml:space="preserve">DEDI PURWANTO                           </v>
          </cell>
          <cell r="C497" t="str">
            <v>DFES015</v>
          </cell>
          <cell r="D497">
            <v>109001037949500</v>
          </cell>
          <cell r="F497" t="str">
            <v>Tidak</v>
          </cell>
          <cell r="G497" t="str">
            <v>Tidak</v>
          </cell>
          <cell r="H497" t="str">
            <v>Tidak</v>
          </cell>
          <cell r="I497" t="str">
            <v>Bandar Judol Withdrawal</v>
          </cell>
          <cell r="J497">
            <v>35</v>
          </cell>
          <cell r="K497" t="str">
            <v>86,88,87</v>
          </cell>
          <cell r="L497" t="str">
            <v>Judi Online</v>
          </cell>
          <cell r="M497" t="str">
            <v xml:space="preserve">Kas Kanpus                              </v>
          </cell>
          <cell r="N497" t="str">
            <v xml:space="preserve">Kas Kanpus                              </v>
          </cell>
          <cell r="O497" t="str">
            <v xml:space="preserve">KAS KANPUS                              </v>
          </cell>
          <cell r="R497" t="str">
            <v>Belum TL</v>
          </cell>
          <cell r="S497" t="str">
            <v>Belum TL</v>
          </cell>
          <cell r="T497" t="str">
            <v>00394520 - Frida Akbar Rani</v>
          </cell>
          <cell r="U497" t="str">
            <v>"-"</v>
          </cell>
        </row>
        <row r="498">
          <cell r="A498">
            <v>46265</v>
          </cell>
          <cell r="B498" t="str">
            <v xml:space="preserve">DEWI MAHARANI NILAM SARI                </v>
          </cell>
          <cell r="C498" t="str">
            <v>DFES827</v>
          </cell>
          <cell r="D498">
            <v>99601016086506</v>
          </cell>
          <cell r="F498" t="str">
            <v>Tidak</v>
          </cell>
          <cell r="G498" t="str">
            <v>Tidak</v>
          </cell>
          <cell r="H498" t="str">
            <v>Tidak</v>
          </cell>
          <cell r="I498" t="str">
            <v>Bandar Judol Withdrawal</v>
          </cell>
          <cell r="J498">
            <v>35</v>
          </cell>
          <cell r="K498" t="str">
            <v>86,88,87</v>
          </cell>
          <cell r="L498" t="str">
            <v>Judi Online</v>
          </cell>
          <cell r="M498" t="str">
            <v xml:space="preserve">Kas Kanpus                              </v>
          </cell>
          <cell r="N498" t="str">
            <v xml:space="preserve">Kas Kanpus                              </v>
          </cell>
          <cell r="O498" t="str">
            <v xml:space="preserve">KAS KANPUS                              </v>
          </cell>
          <cell r="R498" t="str">
            <v>Belum TL</v>
          </cell>
          <cell r="S498" t="str">
            <v>Belum TL</v>
          </cell>
          <cell r="T498" t="str">
            <v>00394521 - Muhammad Hibbanduta</v>
          </cell>
          <cell r="U498" t="str">
            <v>"-"</v>
          </cell>
        </row>
        <row r="499">
          <cell r="A499">
            <v>46265</v>
          </cell>
          <cell r="B499" t="str">
            <v xml:space="preserve">DARIUS YONATAN A MISSA                  </v>
          </cell>
          <cell r="C499" t="str">
            <v>DF74731</v>
          </cell>
          <cell r="D499">
            <v>473101013462105</v>
          </cell>
          <cell r="E499" t="str">
            <v>RENDAH</v>
          </cell>
          <cell r="F499" t="str">
            <v>Tidak</v>
          </cell>
          <cell r="G499" t="str">
            <v>Tidak</v>
          </cell>
          <cell r="H499" t="str">
            <v>Tidak</v>
          </cell>
          <cell r="I499" t="str">
            <v>Korupsi - Loan View</v>
          </cell>
          <cell r="J499">
            <v>33</v>
          </cell>
          <cell r="K499">
            <v>15</v>
          </cell>
          <cell r="L499" t="str">
            <v>Korupsi</v>
          </cell>
          <cell r="M499" t="str">
            <v>Kas Kanpus</v>
          </cell>
          <cell r="N499" t="str">
            <v>Kas Kanpus</v>
          </cell>
          <cell r="O499" t="str">
            <v>KAS KANPUS</v>
          </cell>
          <cell r="R499" t="str">
            <v>Belum TL</v>
          </cell>
          <cell r="S499" t="str">
            <v>Belum TL</v>
          </cell>
          <cell r="T499" t="str">
            <v>90150130 - Intan Aida Pratiwi</v>
          </cell>
          <cell r="U499" t="str">
            <v>"-"</v>
          </cell>
        </row>
        <row r="500">
          <cell r="A500">
            <v>46265</v>
          </cell>
          <cell r="B500" t="str">
            <v xml:space="preserve">DEDE NURSAD                             </v>
          </cell>
          <cell r="C500" t="str">
            <v>DFAJ364</v>
          </cell>
          <cell r="D500">
            <v>326401012362500</v>
          </cell>
          <cell r="F500" t="str">
            <v>Tidak</v>
          </cell>
          <cell r="G500" t="str">
            <v>Tidak</v>
          </cell>
          <cell r="H500" t="str">
            <v>Tidak</v>
          </cell>
          <cell r="I500" t="str">
            <v>Bandar Judol Withdrawal</v>
          </cell>
          <cell r="J500">
            <v>35</v>
          </cell>
          <cell r="K500" t="str">
            <v>86,88,87</v>
          </cell>
          <cell r="L500" t="str">
            <v>Judi Online</v>
          </cell>
          <cell r="M500" t="str">
            <v xml:space="preserve">Kas Kanpus                              </v>
          </cell>
          <cell r="N500" t="str">
            <v xml:space="preserve">Kas Kanpus                              </v>
          </cell>
          <cell r="O500" t="str">
            <v xml:space="preserve">KAS KANPUS                              </v>
          </cell>
          <cell r="R500" t="str">
            <v>Belum TL</v>
          </cell>
          <cell r="S500" t="str">
            <v>Belum TL</v>
          </cell>
          <cell r="T500" t="str">
            <v>90185537 - Moh.Khoerul Fajar Ar</v>
          </cell>
          <cell r="U500" t="str">
            <v>"-"</v>
          </cell>
        </row>
        <row r="501">
          <cell r="A501">
            <v>46265</v>
          </cell>
          <cell r="B501" t="str">
            <v xml:space="preserve">DEDY MIHARJA                            </v>
          </cell>
          <cell r="C501" t="str">
            <v>DFAR705</v>
          </cell>
          <cell r="D501">
            <v>334201000082566</v>
          </cell>
          <cell r="F501" t="str">
            <v>Tidak</v>
          </cell>
          <cell r="G501" t="str">
            <v>Tidak</v>
          </cell>
          <cell r="H501" t="str">
            <v>Tidak</v>
          </cell>
          <cell r="I501" t="str">
            <v>Bandar Judol Withdrawal</v>
          </cell>
          <cell r="J501">
            <v>35</v>
          </cell>
          <cell r="K501" t="str">
            <v>86,88,87</v>
          </cell>
          <cell r="L501" t="str">
            <v>Judi Online</v>
          </cell>
          <cell r="M501" t="str">
            <v xml:space="preserve">Kas Kanpus                              </v>
          </cell>
          <cell r="N501" t="str">
            <v xml:space="preserve">Kas Kanpus                              </v>
          </cell>
          <cell r="O501" t="str">
            <v xml:space="preserve">KAS KANPUS                              </v>
          </cell>
          <cell r="R501" t="str">
            <v>Belum TL</v>
          </cell>
          <cell r="S501" t="str">
            <v>Belum TL</v>
          </cell>
          <cell r="T501" t="str">
            <v>90185537 - Moh.Khoerul Fajar Ar</v>
          </cell>
          <cell r="U501" t="str">
            <v>"-"</v>
          </cell>
        </row>
        <row r="502">
          <cell r="A502">
            <v>46265</v>
          </cell>
          <cell r="B502" t="str">
            <v xml:space="preserve">DEVY ALAM SARY                          </v>
          </cell>
          <cell r="C502" t="str">
            <v>DFBR276</v>
          </cell>
          <cell r="D502">
            <v>222101031942506</v>
          </cell>
          <cell r="F502" t="str">
            <v>Tidak</v>
          </cell>
          <cell r="G502" t="str">
            <v>Tidak</v>
          </cell>
          <cell r="H502" t="str">
            <v>Tidak</v>
          </cell>
          <cell r="I502" t="str">
            <v>Bandar Judol Withdrawal</v>
          </cell>
          <cell r="J502">
            <v>35</v>
          </cell>
          <cell r="K502" t="str">
            <v>86,88,87</v>
          </cell>
          <cell r="L502" t="str">
            <v>Judi Online</v>
          </cell>
          <cell r="M502" t="str">
            <v xml:space="preserve">Kas Kanpus                              </v>
          </cell>
          <cell r="N502" t="str">
            <v xml:space="preserve">Kas Kanpus                              </v>
          </cell>
          <cell r="O502" t="str">
            <v xml:space="preserve">KAS KANPUS                              </v>
          </cell>
          <cell r="R502" t="str">
            <v>Belum TL</v>
          </cell>
          <cell r="S502" t="str">
            <v>Belum TL</v>
          </cell>
          <cell r="T502" t="str">
            <v>00336949 - Mochammad Al Farabi</v>
          </cell>
          <cell r="U502" t="str">
            <v>"-"</v>
          </cell>
        </row>
        <row r="503">
          <cell r="A503">
            <v>46265</v>
          </cell>
          <cell r="B503" t="str">
            <v xml:space="preserve">DESTRI YANTI GRASELLA                   </v>
          </cell>
          <cell r="C503" t="str">
            <v>DEZJ358</v>
          </cell>
          <cell r="D503">
            <v>811901021414532</v>
          </cell>
          <cell r="F503" t="str">
            <v>Tidak</v>
          </cell>
          <cell r="G503" t="str">
            <v>Tidak</v>
          </cell>
          <cell r="H503" t="str">
            <v>Tidak</v>
          </cell>
          <cell r="I503" t="str">
            <v>Bandar Judol Withdrawal</v>
          </cell>
          <cell r="J503">
            <v>35</v>
          </cell>
          <cell r="K503" t="str">
            <v>86,88,87</v>
          </cell>
          <cell r="L503" t="str">
            <v>Judi Online</v>
          </cell>
          <cell r="M503" t="str">
            <v xml:space="preserve">Kas Kanpus                              </v>
          </cell>
          <cell r="N503" t="str">
            <v xml:space="preserve">Kas Kanpus                              </v>
          </cell>
          <cell r="O503" t="str">
            <v xml:space="preserve">KAS KANPUS                              </v>
          </cell>
          <cell r="R503" t="str">
            <v>Belum TL</v>
          </cell>
          <cell r="S503" t="str">
            <v>Belum TL</v>
          </cell>
          <cell r="T503" t="str">
            <v>90185537 - Moh.Khoerul Fajar Ar</v>
          </cell>
          <cell r="U503" t="str">
            <v>"-"</v>
          </cell>
        </row>
        <row r="504">
          <cell r="A504">
            <v>46265</v>
          </cell>
          <cell r="B504" t="str">
            <v xml:space="preserve">DRS GOWINDASAMY                         </v>
          </cell>
          <cell r="C504" t="str">
            <v>DFJA793</v>
          </cell>
          <cell r="D504">
            <v>4687400201668500</v>
          </cell>
          <cell r="F504" t="str">
            <v>Tidak</v>
          </cell>
          <cell r="G504" t="str">
            <v>Tidak</v>
          </cell>
          <cell r="H504" t="str">
            <v>Tidak</v>
          </cell>
          <cell r="I504" t="str">
            <v>Anomali Transaksi Kartu Kredit</v>
          </cell>
          <cell r="J504">
            <v>40</v>
          </cell>
          <cell r="K504">
            <v>116.117</v>
          </cell>
          <cell r="L504" t="str">
            <v>Anomali Transaksi Kartu Kredit</v>
          </cell>
          <cell r="M504" t="str">
            <v xml:space="preserve">Kas Kanpus                              </v>
          </cell>
          <cell r="N504" t="str">
            <v xml:space="preserve">Kas Kanpus                              </v>
          </cell>
          <cell r="O504" t="str">
            <v xml:space="preserve">KAS KANPUS                              </v>
          </cell>
          <cell r="R504" t="str">
            <v>Belum TL</v>
          </cell>
          <cell r="S504" t="str">
            <v>Belum TL</v>
          </cell>
          <cell r="T504" t="str">
            <v>00336949 - Mochammad Al Farabi</v>
          </cell>
          <cell r="U504" t="str">
            <v>"-"</v>
          </cell>
        </row>
        <row r="505">
          <cell r="A505">
            <v>46265</v>
          </cell>
          <cell r="B505" t="str">
            <v xml:space="preserve">DENI HERLAMBANG                         </v>
          </cell>
          <cell r="C505" t="str">
            <v>DFO3133</v>
          </cell>
          <cell r="D505">
            <v>26701015681108</v>
          </cell>
          <cell r="E505" t="str">
            <v>SEDANG</v>
          </cell>
          <cell r="F505" t="str">
            <v>Tidak</v>
          </cell>
          <cell r="G505" t="str">
            <v>Tidak</v>
          </cell>
          <cell r="H505" t="str">
            <v>Tidak</v>
          </cell>
          <cell r="I505" t="str">
            <v>Korupsi - Loan View</v>
          </cell>
          <cell r="J505">
            <v>48</v>
          </cell>
          <cell r="K505">
            <v>15</v>
          </cell>
          <cell r="L505" t="str">
            <v>Korupsi</v>
          </cell>
          <cell r="M505" t="str">
            <v>Kas Kanpus</v>
          </cell>
          <cell r="N505" t="str">
            <v>Kas Kanpus</v>
          </cell>
          <cell r="O505" t="str">
            <v>KAS KANPUS</v>
          </cell>
          <cell r="R505" t="str">
            <v>Belum TL</v>
          </cell>
          <cell r="S505" t="str">
            <v>Belum TL</v>
          </cell>
          <cell r="T505" t="str">
            <v>90185538 - Muhammad Fahikal Auz</v>
          </cell>
          <cell r="U505" t="str">
            <v>"-"</v>
          </cell>
        </row>
        <row r="506">
          <cell r="A506">
            <v>46265</v>
          </cell>
          <cell r="B506" t="str">
            <v xml:space="preserve">DWI MUHAMMAD TAUFIG                     </v>
          </cell>
          <cell r="C506" t="str">
            <v>DFUE209</v>
          </cell>
          <cell r="D506">
            <v>26601104469508</v>
          </cell>
          <cell r="F506" t="str">
            <v>Tidak</v>
          </cell>
          <cell r="G506" t="str">
            <v>Tidak</v>
          </cell>
          <cell r="H506" t="str">
            <v>Tidak</v>
          </cell>
          <cell r="I506" t="str">
            <v>Bandar Judol Withdrawal</v>
          </cell>
          <cell r="J506">
            <v>35</v>
          </cell>
          <cell r="K506" t="str">
            <v>86,88,87</v>
          </cell>
          <cell r="L506" t="str">
            <v>Judi Online</v>
          </cell>
          <cell r="M506" t="str">
            <v xml:space="preserve">Kas Kanpus                              </v>
          </cell>
          <cell r="N506" t="str">
            <v xml:space="preserve">Kas Kanpus                              </v>
          </cell>
          <cell r="O506" t="str">
            <v xml:space="preserve">KAS KANPUS                              </v>
          </cell>
          <cell r="R506" t="str">
            <v>Belum TL</v>
          </cell>
          <cell r="S506" t="str">
            <v>Belum TL</v>
          </cell>
          <cell r="T506" t="str">
            <v>90186790 - Muhammad Alfin Farha</v>
          </cell>
          <cell r="U506" t="str">
            <v>"-"</v>
          </cell>
        </row>
        <row r="507">
          <cell r="A507">
            <v>46265</v>
          </cell>
          <cell r="B507" t="str">
            <v xml:space="preserve">DRS H YAN FITRI HALIMANSYAH             </v>
          </cell>
          <cell r="C507" t="str">
            <v>DFTQ768</v>
          </cell>
          <cell r="D507">
            <v>162001090167568</v>
          </cell>
          <cell r="F507" t="str">
            <v>Tidak</v>
          </cell>
          <cell r="G507" t="str">
            <v>Tidak</v>
          </cell>
          <cell r="H507" t="str">
            <v>Tidak</v>
          </cell>
          <cell r="I507" t="str">
            <v>Korupsi - Significant Trx View</v>
          </cell>
          <cell r="J507">
            <v>53</v>
          </cell>
          <cell r="K507">
            <v>1.19</v>
          </cell>
          <cell r="L507" t="str">
            <v>Korupsi</v>
          </cell>
          <cell r="M507" t="str">
            <v>Kas Kanpus</v>
          </cell>
          <cell r="N507" t="str">
            <v>Kas Kanpus</v>
          </cell>
          <cell r="O507" t="str">
            <v>KAS KANPUS</v>
          </cell>
          <cell r="R507" t="str">
            <v>Belum TL</v>
          </cell>
          <cell r="S507" t="str">
            <v>Belum TL</v>
          </cell>
          <cell r="T507" t="str">
            <v>90185538 - Muhammad Fahikal Auz</v>
          </cell>
          <cell r="U507" t="str">
            <v>"-"</v>
          </cell>
        </row>
        <row r="508">
          <cell r="A508">
            <v>46265</v>
          </cell>
          <cell r="B508" t="str">
            <v xml:space="preserve">DIMAS AGUSTIN TISSAR                    </v>
          </cell>
          <cell r="C508" t="str">
            <v>DFVS532</v>
          </cell>
          <cell r="D508">
            <v>332201004923506</v>
          </cell>
          <cell r="F508" t="str">
            <v>Tidak</v>
          </cell>
          <cell r="G508" t="str">
            <v>Tidak</v>
          </cell>
          <cell r="H508" t="str">
            <v>Tidak</v>
          </cell>
          <cell r="I508" t="str">
            <v>Bandar Judol Withdrawal</v>
          </cell>
          <cell r="J508">
            <v>35</v>
          </cell>
          <cell r="K508" t="str">
            <v>86,88,87</v>
          </cell>
          <cell r="L508" t="str">
            <v>Judi Online</v>
          </cell>
          <cell r="M508" t="str">
            <v xml:space="preserve">Kas Kanpus                              </v>
          </cell>
          <cell r="N508" t="str">
            <v xml:space="preserve">Kas Kanpus                              </v>
          </cell>
          <cell r="O508" t="str">
            <v xml:space="preserve">KAS KANPUS                              </v>
          </cell>
          <cell r="R508" t="str">
            <v>Belum TL</v>
          </cell>
          <cell r="S508" t="str">
            <v>Belum TL</v>
          </cell>
          <cell r="T508" t="str">
            <v>00394521 - Muhammad Hibbanduta</v>
          </cell>
          <cell r="U508" t="str">
            <v>"-"</v>
          </cell>
        </row>
        <row r="509">
          <cell r="A509">
            <v>46265</v>
          </cell>
          <cell r="B509" t="str">
            <v xml:space="preserve">DEDE HANDOKO                            </v>
          </cell>
          <cell r="C509" t="str">
            <v>DFWZ832</v>
          </cell>
          <cell r="D509">
            <v>335201069347532</v>
          </cell>
          <cell r="F509" t="str">
            <v>Tidak</v>
          </cell>
          <cell r="G509" t="str">
            <v>Tidak</v>
          </cell>
          <cell r="I509" t="str">
            <v>Jual Beli Rekening - E channel Trx</v>
          </cell>
          <cell r="J509">
            <v>33</v>
          </cell>
          <cell r="K509">
            <v>113</v>
          </cell>
          <cell r="L509" t="str">
            <v>Narkotika/Judi Online/Penipuan</v>
          </cell>
          <cell r="M509" t="str">
            <v xml:space="preserve">UNIT PASAR HORAS                        </v>
          </cell>
          <cell r="N509" t="str">
            <v xml:space="preserve">KC Pematang Siantar                     </v>
          </cell>
          <cell r="O509" t="str">
            <v xml:space="preserve">Medan                                   </v>
          </cell>
          <cell r="R509" t="str">
            <v>Belum TL</v>
          </cell>
          <cell r="S509" t="str">
            <v>Belum TL</v>
          </cell>
          <cell r="U509" t="str">
            <v>"-"</v>
          </cell>
        </row>
        <row r="510">
          <cell r="A510">
            <v>46265</v>
          </cell>
          <cell r="B510" t="str">
            <v xml:space="preserve">DEEF REIHAN SAPUTRA                     </v>
          </cell>
          <cell r="C510" t="str">
            <v>DGBC248</v>
          </cell>
          <cell r="D510">
            <v>33201173684502</v>
          </cell>
          <cell r="F510" t="str">
            <v>Tidak</v>
          </cell>
          <cell r="G510" t="str">
            <v>Tidak</v>
          </cell>
          <cell r="H510" t="str">
            <v>Tidak</v>
          </cell>
          <cell r="I510" t="str">
            <v>Bandar Judol Withdrawal</v>
          </cell>
          <cell r="J510">
            <v>35</v>
          </cell>
          <cell r="K510" t="str">
            <v>86,88,87</v>
          </cell>
          <cell r="L510" t="str">
            <v>Judi Online</v>
          </cell>
          <cell r="M510" t="str">
            <v xml:space="preserve">Kas Kanpus                              </v>
          </cell>
          <cell r="N510" t="str">
            <v xml:space="preserve">Kas Kanpus                              </v>
          </cell>
          <cell r="O510" t="str">
            <v xml:space="preserve">KAS KANPUS                              </v>
          </cell>
          <cell r="R510" t="str">
            <v>Belum TL</v>
          </cell>
          <cell r="S510" t="str">
            <v>Belum TL</v>
          </cell>
          <cell r="T510" t="str">
            <v>00394520 - Frida Akbar Rani</v>
          </cell>
          <cell r="U510" t="str">
            <v>"-"</v>
          </cell>
        </row>
        <row r="511">
          <cell r="A511">
            <v>46265</v>
          </cell>
          <cell r="B511" t="str">
            <v xml:space="preserve">DODI HARYANTO                           </v>
          </cell>
          <cell r="C511" t="str">
            <v>DGBW694</v>
          </cell>
          <cell r="D511">
            <v>44001028835502</v>
          </cell>
          <cell r="F511" t="str">
            <v>Tidak</v>
          </cell>
          <cell r="G511" t="str">
            <v>Tidak</v>
          </cell>
          <cell r="H511" t="str">
            <v>Tidak</v>
          </cell>
          <cell r="I511" t="str">
            <v>Bandar Judol Withdrawal</v>
          </cell>
          <cell r="J511">
            <v>35</v>
          </cell>
          <cell r="K511" t="str">
            <v>86,88,87</v>
          </cell>
          <cell r="L511" t="str">
            <v>Judi Online</v>
          </cell>
          <cell r="M511" t="str">
            <v xml:space="preserve">Kas Kanpus                              </v>
          </cell>
          <cell r="N511" t="str">
            <v xml:space="preserve">Kas Kanpus                              </v>
          </cell>
          <cell r="O511" t="str">
            <v xml:space="preserve">KAS KANPUS                              </v>
          </cell>
          <cell r="R511" t="str">
            <v>Belum TL</v>
          </cell>
          <cell r="S511" t="str">
            <v>Belum TL</v>
          </cell>
          <cell r="T511" t="str">
            <v>90150130 - Intan Aida Pratiwi</v>
          </cell>
          <cell r="U511" t="str">
            <v>"-"</v>
          </cell>
        </row>
        <row r="512">
          <cell r="A512">
            <v>46265</v>
          </cell>
          <cell r="B512" t="str">
            <v xml:space="preserve">DARMAWAN PRASODJO, PH.D                 </v>
          </cell>
          <cell r="C512" t="str">
            <v>DGK7192</v>
          </cell>
          <cell r="D512">
            <v>0</v>
          </cell>
          <cell r="E512" t="str">
            <v>TINGGI</v>
          </cell>
          <cell r="F512" t="str">
            <v>Tidak</v>
          </cell>
          <cell r="G512" t="str">
            <v>Tidak</v>
          </cell>
          <cell r="H512" t="str">
            <v>Tidak</v>
          </cell>
          <cell r="I512" t="str">
            <v>Private or Priority Customer Investment</v>
          </cell>
          <cell r="J512">
            <v>78</v>
          </cell>
          <cell r="K512">
            <v>93</v>
          </cell>
          <cell r="L512" t="str">
            <v>Pasar Modal</v>
          </cell>
          <cell r="M512" t="str">
            <v xml:space="preserve">KCP TELKOM LANDMARK TOWER               </v>
          </cell>
          <cell r="N512" t="str">
            <v xml:space="preserve">KC Jakarta Gatot Subroto                </v>
          </cell>
          <cell r="O512" t="str">
            <v xml:space="preserve">DKI2                                    </v>
          </cell>
          <cell r="R512" t="str">
            <v>Belum TL</v>
          </cell>
          <cell r="S512" t="str">
            <v>Belum TL</v>
          </cell>
          <cell r="T512" t="str">
            <v>00394521 - Muhammad Hibbanduta</v>
          </cell>
          <cell r="U512" t="str">
            <v>"-"</v>
          </cell>
        </row>
        <row r="513">
          <cell r="A513">
            <v>46265</v>
          </cell>
          <cell r="B513" t="str">
            <v xml:space="preserve">DARMAWAN PRASODJO, PH.D                 </v>
          </cell>
          <cell r="C513" t="str">
            <v>DGK7192</v>
          </cell>
          <cell r="D513">
            <v>141401000318562</v>
          </cell>
          <cell r="E513" t="str">
            <v>TINGGI</v>
          </cell>
          <cell r="F513" t="str">
            <v>Tidak</v>
          </cell>
          <cell r="G513" t="str">
            <v>Tidak</v>
          </cell>
          <cell r="H513" t="str">
            <v>Tidak</v>
          </cell>
          <cell r="I513" t="str">
            <v>Korupsi - Significant Trx View</v>
          </cell>
          <cell r="J513">
            <v>83</v>
          </cell>
          <cell r="K513">
            <v>1.19</v>
          </cell>
          <cell r="L513" t="str">
            <v>Korupsi</v>
          </cell>
          <cell r="M513" t="str">
            <v>Kas Kanpus</v>
          </cell>
          <cell r="N513" t="str">
            <v>Kas Kanpus</v>
          </cell>
          <cell r="O513" t="str">
            <v>KAS KANPUS</v>
          </cell>
          <cell r="R513" t="str">
            <v>Belum TL</v>
          </cell>
          <cell r="S513" t="str">
            <v>Belum TL</v>
          </cell>
          <cell r="T513" t="str">
            <v>90186796 - Devito Arya Wiradila</v>
          </cell>
          <cell r="U513" t="str">
            <v>"-"</v>
          </cell>
        </row>
        <row r="514">
          <cell r="A514">
            <v>46265</v>
          </cell>
          <cell r="B514" t="str">
            <v xml:space="preserve">DESI LAOHAN                             </v>
          </cell>
          <cell r="C514" t="str">
            <v>DGLH649</v>
          </cell>
          <cell r="D514">
            <v>333201058366539</v>
          </cell>
          <cell r="F514" t="str">
            <v>Tidak</v>
          </cell>
          <cell r="G514" t="str">
            <v>Tidak</v>
          </cell>
          <cell r="I514" t="str">
            <v>Jual Beli Rekening - E channel Trx</v>
          </cell>
          <cell r="J514">
            <v>33</v>
          </cell>
          <cell r="K514">
            <v>113</v>
          </cell>
          <cell r="L514" t="str">
            <v>Narkotika/Judi Online/Penipuan</v>
          </cell>
          <cell r="M514" t="str">
            <v xml:space="preserve">UNIT LUWUK                              </v>
          </cell>
          <cell r="N514" t="str">
            <v xml:space="preserve">KC Luwuk                                </v>
          </cell>
          <cell r="O514" t="str">
            <v xml:space="preserve">Manado                                  </v>
          </cell>
          <cell r="R514" t="str">
            <v>Belum TL</v>
          </cell>
          <cell r="S514" t="str">
            <v>Belum TL</v>
          </cell>
          <cell r="U514" t="str">
            <v>"-"</v>
          </cell>
        </row>
        <row r="515">
          <cell r="A515">
            <v>46265</v>
          </cell>
          <cell r="B515" t="str">
            <v xml:space="preserve">DESTI ANA SAPUTRI                       </v>
          </cell>
          <cell r="C515" t="str">
            <v>DGM9347</v>
          </cell>
          <cell r="D515">
            <v>211001001073560</v>
          </cell>
          <cell r="E515" t="str">
            <v>SEDANG</v>
          </cell>
          <cell r="F515" t="str">
            <v>Tidak</v>
          </cell>
          <cell r="G515" t="str">
            <v>Tidak</v>
          </cell>
          <cell r="H515" t="str">
            <v>Tidak</v>
          </cell>
          <cell r="I515" t="str">
            <v>Bandar Judol Withdrawal</v>
          </cell>
          <cell r="J515">
            <v>50</v>
          </cell>
          <cell r="K515" t="str">
            <v>86,88,87</v>
          </cell>
          <cell r="L515" t="str">
            <v>Judi Online</v>
          </cell>
          <cell r="M515" t="str">
            <v xml:space="preserve">Kas Kanpus                              </v>
          </cell>
          <cell r="N515" t="str">
            <v xml:space="preserve">Kas Kanpus                              </v>
          </cell>
          <cell r="O515" t="str">
            <v xml:space="preserve">KAS KANPUS                              </v>
          </cell>
          <cell r="R515" t="str">
            <v>Belum TL</v>
          </cell>
          <cell r="S515" t="str">
            <v>Belum TL</v>
          </cell>
          <cell r="T515" t="str">
            <v>90185537 - Moh.Khoerul Fajar Ar</v>
          </cell>
          <cell r="U515" t="str">
            <v>"-"</v>
          </cell>
        </row>
        <row r="516">
          <cell r="A516">
            <v>46265</v>
          </cell>
          <cell r="B516" t="str">
            <v xml:space="preserve">DENNY SAPUTRA                           </v>
          </cell>
          <cell r="C516" t="str">
            <v>DGNS724</v>
          </cell>
          <cell r="D516">
            <v>112901038928500</v>
          </cell>
          <cell r="F516" t="str">
            <v>Tidak</v>
          </cell>
          <cell r="G516" t="str">
            <v>Tidak</v>
          </cell>
          <cell r="H516" t="str">
            <v>Tidak</v>
          </cell>
          <cell r="I516" t="str">
            <v>Bandar Judol Withdrawal</v>
          </cell>
          <cell r="J516">
            <v>35</v>
          </cell>
          <cell r="K516" t="str">
            <v>86,88,87</v>
          </cell>
          <cell r="L516" t="str">
            <v>Judi Online</v>
          </cell>
          <cell r="M516" t="str">
            <v xml:space="preserve">Kas Kanpus                              </v>
          </cell>
          <cell r="N516" t="str">
            <v xml:space="preserve">Kas Kanpus                              </v>
          </cell>
          <cell r="O516" t="str">
            <v xml:space="preserve">KAS KANPUS                              </v>
          </cell>
          <cell r="R516" t="str">
            <v>Belum TL</v>
          </cell>
          <cell r="S516" t="str">
            <v>Belum TL</v>
          </cell>
          <cell r="T516" t="str">
            <v>90185538 - Muhammad Fahikal Auz</v>
          </cell>
          <cell r="U516" t="str">
            <v>"-"</v>
          </cell>
        </row>
        <row r="517">
          <cell r="A517">
            <v>46265</v>
          </cell>
          <cell r="B517" t="str">
            <v xml:space="preserve">DELIMA IDHA HSB.                        </v>
          </cell>
          <cell r="C517" t="str">
            <v>DGQH792</v>
          </cell>
          <cell r="D517">
            <v>530401011300509</v>
          </cell>
          <cell r="F517" t="str">
            <v>Tidak</v>
          </cell>
          <cell r="G517" t="str">
            <v>Tidak</v>
          </cell>
          <cell r="H517" t="str">
            <v>Tidak</v>
          </cell>
          <cell r="I517" t="str">
            <v>Bandar Judol Withdrawal</v>
          </cell>
          <cell r="J517">
            <v>35</v>
          </cell>
          <cell r="K517" t="str">
            <v>86,88,87</v>
          </cell>
          <cell r="L517" t="str">
            <v>Judi Online</v>
          </cell>
          <cell r="M517" t="str">
            <v xml:space="preserve">Kas Kanpus                              </v>
          </cell>
          <cell r="N517" t="str">
            <v xml:space="preserve">Kas Kanpus                              </v>
          </cell>
          <cell r="O517" t="str">
            <v xml:space="preserve">KAS KANPUS                              </v>
          </cell>
          <cell r="R517" t="str">
            <v>Belum TL</v>
          </cell>
          <cell r="S517" t="str">
            <v>Belum TL</v>
          </cell>
          <cell r="T517" t="str">
            <v>90185538 - Muhammad Fahikal Auz</v>
          </cell>
          <cell r="U517" t="str">
            <v>"-"</v>
          </cell>
        </row>
        <row r="518">
          <cell r="A518">
            <v>46265</v>
          </cell>
          <cell r="B518" t="str">
            <v xml:space="preserve">DARMAWAN                                </v>
          </cell>
          <cell r="C518" t="str">
            <v>DGR7163</v>
          </cell>
          <cell r="D518">
            <v>16301003916563</v>
          </cell>
          <cell r="E518" t="str">
            <v>SEDANG</v>
          </cell>
          <cell r="F518" t="str">
            <v>Tidak</v>
          </cell>
          <cell r="G518" t="str">
            <v>Tidak</v>
          </cell>
          <cell r="H518" t="str">
            <v>Tidak</v>
          </cell>
          <cell r="I518" t="str">
            <v>Narkotika - Area Lapas</v>
          </cell>
          <cell r="J518">
            <v>60</v>
          </cell>
          <cell r="K518">
            <v>47</v>
          </cell>
          <cell r="L518" t="str">
            <v>Narkotika</v>
          </cell>
          <cell r="M518" t="str">
            <v>KC Sampit</v>
          </cell>
          <cell r="N518" t="str">
            <v>KC Sampit</v>
          </cell>
          <cell r="O518" t="str">
            <v>Banjarmasin</v>
          </cell>
          <cell r="R518" t="str">
            <v>Belum TL</v>
          </cell>
          <cell r="S518" t="str">
            <v>Belum TL</v>
          </cell>
          <cell r="T518" t="str">
            <v>90170665 - Mutiara Ayuningtyas</v>
          </cell>
          <cell r="U518" t="str">
            <v>"-"</v>
          </cell>
        </row>
        <row r="519">
          <cell r="A519">
            <v>46265</v>
          </cell>
          <cell r="B519" t="str">
            <v xml:space="preserve">DERRY APRIANTI                          </v>
          </cell>
          <cell r="C519" t="str">
            <v>DGRJ257</v>
          </cell>
          <cell r="D519">
            <v>80101017826506</v>
          </cell>
          <cell r="F519" t="str">
            <v>Tidak</v>
          </cell>
          <cell r="G519" t="str">
            <v>Tidak</v>
          </cell>
          <cell r="I519" t="str">
            <v>Jual Beli Rekening - E channel Trx</v>
          </cell>
          <cell r="J519">
            <v>33</v>
          </cell>
          <cell r="K519">
            <v>113</v>
          </cell>
          <cell r="L519" t="str">
            <v>Narkotika/Judi Online/Penipuan</v>
          </cell>
          <cell r="M519" t="str">
            <v xml:space="preserve">UNIT WARUNG JAMBU                       </v>
          </cell>
          <cell r="N519" t="str">
            <v xml:space="preserve">KC Bogor Pajajaran                      </v>
          </cell>
          <cell r="O519" t="str">
            <v xml:space="preserve">DKI2                                    </v>
          </cell>
          <cell r="R519" t="str">
            <v>Belum TL</v>
          </cell>
          <cell r="S519" t="str">
            <v>Belum TL</v>
          </cell>
          <cell r="U519" t="str">
            <v>"-"</v>
          </cell>
        </row>
        <row r="520">
          <cell r="A520">
            <v>46265</v>
          </cell>
          <cell r="B520" t="str">
            <v xml:space="preserve">DAVID PRATAMA                           </v>
          </cell>
          <cell r="C520" t="str">
            <v>DGTS779</v>
          </cell>
          <cell r="D520">
            <v>170701005114500</v>
          </cell>
          <cell r="F520" t="str">
            <v>Tidak</v>
          </cell>
          <cell r="G520" t="str">
            <v>Tidak</v>
          </cell>
          <cell r="I520" t="str">
            <v>Jual Beli Rekening - E channel Trx</v>
          </cell>
          <cell r="J520">
            <v>33</v>
          </cell>
          <cell r="K520">
            <v>113</v>
          </cell>
          <cell r="L520" t="str">
            <v>Narkotika/Judi Online/Penipuan</v>
          </cell>
          <cell r="M520" t="str">
            <v xml:space="preserve">KK BANGKA TRADE CENTER                  </v>
          </cell>
          <cell r="N520" t="str">
            <v xml:space="preserve">KC Pangkal Pinang                       </v>
          </cell>
          <cell r="O520" t="str">
            <v xml:space="preserve">Palembang                               </v>
          </cell>
          <cell r="R520" t="str">
            <v>Belum TL</v>
          </cell>
          <cell r="S520" t="str">
            <v>Belum TL</v>
          </cell>
          <cell r="U520" t="str">
            <v>"-"</v>
          </cell>
        </row>
        <row r="521">
          <cell r="A521">
            <v>46265</v>
          </cell>
          <cell r="B521" t="str">
            <v xml:space="preserve">DEDY                                    </v>
          </cell>
          <cell r="C521" t="str">
            <v>DGUO090</v>
          </cell>
          <cell r="D521">
            <v>17501282828562</v>
          </cell>
          <cell r="F521" t="str">
            <v>Tidak</v>
          </cell>
          <cell r="G521" t="str">
            <v>Tidak</v>
          </cell>
          <cell r="I521" t="str">
            <v>Jual Beli Rekening - E channel Trx</v>
          </cell>
          <cell r="J521">
            <v>33</v>
          </cell>
          <cell r="K521">
            <v>113</v>
          </cell>
          <cell r="L521" t="str">
            <v>Narkotika/Judi Online/Penipuan</v>
          </cell>
          <cell r="M521" t="str">
            <v xml:space="preserve">KC Tembilahan                           </v>
          </cell>
          <cell r="N521" t="str">
            <v xml:space="preserve">KC Tembilahan                           </v>
          </cell>
          <cell r="O521" t="str">
            <v xml:space="preserve">KANWIL PEKANBARU                        </v>
          </cell>
          <cell r="R521" t="str">
            <v>Belum TL</v>
          </cell>
          <cell r="S521" t="str">
            <v>Belum TL</v>
          </cell>
          <cell r="U521" t="str">
            <v>"-"</v>
          </cell>
        </row>
        <row r="522">
          <cell r="A522">
            <v>46265</v>
          </cell>
          <cell r="B522" t="str">
            <v xml:space="preserve">DIMAS ARIF                              </v>
          </cell>
          <cell r="C522" t="str">
            <v>DGWY862</v>
          </cell>
          <cell r="D522">
            <v>529401008266503</v>
          </cell>
          <cell r="F522" t="str">
            <v>Tidak</v>
          </cell>
          <cell r="G522" t="str">
            <v>Tidak</v>
          </cell>
          <cell r="H522" t="str">
            <v>Tidak</v>
          </cell>
          <cell r="I522" t="str">
            <v>Bandar Judol Withdrawal</v>
          </cell>
          <cell r="J522">
            <v>35</v>
          </cell>
          <cell r="K522" t="str">
            <v>86,88,87</v>
          </cell>
          <cell r="L522" t="str">
            <v>Judi Online</v>
          </cell>
          <cell r="M522" t="str">
            <v xml:space="preserve">Kas Kanpus                              </v>
          </cell>
          <cell r="N522" t="str">
            <v xml:space="preserve">Kas Kanpus                              </v>
          </cell>
          <cell r="O522" t="str">
            <v xml:space="preserve">KAS KANPUS                              </v>
          </cell>
          <cell r="R522" t="str">
            <v>Belum TL</v>
          </cell>
          <cell r="S522" t="str">
            <v>Belum TL</v>
          </cell>
          <cell r="T522" t="str">
            <v>00394521 - Muhammad Hibbanduta</v>
          </cell>
          <cell r="U522" t="str">
            <v>"-"</v>
          </cell>
        </row>
        <row r="523">
          <cell r="A523">
            <v>46265</v>
          </cell>
          <cell r="B523" t="str">
            <v xml:space="preserve">DATU ADRIAN RIZKIAWAN                   </v>
          </cell>
          <cell r="C523" t="str">
            <v>DGXD558</v>
          </cell>
          <cell r="D523">
            <v>114501030514501</v>
          </cell>
          <cell r="F523" t="str">
            <v>Tidak</v>
          </cell>
          <cell r="G523" t="str">
            <v>Tidak</v>
          </cell>
          <cell r="I523" t="str">
            <v>Jual Beli Rekening - E channel Trx</v>
          </cell>
          <cell r="J523">
            <v>33</v>
          </cell>
          <cell r="K523">
            <v>113</v>
          </cell>
          <cell r="L523" t="str">
            <v>Narkotika/Judi Online/Penipuan</v>
          </cell>
          <cell r="M523" t="str">
            <v xml:space="preserve">KC Gading Serpong                       </v>
          </cell>
          <cell r="N523" t="str">
            <v xml:space="preserve">KC Gading Serpong                       </v>
          </cell>
          <cell r="O523" t="str">
            <v xml:space="preserve">KANWIL JAKARTA 3                        </v>
          </cell>
          <cell r="R523" t="str">
            <v>Belum TL</v>
          </cell>
          <cell r="S523" t="str">
            <v>Belum TL</v>
          </cell>
          <cell r="U523" t="str">
            <v>"-"</v>
          </cell>
        </row>
        <row r="524">
          <cell r="A524">
            <v>46265</v>
          </cell>
          <cell r="B524" t="str">
            <v xml:space="preserve">DONI GUNAWAN                            </v>
          </cell>
          <cell r="C524" t="str">
            <v>DGXU494</v>
          </cell>
          <cell r="D524">
            <v>332501003174504</v>
          </cell>
          <cell r="F524" t="str">
            <v>Tidak</v>
          </cell>
          <cell r="G524" t="str">
            <v>Tidak</v>
          </cell>
          <cell r="H524" t="str">
            <v>Tidak</v>
          </cell>
          <cell r="I524" t="str">
            <v>Bandar Judol Withdrawal</v>
          </cell>
          <cell r="J524">
            <v>35</v>
          </cell>
          <cell r="K524" t="str">
            <v>86,88,87</v>
          </cell>
          <cell r="L524" t="str">
            <v>Judi Online</v>
          </cell>
          <cell r="M524" t="str">
            <v xml:space="preserve">Kas Kanpus                              </v>
          </cell>
          <cell r="N524" t="str">
            <v xml:space="preserve">Kas Kanpus                              </v>
          </cell>
          <cell r="O524" t="str">
            <v xml:space="preserve">KAS KANPUS                              </v>
          </cell>
          <cell r="R524" t="str">
            <v>Belum TL</v>
          </cell>
          <cell r="S524" t="str">
            <v>Belum TL</v>
          </cell>
          <cell r="T524" t="str">
            <v>90150130 - Intan Aida Pratiwi</v>
          </cell>
          <cell r="U524" t="str">
            <v>"-"</v>
          </cell>
        </row>
        <row r="525">
          <cell r="A525">
            <v>46265</v>
          </cell>
          <cell r="B525" t="str">
            <v xml:space="preserve">DEDDY SUTARDY BOTUTIHE                  </v>
          </cell>
          <cell r="C525" t="str">
            <v>DH17810</v>
          </cell>
          <cell r="D525">
            <v>202301039744108</v>
          </cell>
          <cell r="E525" t="str">
            <v>SEDANG</v>
          </cell>
          <cell r="F525" t="str">
            <v>Tidak</v>
          </cell>
          <cell r="G525" t="str">
            <v>Tidak</v>
          </cell>
          <cell r="H525" t="str">
            <v>Tidak</v>
          </cell>
          <cell r="I525" t="str">
            <v>Korupsi - Loan View</v>
          </cell>
          <cell r="J525">
            <v>48</v>
          </cell>
          <cell r="K525">
            <v>15</v>
          </cell>
          <cell r="L525" t="str">
            <v>Korupsi</v>
          </cell>
          <cell r="M525" t="str">
            <v>Kas Kanpus</v>
          </cell>
          <cell r="N525" t="str">
            <v>Kas Kanpus</v>
          </cell>
          <cell r="O525" t="str">
            <v>KAS KANPUS</v>
          </cell>
          <cell r="R525" t="str">
            <v>Belum TL</v>
          </cell>
          <cell r="S525" t="str">
            <v>Belum TL</v>
          </cell>
          <cell r="T525" t="str">
            <v>00394520 - Frida Akbar Rani</v>
          </cell>
          <cell r="U525" t="str">
            <v>"-"</v>
          </cell>
        </row>
        <row r="526">
          <cell r="A526">
            <v>46265</v>
          </cell>
          <cell r="B526" t="str">
            <v xml:space="preserve">DERI SUWANDI                            </v>
          </cell>
          <cell r="C526" t="str">
            <v>DHAA542</v>
          </cell>
          <cell r="D526">
            <v>9201002660564</v>
          </cell>
          <cell r="F526" t="str">
            <v>Tidak</v>
          </cell>
          <cell r="G526" t="str">
            <v>Tidak</v>
          </cell>
          <cell r="H526" t="str">
            <v>Tidak</v>
          </cell>
          <cell r="I526" t="str">
            <v>Bandar Judol Withdrawal</v>
          </cell>
          <cell r="J526">
            <v>35</v>
          </cell>
          <cell r="K526" t="str">
            <v>86,88,87</v>
          </cell>
          <cell r="L526" t="str">
            <v>Judi Online</v>
          </cell>
          <cell r="M526" t="str">
            <v xml:space="preserve">Kas Kanpus                              </v>
          </cell>
          <cell r="N526" t="str">
            <v xml:space="preserve">Kas Kanpus                              </v>
          </cell>
          <cell r="O526" t="str">
            <v xml:space="preserve">KAS KANPUS                              </v>
          </cell>
          <cell r="R526" t="str">
            <v>Belum TL</v>
          </cell>
          <cell r="S526" t="str">
            <v>Belum TL</v>
          </cell>
          <cell r="T526" t="str">
            <v>90186796 - Devito Arya Wiradila</v>
          </cell>
          <cell r="U526" t="str">
            <v>"-"</v>
          </cell>
        </row>
        <row r="527">
          <cell r="A527">
            <v>46265</v>
          </cell>
          <cell r="B527" t="str">
            <v xml:space="preserve">DIDIH JUNAEDI                           </v>
          </cell>
          <cell r="C527" t="str">
            <v>DHAB308</v>
          </cell>
          <cell r="D527">
            <v>748701002091501</v>
          </cell>
          <cell r="F527" t="str">
            <v>Tidak</v>
          </cell>
          <cell r="G527" t="str">
            <v>Tidak</v>
          </cell>
          <cell r="H527" t="str">
            <v>Tidak</v>
          </cell>
          <cell r="I527" t="str">
            <v>Bandar Judol Withdrawal</v>
          </cell>
          <cell r="J527">
            <v>35</v>
          </cell>
          <cell r="K527" t="str">
            <v>86,88,87</v>
          </cell>
          <cell r="L527" t="str">
            <v>Judi Online</v>
          </cell>
          <cell r="M527" t="str">
            <v xml:space="preserve">Kas Kanpus                              </v>
          </cell>
          <cell r="N527" t="str">
            <v xml:space="preserve">Kas Kanpus                              </v>
          </cell>
          <cell r="O527" t="str">
            <v xml:space="preserve">KAS KANPUS                              </v>
          </cell>
          <cell r="R527" t="str">
            <v>Belum TL</v>
          </cell>
          <cell r="S527" t="str">
            <v>Belum TL</v>
          </cell>
          <cell r="T527" t="str">
            <v>90171841 - Rifqi Aziz</v>
          </cell>
          <cell r="U527" t="str">
            <v>"-"</v>
          </cell>
        </row>
        <row r="528">
          <cell r="A528">
            <v>46265</v>
          </cell>
          <cell r="B528" t="str">
            <v xml:space="preserve">DEDE MISKAR                             </v>
          </cell>
          <cell r="C528" t="str">
            <v>DHAO607</v>
          </cell>
          <cell r="D528">
            <v>112901039172500</v>
          </cell>
          <cell r="F528" t="str">
            <v>Tidak</v>
          </cell>
          <cell r="G528" t="str">
            <v>Tidak</v>
          </cell>
          <cell r="H528" t="str">
            <v>Tidak</v>
          </cell>
          <cell r="I528" t="str">
            <v>Bandar Judol Withdrawal</v>
          </cell>
          <cell r="J528">
            <v>35</v>
          </cell>
          <cell r="K528" t="str">
            <v>86,88,87</v>
          </cell>
          <cell r="L528" t="str">
            <v>Judi Online</v>
          </cell>
          <cell r="M528" t="str">
            <v xml:space="preserve">Kas Kanpus                              </v>
          </cell>
          <cell r="N528" t="str">
            <v xml:space="preserve">Kas Kanpus                              </v>
          </cell>
          <cell r="O528" t="str">
            <v xml:space="preserve">KAS KANPUS                              </v>
          </cell>
          <cell r="R528" t="str">
            <v>Belum TL</v>
          </cell>
          <cell r="S528" t="str">
            <v>Belum TL</v>
          </cell>
          <cell r="T528" t="str">
            <v>90150130 - Intan Aida Pratiwi</v>
          </cell>
          <cell r="U528" t="str">
            <v>"-"</v>
          </cell>
        </row>
        <row r="529">
          <cell r="A529">
            <v>46265</v>
          </cell>
          <cell r="B529" t="str">
            <v xml:space="preserve">DIDI SURYANA                            </v>
          </cell>
          <cell r="C529" t="str">
            <v>DHFM133</v>
          </cell>
          <cell r="D529">
            <v>41501045275506</v>
          </cell>
          <cell r="F529" t="str">
            <v>Tidak</v>
          </cell>
          <cell r="G529" t="str">
            <v>Tidak</v>
          </cell>
          <cell r="H529" t="str">
            <v>Tidak</v>
          </cell>
          <cell r="I529" t="str">
            <v>Bandar Judol Withdrawal</v>
          </cell>
          <cell r="J529">
            <v>35</v>
          </cell>
          <cell r="K529" t="str">
            <v>86,88,87</v>
          </cell>
          <cell r="L529" t="str">
            <v>Judi Online</v>
          </cell>
          <cell r="M529" t="str">
            <v xml:space="preserve">Kas Kanpus                              </v>
          </cell>
          <cell r="N529" t="str">
            <v xml:space="preserve">Kas Kanpus                              </v>
          </cell>
          <cell r="O529" t="str">
            <v xml:space="preserve">KAS KANPUS                              </v>
          </cell>
          <cell r="R529" t="str">
            <v>Belum TL</v>
          </cell>
          <cell r="S529" t="str">
            <v>Belum TL</v>
          </cell>
          <cell r="T529" t="str">
            <v>90170665 - Mutiara Ayuningtyas</v>
          </cell>
          <cell r="U529" t="str">
            <v>"-"</v>
          </cell>
        </row>
        <row r="530">
          <cell r="A530">
            <v>46265</v>
          </cell>
          <cell r="B530" t="str">
            <v xml:space="preserve">DIMAS BAGUS SATRIO                      </v>
          </cell>
          <cell r="C530" t="str">
            <v>DGRN826</v>
          </cell>
          <cell r="D530">
            <v>713001007972501</v>
          </cell>
          <cell r="F530" t="str">
            <v>Tidak</v>
          </cell>
          <cell r="G530" t="str">
            <v>Tidak</v>
          </cell>
          <cell r="H530" t="str">
            <v>Tidak</v>
          </cell>
          <cell r="I530" t="str">
            <v>Bandar Judol Withdrawal</v>
          </cell>
          <cell r="J530">
            <v>35</v>
          </cell>
          <cell r="K530" t="str">
            <v>86,88,87</v>
          </cell>
          <cell r="L530" t="str">
            <v>Judi Online</v>
          </cell>
          <cell r="M530" t="str">
            <v xml:space="preserve">Kas Kanpus                              </v>
          </cell>
          <cell r="N530" t="str">
            <v xml:space="preserve">Kas Kanpus                              </v>
          </cell>
          <cell r="O530" t="str">
            <v xml:space="preserve">KAS KANPUS                              </v>
          </cell>
          <cell r="R530" t="str">
            <v>Belum TL</v>
          </cell>
          <cell r="S530" t="str">
            <v>Belum TL</v>
          </cell>
          <cell r="T530" t="str">
            <v>90186796 - Devito Arya Wiradila</v>
          </cell>
          <cell r="U530" t="str">
            <v>"-"</v>
          </cell>
        </row>
        <row r="531">
          <cell r="A531">
            <v>46265</v>
          </cell>
          <cell r="B531" t="str">
            <v xml:space="preserve">DAUD YUSUP                              </v>
          </cell>
          <cell r="C531" t="str">
            <v>DHGU201</v>
          </cell>
          <cell r="D531">
            <v>124301004771509</v>
          </cell>
          <cell r="F531" t="str">
            <v>Tidak</v>
          </cell>
          <cell r="G531" t="str">
            <v>Tidak</v>
          </cell>
          <cell r="H531" t="str">
            <v>Tidak</v>
          </cell>
          <cell r="I531" t="str">
            <v>Bandar Judol Depo</v>
          </cell>
          <cell r="J531">
            <v>35</v>
          </cell>
          <cell r="K531" t="str">
            <v>86,74,87</v>
          </cell>
          <cell r="L531" t="str">
            <v>Judi Online</v>
          </cell>
          <cell r="M531" t="str">
            <v xml:space="preserve">Kas Kanpus                              </v>
          </cell>
          <cell r="N531" t="str">
            <v xml:space="preserve">Kas Kanpus                              </v>
          </cell>
          <cell r="O531" t="str">
            <v xml:space="preserve">KAS KANPUS                              </v>
          </cell>
          <cell r="R531" t="str">
            <v>Belum TL</v>
          </cell>
          <cell r="S531" t="str">
            <v>Belum TL</v>
          </cell>
          <cell r="T531" t="str">
            <v>90170665 - Mutiara Ayuningtyas</v>
          </cell>
          <cell r="U531" t="str">
            <v>"-"</v>
          </cell>
        </row>
        <row r="532">
          <cell r="A532">
            <v>46265</v>
          </cell>
          <cell r="B532" t="str">
            <v xml:space="preserve">DUWI SUGIYATI                           </v>
          </cell>
          <cell r="C532" t="str">
            <v>DHZS437</v>
          </cell>
          <cell r="D532">
            <v>79301011563505</v>
          </cell>
          <cell r="F532" t="str">
            <v>Tidak</v>
          </cell>
          <cell r="G532" t="str">
            <v>Tidak</v>
          </cell>
          <cell r="H532" t="str">
            <v>Tidak</v>
          </cell>
          <cell r="I532" t="str">
            <v>Bandar Judol Depo</v>
          </cell>
          <cell r="J532">
            <v>35</v>
          </cell>
          <cell r="K532" t="str">
            <v>86,74,87</v>
          </cell>
          <cell r="L532" t="str">
            <v>Judi Online</v>
          </cell>
          <cell r="M532" t="str">
            <v xml:space="preserve">Kas Kanpus                              </v>
          </cell>
          <cell r="N532" t="str">
            <v xml:space="preserve">Kas Kanpus                              </v>
          </cell>
          <cell r="O532" t="str">
            <v xml:space="preserve">KAS KANPUS                              </v>
          </cell>
          <cell r="R532" t="str">
            <v>Belum TL</v>
          </cell>
          <cell r="S532" t="str">
            <v>Belum TL</v>
          </cell>
          <cell r="T532" t="str">
            <v>90171841 - Rifqi Aziz</v>
          </cell>
          <cell r="U532" t="str">
            <v>"-"</v>
          </cell>
        </row>
        <row r="533">
          <cell r="A533">
            <v>46265</v>
          </cell>
          <cell r="B533" t="str">
            <v xml:space="preserve">DWI WARA SARI                           </v>
          </cell>
          <cell r="C533" t="str">
            <v>DIH8610</v>
          </cell>
          <cell r="D533">
            <v>201501016669502</v>
          </cell>
          <cell r="E533" t="str">
            <v>TINGGI</v>
          </cell>
          <cell r="F533" t="str">
            <v>Tidak</v>
          </cell>
          <cell r="G533" t="str">
            <v>Tidak</v>
          </cell>
          <cell r="H533" t="str">
            <v>Tidak</v>
          </cell>
          <cell r="I533" t="str">
            <v>Korupsi - Significant Trx View</v>
          </cell>
          <cell r="J533">
            <v>85</v>
          </cell>
          <cell r="K533">
            <v>1.19</v>
          </cell>
          <cell r="L533" t="str">
            <v>Korupsi</v>
          </cell>
          <cell r="M533" t="str">
            <v>Kas Kanpus</v>
          </cell>
          <cell r="N533" t="str">
            <v>Kas Kanpus</v>
          </cell>
          <cell r="O533" t="str">
            <v>KAS KANPUS</v>
          </cell>
          <cell r="R533" t="str">
            <v>Belum TL</v>
          </cell>
          <cell r="S533" t="str">
            <v>Belum TL</v>
          </cell>
          <cell r="T533" t="str">
            <v>90150130 - Intan Aida Pratiwi</v>
          </cell>
          <cell r="U533" t="str">
            <v>"-"</v>
          </cell>
        </row>
        <row r="534">
          <cell r="A534">
            <v>46265</v>
          </cell>
          <cell r="B534" t="str">
            <v xml:space="preserve">DERI YULIANI                            </v>
          </cell>
          <cell r="C534" t="str">
            <v>DIHU275</v>
          </cell>
          <cell r="D534">
            <v>35601095175500</v>
          </cell>
          <cell r="F534" t="str">
            <v>Tidak</v>
          </cell>
          <cell r="G534" t="str">
            <v>Tidak</v>
          </cell>
          <cell r="H534" t="str">
            <v>Tidak</v>
          </cell>
          <cell r="I534" t="str">
            <v>Bandar Judol Withdrawal</v>
          </cell>
          <cell r="J534">
            <v>35</v>
          </cell>
          <cell r="K534" t="str">
            <v>86,88,87</v>
          </cell>
          <cell r="L534" t="str">
            <v>Judi Online</v>
          </cell>
          <cell r="M534" t="str">
            <v xml:space="preserve">Kas Kanpus                              </v>
          </cell>
          <cell r="N534" t="str">
            <v xml:space="preserve">Kas Kanpus                              </v>
          </cell>
          <cell r="O534" t="str">
            <v xml:space="preserve">KAS KANPUS                              </v>
          </cell>
          <cell r="R534" t="str">
            <v>Belum TL</v>
          </cell>
          <cell r="S534" t="str">
            <v>Belum TL</v>
          </cell>
          <cell r="T534" t="str">
            <v>00336949 - Mochammad Al Farabi</v>
          </cell>
          <cell r="U534" t="str">
            <v>"-"</v>
          </cell>
        </row>
        <row r="535">
          <cell r="A535">
            <v>46265</v>
          </cell>
          <cell r="B535" t="str">
            <v xml:space="preserve">DIKA PURNAMA                            </v>
          </cell>
          <cell r="C535" t="str">
            <v>DIJG195</v>
          </cell>
          <cell r="D535">
            <v>731101004317502</v>
          </cell>
          <cell r="F535" t="str">
            <v>Tidak</v>
          </cell>
          <cell r="G535" t="str">
            <v>Tidak</v>
          </cell>
          <cell r="H535" t="str">
            <v>Tidak</v>
          </cell>
          <cell r="I535" t="str">
            <v>Bandar Judol Withdrawal</v>
          </cell>
          <cell r="J535">
            <v>35</v>
          </cell>
          <cell r="K535" t="str">
            <v>86,88,87</v>
          </cell>
          <cell r="L535" t="str">
            <v>Judi Online</v>
          </cell>
          <cell r="M535" t="str">
            <v xml:space="preserve">Kas Kanpus                              </v>
          </cell>
          <cell r="N535" t="str">
            <v xml:space="preserve">Kas Kanpus                              </v>
          </cell>
          <cell r="O535" t="str">
            <v xml:space="preserve">KAS KANPUS                              </v>
          </cell>
          <cell r="R535" t="str">
            <v>Belum TL</v>
          </cell>
          <cell r="S535" t="str">
            <v>Belum TL</v>
          </cell>
          <cell r="T535" t="str">
            <v>90185538 - Muhammad Fahikal Auz</v>
          </cell>
          <cell r="U535" t="str">
            <v>"-"</v>
          </cell>
        </row>
        <row r="536">
          <cell r="A536">
            <v>46235</v>
          </cell>
          <cell r="B536" t="str">
            <v xml:space="preserve">DEVY MAYA KUSUMA SARI                   </v>
          </cell>
          <cell r="C536" t="str">
            <v>DIP7276</v>
          </cell>
          <cell r="D536">
            <v>40601002107567</v>
          </cell>
          <cell r="E536" t="str">
            <v>SEDANG</v>
          </cell>
          <cell r="F536" t="str">
            <v>Tidak</v>
          </cell>
          <cell r="G536" t="str">
            <v>Tidak</v>
          </cell>
          <cell r="I536" t="str">
            <v>Teroris - Remark</v>
          </cell>
          <cell r="J536">
            <v>168</v>
          </cell>
          <cell r="K536">
            <v>50</v>
          </cell>
          <cell r="L536" t="str">
            <v>Terorisme</v>
          </cell>
          <cell r="M536" t="str">
            <v xml:space="preserve">Kas Kanpus                              </v>
          </cell>
          <cell r="N536" t="str">
            <v xml:space="preserve">Kas Kanpus                              </v>
          </cell>
          <cell r="O536" t="str">
            <v xml:space="preserve">KAS KANPUS                              </v>
          </cell>
          <cell r="R536" t="str">
            <v>Belum TL</v>
          </cell>
          <cell r="S536" t="str">
            <v>Belum TL</v>
          </cell>
          <cell r="T536" t="str">
            <v>00394521 - Muhammad Hibbanduta</v>
          </cell>
          <cell r="U536" t="str">
            <v>"-"</v>
          </cell>
        </row>
        <row r="537">
          <cell r="A537">
            <v>46265</v>
          </cell>
          <cell r="B537" t="str">
            <v xml:space="preserve">PT DAMANKA PRIMA                        </v>
          </cell>
          <cell r="C537" t="str">
            <v>DIPL889</v>
          </cell>
          <cell r="D537">
            <v>121001000607561</v>
          </cell>
          <cell r="F537" t="str">
            <v>Tidak</v>
          </cell>
          <cell r="G537" t="str">
            <v>Tidak</v>
          </cell>
          <cell r="H537" t="str">
            <v>Tidak</v>
          </cell>
          <cell r="I537" t="str">
            <v>Perpajakan</v>
          </cell>
          <cell r="J537">
            <v>33</v>
          </cell>
          <cell r="K537">
            <v>41</v>
          </cell>
          <cell r="L537" t="str">
            <v>Perpajakan</v>
          </cell>
          <cell r="M537" t="str">
            <v xml:space="preserve">KCP GREEN VILLE                         </v>
          </cell>
          <cell r="N537" t="str">
            <v xml:space="preserve">KC Jakarta Tanjung Duren                </v>
          </cell>
          <cell r="O537" t="str">
            <v xml:space="preserve">KANWIL JAKARTA 3                        </v>
          </cell>
          <cell r="R537" t="str">
            <v>Belum TL</v>
          </cell>
          <cell r="S537" t="str">
            <v>Belum TL</v>
          </cell>
          <cell r="T537" t="str">
            <v>90186790 - Muhammad Alfin Farha</v>
          </cell>
          <cell r="U537" t="str">
            <v>"-"</v>
          </cell>
        </row>
        <row r="538">
          <cell r="A538">
            <v>46265</v>
          </cell>
          <cell r="B538" t="str">
            <v xml:space="preserve">DEWI SANTI                              </v>
          </cell>
          <cell r="C538" t="str">
            <v>DIU3311</v>
          </cell>
          <cell r="D538">
            <v>767901005123536</v>
          </cell>
          <cell r="E538" t="str">
            <v>SEDANG</v>
          </cell>
          <cell r="F538" t="str">
            <v>Ya</v>
          </cell>
          <cell r="G538" t="str">
            <v>Tidak</v>
          </cell>
          <cell r="H538" t="str">
            <v>Tidak</v>
          </cell>
          <cell r="I538" t="str">
            <v>Bandar Judol Depo</v>
          </cell>
          <cell r="J538">
            <v>50</v>
          </cell>
          <cell r="K538" t="str">
            <v>86,74,87</v>
          </cell>
          <cell r="L538" t="str">
            <v>Judi Online</v>
          </cell>
          <cell r="M538" t="str">
            <v xml:space="preserve">Kas Kanpus                              </v>
          </cell>
          <cell r="N538" t="str">
            <v xml:space="preserve">Kas Kanpus                              </v>
          </cell>
          <cell r="O538" t="str">
            <v xml:space="preserve">KAS KANPUS                              </v>
          </cell>
          <cell r="R538" t="str">
            <v>Belum TL</v>
          </cell>
          <cell r="S538" t="str">
            <v>Belum TL</v>
          </cell>
          <cell r="T538" t="str">
            <v>90186796 - Devito Arya Wiradila</v>
          </cell>
          <cell r="U538" t="str">
            <v>"-"</v>
          </cell>
        </row>
        <row r="539">
          <cell r="A539">
            <v>46265</v>
          </cell>
          <cell r="B539" t="str">
            <v xml:space="preserve">DEDI SURYADI                            </v>
          </cell>
          <cell r="C539" t="str">
            <v>DHRI111</v>
          </cell>
          <cell r="D539">
            <v>479401000064560</v>
          </cell>
          <cell r="F539" t="str">
            <v>Tidak</v>
          </cell>
          <cell r="G539" t="str">
            <v>Tidak</v>
          </cell>
          <cell r="I539" t="str">
            <v>Jual Beli Rekening - E channel Trx</v>
          </cell>
          <cell r="J539">
            <v>33</v>
          </cell>
          <cell r="K539">
            <v>113</v>
          </cell>
          <cell r="L539" t="str">
            <v>Narkotika/Judi Online/Penipuan</v>
          </cell>
          <cell r="M539" t="str">
            <v xml:space="preserve">UNIT PONDOK UNGU PERMAI BEKASI          </v>
          </cell>
          <cell r="N539" t="str">
            <v xml:space="preserve">KC Bekasi                               </v>
          </cell>
          <cell r="O539" t="str">
            <v xml:space="preserve">DKI2                                    </v>
          </cell>
          <cell r="R539" t="str">
            <v>Belum TL</v>
          </cell>
          <cell r="S539" t="str">
            <v>Belum TL</v>
          </cell>
          <cell r="U539" t="str">
            <v>"-"</v>
          </cell>
        </row>
        <row r="540">
          <cell r="A540">
            <v>46265</v>
          </cell>
          <cell r="B540" t="str">
            <v xml:space="preserve">DIAN MARTA MANIK                        </v>
          </cell>
          <cell r="C540" t="str">
            <v>DHSV345</v>
          </cell>
          <cell r="D540">
            <v>759301027300508</v>
          </cell>
          <cell r="F540" t="str">
            <v>Tidak</v>
          </cell>
          <cell r="G540" t="str">
            <v>Tidak</v>
          </cell>
          <cell r="I540" t="str">
            <v>Jual Beli Rekening - E channel Trx</v>
          </cell>
          <cell r="J540">
            <v>33</v>
          </cell>
          <cell r="K540">
            <v>113</v>
          </cell>
          <cell r="L540" t="str">
            <v>Narkotika/Judi Online/Penipuan</v>
          </cell>
          <cell r="M540" t="str">
            <v xml:space="preserve">UNIT RASAU                              </v>
          </cell>
          <cell r="N540" t="str">
            <v xml:space="preserve">KC Pontianak                            </v>
          </cell>
          <cell r="O540" t="str">
            <v xml:space="preserve">Banjarmasin                             </v>
          </cell>
          <cell r="R540" t="str">
            <v>Belum TL</v>
          </cell>
          <cell r="S540" t="str">
            <v>Belum TL</v>
          </cell>
          <cell r="U540" t="str">
            <v>"-"</v>
          </cell>
        </row>
        <row r="541">
          <cell r="A541">
            <v>46265</v>
          </cell>
          <cell r="B541" t="str">
            <v xml:space="preserve">DEA AULIA                               </v>
          </cell>
          <cell r="C541" t="str">
            <v>DHYW578</v>
          </cell>
          <cell r="D541">
            <v>324701003328507</v>
          </cell>
          <cell r="F541" t="str">
            <v>Tidak</v>
          </cell>
          <cell r="G541" t="str">
            <v>Tidak</v>
          </cell>
          <cell r="H541" t="str">
            <v>Tidak</v>
          </cell>
          <cell r="I541" t="str">
            <v>Bandar Judol Withdrawal</v>
          </cell>
          <cell r="J541">
            <v>35</v>
          </cell>
          <cell r="K541" t="str">
            <v>86,88,87</v>
          </cell>
          <cell r="L541" t="str">
            <v>Judi Online</v>
          </cell>
          <cell r="M541" t="str">
            <v xml:space="preserve">Kas Kanpus                              </v>
          </cell>
          <cell r="N541" t="str">
            <v xml:space="preserve">Kas Kanpus                              </v>
          </cell>
          <cell r="O541" t="str">
            <v xml:space="preserve">KAS KANPUS                              </v>
          </cell>
          <cell r="R541" t="str">
            <v>Belum TL</v>
          </cell>
          <cell r="S541" t="str">
            <v>Belum TL</v>
          </cell>
          <cell r="T541" t="str">
            <v>90170665 - Mutiara Ayuningtyas</v>
          </cell>
          <cell r="U541" t="str">
            <v>"-"</v>
          </cell>
        </row>
        <row r="542">
          <cell r="A542">
            <v>46265</v>
          </cell>
          <cell r="B542" t="str">
            <v xml:space="preserve">DIANA RACHMAWATI                        </v>
          </cell>
          <cell r="C542" t="str">
            <v>DK53802</v>
          </cell>
          <cell r="D542">
            <v>5501000873569</v>
          </cell>
          <cell r="E542" t="str">
            <v>TINGGI</v>
          </cell>
          <cell r="F542" t="str">
            <v>Tidak</v>
          </cell>
          <cell r="G542" t="str">
            <v>Tidak</v>
          </cell>
          <cell r="H542" t="str">
            <v>Tidak</v>
          </cell>
          <cell r="I542" t="str">
            <v>Korupsi - Significant Trx View</v>
          </cell>
          <cell r="J542">
            <v>83</v>
          </cell>
          <cell r="K542">
            <v>1.19</v>
          </cell>
          <cell r="L542" t="str">
            <v>Korupsi</v>
          </cell>
          <cell r="M542" t="str">
            <v>Kas Kanpus</v>
          </cell>
          <cell r="N542" t="str">
            <v>Kas Kanpus</v>
          </cell>
          <cell r="O542" t="str">
            <v>KAS KANPUS</v>
          </cell>
          <cell r="R542" t="str">
            <v>Belum TL</v>
          </cell>
          <cell r="S542" t="str">
            <v>Belum TL</v>
          </cell>
          <cell r="T542" t="str">
            <v>90171841 - Rifqi Aziz</v>
          </cell>
          <cell r="U542" t="str">
            <v>"-"</v>
          </cell>
        </row>
        <row r="543">
          <cell r="A543">
            <v>46265</v>
          </cell>
          <cell r="B543" t="str">
            <v xml:space="preserve">DUDUNG                                  </v>
          </cell>
          <cell r="C543" t="str">
            <v>DL72756</v>
          </cell>
          <cell r="D543">
            <v>88701025795103</v>
          </cell>
          <cell r="E543" t="str">
            <v>SEDANG</v>
          </cell>
          <cell r="F543" t="str">
            <v>Tidak</v>
          </cell>
          <cell r="G543" t="str">
            <v>Tidak</v>
          </cell>
          <cell r="H543" t="str">
            <v>Tidak</v>
          </cell>
          <cell r="I543" t="str">
            <v>Korupsi - Loan View</v>
          </cell>
          <cell r="J543">
            <v>48</v>
          </cell>
          <cell r="K543">
            <v>15</v>
          </cell>
          <cell r="L543" t="str">
            <v>Korupsi</v>
          </cell>
          <cell r="M543" t="str">
            <v>Kas Kanpus</v>
          </cell>
          <cell r="N543" t="str">
            <v>Kas Kanpus</v>
          </cell>
          <cell r="O543" t="str">
            <v>KAS KANPUS</v>
          </cell>
          <cell r="R543" t="str">
            <v>Belum TL</v>
          </cell>
          <cell r="S543" t="str">
            <v>Belum TL</v>
          </cell>
          <cell r="T543" t="str">
            <v>90186790 - Muhammad Alfin Farha</v>
          </cell>
          <cell r="U543" t="str">
            <v>"-"</v>
          </cell>
        </row>
        <row r="544">
          <cell r="A544">
            <v>46265</v>
          </cell>
          <cell r="B544" t="str">
            <v xml:space="preserve">DARMAWAN PRATOMO                        </v>
          </cell>
          <cell r="C544" t="str">
            <v>DLF0046</v>
          </cell>
          <cell r="D544">
            <v>4359720216416500</v>
          </cell>
          <cell r="E544" t="str">
            <v>SEDANG</v>
          </cell>
          <cell r="F544" t="str">
            <v>Tidak</v>
          </cell>
          <cell r="G544" t="str">
            <v>Tidak</v>
          </cell>
          <cell r="H544" t="str">
            <v>Tidak</v>
          </cell>
          <cell r="I544" t="str">
            <v>Penghindaran Pajak (Transaksi Fiktif)/Penyuapan CC</v>
          </cell>
          <cell r="J544">
            <v>45</v>
          </cell>
          <cell r="K544">
            <v>118</v>
          </cell>
          <cell r="L544" t="str">
            <v>Penyuapan / Penghindaran Pajak CC View</v>
          </cell>
          <cell r="M544" t="str">
            <v xml:space="preserve">Kas Kanpus                              </v>
          </cell>
          <cell r="N544" t="str">
            <v xml:space="preserve">Kas Kanpus                              </v>
          </cell>
          <cell r="O544" t="str">
            <v xml:space="preserve">KAS KANPUS                              </v>
          </cell>
          <cell r="R544" t="str">
            <v>Belum TL</v>
          </cell>
          <cell r="S544" t="str">
            <v>Belum TL</v>
          </cell>
          <cell r="T544" t="str">
            <v>90185537 - Moh.Khoerul Fajar Ar</v>
          </cell>
          <cell r="U544" t="str">
            <v>"-"</v>
          </cell>
        </row>
        <row r="545">
          <cell r="A545">
            <v>46265</v>
          </cell>
          <cell r="B545" t="str">
            <v xml:space="preserve">DWI DONI ARSO                           </v>
          </cell>
          <cell r="C545" t="str">
            <v>DM31558</v>
          </cell>
          <cell r="D545">
            <v>18401021216109</v>
          </cell>
          <cell r="E545" t="str">
            <v>SEDANG</v>
          </cell>
          <cell r="F545" t="str">
            <v>Tidak</v>
          </cell>
          <cell r="G545" t="str">
            <v>Tidak</v>
          </cell>
          <cell r="H545" t="str">
            <v>Tidak</v>
          </cell>
          <cell r="I545" t="str">
            <v>Korupsi - Loan View</v>
          </cell>
          <cell r="J545">
            <v>48</v>
          </cell>
          <cell r="K545">
            <v>15</v>
          </cell>
          <cell r="L545" t="str">
            <v>Korupsi</v>
          </cell>
          <cell r="M545" t="str">
            <v>Kas Kanpus</v>
          </cell>
          <cell r="N545" t="str">
            <v>Kas Kanpus</v>
          </cell>
          <cell r="O545" t="str">
            <v>KAS KANPUS</v>
          </cell>
          <cell r="R545" t="str">
            <v>Belum TL</v>
          </cell>
          <cell r="S545" t="str">
            <v>Belum TL</v>
          </cell>
          <cell r="T545" t="str">
            <v>90171841 - Rifqi Aziz</v>
          </cell>
          <cell r="U545" t="str">
            <v>"-"</v>
          </cell>
        </row>
        <row r="546">
          <cell r="A546">
            <v>46265</v>
          </cell>
          <cell r="B546" t="str">
            <v xml:space="preserve">DHEA MARDIANA                           </v>
          </cell>
          <cell r="C546" t="str">
            <v>DNV0972</v>
          </cell>
          <cell r="D546">
            <v>37901071783507</v>
          </cell>
          <cell r="E546" t="str">
            <v>RENDAH</v>
          </cell>
          <cell r="F546" t="str">
            <v>Tidak</v>
          </cell>
          <cell r="G546" t="str">
            <v>Tidak</v>
          </cell>
          <cell r="H546" t="str">
            <v>Tidak</v>
          </cell>
          <cell r="I546" t="str">
            <v>Bandar Judol Withdrawal</v>
          </cell>
          <cell r="J546">
            <v>35</v>
          </cell>
          <cell r="K546" t="str">
            <v>86,88,87</v>
          </cell>
          <cell r="L546" t="str">
            <v>Judi Online</v>
          </cell>
          <cell r="M546" t="str">
            <v xml:space="preserve">Kas Kanpus                              </v>
          </cell>
          <cell r="N546" t="str">
            <v xml:space="preserve">Kas Kanpus                              </v>
          </cell>
          <cell r="O546" t="str">
            <v xml:space="preserve">KAS KANPUS                              </v>
          </cell>
          <cell r="R546" t="str">
            <v>Belum TL</v>
          </cell>
          <cell r="S546" t="str">
            <v>Belum TL</v>
          </cell>
          <cell r="T546" t="str">
            <v>00336949 - Mochammad Al Farabi</v>
          </cell>
          <cell r="U546" t="str">
            <v>"-"</v>
          </cell>
        </row>
        <row r="547">
          <cell r="A547">
            <v>46265</v>
          </cell>
          <cell r="B547" t="str">
            <v xml:space="preserve">DISTRINDO BINTANG AGUNG                 </v>
          </cell>
          <cell r="C547" t="str">
            <v>DN75871</v>
          </cell>
          <cell r="D547">
            <v>63501000569154</v>
          </cell>
          <cell r="E547" t="str">
            <v>SEDANG</v>
          </cell>
          <cell r="F547" t="str">
            <v>Tidak</v>
          </cell>
          <cell r="G547" t="str">
            <v>Tidak</v>
          </cell>
          <cell r="H547" t="str">
            <v>Tidak</v>
          </cell>
          <cell r="I547" t="str">
            <v>Korupsi - Loan View</v>
          </cell>
          <cell r="J547">
            <v>48</v>
          </cell>
          <cell r="K547">
            <v>15</v>
          </cell>
          <cell r="L547" t="str">
            <v>Korupsi</v>
          </cell>
          <cell r="M547" t="str">
            <v>Kas Kanpus</v>
          </cell>
          <cell r="N547" t="str">
            <v>Kas Kanpus</v>
          </cell>
          <cell r="O547" t="str">
            <v>KAS KANPUS</v>
          </cell>
          <cell r="R547" t="str">
            <v>Belum TL</v>
          </cell>
          <cell r="S547" t="str">
            <v>Belum TL</v>
          </cell>
          <cell r="T547" t="str">
            <v>00394520 - Frida Akbar Rani</v>
          </cell>
          <cell r="U547" t="str">
            <v>"-"</v>
          </cell>
        </row>
        <row r="548">
          <cell r="A548">
            <v>46265</v>
          </cell>
          <cell r="B548" t="str">
            <v xml:space="preserve">DIMAS PRATAMA                           </v>
          </cell>
          <cell r="C548" t="str">
            <v>DPZ8211</v>
          </cell>
          <cell r="D548">
            <v>16001001564562</v>
          </cell>
          <cell r="E548" t="str">
            <v>TINGGI</v>
          </cell>
          <cell r="F548" t="str">
            <v>Tidak</v>
          </cell>
          <cell r="G548" t="str">
            <v>Tidak</v>
          </cell>
          <cell r="H548" t="str">
            <v>Tidak</v>
          </cell>
          <cell r="I548" t="str">
            <v>Narkotika - Area Lapas</v>
          </cell>
          <cell r="J548">
            <v>65</v>
          </cell>
          <cell r="K548">
            <v>46</v>
          </cell>
          <cell r="L548" t="str">
            <v>Narkotika</v>
          </cell>
          <cell r="M548" t="str">
            <v>KC Muara Bungo</v>
          </cell>
          <cell r="N548" t="str">
            <v>KC Muara Bungo</v>
          </cell>
          <cell r="O548" t="str">
            <v>Palembang</v>
          </cell>
          <cell r="R548" t="str">
            <v>Belum TL</v>
          </cell>
          <cell r="S548" t="str">
            <v>Belum TL</v>
          </cell>
          <cell r="T548" t="str">
            <v>90185538 - Muhammad Fahikal Auz</v>
          </cell>
          <cell r="U548" t="str">
            <v>"-"</v>
          </cell>
        </row>
        <row r="549">
          <cell r="A549">
            <v>46265</v>
          </cell>
          <cell r="B549" t="str">
            <v xml:space="preserve">DZANI ROSYADA                           </v>
          </cell>
          <cell r="C549" t="str">
            <v>DQ22111</v>
          </cell>
          <cell r="D549">
            <v>9401031897102</v>
          </cell>
          <cell r="E549" t="str">
            <v>SEDANG</v>
          </cell>
          <cell r="F549" t="str">
            <v>Tidak</v>
          </cell>
          <cell r="G549" t="str">
            <v>Tidak</v>
          </cell>
          <cell r="H549" t="str">
            <v>Tidak</v>
          </cell>
          <cell r="I549" t="str">
            <v>Korupsi - Loan View</v>
          </cell>
          <cell r="J549">
            <v>48</v>
          </cell>
          <cell r="K549">
            <v>15</v>
          </cell>
          <cell r="L549" t="str">
            <v>Korupsi</v>
          </cell>
          <cell r="M549" t="str">
            <v>Kas Kanpus</v>
          </cell>
          <cell r="N549" t="str">
            <v>Kas Kanpus</v>
          </cell>
          <cell r="O549" t="str">
            <v>KAS KANPUS</v>
          </cell>
          <cell r="R549" t="str">
            <v>Belum TL</v>
          </cell>
          <cell r="S549" t="str">
            <v>Belum TL</v>
          </cell>
          <cell r="T549" t="str">
            <v>90150130 - Intan Aida Pratiwi</v>
          </cell>
          <cell r="U549" t="str">
            <v>"-"</v>
          </cell>
        </row>
        <row r="550">
          <cell r="A550">
            <v>46265</v>
          </cell>
          <cell r="B550" t="str">
            <v xml:space="preserve">DELSWANTO DUNGIR                        </v>
          </cell>
          <cell r="C550" t="str">
            <v>DQJ5378</v>
          </cell>
          <cell r="D550">
            <v>522501018661102</v>
          </cell>
          <cell r="E550" t="str">
            <v>RENDAH</v>
          </cell>
          <cell r="F550" t="str">
            <v>Tidak</v>
          </cell>
          <cell r="G550" t="str">
            <v>Tidak</v>
          </cell>
          <cell r="H550" t="str">
            <v>Tidak</v>
          </cell>
          <cell r="I550" t="str">
            <v>Korupsi - Loan View</v>
          </cell>
          <cell r="J550">
            <v>33</v>
          </cell>
          <cell r="K550">
            <v>15</v>
          </cell>
          <cell r="L550" t="str">
            <v>Korupsi</v>
          </cell>
          <cell r="M550" t="str">
            <v>Kas Kanpus</v>
          </cell>
          <cell r="N550" t="str">
            <v>Kas Kanpus</v>
          </cell>
          <cell r="O550" t="str">
            <v>KAS KANPUS</v>
          </cell>
          <cell r="R550" t="str">
            <v>Belum TL</v>
          </cell>
          <cell r="S550" t="str">
            <v>Belum TL</v>
          </cell>
          <cell r="T550" t="str">
            <v>90186790 - Muhammad Alfin Farha</v>
          </cell>
          <cell r="U550" t="str">
            <v>"-"</v>
          </cell>
        </row>
        <row r="551">
          <cell r="A551">
            <v>46244</v>
          </cell>
          <cell r="B551" t="str">
            <v xml:space="preserve">DEVI LARASATI                           </v>
          </cell>
          <cell r="C551" t="str">
            <v>DRC6601</v>
          </cell>
          <cell r="D551">
            <v>308901026761534</v>
          </cell>
          <cell r="E551" t="str">
            <v>SEDANG</v>
          </cell>
          <cell r="F551" t="str">
            <v>Tidak</v>
          </cell>
          <cell r="G551" t="str">
            <v>Tidak</v>
          </cell>
          <cell r="I551" t="str">
            <v>Teroris - Remark</v>
          </cell>
          <cell r="J551">
            <v>168</v>
          </cell>
          <cell r="K551">
            <v>50</v>
          </cell>
          <cell r="L551" t="str">
            <v>Terorisme</v>
          </cell>
          <cell r="M551" t="str">
            <v xml:space="preserve">Kas Kanpus                              </v>
          </cell>
          <cell r="N551" t="str">
            <v xml:space="preserve">Kas Kanpus                              </v>
          </cell>
          <cell r="O551" t="str">
            <v xml:space="preserve">KAS KANPUS                              </v>
          </cell>
          <cell r="R551" t="str">
            <v>Belum TL</v>
          </cell>
          <cell r="S551" t="str">
            <v>Belum TL</v>
          </cell>
          <cell r="T551" t="str">
            <v>90150130 - Intan Aida Pratiwi</v>
          </cell>
          <cell r="U551" t="str">
            <v>"-"</v>
          </cell>
        </row>
        <row r="552">
          <cell r="A552">
            <v>46265</v>
          </cell>
          <cell r="B552" t="str">
            <v xml:space="preserve">DJOKO SUSANTO                           </v>
          </cell>
          <cell r="C552" t="str">
            <v>DS48839</v>
          </cell>
          <cell r="D552">
            <v>2101001965568</v>
          </cell>
          <cell r="E552" t="str">
            <v>TINGGI</v>
          </cell>
          <cell r="F552" t="str">
            <v>Tidak</v>
          </cell>
          <cell r="G552" t="str">
            <v>Tidak</v>
          </cell>
          <cell r="H552" t="str">
            <v>Tidak</v>
          </cell>
          <cell r="I552" t="str">
            <v>Korupsi - Significant Trx View</v>
          </cell>
          <cell r="J552">
            <v>78</v>
          </cell>
          <cell r="K552">
            <v>1.19</v>
          </cell>
          <cell r="L552" t="str">
            <v>Korupsi</v>
          </cell>
          <cell r="M552" t="str">
            <v>Kas Kanpus</v>
          </cell>
          <cell r="N552" t="str">
            <v>Kas Kanpus</v>
          </cell>
          <cell r="O552" t="str">
            <v>KAS KANPUS</v>
          </cell>
          <cell r="R552" t="str">
            <v>Belum TL</v>
          </cell>
          <cell r="S552" t="str">
            <v>Belum TL</v>
          </cell>
          <cell r="T552" t="str">
            <v>00336949 - Mochammad Al Farabi</v>
          </cell>
          <cell r="U552" t="str">
            <v>"-"</v>
          </cell>
        </row>
        <row r="553">
          <cell r="A553">
            <v>46265</v>
          </cell>
          <cell r="B553" t="str">
            <v xml:space="preserve">DEKY JULKARNAIN                         </v>
          </cell>
          <cell r="C553" t="str">
            <v>DS86246</v>
          </cell>
          <cell r="D553">
            <v>1301024219501</v>
          </cell>
          <cell r="E553" t="str">
            <v>SEDANG</v>
          </cell>
          <cell r="F553" t="str">
            <v>Tidak</v>
          </cell>
          <cell r="G553" t="str">
            <v>Tidak</v>
          </cell>
          <cell r="H553" t="str">
            <v>Tidak</v>
          </cell>
          <cell r="I553" t="str">
            <v>Korupsi - Significant Trx View</v>
          </cell>
          <cell r="J553">
            <v>58</v>
          </cell>
          <cell r="K553">
            <v>1.19</v>
          </cell>
          <cell r="L553" t="str">
            <v>Korupsi</v>
          </cell>
          <cell r="M553" t="str">
            <v>Kas Kanpus</v>
          </cell>
          <cell r="N553" t="str">
            <v>Kas Kanpus</v>
          </cell>
          <cell r="O553" t="str">
            <v>KAS KANPUS</v>
          </cell>
          <cell r="R553" t="str">
            <v>Belum TL</v>
          </cell>
          <cell r="S553" t="str">
            <v>Belum TL</v>
          </cell>
          <cell r="T553" t="str">
            <v>90186790 - Muhammad Alfin Farha</v>
          </cell>
          <cell r="U553" t="str">
            <v>"-"</v>
          </cell>
        </row>
        <row r="554">
          <cell r="A554">
            <v>46265</v>
          </cell>
          <cell r="B554" t="str">
            <v xml:space="preserve">DARMA PRATAMA                           </v>
          </cell>
          <cell r="C554" t="str">
            <v>DSF1267</v>
          </cell>
          <cell r="D554">
            <v>12401001582302</v>
          </cell>
          <cell r="E554" t="str">
            <v>SEDANG</v>
          </cell>
          <cell r="F554" t="str">
            <v>Tidak</v>
          </cell>
          <cell r="G554" t="str">
            <v>Tidak</v>
          </cell>
          <cell r="H554" t="str">
            <v>Tidak</v>
          </cell>
          <cell r="I554" t="str">
            <v>Narkotika - Area Lapas</v>
          </cell>
          <cell r="J554">
            <v>49</v>
          </cell>
          <cell r="K554">
            <v>47</v>
          </cell>
          <cell r="L554" t="str">
            <v>Narkotika</v>
          </cell>
          <cell r="M554" t="str">
            <v>KC Tabanan</v>
          </cell>
          <cell r="N554" t="str">
            <v>KC Tabanan</v>
          </cell>
          <cell r="O554" t="str">
            <v>Denpasar</v>
          </cell>
          <cell r="R554" t="str">
            <v>Belum TL</v>
          </cell>
          <cell r="S554" t="str">
            <v>Belum TL</v>
          </cell>
          <cell r="T554" t="str">
            <v>90185538 - Muhammad Fahikal Auz</v>
          </cell>
          <cell r="U554" t="str">
            <v>"-"</v>
          </cell>
        </row>
        <row r="555">
          <cell r="A555">
            <v>46265</v>
          </cell>
          <cell r="B555" t="str">
            <v xml:space="preserve">DELLY INDRA SETIAWAN                    </v>
          </cell>
          <cell r="C555" t="str">
            <v>DTZ8649</v>
          </cell>
          <cell r="D555">
            <v>766701006801534</v>
          </cell>
          <cell r="E555" t="str">
            <v>SEDANG</v>
          </cell>
          <cell r="F555" t="str">
            <v>Tidak</v>
          </cell>
          <cell r="G555" t="str">
            <v>Tidak</v>
          </cell>
          <cell r="H555" t="str">
            <v>Tidak</v>
          </cell>
          <cell r="I555" t="str">
            <v>Prostitusi</v>
          </cell>
          <cell r="J555">
            <v>46</v>
          </cell>
          <cell r="K555">
            <v>104</v>
          </cell>
          <cell r="L555" t="str">
            <v>Prostitusi</v>
          </cell>
          <cell r="M555" t="str">
            <v xml:space="preserve">UNIT MLILIR MADIUN                      </v>
          </cell>
          <cell r="N555" t="str">
            <v xml:space="preserve">KC Madiun                               </v>
          </cell>
          <cell r="O555" t="str">
            <v xml:space="preserve">KANWIL MALANG                           </v>
          </cell>
          <cell r="R555" t="str">
            <v>Belum TL</v>
          </cell>
          <cell r="S555" t="str">
            <v>Belum TL</v>
          </cell>
          <cell r="T555" t="str">
            <v>90186790 - Muhammad Alfin Farha</v>
          </cell>
          <cell r="U555" t="str">
            <v>"-"</v>
          </cell>
        </row>
        <row r="556">
          <cell r="A556">
            <v>46265</v>
          </cell>
          <cell r="B556" t="str">
            <v xml:space="preserve">DJAN FARIDZ                             </v>
          </cell>
          <cell r="C556" t="str">
            <v>DU28939</v>
          </cell>
          <cell r="D556">
            <v>150301000004300</v>
          </cell>
          <cell r="E556" t="str">
            <v>TINGGI</v>
          </cell>
          <cell r="F556" t="str">
            <v>Tidak</v>
          </cell>
          <cell r="G556" t="str">
            <v>Tidak</v>
          </cell>
          <cell r="H556" t="str">
            <v>Tidak</v>
          </cell>
          <cell r="I556" t="str">
            <v>Korupsi - Significant Trx View</v>
          </cell>
          <cell r="J556">
            <v>83</v>
          </cell>
          <cell r="K556">
            <v>1.19</v>
          </cell>
          <cell r="L556" t="str">
            <v>Korupsi</v>
          </cell>
          <cell r="M556" t="str">
            <v>Kas Kanpus</v>
          </cell>
          <cell r="N556" t="str">
            <v>Kas Kanpus</v>
          </cell>
          <cell r="O556" t="str">
            <v>KAS KANPUS</v>
          </cell>
          <cell r="R556" t="str">
            <v>Belum TL</v>
          </cell>
          <cell r="S556" t="str">
            <v>Belum TL</v>
          </cell>
          <cell r="T556" t="str">
            <v>00394521 - Muhammad Hibbanduta</v>
          </cell>
          <cell r="U556" t="str">
            <v>"-"</v>
          </cell>
        </row>
        <row r="557">
          <cell r="A557">
            <v>46265</v>
          </cell>
          <cell r="B557" t="str">
            <v xml:space="preserve">DEWA KRISHNA ARUSUDANA                  </v>
          </cell>
          <cell r="C557" t="str">
            <v>DUB4377</v>
          </cell>
          <cell r="D557">
            <v>753201009844102</v>
          </cell>
          <cell r="E557" t="str">
            <v>SEDANG</v>
          </cell>
          <cell r="F557" t="str">
            <v>Tidak</v>
          </cell>
          <cell r="G557" t="str">
            <v>Tidak</v>
          </cell>
          <cell r="H557" t="str">
            <v>Tidak</v>
          </cell>
          <cell r="I557" t="str">
            <v>Korupsi - Loan View</v>
          </cell>
          <cell r="J557">
            <v>48</v>
          </cell>
          <cell r="K557">
            <v>15</v>
          </cell>
          <cell r="L557" t="str">
            <v>Korupsi</v>
          </cell>
          <cell r="M557" t="str">
            <v>Kas Kanpus</v>
          </cell>
          <cell r="N557" t="str">
            <v>Kas Kanpus</v>
          </cell>
          <cell r="O557" t="str">
            <v>KAS KANPUS</v>
          </cell>
          <cell r="R557" t="str">
            <v>Belum TL</v>
          </cell>
          <cell r="S557" t="str">
            <v>Belum TL</v>
          </cell>
          <cell r="T557" t="str">
            <v>90170665 - Mutiara Ayuningtyas</v>
          </cell>
          <cell r="U557" t="str">
            <v>"-"</v>
          </cell>
        </row>
        <row r="558">
          <cell r="A558">
            <v>46265</v>
          </cell>
          <cell r="B558" t="str">
            <v xml:space="preserve">DWI RIZKI SYAHPUTRA                     </v>
          </cell>
          <cell r="C558" t="str">
            <v>DUG6299</v>
          </cell>
          <cell r="D558">
            <v>222401024860503</v>
          </cell>
          <cell r="E558" t="str">
            <v>SEDANG</v>
          </cell>
          <cell r="F558" t="str">
            <v>Tidak</v>
          </cell>
          <cell r="G558" t="str">
            <v>Tidak</v>
          </cell>
          <cell r="H558" t="str">
            <v>Tidak</v>
          </cell>
          <cell r="I558" t="str">
            <v>Bandar Judol Withdrawal</v>
          </cell>
          <cell r="J558">
            <v>50</v>
          </cell>
          <cell r="K558" t="str">
            <v>86,88,87</v>
          </cell>
          <cell r="L558" t="str">
            <v>Judi Online</v>
          </cell>
          <cell r="M558" t="str">
            <v xml:space="preserve">Kas Kanpus                              </v>
          </cell>
          <cell r="N558" t="str">
            <v xml:space="preserve">Kas Kanpus                              </v>
          </cell>
          <cell r="O558" t="str">
            <v xml:space="preserve">KAS KANPUS                              </v>
          </cell>
          <cell r="R558" t="str">
            <v>Belum TL</v>
          </cell>
          <cell r="S558" t="str">
            <v>Belum TL</v>
          </cell>
          <cell r="T558" t="str">
            <v>90186796 - Devito Arya Wiradila</v>
          </cell>
          <cell r="U558" t="str">
            <v>"-"</v>
          </cell>
        </row>
        <row r="559">
          <cell r="A559">
            <v>46265</v>
          </cell>
          <cell r="B559" t="str">
            <v xml:space="preserve">DESILAWATI                              </v>
          </cell>
          <cell r="C559" t="str">
            <v>DTH8361</v>
          </cell>
          <cell r="D559">
            <v>109001048354502</v>
          </cell>
          <cell r="E559" t="str">
            <v>SEDANG</v>
          </cell>
          <cell r="F559" t="str">
            <v>Tidak</v>
          </cell>
          <cell r="G559" t="str">
            <v>Tidak</v>
          </cell>
          <cell r="H559" t="str">
            <v>Tidak</v>
          </cell>
          <cell r="I559" t="str">
            <v>Bandar Judol Depo</v>
          </cell>
          <cell r="J559">
            <v>50</v>
          </cell>
          <cell r="K559" t="str">
            <v>86,74,87</v>
          </cell>
          <cell r="L559" t="str">
            <v>Judi Online</v>
          </cell>
          <cell r="M559" t="str">
            <v xml:space="preserve">Kas Kanpus                              </v>
          </cell>
          <cell r="N559" t="str">
            <v xml:space="preserve">Kas Kanpus                              </v>
          </cell>
          <cell r="O559" t="str">
            <v xml:space="preserve">KAS KANPUS                              </v>
          </cell>
          <cell r="R559" t="str">
            <v>Belum TL</v>
          </cell>
          <cell r="S559" t="str">
            <v>Belum TL</v>
          </cell>
          <cell r="T559" t="str">
            <v>00394521 - Muhammad Hibbanduta</v>
          </cell>
          <cell r="U559" t="str">
            <v>"-"</v>
          </cell>
        </row>
        <row r="560">
          <cell r="A560">
            <v>46265</v>
          </cell>
          <cell r="B560" t="str">
            <v xml:space="preserve">DANIEL ELISA RADIANTO                   </v>
          </cell>
          <cell r="C560" t="str">
            <v>DVD7883</v>
          </cell>
          <cell r="D560">
            <v>4359720280914400</v>
          </cell>
          <cell r="E560" t="str">
            <v>SEDANG</v>
          </cell>
          <cell r="F560" t="str">
            <v>Tidak</v>
          </cell>
          <cell r="G560" t="str">
            <v>Tidak</v>
          </cell>
          <cell r="H560" t="str">
            <v>Tidak</v>
          </cell>
          <cell r="I560" t="str">
            <v>Anomali Transaksi Kartu Kredit</v>
          </cell>
          <cell r="J560">
            <v>45</v>
          </cell>
          <cell r="K560">
            <v>117</v>
          </cell>
          <cell r="L560" t="str">
            <v>Anomali Transaksi Kartu Kredit</v>
          </cell>
          <cell r="M560" t="str">
            <v xml:space="preserve">Kas Kanpus                              </v>
          </cell>
          <cell r="N560" t="str">
            <v xml:space="preserve">Kas Kanpus                              </v>
          </cell>
          <cell r="O560" t="str">
            <v xml:space="preserve">KAS KANPUS                              </v>
          </cell>
          <cell r="R560" t="str">
            <v>Belum TL</v>
          </cell>
          <cell r="S560" t="str">
            <v>Belum TL</v>
          </cell>
          <cell r="T560" t="str">
            <v>90171841 - Rifqi Aziz</v>
          </cell>
          <cell r="U560" t="str">
            <v>"-"</v>
          </cell>
        </row>
        <row r="561">
          <cell r="A561">
            <v>46265</v>
          </cell>
          <cell r="B561" t="str">
            <v xml:space="preserve">DANIEL ELISA RADIANTO                   </v>
          </cell>
          <cell r="C561" t="str">
            <v>DVD7883</v>
          </cell>
          <cell r="D561">
            <v>4359720280914400</v>
          </cell>
          <cell r="E561" t="str">
            <v>SEDANG</v>
          </cell>
          <cell r="F561" t="str">
            <v>Tidak</v>
          </cell>
          <cell r="G561" t="str">
            <v>Tidak</v>
          </cell>
          <cell r="H561" t="str">
            <v>Tidak</v>
          </cell>
          <cell r="I561" t="str">
            <v>Penghindaran Pajak (Transaksi Fiktif)/Penyuapan CC</v>
          </cell>
          <cell r="J561">
            <v>45</v>
          </cell>
          <cell r="K561">
            <v>118</v>
          </cell>
          <cell r="L561" t="str">
            <v>Penyuapan / Penghindaran Pajak CC View</v>
          </cell>
          <cell r="M561" t="str">
            <v xml:space="preserve">Kas Kanpus                              </v>
          </cell>
          <cell r="N561" t="str">
            <v xml:space="preserve">Kas Kanpus                              </v>
          </cell>
          <cell r="O561" t="str">
            <v xml:space="preserve">KAS KANPUS                              </v>
          </cell>
          <cell r="R561" t="str">
            <v>Belum TL</v>
          </cell>
          <cell r="S561" t="str">
            <v>Belum TL</v>
          </cell>
          <cell r="T561" t="str">
            <v>90171841 - Rifqi Aziz</v>
          </cell>
          <cell r="U561" t="str">
            <v>"-"</v>
          </cell>
        </row>
        <row r="562">
          <cell r="A562">
            <v>46265</v>
          </cell>
          <cell r="B562" t="str">
            <v xml:space="preserve">DIMAS ADRIANTO                          </v>
          </cell>
          <cell r="C562" t="str">
            <v>DW14159</v>
          </cell>
          <cell r="D562">
            <v>16001086128501</v>
          </cell>
          <cell r="E562" t="str">
            <v>SEDANG</v>
          </cell>
          <cell r="F562" t="str">
            <v>Tidak</v>
          </cell>
          <cell r="G562" t="str">
            <v>Tidak</v>
          </cell>
          <cell r="H562" t="str">
            <v>Tidak</v>
          </cell>
          <cell r="I562" t="str">
            <v>Narkotika - Area Lapas</v>
          </cell>
          <cell r="J562">
            <v>51</v>
          </cell>
          <cell r="K562">
            <v>48</v>
          </cell>
          <cell r="L562" t="str">
            <v>Narkotika</v>
          </cell>
          <cell r="M562" t="str">
            <v>KC Muara Bungo</v>
          </cell>
          <cell r="N562" t="str">
            <v>KC Muara Bungo</v>
          </cell>
          <cell r="O562" t="str">
            <v>Palembang</v>
          </cell>
          <cell r="R562" t="str">
            <v>Belum TL</v>
          </cell>
          <cell r="S562" t="str">
            <v>Belum TL</v>
          </cell>
          <cell r="T562" t="str">
            <v>90185537 - Moh.Khoerul Fajar Ar</v>
          </cell>
          <cell r="U562" t="str">
            <v>"-"</v>
          </cell>
        </row>
        <row r="563">
          <cell r="A563">
            <v>46265</v>
          </cell>
          <cell r="B563" t="str">
            <v xml:space="preserve">DESI DIANI SAPUTRI                      </v>
          </cell>
          <cell r="C563" t="str">
            <v>DY56828</v>
          </cell>
          <cell r="D563">
            <v>24301094863505</v>
          </cell>
          <cell r="E563" t="str">
            <v>SEDANG</v>
          </cell>
          <cell r="F563" t="str">
            <v>Tidak</v>
          </cell>
          <cell r="G563" t="str">
            <v>Tidak</v>
          </cell>
          <cell r="H563" t="str">
            <v>Tidak</v>
          </cell>
          <cell r="I563" t="str">
            <v>Narkotika - Area Lapas</v>
          </cell>
          <cell r="J563">
            <v>51</v>
          </cell>
          <cell r="K563">
            <v>48</v>
          </cell>
          <cell r="L563" t="str">
            <v>Narkotika</v>
          </cell>
          <cell r="M563" t="str">
            <v>KC Palangkaraya</v>
          </cell>
          <cell r="N563" t="str">
            <v>KC Palangkaraya</v>
          </cell>
          <cell r="O563" t="str">
            <v>Banjarmasin</v>
          </cell>
          <cell r="R563" t="str">
            <v>Belum TL</v>
          </cell>
          <cell r="S563" t="str">
            <v>Belum TL</v>
          </cell>
          <cell r="T563" t="str">
            <v>90185538 - Muhammad Fahikal Auz</v>
          </cell>
          <cell r="U563" t="str">
            <v>"-"</v>
          </cell>
        </row>
        <row r="564">
          <cell r="A564">
            <v>46265</v>
          </cell>
          <cell r="B564" t="str">
            <v xml:space="preserve">DEWI JUWITA OKTAPIANTI                  </v>
          </cell>
          <cell r="C564" t="str">
            <v>DYA5962</v>
          </cell>
          <cell r="D564">
            <v>114501029822505</v>
          </cell>
          <cell r="E564" t="str">
            <v>SEDANG</v>
          </cell>
          <cell r="F564" t="str">
            <v>Tidak</v>
          </cell>
          <cell r="G564" t="str">
            <v>Tidak</v>
          </cell>
          <cell r="H564" t="str">
            <v>Tidak</v>
          </cell>
          <cell r="I564" t="str">
            <v>Bandar Judol Withdrawal</v>
          </cell>
          <cell r="J564">
            <v>50</v>
          </cell>
          <cell r="K564" t="str">
            <v>86,88,87</v>
          </cell>
          <cell r="L564" t="str">
            <v>Judi Online</v>
          </cell>
          <cell r="M564" t="str">
            <v xml:space="preserve">Kas Kanpus                              </v>
          </cell>
          <cell r="N564" t="str">
            <v xml:space="preserve">Kas Kanpus                              </v>
          </cell>
          <cell r="O564" t="str">
            <v xml:space="preserve">KAS KANPUS                              </v>
          </cell>
          <cell r="R564" t="str">
            <v>Belum TL</v>
          </cell>
          <cell r="S564" t="str">
            <v>Belum TL</v>
          </cell>
          <cell r="T564" t="str">
            <v>90171841 - Rifqi Aziz</v>
          </cell>
          <cell r="U564" t="str">
            <v>"-"</v>
          </cell>
        </row>
        <row r="565">
          <cell r="A565">
            <v>46265</v>
          </cell>
          <cell r="B565" t="str">
            <v xml:space="preserve">ELISA MERIANI SIREGAR                   </v>
          </cell>
          <cell r="C565" t="str">
            <v>E204919</v>
          </cell>
          <cell r="D565">
            <v>15501007941507</v>
          </cell>
          <cell r="E565" t="str">
            <v>SEDANG</v>
          </cell>
          <cell r="F565" t="str">
            <v>Tidak</v>
          </cell>
          <cell r="G565" t="str">
            <v>Ya</v>
          </cell>
          <cell r="H565" t="str">
            <v>Tidak</v>
          </cell>
          <cell r="I565" t="str">
            <v>DPLK</v>
          </cell>
          <cell r="J565">
            <v>60</v>
          </cell>
          <cell r="K565">
            <v>66</v>
          </cell>
          <cell r="L565" t="str">
            <v>DPLK</v>
          </cell>
          <cell r="M565" t="str">
            <v xml:space="preserve">Kas Kanpus                              </v>
          </cell>
          <cell r="N565" t="str">
            <v xml:space="preserve">Kas Kanpus                              </v>
          </cell>
          <cell r="O565" t="str">
            <v xml:space="preserve">KAS KANPUS                              </v>
          </cell>
          <cell r="R565" t="str">
            <v>Belum TL</v>
          </cell>
          <cell r="S565" t="str">
            <v>Belum TL</v>
          </cell>
          <cell r="T565" t="str">
            <v>00336949 - Mochammad Al Farabi</v>
          </cell>
          <cell r="U565" t="str">
            <v>"-"</v>
          </cell>
        </row>
        <row r="566">
          <cell r="A566">
            <v>46265</v>
          </cell>
          <cell r="B566" t="str">
            <v xml:space="preserve">PT EXCO NUSANTARA INDONESIA             </v>
          </cell>
          <cell r="C566" t="str">
            <v>E207865</v>
          </cell>
          <cell r="D566">
            <v>20601000378302</v>
          </cell>
          <cell r="E566" t="str">
            <v>SEDANG</v>
          </cell>
          <cell r="F566" t="str">
            <v>Tidak</v>
          </cell>
          <cell r="G566" t="str">
            <v>Tidak</v>
          </cell>
          <cell r="H566" t="str">
            <v>Tidak</v>
          </cell>
          <cell r="I566" t="str">
            <v>Korupsi - Cash &amp; Amount</v>
          </cell>
          <cell r="J566">
            <v>49</v>
          </cell>
          <cell r="K566" t="str">
            <v>1,2,20</v>
          </cell>
          <cell r="L566" t="str">
            <v>Korupsi</v>
          </cell>
          <cell r="M566" t="str">
            <v>Kas Kanpus</v>
          </cell>
          <cell r="N566" t="str">
            <v>Kas Kanpus</v>
          </cell>
          <cell r="O566" t="str">
            <v>KAS KANPUS</v>
          </cell>
          <cell r="R566" t="str">
            <v>Belum TL</v>
          </cell>
          <cell r="S566" t="str">
            <v>Belum TL</v>
          </cell>
          <cell r="T566" t="str">
            <v>00394520 - Frida Akbar Rani</v>
          </cell>
          <cell r="U566" t="str">
            <v>"-"</v>
          </cell>
        </row>
        <row r="567">
          <cell r="A567">
            <v>46265</v>
          </cell>
          <cell r="B567" t="str">
            <v xml:space="preserve">ERWIN BURHAN                            </v>
          </cell>
          <cell r="C567" t="str">
            <v>E342223</v>
          </cell>
          <cell r="D567">
            <v>2301500514155</v>
          </cell>
          <cell r="E567" t="str">
            <v>SEDANG</v>
          </cell>
          <cell r="F567" t="str">
            <v>Tidak</v>
          </cell>
          <cell r="G567" t="str">
            <v>Tidak</v>
          </cell>
          <cell r="H567" t="str">
            <v>Tidak</v>
          </cell>
          <cell r="I567" t="str">
            <v>Korupsi - Loan View</v>
          </cell>
          <cell r="J567">
            <v>53</v>
          </cell>
          <cell r="K567">
            <v>15</v>
          </cell>
          <cell r="L567" t="str">
            <v>Korupsi</v>
          </cell>
          <cell r="M567" t="str">
            <v>Kas Kanpus</v>
          </cell>
          <cell r="N567" t="str">
            <v>Kas Kanpus</v>
          </cell>
          <cell r="O567" t="str">
            <v>KAS KANPUS</v>
          </cell>
          <cell r="R567" t="str">
            <v>Belum TL</v>
          </cell>
          <cell r="S567" t="str">
            <v>Belum TL</v>
          </cell>
          <cell r="T567" t="str">
            <v>90186796 - Devito Arya Wiradila</v>
          </cell>
          <cell r="U567" t="str">
            <v>"-"</v>
          </cell>
        </row>
        <row r="568">
          <cell r="A568">
            <v>46265</v>
          </cell>
          <cell r="B568" t="str">
            <v xml:space="preserve">ERWIN SUDJONO                           </v>
          </cell>
          <cell r="C568" t="str">
            <v>E634416</v>
          </cell>
          <cell r="D568">
            <v>20601040976500</v>
          </cell>
          <cell r="E568" t="str">
            <v>TINGGI</v>
          </cell>
          <cell r="F568" t="str">
            <v>Tidak</v>
          </cell>
          <cell r="G568" t="str">
            <v>Tidak</v>
          </cell>
          <cell r="H568" t="str">
            <v>Tidak</v>
          </cell>
          <cell r="I568" t="str">
            <v>Korupsi - Significant Trx View</v>
          </cell>
          <cell r="J568">
            <v>78</v>
          </cell>
          <cell r="K568">
            <v>1.19</v>
          </cell>
          <cell r="L568" t="str">
            <v>Korupsi</v>
          </cell>
          <cell r="M568" t="str">
            <v>Kas Kanpus</v>
          </cell>
          <cell r="N568" t="str">
            <v>Kas Kanpus</v>
          </cell>
          <cell r="O568" t="str">
            <v>KAS KANPUS</v>
          </cell>
          <cell r="R568" t="str">
            <v>Belum TL</v>
          </cell>
          <cell r="S568" t="str">
            <v>Belum TL</v>
          </cell>
          <cell r="T568" t="str">
            <v>90185537 - Moh.Khoerul Fajar Ar</v>
          </cell>
          <cell r="U568" t="str">
            <v>"-"</v>
          </cell>
        </row>
        <row r="569">
          <cell r="A569">
            <v>46265</v>
          </cell>
          <cell r="B569" t="str">
            <v xml:space="preserve">EDI SONO                                </v>
          </cell>
          <cell r="C569" t="str">
            <v>E861879</v>
          </cell>
          <cell r="D569">
            <v>30301005543102</v>
          </cell>
          <cell r="E569" t="str">
            <v>RENDAH</v>
          </cell>
          <cell r="F569" t="str">
            <v>Tidak</v>
          </cell>
          <cell r="G569" t="str">
            <v>Tidak</v>
          </cell>
          <cell r="H569" t="str">
            <v>Tidak</v>
          </cell>
          <cell r="I569" t="str">
            <v>Korupsi - Loan View</v>
          </cell>
          <cell r="J569">
            <v>33</v>
          </cell>
          <cell r="K569">
            <v>15</v>
          </cell>
          <cell r="L569" t="str">
            <v>Korupsi</v>
          </cell>
          <cell r="M569" t="str">
            <v>Kas Kanpus</v>
          </cell>
          <cell r="N569" t="str">
            <v>Kas Kanpus</v>
          </cell>
          <cell r="O569" t="str">
            <v>KAS KANPUS</v>
          </cell>
          <cell r="R569" t="str">
            <v>Belum TL</v>
          </cell>
          <cell r="S569" t="str">
            <v>Belum TL</v>
          </cell>
          <cell r="T569" t="str">
            <v>90171841 - Rifqi Aziz</v>
          </cell>
          <cell r="U569" t="str">
            <v>"-"</v>
          </cell>
        </row>
        <row r="570">
          <cell r="A570">
            <v>46265</v>
          </cell>
          <cell r="B570" t="str">
            <v xml:space="preserve">ERICK SHARON                            </v>
          </cell>
          <cell r="C570" t="str">
            <v>EAM0888</v>
          </cell>
          <cell r="D570">
            <v>51001003150104</v>
          </cell>
          <cell r="E570" t="str">
            <v>TINGGI</v>
          </cell>
          <cell r="F570" t="str">
            <v>Tidak</v>
          </cell>
          <cell r="G570" t="str">
            <v>Tidak</v>
          </cell>
          <cell r="H570" t="str">
            <v>Tidak</v>
          </cell>
          <cell r="I570" t="str">
            <v>Korupsi - Loan View</v>
          </cell>
          <cell r="J570">
            <v>73</v>
          </cell>
          <cell r="K570">
            <v>15</v>
          </cell>
          <cell r="L570" t="str">
            <v>Korupsi</v>
          </cell>
          <cell r="M570" t="str">
            <v>Kas Kanpus</v>
          </cell>
          <cell r="N570" t="str">
            <v>Kas Kanpus</v>
          </cell>
          <cell r="O570" t="str">
            <v>KAS KANPUS</v>
          </cell>
          <cell r="R570" t="str">
            <v>Belum TL</v>
          </cell>
          <cell r="S570" t="str">
            <v>Belum TL</v>
          </cell>
          <cell r="T570" t="str">
            <v>00394520 - Frida Akbar Rani</v>
          </cell>
          <cell r="U570" t="str">
            <v>"-"</v>
          </cell>
        </row>
        <row r="571">
          <cell r="A571">
            <v>46265</v>
          </cell>
          <cell r="B571" t="str">
            <v xml:space="preserve">EKO SAPUTRA                             </v>
          </cell>
          <cell r="C571" t="str">
            <v>EAM1151</v>
          </cell>
          <cell r="D571">
            <v>23801038884536</v>
          </cell>
          <cell r="E571" t="str">
            <v>SEDANG</v>
          </cell>
          <cell r="F571" t="str">
            <v>Tidak</v>
          </cell>
          <cell r="G571" t="str">
            <v>Tidak</v>
          </cell>
          <cell r="H571" t="str">
            <v>Tidak</v>
          </cell>
          <cell r="I571" t="str">
            <v>Bandar Judol Withdrawal</v>
          </cell>
          <cell r="J571">
            <v>50</v>
          </cell>
          <cell r="K571" t="str">
            <v>86,88,87</v>
          </cell>
          <cell r="L571" t="str">
            <v>Judi Online</v>
          </cell>
          <cell r="M571" t="str">
            <v xml:space="preserve">Kas Kanpus                              </v>
          </cell>
          <cell r="N571" t="str">
            <v xml:space="preserve">Kas Kanpus                              </v>
          </cell>
          <cell r="O571" t="str">
            <v xml:space="preserve">KAS KANPUS                              </v>
          </cell>
          <cell r="R571" t="str">
            <v>Belum TL</v>
          </cell>
          <cell r="S571" t="str">
            <v>Belum TL</v>
          </cell>
          <cell r="T571" t="str">
            <v>00394520 - Frida Akbar Rani</v>
          </cell>
          <cell r="U571" t="str">
            <v>"-"</v>
          </cell>
        </row>
        <row r="572">
          <cell r="A572">
            <v>46260</v>
          </cell>
          <cell r="B572" t="str">
            <v xml:space="preserve">EKOENI NURBANINGSIH                     </v>
          </cell>
          <cell r="C572" t="str">
            <v>EAO1004</v>
          </cell>
          <cell r="D572">
            <v>346701017532530</v>
          </cell>
          <cell r="E572" t="str">
            <v>SEDANG</v>
          </cell>
          <cell r="F572" t="str">
            <v>Tidak</v>
          </cell>
          <cell r="G572" t="str">
            <v>Tidak</v>
          </cell>
          <cell r="I572" t="str">
            <v>Teroris - Remark</v>
          </cell>
          <cell r="J572">
            <v>168</v>
          </cell>
          <cell r="K572">
            <v>50</v>
          </cell>
          <cell r="L572" t="str">
            <v>Terorisme</v>
          </cell>
          <cell r="M572" t="str">
            <v xml:space="preserve">Kas Kanpus                              </v>
          </cell>
          <cell r="N572" t="str">
            <v xml:space="preserve">Kas Kanpus                              </v>
          </cell>
          <cell r="O572" t="str">
            <v xml:space="preserve">KAS KANPUS                              </v>
          </cell>
          <cell r="R572" t="str">
            <v>Belum TL</v>
          </cell>
          <cell r="S572" t="str">
            <v>Belum TL</v>
          </cell>
          <cell r="T572" t="str">
            <v>00394520 - Frida Akbar Rani</v>
          </cell>
          <cell r="U572" t="str">
            <v>"-"</v>
          </cell>
        </row>
        <row r="573">
          <cell r="A573">
            <v>46265</v>
          </cell>
          <cell r="B573" t="str">
            <v xml:space="preserve">DEVINA JAYA ABADI                       </v>
          </cell>
          <cell r="C573" t="str">
            <v>DVO6784</v>
          </cell>
          <cell r="D573">
            <v>38601000846153</v>
          </cell>
          <cell r="E573" t="str">
            <v>SEDANG</v>
          </cell>
          <cell r="F573" t="str">
            <v>Tidak</v>
          </cell>
          <cell r="G573" t="str">
            <v>Tidak</v>
          </cell>
          <cell r="H573" t="str">
            <v>Tidak</v>
          </cell>
          <cell r="I573" t="str">
            <v>Korupsi - Loan View</v>
          </cell>
          <cell r="J573">
            <v>48</v>
          </cell>
          <cell r="K573">
            <v>15</v>
          </cell>
          <cell r="L573" t="str">
            <v>Korupsi</v>
          </cell>
          <cell r="M573" t="str">
            <v>Kas Kanpus</v>
          </cell>
          <cell r="N573" t="str">
            <v>Kas Kanpus</v>
          </cell>
          <cell r="O573" t="str">
            <v>KAS KANPUS</v>
          </cell>
          <cell r="R573" t="str">
            <v>Belum TL</v>
          </cell>
          <cell r="S573" t="str">
            <v>Belum TL</v>
          </cell>
          <cell r="T573" t="str">
            <v>90171841 - Rifqi Aziz</v>
          </cell>
          <cell r="U573" t="str">
            <v>"-"</v>
          </cell>
        </row>
        <row r="574">
          <cell r="A574">
            <v>46265</v>
          </cell>
          <cell r="B574" t="str">
            <v xml:space="preserve">ELIN MONICA                             </v>
          </cell>
          <cell r="C574" t="str">
            <v>EAS1429</v>
          </cell>
          <cell r="D574">
            <v>94301016569507</v>
          </cell>
          <cell r="F574" t="str">
            <v>Tidak</v>
          </cell>
          <cell r="G574" t="str">
            <v>Tidak</v>
          </cell>
          <cell r="I574" t="str">
            <v>Jual Beli Rekening - E channel Trx</v>
          </cell>
          <cell r="J574">
            <v>33</v>
          </cell>
          <cell r="K574">
            <v>113</v>
          </cell>
          <cell r="L574" t="str">
            <v>Narkotika/Judi Online/Penipuan</v>
          </cell>
          <cell r="M574" t="str">
            <v xml:space="preserve">UNIT SEMPER SUKAPURA                    </v>
          </cell>
          <cell r="N574" t="str">
            <v xml:space="preserve">KC Jakarta Tanjung Priok                </v>
          </cell>
          <cell r="O574" t="str">
            <v xml:space="preserve">DKI                                     </v>
          </cell>
          <cell r="R574" t="str">
            <v>Belum TL</v>
          </cell>
          <cell r="S574" t="str">
            <v>Belum TL</v>
          </cell>
          <cell r="U574" t="str">
            <v>"-"</v>
          </cell>
        </row>
        <row r="575">
          <cell r="A575">
            <v>46265</v>
          </cell>
          <cell r="B575" t="str">
            <v xml:space="preserve">EMY SINAGA                              </v>
          </cell>
          <cell r="C575" t="str">
            <v>EBR3005</v>
          </cell>
          <cell r="D575">
            <v>81701065663535</v>
          </cell>
          <cell r="E575" t="str">
            <v>SEDANG</v>
          </cell>
          <cell r="F575" t="str">
            <v>Tidak</v>
          </cell>
          <cell r="G575" t="str">
            <v>Tidak</v>
          </cell>
          <cell r="H575" t="str">
            <v>Tidak</v>
          </cell>
          <cell r="I575" t="str">
            <v>Bandar Judol Withdrawal</v>
          </cell>
          <cell r="J575">
            <v>50</v>
          </cell>
          <cell r="K575" t="str">
            <v>86,88,87</v>
          </cell>
          <cell r="L575" t="str">
            <v>Judi Online</v>
          </cell>
          <cell r="M575" t="str">
            <v xml:space="preserve">Kas Kanpus                              </v>
          </cell>
          <cell r="N575" t="str">
            <v xml:space="preserve">Kas Kanpus                              </v>
          </cell>
          <cell r="O575" t="str">
            <v xml:space="preserve">KAS KANPUS                              </v>
          </cell>
          <cell r="R575" t="str">
            <v>Belum TL</v>
          </cell>
          <cell r="S575" t="str">
            <v>Belum TL</v>
          </cell>
          <cell r="T575" t="str">
            <v>90171841 - Rifqi Aziz</v>
          </cell>
          <cell r="U575" t="str">
            <v>"-"</v>
          </cell>
        </row>
        <row r="576">
          <cell r="A576">
            <v>46265</v>
          </cell>
          <cell r="B576" t="str">
            <v xml:space="preserve">EKO BUDIYANTO                           </v>
          </cell>
          <cell r="C576" t="str">
            <v>ECA5748</v>
          </cell>
          <cell r="D576">
            <v>4359720234742500</v>
          </cell>
          <cell r="E576" t="str">
            <v>SEDANG</v>
          </cell>
          <cell r="F576" t="str">
            <v>Tidak</v>
          </cell>
          <cell r="G576" t="str">
            <v>Tidak</v>
          </cell>
          <cell r="H576" t="str">
            <v>Tidak</v>
          </cell>
          <cell r="I576" t="str">
            <v>Penghindaran Pajak (Transaksi Fiktif)/Penyuapan CC</v>
          </cell>
          <cell r="J576">
            <v>45</v>
          </cell>
          <cell r="K576">
            <v>118</v>
          </cell>
          <cell r="L576" t="str">
            <v>Penyuapan / Penghindaran Pajak CC View</v>
          </cell>
          <cell r="M576" t="str">
            <v xml:space="preserve">Kas Kanpus                              </v>
          </cell>
          <cell r="N576" t="str">
            <v xml:space="preserve">Kas Kanpus                              </v>
          </cell>
          <cell r="O576" t="str">
            <v xml:space="preserve">KAS KANPUS                              </v>
          </cell>
          <cell r="R576" t="str">
            <v>Belum TL</v>
          </cell>
          <cell r="S576" t="str">
            <v>Belum TL</v>
          </cell>
          <cell r="T576" t="str">
            <v>00336949 - Mochammad Al Farabi</v>
          </cell>
          <cell r="U576" t="str">
            <v>"-"</v>
          </cell>
        </row>
        <row r="577">
          <cell r="A577">
            <v>46265</v>
          </cell>
          <cell r="B577" t="str">
            <v xml:space="preserve">EKO FATKOR RAHMAN                       </v>
          </cell>
          <cell r="C577" t="str">
            <v>EDU8395</v>
          </cell>
          <cell r="D577">
            <v>24301002116560</v>
          </cell>
          <cell r="E577" t="str">
            <v>SEDANG</v>
          </cell>
          <cell r="F577" t="str">
            <v>Tidak</v>
          </cell>
          <cell r="G577" t="str">
            <v>Tidak</v>
          </cell>
          <cell r="H577" t="str">
            <v>Tidak</v>
          </cell>
          <cell r="I577" t="str">
            <v>Perpajakan</v>
          </cell>
          <cell r="J577">
            <v>50</v>
          </cell>
          <cell r="K577">
            <v>1.33</v>
          </cell>
          <cell r="L577" t="str">
            <v>Perpajakan</v>
          </cell>
          <cell r="M577" t="str">
            <v xml:space="preserve">KC Palangkaraya                         </v>
          </cell>
          <cell r="N577" t="str">
            <v xml:space="preserve">KC Palangkaraya                         </v>
          </cell>
          <cell r="O577" t="str">
            <v xml:space="preserve">Banjarmasin                             </v>
          </cell>
          <cell r="R577" t="str">
            <v>Belum TL</v>
          </cell>
          <cell r="S577" t="str">
            <v>Belum TL</v>
          </cell>
          <cell r="T577" t="str">
            <v>90171841 - Rifqi Aziz</v>
          </cell>
          <cell r="U577" t="str">
            <v>"-"</v>
          </cell>
        </row>
        <row r="578">
          <cell r="A578">
            <v>46265</v>
          </cell>
          <cell r="B578" t="str">
            <v xml:space="preserve">ERWIN ERIAWAN, A.MD                     </v>
          </cell>
          <cell r="C578" t="str">
            <v>EEF0289</v>
          </cell>
          <cell r="D578">
            <v>4359720234773000</v>
          </cell>
          <cell r="E578" t="str">
            <v>TINGGI</v>
          </cell>
          <cell r="F578" t="str">
            <v>Tidak</v>
          </cell>
          <cell r="G578" t="str">
            <v>Tidak</v>
          </cell>
          <cell r="H578" t="str">
            <v>Tidak</v>
          </cell>
          <cell r="I578" t="str">
            <v>Penghindaran Pajak (Transaksi Fiktif)/Penyuapan CC</v>
          </cell>
          <cell r="J578">
            <v>70</v>
          </cell>
          <cell r="K578">
            <v>118</v>
          </cell>
          <cell r="L578" t="str">
            <v>Penyuapan / Penghindaran Pajak CC View</v>
          </cell>
          <cell r="M578" t="str">
            <v xml:space="preserve">Kas Kanpus                              </v>
          </cell>
          <cell r="N578" t="str">
            <v xml:space="preserve">Kas Kanpus                              </v>
          </cell>
          <cell r="O578" t="str">
            <v xml:space="preserve">KAS KANPUS                              </v>
          </cell>
          <cell r="R578" t="str">
            <v>Belum TL</v>
          </cell>
          <cell r="S578" t="str">
            <v>Belum TL</v>
          </cell>
          <cell r="T578" t="str">
            <v>00394520 - Frida Akbar Rani</v>
          </cell>
          <cell r="U578" t="str">
            <v>"-"</v>
          </cell>
        </row>
        <row r="579">
          <cell r="A579">
            <v>46265</v>
          </cell>
          <cell r="B579" t="str">
            <v xml:space="preserve">ERVIN SAKINAH GUSTINI                   </v>
          </cell>
          <cell r="C579" t="str">
            <v>EFH4941</v>
          </cell>
          <cell r="D579">
            <v>116901000618565</v>
          </cell>
          <cell r="E579" t="str">
            <v>SEDANG</v>
          </cell>
          <cell r="F579" t="str">
            <v>Tidak</v>
          </cell>
          <cell r="G579" t="str">
            <v>Tidak</v>
          </cell>
          <cell r="H579" t="str">
            <v>Tidak</v>
          </cell>
          <cell r="I579" t="str">
            <v>Bandar Judol Withdrawal</v>
          </cell>
          <cell r="J579">
            <v>50</v>
          </cell>
          <cell r="K579" t="str">
            <v>86,88,87</v>
          </cell>
          <cell r="L579" t="str">
            <v>Judi Online</v>
          </cell>
          <cell r="M579" t="str">
            <v xml:space="preserve">Kas Kanpus                              </v>
          </cell>
          <cell r="N579" t="str">
            <v xml:space="preserve">Kas Kanpus                              </v>
          </cell>
          <cell r="O579" t="str">
            <v xml:space="preserve">KAS KANPUS                              </v>
          </cell>
          <cell r="R579" t="str">
            <v>Belum TL</v>
          </cell>
          <cell r="S579" t="str">
            <v>Belum TL</v>
          </cell>
          <cell r="T579" t="str">
            <v>00394521 - Muhammad Hibbanduta</v>
          </cell>
          <cell r="U579" t="str">
            <v>"-"</v>
          </cell>
        </row>
        <row r="580">
          <cell r="A580">
            <v>46265</v>
          </cell>
          <cell r="B580" t="str">
            <v xml:space="preserve">ERNA NOVITASARI                         </v>
          </cell>
          <cell r="C580" t="str">
            <v>EGZ0140</v>
          </cell>
          <cell r="D580">
            <v>4359720235241900</v>
          </cell>
          <cell r="E580" t="str">
            <v>SEDANG</v>
          </cell>
          <cell r="F580" t="str">
            <v>Tidak</v>
          </cell>
          <cell r="G580" t="str">
            <v>Tidak</v>
          </cell>
          <cell r="H580" t="str">
            <v>Tidak</v>
          </cell>
          <cell r="I580" t="str">
            <v>Penghindaran Pajak (Transaksi Fiktif)/Penyuapan CC</v>
          </cell>
          <cell r="J580">
            <v>45</v>
          </cell>
          <cell r="K580">
            <v>118</v>
          </cell>
          <cell r="L580" t="str">
            <v>Penyuapan / Penghindaran Pajak CC View</v>
          </cell>
          <cell r="M580" t="str">
            <v xml:space="preserve">Kas Kanpus                              </v>
          </cell>
          <cell r="N580" t="str">
            <v xml:space="preserve">Kas Kanpus                              </v>
          </cell>
          <cell r="O580" t="str">
            <v xml:space="preserve">KAS KANPUS                              </v>
          </cell>
          <cell r="R580" t="str">
            <v>Belum TL</v>
          </cell>
          <cell r="S580" t="str">
            <v>Belum TL</v>
          </cell>
          <cell r="T580" t="str">
            <v>90185538 - Muhammad Fahikal Auz</v>
          </cell>
          <cell r="U580" t="str">
            <v>"-"</v>
          </cell>
        </row>
        <row r="581">
          <cell r="A581">
            <v>46265</v>
          </cell>
          <cell r="B581" t="str">
            <v xml:space="preserve">EKO SUPRIYADI                           </v>
          </cell>
          <cell r="C581" t="str">
            <v>EH75673</v>
          </cell>
          <cell r="D581">
            <v>661401000027560</v>
          </cell>
          <cell r="E581" t="str">
            <v>TINGGI</v>
          </cell>
          <cell r="F581" t="str">
            <v>Ya</v>
          </cell>
          <cell r="G581" t="str">
            <v>Tidak</v>
          </cell>
          <cell r="H581" t="str">
            <v>Tidak</v>
          </cell>
          <cell r="I581" t="str">
            <v>Perpajakan</v>
          </cell>
          <cell r="J581">
            <v>73</v>
          </cell>
          <cell r="K581">
            <v>1.33</v>
          </cell>
          <cell r="L581" t="str">
            <v>Perpajakan</v>
          </cell>
          <cell r="M581" t="str">
            <v xml:space="preserve">UNIT BATUR WONOSOBO                     </v>
          </cell>
          <cell r="N581" t="str">
            <v xml:space="preserve">KC Wonosobo                             </v>
          </cell>
          <cell r="O581" t="str">
            <v xml:space="preserve">Yogyakarta                              </v>
          </cell>
          <cell r="R581" t="str">
            <v>Belum TL</v>
          </cell>
          <cell r="S581" t="str">
            <v>Belum TL</v>
          </cell>
          <cell r="T581" t="str">
            <v>90150130 - Intan Aida Pratiwi</v>
          </cell>
          <cell r="U581" t="str">
            <v>"-"</v>
          </cell>
        </row>
        <row r="582">
          <cell r="A582">
            <v>46265</v>
          </cell>
          <cell r="B582" t="str">
            <v xml:space="preserve">EKHA SURYA SAPUTRA                      </v>
          </cell>
          <cell r="C582" t="str">
            <v>EJG9608</v>
          </cell>
          <cell r="D582">
            <v>4359720200712200</v>
          </cell>
          <cell r="E582" t="str">
            <v>SEDANG</v>
          </cell>
          <cell r="F582" t="str">
            <v>Tidak</v>
          </cell>
          <cell r="G582" t="str">
            <v>Tidak</v>
          </cell>
          <cell r="H582" t="str">
            <v>Tidak</v>
          </cell>
          <cell r="I582" t="str">
            <v>Penghindaran Pajak (Transaksi Fiktif)/Penyuapan CC</v>
          </cell>
          <cell r="J582">
            <v>45</v>
          </cell>
          <cell r="K582">
            <v>118</v>
          </cell>
          <cell r="L582" t="str">
            <v>Penyuapan / Penghindaran Pajak CC View</v>
          </cell>
          <cell r="M582" t="str">
            <v xml:space="preserve">Kas Kanpus                              </v>
          </cell>
          <cell r="N582" t="str">
            <v xml:space="preserve">Kas Kanpus                              </v>
          </cell>
          <cell r="O582" t="str">
            <v xml:space="preserve">KAS KANPUS                              </v>
          </cell>
          <cell r="R582" t="str">
            <v>Belum TL</v>
          </cell>
          <cell r="S582" t="str">
            <v>Belum TL</v>
          </cell>
          <cell r="T582" t="str">
            <v>90185538 - Muhammad Fahikal Auz</v>
          </cell>
          <cell r="U582" t="str">
            <v>"-"</v>
          </cell>
        </row>
        <row r="583">
          <cell r="A583">
            <v>46265</v>
          </cell>
          <cell r="B583" t="str">
            <v xml:space="preserve">ERNES MAKATEY                           </v>
          </cell>
          <cell r="C583" t="str">
            <v>EKD7680</v>
          </cell>
          <cell r="D583">
            <v>522101008880100</v>
          </cell>
          <cell r="E583" t="str">
            <v>SEDANG</v>
          </cell>
          <cell r="F583" t="str">
            <v>Tidak</v>
          </cell>
          <cell r="G583" t="str">
            <v>Tidak</v>
          </cell>
          <cell r="H583" t="str">
            <v>Tidak</v>
          </cell>
          <cell r="I583" t="str">
            <v>Korupsi - Loan View</v>
          </cell>
          <cell r="J583">
            <v>48</v>
          </cell>
          <cell r="K583">
            <v>15</v>
          </cell>
          <cell r="L583" t="str">
            <v>Korupsi</v>
          </cell>
          <cell r="M583" t="str">
            <v>Kas Kanpus</v>
          </cell>
          <cell r="N583" t="str">
            <v>Kas Kanpus</v>
          </cell>
          <cell r="O583" t="str">
            <v>KAS KANPUS</v>
          </cell>
          <cell r="R583" t="str">
            <v>Belum TL</v>
          </cell>
          <cell r="S583" t="str">
            <v>Belum TL</v>
          </cell>
          <cell r="T583" t="str">
            <v>00394521 - Muhammad Hibbanduta</v>
          </cell>
          <cell r="U583" t="str">
            <v>"-"</v>
          </cell>
        </row>
        <row r="584">
          <cell r="A584">
            <v>46265</v>
          </cell>
          <cell r="B584" t="str">
            <v xml:space="preserve">EVERLI PURNOMO IGU                      </v>
          </cell>
          <cell r="C584" t="str">
            <v>EKJ1344</v>
          </cell>
          <cell r="D584">
            <v>343401019617107</v>
          </cell>
          <cell r="E584" t="str">
            <v>SEDANG</v>
          </cell>
          <cell r="F584" t="str">
            <v>Tidak</v>
          </cell>
          <cell r="G584" t="str">
            <v>Tidak</v>
          </cell>
          <cell r="H584" t="str">
            <v>Tidak</v>
          </cell>
          <cell r="I584" t="str">
            <v>Korupsi - Loan View</v>
          </cell>
          <cell r="J584">
            <v>48</v>
          </cell>
          <cell r="K584">
            <v>15</v>
          </cell>
          <cell r="L584" t="str">
            <v>Korupsi</v>
          </cell>
          <cell r="M584" t="str">
            <v>Kas Kanpus</v>
          </cell>
          <cell r="N584" t="str">
            <v>Kas Kanpus</v>
          </cell>
          <cell r="O584" t="str">
            <v>KAS KANPUS</v>
          </cell>
          <cell r="R584" t="str">
            <v>Belum TL</v>
          </cell>
          <cell r="S584" t="str">
            <v>Belum TL</v>
          </cell>
          <cell r="T584" t="str">
            <v>90185537 - Moh.Khoerul Fajar Ar</v>
          </cell>
          <cell r="U584" t="str">
            <v>"-"</v>
          </cell>
        </row>
        <row r="585">
          <cell r="A585">
            <v>46265</v>
          </cell>
          <cell r="B585" t="str">
            <v xml:space="preserve">EDY SURIYONO                            </v>
          </cell>
          <cell r="C585" t="str">
            <v>EL11952</v>
          </cell>
          <cell r="D585">
            <v>361701011566100</v>
          </cell>
          <cell r="E585" t="str">
            <v>SEDANG</v>
          </cell>
          <cell r="F585" t="str">
            <v>Tidak</v>
          </cell>
          <cell r="G585" t="str">
            <v>Tidak</v>
          </cell>
          <cell r="H585" t="str">
            <v>Tidak</v>
          </cell>
          <cell r="I585" t="str">
            <v>Korupsi - Loan View</v>
          </cell>
          <cell r="J585">
            <v>48</v>
          </cell>
          <cell r="K585">
            <v>15</v>
          </cell>
          <cell r="L585" t="str">
            <v>Korupsi</v>
          </cell>
          <cell r="M585" t="str">
            <v>Kas Kanpus</v>
          </cell>
          <cell r="N585" t="str">
            <v>Kas Kanpus</v>
          </cell>
          <cell r="O585" t="str">
            <v>KAS KANPUS</v>
          </cell>
          <cell r="R585" t="str">
            <v>Belum TL</v>
          </cell>
          <cell r="S585" t="str">
            <v>Belum TL</v>
          </cell>
          <cell r="T585" t="str">
            <v>00394521 - Muhammad Hibbanduta</v>
          </cell>
          <cell r="U585" t="str">
            <v>"-"</v>
          </cell>
        </row>
        <row r="586">
          <cell r="A586">
            <v>46265</v>
          </cell>
          <cell r="B586" t="str">
            <v xml:space="preserve">ENCUM SUMIATI                           </v>
          </cell>
          <cell r="C586" t="str">
            <v>ELR0237</v>
          </cell>
          <cell r="D586">
            <v>59501057929509</v>
          </cell>
          <cell r="E586" t="str">
            <v>SEDANG</v>
          </cell>
          <cell r="F586" t="str">
            <v>Tidak</v>
          </cell>
          <cell r="G586" t="str">
            <v>Tidak</v>
          </cell>
          <cell r="H586" t="str">
            <v>Tidak</v>
          </cell>
          <cell r="I586" t="str">
            <v>Bandar Judol Withdrawal</v>
          </cell>
          <cell r="J586">
            <v>50</v>
          </cell>
          <cell r="K586" t="str">
            <v>86,88,87</v>
          </cell>
          <cell r="L586" t="str">
            <v>Judi Online</v>
          </cell>
          <cell r="M586" t="str">
            <v xml:space="preserve">Kas Kanpus                              </v>
          </cell>
          <cell r="N586" t="str">
            <v xml:space="preserve">Kas Kanpus                              </v>
          </cell>
          <cell r="O586" t="str">
            <v xml:space="preserve">KAS KANPUS                              </v>
          </cell>
          <cell r="R586" t="str">
            <v>Belum TL</v>
          </cell>
          <cell r="S586" t="str">
            <v>Belum TL</v>
          </cell>
          <cell r="T586" t="str">
            <v>00336949 - Mochammad Al Farabi</v>
          </cell>
          <cell r="U586" t="str">
            <v>"-"</v>
          </cell>
        </row>
        <row r="587">
          <cell r="A587">
            <v>46265</v>
          </cell>
          <cell r="B587" t="str">
            <v xml:space="preserve">ERWAN                                   </v>
          </cell>
          <cell r="C587" t="str">
            <v>EME3198</v>
          </cell>
          <cell r="D587">
            <v>64201014513104</v>
          </cell>
          <cell r="E587" t="str">
            <v>TINGGI</v>
          </cell>
          <cell r="F587" t="str">
            <v>Tidak</v>
          </cell>
          <cell r="G587" t="str">
            <v>Tidak</v>
          </cell>
          <cell r="H587" t="str">
            <v>Tidak</v>
          </cell>
          <cell r="I587" t="str">
            <v>Korupsi - Loan View</v>
          </cell>
          <cell r="J587">
            <v>73</v>
          </cell>
          <cell r="K587">
            <v>15</v>
          </cell>
          <cell r="L587" t="str">
            <v>Korupsi</v>
          </cell>
          <cell r="M587" t="str">
            <v>Kas Kanpus</v>
          </cell>
          <cell r="N587" t="str">
            <v>Kas Kanpus</v>
          </cell>
          <cell r="O587" t="str">
            <v>KAS KANPUS</v>
          </cell>
          <cell r="R587" t="str">
            <v>Belum TL</v>
          </cell>
          <cell r="S587" t="str">
            <v>Belum TL</v>
          </cell>
          <cell r="T587" t="str">
            <v>00336949 - Mochammad Al Farabi</v>
          </cell>
          <cell r="U587" t="str">
            <v>"-"</v>
          </cell>
        </row>
        <row r="588">
          <cell r="A588">
            <v>46265</v>
          </cell>
          <cell r="B588" t="str">
            <v xml:space="preserve">ELLY RICARD KBAREK                      </v>
          </cell>
          <cell r="C588" t="str">
            <v>EHR7400</v>
          </cell>
          <cell r="D588">
            <v>716901008207108</v>
          </cell>
          <cell r="E588" t="str">
            <v>SEDANG</v>
          </cell>
          <cell r="F588" t="str">
            <v>Tidak</v>
          </cell>
          <cell r="G588" t="str">
            <v>Tidak</v>
          </cell>
          <cell r="H588" t="str">
            <v>Tidak</v>
          </cell>
          <cell r="I588" t="str">
            <v>Korupsi - Loan View</v>
          </cell>
          <cell r="J588">
            <v>48</v>
          </cell>
          <cell r="K588">
            <v>15</v>
          </cell>
          <cell r="L588" t="str">
            <v>Korupsi</v>
          </cell>
          <cell r="M588" t="str">
            <v>Kas Kanpus</v>
          </cell>
          <cell r="N588" t="str">
            <v>Kas Kanpus</v>
          </cell>
          <cell r="O588" t="str">
            <v>KAS KANPUS</v>
          </cell>
          <cell r="R588" t="str">
            <v>Belum TL</v>
          </cell>
          <cell r="S588" t="str">
            <v>Belum TL</v>
          </cell>
          <cell r="T588" t="str">
            <v>00394520 - Frida Akbar Rani</v>
          </cell>
          <cell r="U588" t="str">
            <v>"-"</v>
          </cell>
        </row>
        <row r="589">
          <cell r="A589">
            <v>46265</v>
          </cell>
          <cell r="B589" t="str">
            <v xml:space="preserve">ELIA BAYOA                              </v>
          </cell>
          <cell r="C589" t="str">
            <v>EHR7753</v>
          </cell>
          <cell r="D589">
            <v>716901008945104</v>
          </cell>
          <cell r="E589" t="str">
            <v>SEDANG</v>
          </cell>
          <cell r="F589" t="str">
            <v>Tidak</v>
          </cell>
          <cell r="G589" t="str">
            <v>Tidak</v>
          </cell>
          <cell r="H589" t="str">
            <v>Tidak</v>
          </cell>
          <cell r="I589" t="str">
            <v>Korupsi - Loan View</v>
          </cell>
          <cell r="J589">
            <v>48</v>
          </cell>
          <cell r="K589">
            <v>15</v>
          </cell>
          <cell r="L589" t="str">
            <v>Korupsi</v>
          </cell>
          <cell r="M589" t="str">
            <v>Kas Kanpus</v>
          </cell>
          <cell r="N589" t="str">
            <v>Kas Kanpus</v>
          </cell>
          <cell r="O589" t="str">
            <v>KAS KANPUS</v>
          </cell>
          <cell r="R589" t="str">
            <v>Belum TL</v>
          </cell>
          <cell r="S589" t="str">
            <v>Belum TL</v>
          </cell>
          <cell r="T589" t="str">
            <v>90185537 - Moh.Khoerul Fajar Ar</v>
          </cell>
          <cell r="U589" t="str">
            <v>"-"</v>
          </cell>
        </row>
        <row r="590">
          <cell r="A590">
            <v>46265</v>
          </cell>
          <cell r="B590" t="str">
            <v xml:space="preserve">EDY SUPRAPTO SUNGKONO                   </v>
          </cell>
          <cell r="C590" t="str">
            <v>EHT4937</v>
          </cell>
          <cell r="D590">
            <v>517001021730109</v>
          </cell>
          <cell r="E590" t="str">
            <v>SEDANG</v>
          </cell>
          <cell r="F590" t="str">
            <v>Tidak</v>
          </cell>
          <cell r="G590" t="str">
            <v>Tidak</v>
          </cell>
          <cell r="H590" t="str">
            <v>Tidak</v>
          </cell>
          <cell r="I590" t="str">
            <v>Korupsi - Loan View</v>
          </cell>
          <cell r="J590">
            <v>48</v>
          </cell>
          <cell r="K590">
            <v>15</v>
          </cell>
          <cell r="L590" t="str">
            <v>Korupsi</v>
          </cell>
          <cell r="M590" t="str">
            <v>Kas Kanpus</v>
          </cell>
          <cell r="N590" t="str">
            <v>Kas Kanpus</v>
          </cell>
          <cell r="O590" t="str">
            <v>KAS KANPUS</v>
          </cell>
          <cell r="R590" t="str">
            <v>Belum TL</v>
          </cell>
          <cell r="S590" t="str">
            <v>Belum TL</v>
          </cell>
          <cell r="T590" t="str">
            <v>90171841 - Rifqi Aziz</v>
          </cell>
          <cell r="U590" t="str">
            <v>"-"</v>
          </cell>
        </row>
        <row r="591">
          <cell r="A591">
            <v>46238</v>
          </cell>
          <cell r="B591" t="str">
            <v xml:space="preserve">ERNI RUBIANTY                           </v>
          </cell>
          <cell r="C591" t="str">
            <v>EI72900</v>
          </cell>
          <cell r="D591">
            <v>12701037876501</v>
          </cell>
          <cell r="E591" t="str">
            <v>SEDANG</v>
          </cell>
          <cell r="F591" t="str">
            <v>Tidak</v>
          </cell>
          <cell r="G591" t="str">
            <v>Tidak</v>
          </cell>
          <cell r="I591" t="str">
            <v>Teroris - Remark</v>
          </cell>
          <cell r="J591">
            <v>168</v>
          </cell>
          <cell r="K591">
            <v>50</v>
          </cell>
          <cell r="L591" t="str">
            <v>Terorisme</v>
          </cell>
          <cell r="M591" t="str">
            <v xml:space="preserve">Kas Kanpus                              </v>
          </cell>
          <cell r="N591" t="str">
            <v xml:space="preserve">Kas Kanpus                              </v>
          </cell>
          <cell r="O591" t="str">
            <v xml:space="preserve">KAS KANPUS                              </v>
          </cell>
          <cell r="R591" t="str">
            <v>Belum TL</v>
          </cell>
          <cell r="S591" t="str">
            <v>Belum TL</v>
          </cell>
          <cell r="T591" t="str">
            <v>90150130 - Intan Aida Pratiwi</v>
          </cell>
          <cell r="U591" t="str">
            <v>"-"</v>
          </cell>
        </row>
        <row r="592">
          <cell r="A592">
            <v>46265</v>
          </cell>
          <cell r="B592" t="str">
            <v xml:space="preserve">EKO HIDAYAT                             </v>
          </cell>
          <cell r="C592" t="str">
            <v>EO72750</v>
          </cell>
          <cell r="D592">
            <v>342801014085104</v>
          </cell>
          <cell r="E592" t="str">
            <v>RENDAH</v>
          </cell>
          <cell r="F592" t="str">
            <v>Tidak</v>
          </cell>
          <cell r="G592" t="str">
            <v>Tidak</v>
          </cell>
          <cell r="H592" t="str">
            <v>Tidak</v>
          </cell>
          <cell r="I592" t="str">
            <v>Korupsi - Loan View</v>
          </cell>
          <cell r="J592">
            <v>33</v>
          </cell>
          <cell r="K592">
            <v>15</v>
          </cell>
          <cell r="L592" t="str">
            <v>Korupsi</v>
          </cell>
          <cell r="M592" t="str">
            <v>Kas Kanpus</v>
          </cell>
          <cell r="N592" t="str">
            <v>Kas Kanpus</v>
          </cell>
          <cell r="O592" t="str">
            <v>KAS KANPUS</v>
          </cell>
          <cell r="R592" t="str">
            <v>Belum TL</v>
          </cell>
          <cell r="S592" t="str">
            <v>Belum TL</v>
          </cell>
          <cell r="T592" t="str">
            <v>00394520 - Frida Akbar Rani</v>
          </cell>
          <cell r="U592" t="str">
            <v>"-"</v>
          </cell>
        </row>
        <row r="593">
          <cell r="A593">
            <v>46265</v>
          </cell>
          <cell r="B593" t="str">
            <v xml:space="preserve">EKO EDI GUNAWAN                         </v>
          </cell>
          <cell r="C593" t="str">
            <v>EOF0263</v>
          </cell>
          <cell r="D593">
            <v>4359720222942000</v>
          </cell>
          <cell r="E593" t="str">
            <v>SEDANG</v>
          </cell>
          <cell r="F593" t="str">
            <v>Tidak</v>
          </cell>
          <cell r="G593" t="str">
            <v>Tidak</v>
          </cell>
          <cell r="H593" t="str">
            <v>Tidak</v>
          </cell>
          <cell r="I593" t="str">
            <v>Penyuapan - CC View</v>
          </cell>
          <cell r="J593">
            <v>45</v>
          </cell>
          <cell r="K593">
            <v>16.170000000000002</v>
          </cell>
          <cell r="L593" t="str">
            <v>Penyuapan</v>
          </cell>
          <cell r="M593" t="str">
            <v xml:space="preserve">Kas Kanpus                              </v>
          </cell>
          <cell r="N593" t="str">
            <v xml:space="preserve">Kas Kanpus                              </v>
          </cell>
          <cell r="O593" t="str">
            <v xml:space="preserve">KAS KANPUS                              </v>
          </cell>
          <cell r="R593" t="str">
            <v>Belum TL</v>
          </cell>
          <cell r="S593" t="str">
            <v>Belum TL</v>
          </cell>
          <cell r="T593" t="str">
            <v>00394520 - Frida Akbar Rani</v>
          </cell>
          <cell r="U593" t="str">
            <v>"-"</v>
          </cell>
        </row>
        <row r="594">
          <cell r="A594">
            <v>46265</v>
          </cell>
          <cell r="B594" t="str">
            <v xml:space="preserve">EKO EDI GUNAWAN                         </v>
          </cell>
          <cell r="C594" t="str">
            <v>EOF0263</v>
          </cell>
          <cell r="D594">
            <v>4359720222942000</v>
          </cell>
          <cell r="E594" t="str">
            <v>SEDANG</v>
          </cell>
          <cell r="F594" t="str">
            <v>Tidak</v>
          </cell>
          <cell r="G594" t="str">
            <v>Tidak</v>
          </cell>
          <cell r="H594" t="str">
            <v>Tidak</v>
          </cell>
          <cell r="I594" t="str">
            <v>Penghindaran Pajak (Transaksi Fiktif)/Penyuapan CC</v>
          </cell>
          <cell r="J594">
            <v>45</v>
          </cell>
          <cell r="K594">
            <v>118</v>
          </cell>
          <cell r="L594" t="str">
            <v>Penyuapan / Penghindaran Pajak CC View</v>
          </cell>
          <cell r="M594" t="str">
            <v xml:space="preserve">Kas Kanpus                              </v>
          </cell>
          <cell r="N594" t="str">
            <v xml:space="preserve">Kas Kanpus                              </v>
          </cell>
          <cell r="O594" t="str">
            <v xml:space="preserve">KAS KANPUS                              </v>
          </cell>
          <cell r="R594" t="str">
            <v>Belum TL</v>
          </cell>
          <cell r="S594" t="str">
            <v>Belum TL</v>
          </cell>
          <cell r="T594" t="str">
            <v>90185538 - Muhammad Fahikal Auz</v>
          </cell>
          <cell r="U594" t="str">
            <v>"-"</v>
          </cell>
        </row>
        <row r="595">
          <cell r="A595">
            <v>46265</v>
          </cell>
          <cell r="B595" t="str">
            <v xml:space="preserve">EGA SIROJUDIN                           </v>
          </cell>
          <cell r="C595" t="str">
            <v>EPY2997</v>
          </cell>
          <cell r="D595">
            <v>5520020242600800</v>
          </cell>
          <cell r="E595" t="str">
            <v>SEDANG</v>
          </cell>
          <cell r="F595" t="str">
            <v>Tidak</v>
          </cell>
          <cell r="G595" t="str">
            <v>Tidak</v>
          </cell>
          <cell r="H595" t="str">
            <v>Tidak</v>
          </cell>
          <cell r="I595" t="str">
            <v>Penghindaran Pajak (Transaksi Fiktif)/Penyuapan CC</v>
          </cell>
          <cell r="J595">
            <v>45</v>
          </cell>
          <cell r="K595">
            <v>118</v>
          </cell>
          <cell r="L595" t="str">
            <v>Penyuapan / Penghindaran Pajak CC View</v>
          </cell>
          <cell r="M595" t="str">
            <v xml:space="preserve">Kas Kanpus                              </v>
          </cell>
          <cell r="N595" t="str">
            <v xml:space="preserve">Kas Kanpus                              </v>
          </cell>
          <cell r="O595" t="str">
            <v xml:space="preserve">KAS KANPUS                              </v>
          </cell>
          <cell r="R595" t="str">
            <v>Belum TL</v>
          </cell>
          <cell r="S595" t="str">
            <v>Belum TL</v>
          </cell>
          <cell r="T595" t="str">
            <v>90171841 - Rifqi Aziz</v>
          </cell>
          <cell r="U595" t="str">
            <v>"-"</v>
          </cell>
        </row>
        <row r="596">
          <cell r="A596">
            <v>46265</v>
          </cell>
          <cell r="B596" t="str">
            <v xml:space="preserve">EKA AYU APRILIA                         </v>
          </cell>
          <cell r="C596" t="str">
            <v>ESU0537</v>
          </cell>
          <cell r="D596">
            <v>774601023632532</v>
          </cell>
          <cell r="E596" t="str">
            <v>SEDANG</v>
          </cell>
          <cell r="F596" t="str">
            <v>Tidak</v>
          </cell>
          <cell r="G596" t="str">
            <v>Tidak</v>
          </cell>
          <cell r="H596" t="str">
            <v>Tidak</v>
          </cell>
          <cell r="I596" t="str">
            <v>Bandar Judol Depo</v>
          </cell>
          <cell r="J596">
            <v>50</v>
          </cell>
          <cell r="K596" t="str">
            <v>86,74,87</v>
          </cell>
          <cell r="L596" t="str">
            <v>Judi Online</v>
          </cell>
          <cell r="M596" t="str">
            <v xml:space="preserve">Kas Kanpus                              </v>
          </cell>
          <cell r="N596" t="str">
            <v xml:space="preserve">Kas Kanpus                              </v>
          </cell>
          <cell r="O596" t="str">
            <v xml:space="preserve">KAS KANPUS                              </v>
          </cell>
          <cell r="R596" t="str">
            <v>Belum TL</v>
          </cell>
          <cell r="S596" t="str">
            <v>Belum TL</v>
          </cell>
          <cell r="T596" t="str">
            <v>90185537 - Moh.Khoerul Fajar Ar</v>
          </cell>
          <cell r="U596" t="str">
            <v>"-"</v>
          </cell>
        </row>
        <row r="597">
          <cell r="A597">
            <v>46265</v>
          </cell>
          <cell r="B597" t="str">
            <v xml:space="preserve">EKQY DWI PRATAMA                        </v>
          </cell>
          <cell r="C597" t="str">
            <v>ETV1795</v>
          </cell>
          <cell r="D597">
            <v>75001020123102</v>
          </cell>
          <cell r="E597" t="str">
            <v>SEDANG</v>
          </cell>
          <cell r="F597" t="str">
            <v>Tidak</v>
          </cell>
          <cell r="G597" t="str">
            <v>Tidak</v>
          </cell>
          <cell r="H597" t="str">
            <v>Tidak</v>
          </cell>
          <cell r="I597" t="str">
            <v>Korupsi - Loan View</v>
          </cell>
          <cell r="J597">
            <v>48</v>
          </cell>
          <cell r="K597">
            <v>15</v>
          </cell>
          <cell r="L597" t="str">
            <v>Korupsi</v>
          </cell>
          <cell r="M597" t="str">
            <v>Kas Kanpus</v>
          </cell>
          <cell r="N597" t="str">
            <v>Kas Kanpus</v>
          </cell>
          <cell r="O597" t="str">
            <v>KAS KANPUS</v>
          </cell>
          <cell r="R597" t="str">
            <v>Belum TL</v>
          </cell>
          <cell r="S597" t="str">
            <v>Belum TL</v>
          </cell>
          <cell r="T597" t="str">
            <v>00336949 - Mochammad Al Farabi</v>
          </cell>
          <cell r="U597" t="str">
            <v>"-"</v>
          </cell>
        </row>
        <row r="598">
          <cell r="A598">
            <v>46265</v>
          </cell>
          <cell r="B598" t="str">
            <v xml:space="preserve">ENDA SERPINTA GINTING                   </v>
          </cell>
          <cell r="C598" t="str">
            <v>EUF2817</v>
          </cell>
          <cell r="D598">
            <v>23801040110533</v>
          </cell>
          <cell r="E598" t="str">
            <v>SEDANG</v>
          </cell>
          <cell r="F598" t="str">
            <v>Tidak</v>
          </cell>
          <cell r="G598" t="str">
            <v>Tidak</v>
          </cell>
          <cell r="H598" t="str">
            <v>Tidak</v>
          </cell>
          <cell r="I598" t="str">
            <v>Bandar Judol Withdrawal</v>
          </cell>
          <cell r="J598">
            <v>50</v>
          </cell>
          <cell r="K598" t="str">
            <v>86,88,87</v>
          </cell>
          <cell r="L598" t="str">
            <v>Judi Online</v>
          </cell>
          <cell r="M598" t="str">
            <v xml:space="preserve">Kas Kanpus                              </v>
          </cell>
          <cell r="N598" t="str">
            <v xml:space="preserve">Kas Kanpus                              </v>
          </cell>
          <cell r="O598" t="str">
            <v xml:space="preserve">KAS KANPUS                              </v>
          </cell>
          <cell r="R598" t="str">
            <v>Belum TL</v>
          </cell>
          <cell r="S598" t="str">
            <v>Belum TL</v>
          </cell>
          <cell r="T598" t="str">
            <v>90150130 - Intan Aida Pratiwi</v>
          </cell>
          <cell r="U598" t="str">
            <v>"-"</v>
          </cell>
        </row>
        <row r="599">
          <cell r="A599">
            <v>46265</v>
          </cell>
          <cell r="B599" t="str">
            <v xml:space="preserve">EDI SUPRIANTO                           </v>
          </cell>
          <cell r="C599" t="str">
            <v>EUH3597</v>
          </cell>
          <cell r="D599">
            <v>108801000864568</v>
          </cell>
          <cell r="E599" t="str">
            <v>SEDANG</v>
          </cell>
          <cell r="F599" t="str">
            <v>Tidak</v>
          </cell>
          <cell r="G599" t="str">
            <v>Tidak</v>
          </cell>
          <cell r="H599" t="str">
            <v>Tidak</v>
          </cell>
          <cell r="I599" t="str">
            <v>Bandar Judol Withdrawal</v>
          </cell>
          <cell r="J599">
            <v>50</v>
          </cell>
          <cell r="K599" t="str">
            <v>86,88,87</v>
          </cell>
          <cell r="L599" t="str">
            <v>Judi Online</v>
          </cell>
          <cell r="M599" t="str">
            <v xml:space="preserve">Kas Kanpus                              </v>
          </cell>
          <cell r="N599" t="str">
            <v xml:space="preserve">Kas Kanpus                              </v>
          </cell>
          <cell r="O599" t="str">
            <v xml:space="preserve">KAS KANPUS                              </v>
          </cell>
          <cell r="R599" t="str">
            <v>Belum TL</v>
          </cell>
          <cell r="S599" t="str">
            <v>Belum TL</v>
          </cell>
          <cell r="T599" t="str">
            <v>90185537 - Moh.Khoerul Fajar Ar</v>
          </cell>
          <cell r="U599" t="str">
            <v>"-"</v>
          </cell>
        </row>
        <row r="600">
          <cell r="A600">
            <v>46265</v>
          </cell>
          <cell r="B600" t="str">
            <v xml:space="preserve">ELDO ARMI PUTRA                         </v>
          </cell>
          <cell r="C600" t="str">
            <v>EUJ5486</v>
          </cell>
          <cell r="D600">
            <v>25601020285568</v>
          </cell>
          <cell r="E600" t="str">
            <v>SEDANG</v>
          </cell>
          <cell r="F600" t="str">
            <v>Tidak</v>
          </cell>
          <cell r="G600" t="str">
            <v>Tidak</v>
          </cell>
          <cell r="H600" t="str">
            <v>Tidak</v>
          </cell>
          <cell r="I600" t="str">
            <v>Korupsi - Significant Trx View</v>
          </cell>
          <cell r="J600">
            <v>60</v>
          </cell>
          <cell r="K600">
            <v>1.19</v>
          </cell>
          <cell r="L600" t="str">
            <v>Korupsi</v>
          </cell>
          <cell r="M600" t="str">
            <v>Kas Kanpus</v>
          </cell>
          <cell r="N600" t="str">
            <v>Kas Kanpus</v>
          </cell>
          <cell r="O600" t="str">
            <v>KAS KANPUS</v>
          </cell>
          <cell r="R600" t="str">
            <v>Belum TL</v>
          </cell>
          <cell r="S600" t="str">
            <v>Belum TL</v>
          </cell>
          <cell r="T600" t="str">
            <v>00394520 - Frida Akbar Rani</v>
          </cell>
          <cell r="U600" t="str">
            <v>"-"</v>
          </cell>
        </row>
        <row r="601">
          <cell r="A601">
            <v>46265</v>
          </cell>
          <cell r="B601" t="str">
            <v xml:space="preserve">ELYSON FREDY WEMAY                      </v>
          </cell>
          <cell r="C601" t="str">
            <v>EUM3553</v>
          </cell>
          <cell r="D601">
            <v>351601025102108</v>
          </cell>
          <cell r="E601" t="str">
            <v>SEDANG</v>
          </cell>
          <cell r="F601" t="str">
            <v>Tidak</v>
          </cell>
          <cell r="G601" t="str">
            <v>Tidak</v>
          </cell>
          <cell r="H601" t="str">
            <v>Tidak</v>
          </cell>
          <cell r="I601" t="str">
            <v>Korupsi - Loan View</v>
          </cell>
          <cell r="J601">
            <v>48</v>
          </cell>
          <cell r="K601">
            <v>15</v>
          </cell>
          <cell r="L601" t="str">
            <v>Korupsi</v>
          </cell>
          <cell r="M601" t="str">
            <v>Kas Kanpus</v>
          </cell>
          <cell r="N601" t="str">
            <v>Kas Kanpus</v>
          </cell>
          <cell r="O601" t="str">
            <v>KAS KANPUS</v>
          </cell>
          <cell r="R601" t="str">
            <v>Belum TL</v>
          </cell>
          <cell r="S601" t="str">
            <v>Belum TL</v>
          </cell>
          <cell r="T601" t="str">
            <v>90185538 - Muhammad Fahikal Auz</v>
          </cell>
          <cell r="U601" t="str">
            <v>"-"</v>
          </cell>
        </row>
        <row r="602">
          <cell r="A602">
            <v>46265</v>
          </cell>
          <cell r="B602" t="str">
            <v xml:space="preserve">EMA RATNANINNGSIH                       </v>
          </cell>
          <cell r="C602" t="str">
            <v>EUY2415</v>
          </cell>
          <cell r="D602">
            <v>53101015930508</v>
          </cell>
          <cell r="E602" t="str">
            <v>SEDANG</v>
          </cell>
          <cell r="F602" t="str">
            <v>Tidak</v>
          </cell>
          <cell r="G602" t="str">
            <v>Tidak</v>
          </cell>
          <cell r="H602" t="str">
            <v>Tidak</v>
          </cell>
          <cell r="I602" t="str">
            <v>Bandar Judol Depo</v>
          </cell>
          <cell r="J602">
            <v>50</v>
          </cell>
          <cell r="K602" t="str">
            <v>86,74,87</v>
          </cell>
          <cell r="L602" t="str">
            <v>Judi Online</v>
          </cell>
          <cell r="M602" t="str">
            <v xml:space="preserve">Kas Kanpus                              </v>
          </cell>
          <cell r="N602" t="str">
            <v xml:space="preserve">Kas Kanpus                              </v>
          </cell>
          <cell r="O602" t="str">
            <v xml:space="preserve">KAS KANPUS                              </v>
          </cell>
          <cell r="R602" t="str">
            <v>Belum TL</v>
          </cell>
          <cell r="S602" t="str">
            <v>Belum TL</v>
          </cell>
          <cell r="T602" t="str">
            <v>00394521 - Muhammad Hibbanduta</v>
          </cell>
          <cell r="U602" t="str">
            <v>"-"</v>
          </cell>
        </row>
        <row r="603">
          <cell r="A603">
            <v>46265</v>
          </cell>
          <cell r="B603" t="str">
            <v xml:space="preserve">EKO APRIYADI NASUTION                   </v>
          </cell>
          <cell r="C603" t="str">
            <v>EUZ8068</v>
          </cell>
          <cell r="D603">
            <v>511701022432102</v>
          </cell>
          <cell r="E603" t="str">
            <v>SEDANG</v>
          </cell>
          <cell r="F603" t="str">
            <v>Tidak</v>
          </cell>
          <cell r="G603" t="str">
            <v>Tidak</v>
          </cell>
          <cell r="H603" t="str">
            <v>Tidak</v>
          </cell>
          <cell r="I603" t="str">
            <v>Korupsi - Loan View</v>
          </cell>
          <cell r="J603">
            <v>48</v>
          </cell>
          <cell r="K603">
            <v>15</v>
          </cell>
          <cell r="L603" t="str">
            <v>Korupsi</v>
          </cell>
          <cell r="M603" t="str">
            <v>Kas Kanpus</v>
          </cell>
          <cell r="N603" t="str">
            <v>Kas Kanpus</v>
          </cell>
          <cell r="O603" t="str">
            <v>KAS KANPUS</v>
          </cell>
          <cell r="R603" t="str">
            <v>Belum TL</v>
          </cell>
          <cell r="S603" t="str">
            <v>Belum TL</v>
          </cell>
          <cell r="T603" t="str">
            <v>90185537 - Moh.Khoerul Fajar Ar</v>
          </cell>
          <cell r="U603" t="str">
            <v>"-"</v>
          </cell>
        </row>
        <row r="604">
          <cell r="A604">
            <v>46265</v>
          </cell>
          <cell r="B604" t="str">
            <v xml:space="preserve">EDI SUTIKNO                             </v>
          </cell>
          <cell r="C604" t="str">
            <v>EV74721</v>
          </cell>
          <cell r="D604">
            <v>5701002734565</v>
          </cell>
          <cell r="E604" t="str">
            <v>SEDANG</v>
          </cell>
          <cell r="F604" t="str">
            <v>Tidak</v>
          </cell>
          <cell r="G604" t="str">
            <v>Tidak</v>
          </cell>
          <cell r="H604" t="str">
            <v>Tidak</v>
          </cell>
          <cell r="I604" t="str">
            <v>Korupsi - Cash &amp; Amount</v>
          </cell>
          <cell r="J604">
            <v>48</v>
          </cell>
          <cell r="K604" t="str">
            <v>1,2,20</v>
          </cell>
          <cell r="L604" t="str">
            <v>Korupsi</v>
          </cell>
          <cell r="M604" t="str">
            <v>Kas Kanpus</v>
          </cell>
          <cell r="N604" t="str">
            <v>Kas Kanpus</v>
          </cell>
          <cell r="O604" t="str">
            <v>KAS KANPUS</v>
          </cell>
          <cell r="R604" t="str">
            <v>Belum TL</v>
          </cell>
          <cell r="S604" t="str">
            <v>Belum TL</v>
          </cell>
          <cell r="T604" t="str">
            <v>00394520 - Frida Akbar Rani</v>
          </cell>
          <cell r="U604" t="str">
            <v>"-"</v>
          </cell>
        </row>
        <row r="605">
          <cell r="A605">
            <v>46265</v>
          </cell>
          <cell r="B605" t="str">
            <v xml:space="preserve">EKO SUKRISTIANTO                        </v>
          </cell>
          <cell r="C605" t="str">
            <v>EV96872</v>
          </cell>
          <cell r="D605">
            <v>303901019029506</v>
          </cell>
          <cell r="E605" t="str">
            <v>SEDANG</v>
          </cell>
          <cell r="F605" t="str">
            <v>Tidak</v>
          </cell>
          <cell r="G605" t="str">
            <v>Tidak</v>
          </cell>
          <cell r="H605" t="str">
            <v>Tidak</v>
          </cell>
          <cell r="I605" t="str">
            <v>Bandar Judol Depo</v>
          </cell>
          <cell r="J605">
            <v>50</v>
          </cell>
          <cell r="K605" t="str">
            <v>86,74,87</v>
          </cell>
          <cell r="L605" t="str">
            <v>Judi Online</v>
          </cell>
          <cell r="M605" t="str">
            <v xml:space="preserve">Kas Kanpus                              </v>
          </cell>
          <cell r="N605" t="str">
            <v xml:space="preserve">Kas Kanpus                              </v>
          </cell>
          <cell r="O605" t="str">
            <v xml:space="preserve">KAS KANPUS                              </v>
          </cell>
          <cell r="R605" t="str">
            <v>Belum TL</v>
          </cell>
          <cell r="S605" t="str">
            <v>Belum TL</v>
          </cell>
          <cell r="T605" t="str">
            <v>90185538 - Muhammad Fahikal Auz</v>
          </cell>
          <cell r="U605" t="str">
            <v>"-"</v>
          </cell>
        </row>
        <row r="606">
          <cell r="A606">
            <v>46265</v>
          </cell>
          <cell r="B606" t="str">
            <v xml:space="preserve">EVA MEILANI                             </v>
          </cell>
          <cell r="C606" t="str">
            <v>EVD4123</v>
          </cell>
          <cell r="D606">
            <v>23801098150503</v>
          </cell>
          <cell r="E606" t="str">
            <v>SEDANG</v>
          </cell>
          <cell r="F606" t="str">
            <v>Tidak</v>
          </cell>
          <cell r="G606" t="str">
            <v>Tidak</v>
          </cell>
          <cell r="H606" t="str">
            <v>Tidak</v>
          </cell>
          <cell r="I606" t="str">
            <v>Bandar Judol Withdrawal</v>
          </cell>
          <cell r="J606">
            <v>50</v>
          </cell>
          <cell r="K606" t="str">
            <v>86,88,87</v>
          </cell>
          <cell r="L606" t="str">
            <v>Judi Online</v>
          </cell>
          <cell r="M606" t="str">
            <v xml:space="preserve">Kas Kanpus                              </v>
          </cell>
          <cell r="N606" t="str">
            <v xml:space="preserve">Kas Kanpus                              </v>
          </cell>
          <cell r="O606" t="str">
            <v xml:space="preserve">KAS KANPUS                              </v>
          </cell>
          <cell r="R606" t="str">
            <v>Belum TL</v>
          </cell>
          <cell r="S606" t="str">
            <v>Belum TL</v>
          </cell>
          <cell r="T606" t="str">
            <v>90150130 - Intan Aida Pratiwi</v>
          </cell>
          <cell r="U606" t="str">
            <v>"-"</v>
          </cell>
        </row>
        <row r="607">
          <cell r="A607">
            <v>46265</v>
          </cell>
          <cell r="B607" t="str">
            <v xml:space="preserve">EVA                                     </v>
          </cell>
          <cell r="C607" t="str">
            <v>EWA4533</v>
          </cell>
          <cell r="D607">
            <v>529401053024532</v>
          </cell>
          <cell r="F607" t="str">
            <v>Tidak</v>
          </cell>
          <cell r="G607" t="str">
            <v>Tidak</v>
          </cell>
          <cell r="I607" t="str">
            <v>Jual Beli Rekening - E channel Trx</v>
          </cell>
          <cell r="J607">
            <v>33</v>
          </cell>
          <cell r="K607">
            <v>113</v>
          </cell>
          <cell r="L607" t="str">
            <v>Narkotika/Judi Online/Penipuan</v>
          </cell>
          <cell r="M607" t="str">
            <v xml:space="preserve">UNIT SIMPANG KOLAM THAMRIN              </v>
          </cell>
          <cell r="N607" t="str">
            <v xml:space="preserve">KC Medan Thamrin                        </v>
          </cell>
          <cell r="O607" t="str">
            <v xml:space="preserve">Medan                                   </v>
          </cell>
          <cell r="R607" t="str">
            <v>Belum TL</v>
          </cell>
          <cell r="S607" t="str">
            <v>Belum TL</v>
          </cell>
          <cell r="U607" t="str">
            <v>"-"</v>
          </cell>
        </row>
        <row r="608">
          <cell r="A608">
            <v>46265</v>
          </cell>
          <cell r="B608" t="str">
            <v xml:space="preserve">ELIS ANDIANI                            </v>
          </cell>
          <cell r="C608" t="str">
            <v>EWD7054</v>
          </cell>
          <cell r="D608">
            <v>10501010717560</v>
          </cell>
          <cell r="E608" t="str">
            <v>SEDANG</v>
          </cell>
          <cell r="F608" t="str">
            <v>Tidak</v>
          </cell>
          <cell r="G608" t="str">
            <v>Tidak</v>
          </cell>
          <cell r="H608" t="str">
            <v>Tidak</v>
          </cell>
          <cell r="I608" t="str">
            <v>Bandar Judol Withdrawal</v>
          </cell>
          <cell r="J608">
            <v>50</v>
          </cell>
          <cell r="K608" t="str">
            <v>86,88,87</v>
          </cell>
          <cell r="L608" t="str">
            <v>Judi Online</v>
          </cell>
          <cell r="M608" t="str">
            <v xml:space="preserve">Kas Kanpus                              </v>
          </cell>
          <cell r="N608" t="str">
            <v xml:space="preserve">Kas Kanpus                              </v>
          </cell>
          <cell r="O608" t="str">
            <v xml:space="preserve">KAS KANPUS                              </v>
          </cell>
          <cell r="R608" t="str">
            <v>Belum TL</v>
          </cell>
          <cell r="S608" t="str">
            <v>Belum TL</v>
          </cell>
          <cell r="T608" t="str">
            <v>90185538 - Muhammad Fahikal Auz</v>
          </cell>
          <cell r="U608" t="str">
            <v>"-"</v>
          </cell>
        </row>
        <row r="609">
          <cell r="A609">
            <v>46265</v>
          </cell>
          <cell r="B609" t="str">
            <v xml:space="preserve">EKO JULIYANTO                           </v>
          </cell>
          <cell r="C609" t="str">
            <v>EY65873</v>
          </cell>
          <cell r="D609">
            <v>20801000953566</v>
          </cell>
          <cell r="E609" t="str">
            <v>SEDANG</v>
          </cell>
          <cell r="F609" t="str">
            <v>Tidak</v>
          </cell>
          <cell r="G609" t="str">
            <v>Tidak</v>
          </cell>
          <cell r="H609" t="str">
            <v>Tidak</v>
          </cell>
          <cell r="I609" t="str">
            <v>Bandar Judol Withdrawal</v>
          </cell>
          <cell r="J609">
            <v>50</v>
          </cell>
          <cell r="K609" t="str">
            <v>86,88,87</v>
          </cell>
          <cell r="L609" t="str">
            <v>Judi Online</v>
          </cell>
          <cell r="M609" t="str">
            <v xml:space="preserve">Kas Kanpus                              </v>
          </cell>
          <cell r="N609" t="str">
            <v xml:space="preserve">Kas Kanpus                              </v>
          </cell>
          <cell r="O609" t="str">
            <v xml:space="preserve">KAS KANPUS                              </v>
          </cell>
          <cell r="R609" t="str">
            <v>Belum TL</v>
          </cell>
          <cell r="S609" t="str">
            <v>Belum TL</v>
          </cell>
          <cell r="T609" t="str">
            <v>00394521 - Muhammad Hibbanduta</v>
          </cell>
          <cell r="U609" t="str">
            <v>"-"</v>
          </cell>
        </row>
        <row r="610">
          <cell r="A610">
            <v>46265</v>
          </cell>
          <cell r="B610" t="str">
            <v xml:space="preserve">ELFIN CHRISTIAN PALIAMA                 </v>
          </cell>
          <cell r="C610" t="str">
            <v>EWL3846</v>
          </cell>
          <cell r="D610">
            <v>707501022013108</v>
          </cell>
          <cell r="E610" t="str">
            <v>SEDANG</v>
          </cell>
          <cell r="F610" t="str">
            <v>Tidak</v>
          </cell>
          <cell r="G610" t="str">
            <v>Tidak</v>
          </cell>
          <cell r="H610" t="str">
            <v>Tidak</v>
          </cell>
          <cell r="I610" t="str">
            <v>Korupsi - Loan View</v>
          </cell>
          <cell r="J610">
            <v>48</v>
          </cell>
          <cell r="K610">
            <v>15</v>
          </cell>
          <cell r="L610" t="str">
            <v>Korupsi</v>
          </cell>
          <cell r="M610" t="str">
            <v>Kas Kanpus</v>
          </cell>
          <cell r="N610" t="str">
            <v>Kas Kanpus</v>
          </cell>
          <cell r="O610" t="str">
            <v>KAS KANPUS</v>
          </cell>
          <cell r="R610" t="str">
            <v>Belum TL</v>
          </cell>
          <cell r="S610" t="str">
            <v>Belum TL</v>
          </cell>
          <cell r="T610" t="str">
            <v>00336949 - Mochammad Al Farabi</v>
          </cell>
          <cell r="U610" t="str">
            <v>"-"</v>
          </cell>
        </row>
        <row r="611">
          <cell r="A611">
            <v>46265</v>
          </cell>
          <cell r="B611" t="str">
            <v xml:space="preserve">EKO SADANI                              </v>
          </cell>
          <cell r="C611" t="str">
            <v>EYN8589</v>
          </cell>
          <cell r="D611">
            <v>63801084183508</v>
          </cell>
          <cell r="F611" t="str">
            <v>Tidak</v>
          </cell>
          <cell r="G611" t="str">
            <v>Tidak</v>
          </cell>
          <cell r="H611" t="str">
            <v>Tidak</v>
          </cell>
          <cell r="I611" t="str">
            <v>Bandar Judol Withdrawal</v>
          </cell>
          <cell r="J611">
            <v>35</v>
          </cell>
          <cell r="K611" t="str">
            <v>86,88,87</v>
          </cell>
          <cell r="L611" t="str">
            <v>Judi Online</v>
          </cell>
          <cell r="M611" t="str">
            <v xml:space="preserve">Kas Kanpus                              </v>
          </cell>
          <cell r="N611" t="str">
            <v xml:space="preserve">Kas Kanpus                              </v>
          </cell>
          <cell r="O611" t="str">
            <v xml:space="preserve">KAS KANPUS                              </v>
          </cell>
          <cell r="R611" t="str">
            <v>Belum TL</v>
          </cell>
          <cell r="S611" t="str">
            <v>Belum TL</v>
          </cell>
          <cell r="T611" t="str">
            <v>00336949 - Mochammad Al Farabi</v>
          </cell>
          <cell r="U611" t="str">
            <v>"-"</v>
          </cell>
        </row>
        <row r="612">
          <cell r="A612">
            <v>46265</v>
          </cell>
          <cell r="B612" t="str">
            <v xml:space="preserve">ENDANG                                  </v>
          </cell>
          <cell r="C612" t="str">
            <v>EYP6226</v>
          </cell>
          <cell r="D612">
            <v>115001024692500</v>
          </cell>
          <cell r="F612" t="str">
            <v>Tidak</v>
          </cell>
          <cell r="G612" t="str">
            <v>Tidak</v>
          </cell>
          <cell r="H612" t="str">
            <v>Tidak</v>
          </cell>
          <cell r="I612" t="str">
            <v>Bandar Judol Withdrawal</v>
          </cell>
          <cell r="J612">
            <v>35</v>
          </cell>
          <cell r="K612" t="str">
            <v>86,88,87</v>
          </cell>
          <cell r="L612" t="str">
            <v>Judi Online</v>
          </cell>
          <cell r="M612" t="str">
            <v xml:space="preserve">Kas Kanpus                              </v>
          </cell>
          <cell r="N612" t="str">
            <v xml:space="preserve">Kas Kanpus                              </v>
          </cell>
          <cell r="O612" t="str">
            <v xml:space="preserve">KAS KANPUS                              </v>
          </cell>
          <cell r="R612" t="str">
            <v>Belum TL</v>
          </cell>
          <cell r="S612" t="str">
            <v>Belum TL</v>
          </cell>
          <cell r="T612" t="str">
            <v>90186790 - Muhammad Alfin Farha</v>
          </cell>
          <cell r="U612" t="str">
            <v>"-"</v>
          </cell>
        </row>
        <row r="613">
          <cell r="A613">
            <v>46265</v>
          </cell>
          <cell r="B613" t="str">
            <v xml:space="preserve">ERGA SOPIAN                             </v>
          </cell>
          <cell r="C613" t="str">
            <v>EYU8340</v>
          </cell>
          <cell r="D613">
            <v>54401098154508</v>
          </cell>
          <cell r="F613" t="str">
            <v>Tidak</v>
          </cell>
          <cell r="G613" t="str">
            <v>Tidak</v>
          </cell>
          <cell r="H613" t="str">
            <v>Tidak</v>
          </cell>
          <cell r="I613" t="str">
            <v>Bandar Judol Withdrawal</v>
          </cell>
          <cell r="J613">
            <v>35</v>
          </cell>
          <cell r="K613" t="str">
            <v>86,88,87</v>
          </cell>
          <cell r="L613" t="str">
            <v>Judi Online</v>
          </cell>
          <cell r="M613" t="str">
            <v xml:space="preserve">Kas Kanpus                              </v>
          </cell>
          <cell r="N613" t="str">
            <v xml:space="preserve">Kas Kanpus                              </v>
          </cell>
          <cell r="O613" t="str">
            <v xml:space="preserve">KAS KANPUS                              </v>
          </cell>
          <cell r="R613" t="str">
            <v>Belum TL</v>
          </cell>
          <cell r="S613" t="str">
            <v>Belum TL</v>
          </cell>
          <cell r="T613" t="str">
            <v>90171841 - Rifqi Aziz</v>
          </cell>
          <cell r="U613" t="str">
            <v>"-"</v>
          </cell>
        </row>
        <row r="614">
          <cell r="A614">
            <v>46265</v>
          </cell>
          <cell r="B614" t="str">
            <v xml:space="preserve">ELLANDA AHMADI                          </v>
          </cell>
          <cell r="C614" t="str">
            <v>EYW8015</v>
          </cell>
          <cell r="D614">
            <v>210601000584569</v>
          </cell>
          <cell r="F614" t="str">
            <v>Tidak</v>
          </cell>
          <cell r="G614" t="str">
            <v>Tidak</v>
          </cell>
          <cell r="H614" t="str">
            <v>Tidak</v>
          </cell>
          <cell r="I614" t="str">
            <v>Bandar Judol Withdrawal</v>
          </cell>
          <cell r="J614">
            <v>35</v>
          </cell>
          <cell r="K614" t="str">
            <v>86,88,87</v>
          </cell>
          <cell r="L614" t="str">
            <v>Judi Online</v>
          </cell>
          <cell r="M614" t="str">
            <v xml:space="preserve">Kas Kanpus                              </v>
          </cell>
          <cell r="N614" t="str">
            <v xml:space="preserve">Kas Kanpus                              </v>
          </cell>
          <cell r="O614" t="str">
            <v xml:space="preserve">KAS KANPUS                              </v>
          </cell>
          <cell r="R614" t="str">
            <v>Belum TL</v>
          </cell>
          <cell r="S614" t="str">
            <v>Belum TL</v>
          </cell>
          <cell r="T614" t="str">
            <v>00336949 - Mochammad Al Farabi</v>
          </cell>
          <cell r="U614" t="str">
            <v>"-"</v>
          </cell>
        </row>
        <row r="615">
          <cell r="A615">
            <v>46265</v>
          </cell>
          <cell r="B615" t="str">
            <v xml:space="preserve">EKA PURWANTO                            </v>
          </cell>
          <cell r="C615" t="str">
            <v>EZ15416</v>
          </cell>
          <cell r="D615">
            <v>12801121990562</v>
          </cell>
          <cell r="E615" t="str">
            <v>SEDANG</v>
          </cell>
          <cell r="F615" t="str">
            <v>Tidak</v>
          </cell>
          <cell r="G615" t="str">
            <v>Tidak</v>
          </cell>
          <cell r="H615" t="str">
            <v>Tidak</v>
          </cell>
          <cell r="I615" t="str">
            <v>Korupsi - Significant Trx View</v>
          </cell>
          <cell r="J615">
            <v>48</v>
          </cell>
          <cell r="K615">
            <v>1.19</v>
          </cell>
          <cell r="L615" t="str">
            <v>Korupsi</v>
          </cell>
          <cell r="M615" t="str">
            <v>Kas Kanpus</v>
          </cell>
          <cell r="N615" t="str">
            <v>Kas Kanpus</v>
          </cell>
          <cell r="O615" t="str">
            <v>KAS KANPUS</v>
          </cell>
          <cell r="R615" t="str">
            <v>Belum TL</v>
          </cell>
          <cell r="S615" t="str">
            <v>Belum TL</v>
          </cell>
          <cell r="T615" t="str">
            <v>00394520 - Frida Akbar Rani</v>
          </cell>
          <cell r="U615" t="str">
            <v>"-"</v>
          </cell>
        </row>
        <row r="616">
          <cell r="A616">
            <v>46265</v>
          </cell>
          <cell r="B616" t="str">
            <v xml:space="preserve">EKO EDDY PURNOMO                        </v>
          </cell>
          <cell r="C616" t="str">
            <v>EZ58153</v>
          </cell>
          <cell r="D616">
            <v>815001002996503</v>
          </cell>
          <cell r="F616" t="str">
            <v>Tidak</v>
          </cell>
          <cell r="G616" t="str">
            <v>Tidak</v>
          </cell>
          <cell r="I616" t="str">
            <v>Jual Beli Rekening - E channel Trx</v>
          </cell>
          <cell r="J616">
            <v>33</v>
          </cell>
          <cell r="K616">
            <v>113</v>
          </cell>
          <cell r="L616" t="str">
            <v>Narkotika/Judi Online/Penipuan</v>
          </cell>
          <cell r="M616" t="str">
            <v xml:space="preserve">UNIT SUMBER JAYA BATURAJA               </v>
          </cell>
          <cell r="N616" t="str">
            <v xml:space="preserve">KC Baturaja                             </v>
          </cell>
          <cell r="O616" t="str">
            <v xml:space="preserve">Palembang                               </v>
          </cell>
          <cell r="R616" t="str">
            <v>Belum TL</v>
          </cell>
          <cell r="S616" t="str">
            <v>Belum TL</v>
          </cell>
          <cell r="U616" t="str">
            <v>"-"</v>
          </cell>
        </row>
        <row r="617">
          <cell r="A617">
            <v>46265</v>
          </cell>
          <cell r="B617" t="str">
            <v xml:space="preserve">ERWIN                                   </v>
          </cell>
          <cell r="C617" t="str">
            <v>EZE4122</v>
          </cell>
          <cell r="D617">
            <v>5901207844503</v>
          </cell>
          <cell r="F617" t="str">
            <v>Tidak</v>
          </cell>
          <cell r="G617" t="str">
            <v>Tidak</v>
          </cell>
          <cell r="I617" t="str">
            <v>Jual Beli Rekening - E channel Trx</v>
          </cell>
          <cell r="J617">
            <v>33</v>
          </cell>
          <cell r="K617">
            <v>113</v>
          </cell>
          <cell r="L617" t="str">
            <v>Narkotika/Judi Online/Penipuan</v>
          </cell>
          <cell r="M617" t="str">
            <v xml:space="preserve">KC Palembang A. Rivai                   </v>
          </cell>
          <cell r="N617" t="str">
            <v xml:space="preserve">KC Palembang A. Rivai                   </v>
          </cell>
          <cell r="O617" t="str">
            <v xml:space="preserve">Palembang                               </v>
          </cell>
          <cell r="R617" t="str">
            <v>Belum TL</v>
          </cell>
          <cell r="S617" t="str">
            <v>Belum TL</v>
          </cell>
          <cell r="U617" t="str">
            <v>"-"</v>
          </cell>
        </row>
        <row r="618">
          <cell r="A618">
            <v>46265</v>
          </cell>
          <cell r="B618" t="str">
            <v xml:space="preserve">ELI WARNI                               </v>
          </cell>
          <cell r="C618" t="str">
            <v>EZF5618</v>
          </cell>
          <cell r="D618">
            <v>334501009856508</v>
          </cell>
          <cell r="F618" t="str">
            <v>Tidak</v>
          </cell>
          <cell r="G618" t="str">
            <v>Tidak</v>
          </cell>
          <cell r="H618" t="str">
            <v>Tidak</v>
          </cell>
          <cell r="I618" t="str">
            <v>Bandar Judol Withdrawal</v>
          </cell>
          <cell r="J618">
            <v>35</v>
          </cell>
          <cell r="K618" t="str">
            <v>86,88,87</v>
          </cell>
          <cell r="L618" t="str">
            <v>Judi Online</v>
          </cell>
          <cell r="M618" t="str">
            <v xml:space="preserve">Kas Kanpus                              </v>
          </cell>
          <cell r="N618" t="str">
            <v xml:space="preserve">Kas Kanpus                              </v>
          </cell>
          <cell r="O618" t="str">
            <v xml:space="preserve">KAS KANPUS                              </v>
          </cell>
          <cell r="R618" t="str">
            <v>Belum TL</v>
          </cell>
          <cell r="S618" t="str">
            <v>Belum TL</v>
          </cell>
          <cell r="T618" t="str">
            <v>90170665 - Mutiara Ayuningtyas</v>
          </cell>
          <cell r="U618" t="str">
            <v>"-"</v>
          </cell>
        </row>
        <row r="619">
          <cell r="A619">
            <v>46265</v>
          </cell>
          <cell r="B619" t="str">
            <v xml:space="preserve">ERNINGSIH                               </v>
          </cell>
          <cell r="C619" t="str">
            <v>EZF8863</v>
          </cell>
          <cell r="D619">
            <v>112801110686509</v>
          </cell>
          <cell r="F619" t="str">
            <v>Tidak</v>
          </cell>
          <cell r="G619" t="str">
            <v>Tidak</v>
          </cell>
          <cell r="H619" t="str">
            <v>Tidak</v>
          </cell>
          <cell r="I619" t="str">
            <v>Bandar Judol Withdrawal</v>
          </cell>
          <cell r="J619">
            <v>35</v>
          </cell>
          <cell r="K619" t="str">
            <v>86,88,87</v>
          </cell>
          <cell r="L619" t="str">
            <v>Judi Online</v>
          </cell>
          <cell r="M619" t="str">
            <v xml:space="preserve">Kas Kanpus                              </v>
          </cell>
          <cell r="N619" t="str">
            <v xml:space="preserve">Kas Kanpus                              </v>
          </cell>
          <cell r="O619" t="str">
            <v xml:space="preserve">KAS KANPUS                              </v>
          </cell>
          <cell r="R619" t="str">
            <v>Belum TL</v>
          </cell>
          <cell r="S619" t="str">
            <v>Belum TL</v>
          </cell>
          <cell r="T619" t="str">
            <v>90186790 - Muhammad Alfin Farha</v>
          </cell>
          <cell r="U619" t="str">
            <v>"-"</v>
          </cell>
        </row>
        <row r="620">
          <cell r="A620">
            <v>46265</v>
          </cell>
          <cell r="B620" t="str">
            <v xml:space="preserve">EFENDY SIANIPAR                         </v>
          </cell>
          <cell r="C620" t="str">
            <v>EZG5108</v>
          </cell>
          <cell r="D620">
            <v>334501009912508</v>
          </cell>
          <cell r="F620" t="str">
            <v>Tidak</v>
          </cell>
          <cell r="G620" t="str">
            <v>Tidak</v>
          </cell>
          <cell r="H620" t="str">
            <v>Tidak</v>
          </cell>
          <cell r="I620" t="str">
            <v>Bandar Judol Withdrawal</v>
          </cell>
          <cell r="J620">
            <v>35</v>
          </cell>
          <cell r="K620" t="str">
            <v>86,88,87</v>
          </cell>
          <cell r="L620" t="str">
            <v>Judi Online</v>
          </cell>
          <cell r="M620" t="str">
            <v xml:space="preserve">Kas Kanpus                              </v>
          </cell>
          <cell r="N620" t="str">
            <v xml:space="preserve">Kas Kanpus                              </v>
          </cell>
          <cell r="O620" t="str">
            <v xml:space="preserve">KAS KANPUS                              </v>
          </cell>
          <cell r="R620" t="str">
            <v>Belum TL</v>
          </cell>
          <cell r="S620" t="str">
            <v>Belum TL</v>
          </cell>
          <cell r="T620" t="str">
            <v>00394521 - Muhammad Hibbanduta</v>
          </cell>
          <cell r="U620" t="str">
            <v>"-"</v>
          </cell>
        </row>
        <row r="621">
          <cell r="A621">
            <v>46265</v>
          </cell>
          <cell r="B621" t="str">
            <v xml:space="preserve">EMILIA AGUSTIN                          </v>
          </cell>
          <cell r="C621" t="str">
            <v>EZH7323</v>
          </cell>
          <cell r="D621">
            <v>12001289702500</v>
          </cell>
          <cell r="F621" t="str">
            <v>Tidak</v>
          </cell>
          <cell r="G621" t="str">
            <v>Tidak</v>
          </cell>
          <cell r="I621" t="str">
            <v>Jual Beli Rekening - E channel Trx</v>
          </cell>
          <cell r="J621">
            <v>33</v>
          </cell>
          <cell r="K621">
            <v>113</v>
          </cell>
          <cell r="L621" t="str">
            <v>Narkotika/Judi Online/Penipuan</v>
          </cell>
          <cell r="M621" t="str">
            <v xml:space="preserve">KC Jakarta Tangerang                    </v>
          </cell>
          <cell r="N621" t="str">
            <v xml:space="preserve">KC Jakarta Tangerang                    </v>
          </cell>
          <cell r="O621" t="str">
            <v xml:space="preserve">KANWIL JAKARTA 3                        </v>
          </cell>
          <cell r="R621" t="str">
            <v>Belum TL</v>
          </cell>
          <cell r="S621" t="str">
            <v>Belum TL</v>
          </cell>
          <cell r="U621" t="str">
            <v>"-"</v>
          </cell>
        </row>
        <row r="622">
          <cell r="A622">
            <v>46265</v>
          </cell>
          <cell r="B622" t="str">
            <v xml:space="preserve">ERIK ERIANSAH                           </v>
          </cell>
          <cell r="C622" t="str">
            <v>EZO1240</v>
          </cell>
          <cell r="D622">
            <v>58801037223508</v>
          </cell>
          <cell r="F622" t="str">
            <v>Tidak</v>
          </cell>
          <cell r="G622" t="str">
            <v>Tidak</v>
          </cell>
          <cell r="H622" t="str">
            <v>Tidak</v>
          </cell>
          <cell r="I622" t="str">
            <v>Bandar Judol Withdrawal</v>
          </cell>
          <cell r="J622">
            <v>35</v>
          </cell>
          <cell r="K622" t="str">
            <v>86,88,87</v>
          </cell>
          <cell r="L622" t="str">
            <v>Judi Online</v>
          </cell>
          <cell r="M622" t="str">
            <v xml:space="preserve">Kas Kanpus                              </v>
          </cell>
          <cell r="N622" t="str">
            <v xml:space="preserve">Kas Kanpus                              </v>
          </cell>
          <cell r="O622" t="str">
            <v xml:space="preserve">KAS KANPUS                              </v>
          </cell>
          <cell r="R622" t="str">
            <v>Belum TL</v>
          </cell>
          <cell r="S622" t="str">
            <v>Belum TL</v>
          </cell>
          <cell r="T622" t="str">
            <v>90185538 - Muhammad Fahikal Auz</v>
          </cell>
          <cell r="U622" t="str">
            <v>"-"</v>
          </cell>
        </row>
        <row r="623">
          <cell r="A623">
            <v>46265</v>
          </cell>
          <cell r="B623" t="str">
            <v xml:space="preserve">EKO SUPRIYADI                           </v>
          </cell>
          <cell r="C623" t="str">
            <v>EZO9900</v>
          </cell>
          <cell r="D623">
            <v>38701078253508</v>
          </cell>
          <cell r="F623" t="str">
            <v>Tidak</v>
          </cell>
          <cell r="G623" t="str">
            <v>Tidak</v>
          </cell>
          <cell r="I623" t="str">
            <v>Jual Beli Rekening - E channel Trx</v>
          </cell>
          <cell r="J623">
            <v>33</v>
          </cell>
          <cell r="K623">
            <v>113</v>
          </cell>
          <cell r="L623" t="str">
            <v>Narkotika/Judi Online/Penipuan</v>
          </cell>
          <cell r="M623" t="str">
            <v xml:space="preserve">KC Bogor Pajajaran                      </v>
          </cell>
          <cell r="N623" t="str">
            <v xml:space="preserve">KC Bogor Pajajaran                      </v>
          </cell>
          <cell r="O623" t="str">
            <v xml:space="preserve">DKI2                                    </v>
          </cell>
          <cell r="R623" t="str">
            <v>Belum TL</v>
          </cell>
          <cell r="S623" t="str">
            <v>Belum TL</v>
          </cell>
          <cell r="U623" t="str">
            <v>"-"</v>
          </cell>
        </row>
        <row r="624">
          <cell r="A624">
            <v>46265</v>
          </cell>
          <cell r="B624" t="str">
            <v xml:space="preserve">ENDANG SAPUTRA                          </v>
          </cell>
          <cell r="C624" t="str">
            <v>EZP2131</v>
          </cell>
          <cell r="D624">
            <v>720701007195504</v>
          </cell>
          <cell r="F624" t="str">
            <v>Tidak</v>
          </cell>
          <cell r="G624" t="str">
            <v>Tidak</v>
          </cell>
          <cell r="H624" t="str">
            <v>Tidak</v>
          </cell>
          <cell r="I624" t="str">
            <v>Bandar Judol Withdrawal</v>
          </cell>
          <cell r="J624">
            <v>35</v>
          </cell>
          <cell r="K624" t="str">
            <v>86,88,87</v>
          </cell>
          <cell r="L624" t="str">
            <v>Judi Online</v>
          </cell>
          <cell r="M624" t="str">
            <v xml:space="preserve">Kas Kanpus                              </v>
          </cell>
          <cell r="N624" t="str">
            <v xml:space="preserve">Kas Kanpus                              </v>
          </cell>
          <cell r="O624" t="str">
            <v xml:space="preserve">KAS KANPUS                              </v>
          </cell>
          <cell r="R624" t="str">
            <v>Belum TL</v>
          </cell>
          <cell r="S624" t="str">
            <v>Belum TL</v>
          </cell>
          <cell r="T624" t="str">
            <v>90185537 - Moh.Khoerul Fajar Ar</v>
          </cell>
          <cell r="U624" t="str">
            <v>"-"</v>
          </cell>
        </row>
        <row r="625">
          <cell r="A625">
            <v>46265</v>
          </cell>
          <cell r="B625" t="str">
            <v xml:space="preserve">EVI LIANAH                              </v>
          </cell>
          <cell r="C625" t="str">
            <v>EZS4884</v>
          </cell>
          <cell r="D625">
            <v>731101004230506</v>
          </cell>
          <cell r="F625" t="str">
            <v>Tidak</v>
          </cell>
          <cell r="G625" t="str">
            <v>Tidak</v>
          </cell>
          <cell r="H625" t="str">
            <v>Tidak</v>
          </cell>
          <cell r="I625" t="str">
            <v>Bandar Judol Withdrawal</v>
          </cell>
          <cell r="J625">
            <v>35</v>
          </cell>
          <cell r="K625" t="str">
            <v>86,88,87</v>
          </cell>
          <cell r="L625" t="str">
            <v>Judi Online</v>
          </cell>
          <cell r="M625" t="str">
            <v xml:space="preserve">Kas Kanpus                              </v>
          </cell>
          <cell r="N625" t="str">
            <v xml:space="preserve">Kas Kanpus                              </v>
          </cell>
          <cell r="O625" t="str">
            <v xml:space="preserve">KAS KANPUS                              </v>
          </cell>
          <cell r="R625" t="str">
            <v>Belum TL</v>
          </cell>
          <cell r="S625" t="str">
            <v>Belum TL</v>
          </cell>
          <cell r="T625" t="str">
            <v>90170665 - Mutiara Ayuningtyas</v>
          </cell>
          <cell r="U625" t="str">
            <v>"-"</v>
          </cell>
        </row>
        <row r="626">
          <cell r="A626">
            <v>46265</v>
          </cell>
          <cell r="B626" t="str">
            <v xml:space="preserve">EKA PRAYETNA                            </v>
          </cell>
          <cell r="C626" t="str">
            <v>EZS5785</v>
          </cell>
          <cell r="D626">
            <v>109201000805563</v>
          </cell>
          <cell r="F626" t="str">
            <v>Tidak</v>
          </cell>
          <cell r="G626" t="str">
            <v>Tidak</v>
          </cell>
          <cell r="H626" t="str">
            <v>Tidak</v>
          </cell>
          <cell r="I626" t="str">
            <v>Bandar Judol Depo</v>
          </cell>
          <cell r="J626">
            <v>35</v>
          </cell>
          <cell r="K626" t="str">
            <v>86,74,87</v>
          </cell>
          <cell r="L626" t="str">
            <v>Judi Online</v>
          </cell>
          <cell r="M626" t="str">
            <v xml:space="preserve">Kas Kanpus                              </v>
          </cell>
          <cell r="N626" t="str">
            <v xml:space="preserve">Kas Kanpus                              </v>
          </cell>
          <cell r="O626" t="str">
            <v xml:space="preserve">KAS KANPUS                              </v>
          </cell>
          <cell r="R626" t="str">
            <v>Belum TL</v>
          </cell>
          <cell r="S626" t="str">
            <v>Belum TL</v>
          </cell>
          <cell r="T626" t="str">
            <v>00394521 - Muhammad Hibbanduta</v>
          </cell>
          <cell r="U626" t="str">
            <v>"-"</v>
          </cell>
        </row>
        <row r="627">
          <cell r="A627">
            <v>46265</v>
          </cell>
          <cell r="B627" t="str">
            <v xml:space="preserve">ELMY ILHAMSYAH                          </v>
          </cell>
          <cell r="C627" t="str">
            <v>EZS8537</v>
          </cell>
          <cell r="D627">
            <v>760401029840509</v>
          </cell>
          <cell r="F627" t="str">
            <v>Tidak</v>
          </cell>
          <cell r="G627" t="str">
            <v>Tidak</v>
          </cell>
          <cell r="H627" t="str">
            <v>Tidak</v>
          </cell>
          <cell r="I627" t="str">
            <v>Bandar Judol Withdrawal</v>
          </cell>
          <cell r="J627">
            <v>35</v>
          </cell>
          <cell r="K627" t="str">
            <v>86,88,87</v>
          </cell>
          <cell r="L627" t="str">
            <v>Judi Online</v>
          </cell>
          <cell r="M627" t="str">
            <v xml:space="preserve">Kas Kanpus                              </v>
          </cell>
          <cell r="N627" t="str">
            <v xml:space="preserve">Kas Kanpus                              </v>
          </cell>
          <cell r="O627" t="str">
            <v xml:space="preserve">KAS KANPUS                              </v>
          </cell>
          <cell r="R627" t="str">
            <v>Belum TL</v>
          </cell>
          <cell r="S627" t="str">
            <v>Belum TL</v>
          </cell>
          <cell r="T627" t="str">
            <v>90185538 - Muhammad Fahikal Auz</v>
          </cell>
          <cell r="U627" t="str">
            <v>"-"</v>
          </cell>
        </row>
        <row r="628">
          <cell r="A628">
            <v>46265</v>
          </cell>
          <cell r="B628" t="str">
            <v xml:space="preserve">ENDANG MAULANA                          </v>
          </cell>
          <cell r="C628" t="str">
            <v>EZT0648</v>
          </cell>
          <cell r="D628">
            <v>775301000157562</v>
          </cell>
          <cell r="F628" t="str">
            <v>Tidak</v>
          </cell>
          <cell r="G628" t="str">
            <v>Tidak</v>
          </cell>
          <cell r="H628" t="str">
            <v>Tidak</v>
          </cell>
          <cell r="I628" t="str">
            <v>Bandar Judol Depo</v>
          </cell>
          <cell r="J628">
            <v>35</v>
          </cell>
          <cell r="K628" t="str">
            <v>86,74,87</v>
          </cell>
          <cell r="L628" t="str">
            <v>Judi Online</v>
          </cell>
          <cell r="M628" t="str">
            <v xml:space="preserve">Kas Kanpus                              </v>
          </cell>
          <cell r="N628" t="str">
            <v xml:space="preserve">Kas Kanpus                              </v>
          </cell>
          <cell r="O628" t="str">
            <v xml:space="preserve">KAS KANPUS                              </v>
          </cell>
          <cell r="R628" t="str">
            <v>Belum TL</v>
          </cell>
          <cell r="S628" t="str">
            <v>Belum TL</v>
          </cell>
          <cell r="T628" t="str">
            <v>00336949 - Mochammad Al Farabi</v>
          </cell>
          <cell r="U628" t="str">
            <v>"-"</v>
          </cell>
        </row>
        <row r="629">
          <cell r="A629">
            <v>46265</v>
          </cell>
          <cell r="B629" t="str">
            <v xml:space="preserve">FITRIYANI                               </v>
          </cell>
          <cell r="C629" t="str">
            <v>F105291</v>
          </cell>
          <cell r="D629">
            <v>56301003823500</v>
          </cell>
          <cell r="E629" t="str">
            <v>TINGGI</v>
          </cell>
          <cell r="F629" t="str">
            <v>Tidak</v>
          </cell>
          <cell r="G629" t="str">
            <v>Tidak</v>
          </cell>
          <cell r="H629" t="str">
            <v>Tidak</v>
          </cell>
          <cell r="I629" t="str">
            <v>Korupsi - Significant Trx View</v>
          </cell>
          <cell r="J629">
            <v>83</v>
          </cell>
          <cell r="K629">
            <v>1.19</v>
          </cell>
          <cell r="L629" t="str">
            <v>Korupsi</v>
          </cell>
          <cell r="M629" t="str">
            <v>Kas Kanpus</v>
          </cell>
          <cell r="N629" t="str">
            <v>Kas Kanpus</v>
          </cell>
          <cell r="O629" t="str">
            <v>KAS KANPUS</v>
          </cell>
          <cell r="R629" t="str">
            <v>Belum TL</v>
          </cell>
          <cell r="S629" t="str">
            <v>Belum TL</v>
          </cell>
          <cell r="T629" t="str">
            <v>90150130 - Intan Aida Pratiwi</v>
          </cell>
          <cell r="U629" t="str">
            <v>"-"</v>
          </cell>
        </row>
        <row r="630">
          <cell r="A630">
            <v>46265</v>
          </cell>
          <cell r="B630" t="str">
            <v xml:space="preserve">FAJARRAYA USAHA NUSA PT                 </v>
          </cell>
          <cell r="C630" t="str">
            <v>F432564</v>
          </cell>
          <cell r="D630">
            <v>22701032814104</v>
          </cell>
          <cell r="E630" t="str">
            <v>SEDANG</v>
          </cell>
          <cell r="F630" t="str">
            <v>Tidak</v>
          </cell>
          <cell r="G630" t="str">
            <v>Tidak</v>
          </cell>
          <cell r="H630" t="str">
            <v>Tidak</v>
          </cell>
          <cell r="I630" t="str">
            <v>Korupsi - Loan View</v>
          </cell>
          <cell r="J630">
            <v>48</v>
          </cell>
          <cell r="K630">
            <v>15</v>
          </cell>
          <cell r="L630" t="str">
            <v>Korupsi</v>
          </cell>
          <cell r="M630" t="str">
            <v>Kas Kanpus</v>
          </cell>
          <cell r="N630" t="str">
            <v>Kas Kanpus</v>
          </cell>
          <cell r="O630" t="str">
            <v>KAS KANPUS</v>
          </cell>
          <cell r="R630" t="str">
            <v>Belum TL</v>
          </cell>
          <cell r="S630" t="str">
            <v>Belum TL</v>
          </cell>
          <cell r="T630" t="str">
            <v>00394521 - Muhammad Hibbanduta</v>
          </cell>
          <cell r="U630" t="str">
            <v>"-"</v>
          </cell>
        </row>
        <row r="631">
          <cell r="A631">
            <v>46265</v>
          </cell>
          <cell r="B631" t="str">
            <v xml:space="preserve">FAKHRI ZAKIR                            </v>
          </cell>
          <cell r="C631" t="str">
            <v>F616812</v>
          </cell>
          <cell r="D631">
            <v>547101000055566</v>
          </cell>
          <cell r="E631" t="str">
            <v>SEDANG</v>
          </cell>
          <cell r="F631" t="str">
            <v>Tidak</v>
          </cell>
          <cell r="G631" t="str">
            <v>Tidak</v>
          </cell>
          <cell r="H631" t="str">
            <v>Tidak</v>
          </cell>
          <cell r="I631" t="str">
            <v>Korupsi - Significant Trx View</v>
          </cell>
          <cell r="J631">
            <v>58</v>
          </cell>
          <cell r="K631">
            <v>1.19</v>
          </cell>
          <cell r="L631" t="str">
            <v>Korupsi</v>
          </cell>
          <cell r="M631" t="str">
            <v>Kas Kanpus</v>
          </cell>
          <cell r="N631" t="str">
            <v>Kas Kanpus</v>
          </cell>
          <cell r="O631" t="str">
            <v>KAS KANPUS</v>
          </cell>
          <cell r="R631" t="str">
            <v>Belum TL</v>
          </cell>
          <cell r="S631" t="str">
            <v>Belum TL</v>
          </cell>
          <cell r="T631" t="str">
            <v>90186790 - Muhammad Alfin Farha</v>
          </cell>
          <cell r="U631" t="str">
            <v>"-"</v>
          </cell>
        </row>
        <row r="632">
          <cell r="A632">
            <v>46265</v>
          </cell>
          <cell r="B632" t="str">
            <v xml:space="preserve">FARID SUJIANTO                          </v>
          </cell>
          <cell r="C632" t="str">
            <v>F655055</v>
          </cell>
          <cell r="D632">
            <v>210001000828561</v>
          </cell>
          <cell r="E632" t="str">
            <v>TINGGI</v>
          </cell>
          <cell r="F632" t="str">
            <v>Tidak</v>
          </cell>
          <cell r="G632" t="str">
            <v>Tidak</v>
          </cell>
          <cell r="H632" t="str">
            <v>Tidak</v>
          </cell>
          <cell r="I632" t="str">
            <v>Korupsi - Cash &amp; Amount</v>
          </cell>
          <cell r="J632">
            <v>73</v>
          </cell>
          <cell r="K632" t="str">
            <v>1,2,20</v>
          </cell>
          <cell r="L632" t="str">
            <v>Korupsi</v>
          </cell>
          <cell r="M632" t="str">
            <v>Kas Kanpus</v>
          </cell>
          <cell r="N632" t="str">
            <v>Kas Kanpus</v>
          </cell>
          <cell r="O632" t="str">
            <v>KAS KANPUS</v>
          </cell>
          <cell r="R632" t="str">
            <v>Belum TL</v>
          </cell>
          <cell r="S632" t="str">
            <v>Belum TL</v>
          </cell>
          <cell r="T632" t="str">
            <v>90171841 - Rifqi Aziz</v>
          </cell>
          <cell r="U632" t="str">
            <v>"-"</v>
          </cell>
        </row>
        <row r="633">
          <cell r="A633">
            <v>46265</v>
          </cell>
          <cell r="B633" t="str">
            <v xml:space="preserve">FITRI                                   </v>
          </cell>
          <cell r="C633" t="str">
            <v>F665128</v>
          </cell>
          <cell r="D633">
            <v>110101000881150</v>
          </cell>
          <cell r="E633" t="str">
            <v>TINGGI</v>
          </cell>
          <cell r="F633" t="str">
            <v>Tidak</v>
          </cell>
          <cell r="G633" t="str">
            <v>Tidak</v>
          </cell>
          <cell r="H633" t="str">
            <v>Tidak</v>
          </cell>
          <cell r="I633" t="str">
            <v>Korupsi - Loan View</v>
          </cell>
          <cell r="J633">
            <v>83</v>
          </cell>
          <cell r="K633">
            <v>15</v>
          </cell>
          <cell r="L633" t="str">
            <v>Korupsi</v>
          </cell>
          <cell r="M633" t="str">
            <v>Kas Kanpus</v>
          </cell>
          <cell r="N633" t="str">
            <v>Kas Kanpus</v>
          </cell>
          <cell r="O633" t="str">
            <v>KAS KANPUS</v>
          </cell>
          <cell r="R633" t="str">
            <v>Belum TL</v>
          </cell>
          <cell r="S633" t="str">
            <v>Belum TL</v>
          </cell>
          <cell r="T633" t="str">
            <v>90186796 - Devito Arya Wiradila</v>
          </cell>
          <cell r="U633" t="str">
            <v>"-"</v>
          </cell>
        </row>
        <row r="634">
          <cell r="A634">
            <v>46265</v>
          </cell>
          <cell r="B634" t="str">
            <v xml:space="preserve">FIRMAN SYAH                             </v>
          </cell>
          <cell r="C634" t="str">
            <v>F721933</v>
          </cell>
          <cell r="D634">
            <v>19201041646101</v>
          </cell>
          <cell r="E634" t="str">
            <v>RENDAH</v>
          </cell>
          <cell r="F634" t="str">
            <v>Tidak</v>
          </cell>
          <cell r="G634" t="str">
            <v>Tidak</v>
          </cell>
          <cell r="H634" t="str">
            <v>Tidak</v>
          </cell>
          <cell r="I634" t="str">
            <v>Korupsi - Loan View</v>
          </cell>
          <cell r="J634">
            <v>33</v>
          </cell>
          <cell r="K634">
            <v>15</v>
          </cell>
          <cell r="L634" t="str">
            <v>Korupsi</v>
          </cell>
          <cell r="M634" t="str">
            <v>Kas Kanpus</v>
          </cell>
          <cell r="N634" t="str">
            <v>Kas Kanpus</v>
          </cell>
          <cell r="O634" t="str">
            <v>KAS KANPUS</v>
          </cell>
          <cell r="R634" t="str">
            <v>Belum TL</v>
          </cell>
          <cell r="S634" t="str">
            <v>Belum TL</v>
          </cell>
          <cell r="T634" t="str">
            <v>00336949 - Mochammad Al Farabi</v>
          </cell>
          <cell r="U634" t="str">
            <v>"-"</v>
          </cell>
        </row>
        <row r="635">
          <cell r="A635">
            <v>46265</v>
          </cell>
          <cell r="B635" t="str">
            <v xml:space="preserve">FADLY LAPALANTI                         </v>
          </cell>
          <cell r="C635" t="str">
            <v>F778361</v>
          </cell>
          <cell r="D635">
            <v>518101020877109</v>
          </cell>
          <cell r="E635" t="str">
            <v>SEDANG</v>
          </cell>
          <cell r="F635" t="str">
            <v>Tidak</v>
          </cell>
          <cell r="G635" t="str">
            <v>Tidak</v>
          </cell>
          <cell r="H635" t="str">
            <v>Tidak</v>
          </cell>
          <cell r="I635" t="str">
            <v>Korupsi - Loan View</v>
          </cell>
          <cell r="J635">
            <v>48</v>
          </cell>
          <cell r="K635">
            <v>15</v>
          </cell>
          <cell r="L635" t="str">
            <v>Korupsi</v>
          </cell>
          <cell r="M635" t="str">
            <v>Kas Kanpus</v>
          </cell>
          <cell r="N635" t="str">
            <v>Kas Kanpus</v>
          </cell>
          <cell r="O635" t="str">
            <v>KAS KANPUS</v>
          </cell>
          <cell r="R635" t="str">
            <v>Belum TL</v>
          </cell>
          <cell r="S635" t="str">
            <v>Belum TL</v>
          </cell>
          <cell r="T635" t="str">
            <v>90170665 - Mutiara Ayuningtyas</v>
          </cell>
          <cell r="U635" t="str">
            <v>"-"</v>
          </cell>
        </row>
        <row r="636">
          <cell r="A636">
            <v>46265</v>
          </cell>
          <cell r="B636" t="str">
            <v xml:space="preserve">FARID YUDHAWIRAWAN                      </v>
          </cell>
          <cell r="C636" t="str">
            <v>F805097</v>
          </cell>
          <cell r="D636">
            <v>20601375226109</v>
          </cell>
          <cell r="E636" t="str">
            <v>SEDANG</v>
          </cell>
          <cell r="F636" t="str">
            <v>Tidak</v>
          </cell>
          <cell r="G636" t="str">
            <v>Ya</v>
          </cell>
          <cell r="H636" t="str">
            <v>Tidak</v>
          </cell>
          <cell r="I636" t="str">
            <v>Korupsi - Loan View</v>
          </cell>
          <cell r="J636">
            <v>68</v>
          </cell>
          <cell r="K636">
            <v>15</v>
          </cell>
          <cell r="L636" t="str">
            <v>Korupsi</v>
          </cell>
          <cell r="M636" t="str">
            <v>Kas Kanpus</v>
          </cell>
          <cell r="N636" t="str">
            <v>Kas Kanpus</v>
          </cell>
          <cell r="O636" t="str">
            <v>KAS KANPUS</v>
          </cell>
          <cell r="R636" t="str">
            <v>Belum TL</v>
          </cell>
          <cell r="S636" t="str">
            <v>Belum TL</v>
          </cell>
          <cell r="T636" t="str">
            <v>90171841 - Rifqi Aziz</v>
          </cell>
          <cell r="U636" t="str">
            <v>"-"</v>
          </cell>
        </row>
        <row r="637">
          <cell r="A637">
            <v>46265</v>
          </cell>
          <cell r="B637" t="str">
            <v xml:space="preserve">FITRIA SARBINI MITRA MANDIRI            </v>
          </cell>
          <cell r="C637" t="str">
            <v>FA07930</v>
          </cell>
          <cell r="D637">
            <v>24201040140105</v>
          </cell>
          <cell r="E637" t="str">
            <v>SEDANG</v>
          </cell>
          <cell r="F637" t="str">
            <v>Tidak</v>
          </cell>
          <cell r="G637" t="str">
            <v>Tidak</v>
          </cell>
          <cell r="H637" t="str">
            <v>Tidak</v>
          </cell>
          <cell r="I637" t="str">
            <v>Korupsi - Loan View</v>
          </cell>
          <cell r="J637">
            <v>48</v>
          </cell>
          <cell r="K637">
            <v>15</v>
          </cell>
          <cell r="L637" t="str">
            <v>Korupsi</v>
          </cell>
          <cell r="M637" t="str">
            <v>Kas Kanpus</v>
          </cell>
          <cell r="N637" t="str">
            <v>Kas Kanpus</v>
          </cell>
          <cell r="O637" t="str">
            <v>KAS KANPUS</v>
          </cell>
          <cell r="R637" t="str">
            <v>Belum TL</v>
          </cell>
          <cell r="S637" t="str">
            <v>Belum TL</v>
          </cell>
          <cell r="T637" t="str">
            <v>90150130 - Intan Aida Pratiwi</v>
          </cell>
          <cell r="U637" t="str">
            <v>"-"</v>
          </cell>
        </row>
        <row r="638">
          <cell r="A638">
            <v>46265</v>
          </cell>
          <cell r="B638" t="str">
            <v xml:space="preserve">EKA SAFITRI                             </v>
          </cell>
          <cell r="C638" t="str">
            <v>EZU9673</v>
          </cell>
          <cell r="D638">
            <v>334501010434501</v>
          </cell>
          <cell r="F638" t="str">
            <v>Tidak</v>
          </cell>
          <cell r="G638" t="str">
            <v>Tidak</v>
          </cell>
          <cell r="H638" t="str">
            <v>Tidak</v>
          </cell>
          <cell r="I638" t="str">
            <v>Bandar Judol Depo</v>
          </cell>
          <cell r="J638">
            <v>35</v>
          </cell>
          <cell r="K638" t="str">
            <v>86,74,87</v>
          </cell>
          <cell r="L638" t="str">
            <v>Judi Online</v>
          </cell>
          <cell r="M638" t="str">
            <v xml:space="preserve">Kas Kanpus                              </v>
          </cell>
          <cell r="N638" t="str">
            <v xml:space="preserve">Kas Kanpus                              </v>
          </cell>
          <cell r="O638" t="str">
            <v xml:space="preserve">KAS KANPUS                              </v>
          </cell>
          <cell r="R638" t="str">
            <v>Belum TL</v>
          </cell>
          <cell r="S638" t="str">
            <v>Belum TL</v>
          </cell>
          <cell r="T638" t="str">
            <v>00336949 - Mochammad Al Farabi</v>
          </cell>
          <cell r="U638" t="str">
            <v>"-"</v>
          </cell>
        </row>
        <row r="639">
          <cell r="A639">
            <v>46265</v>
          </cell>
          <cell r="B639" t="str">
            <v xml:space="preserve">ERNA                                    </v>
          </cell>
          <cell r="C639" t="str">
            <v>EZX3035</v>
          </cell>
          <cell r="D639">
            <v>1901302544501</v>
          </cell>
          <cell r="F639" t="str">
            <v>Tidak</v>
          </cell>
          <cell r="G639" t="str">
            <v>Tidak</v>
          </cell>
          <cell r="I639" t="str">
            <v>Jual Beli Rekening - E channel Trx</v>
          </cell>
          <cell r="J639">
            <v>33</v>
          </cell>
          <cell r="K639">
            <v>113</v>
          </cell>
          <cell r="L639" t="str">
            <v>Narkotika/Judi Online/Penipuan</v>
          </cell>
          <cell r="M639" t="str">
            <v xml:space="preserve">KC JAKARTA KOTA                         </v>
          </cell>
          <cell r="N639" t="str">
            <v xml:space="preserve">KC JAKARTA KOTA                         </v>
          </cell>
          <cell r="O639" t="str">
            <v xml:space="preserve">KANWIL JAKARTA 3                        </v>
          </cell>
          <cell r="R639" t="str">
            <v>Belum TL</v>
          </cell>
          <cell r="S639" t="str">
            <v>Belum TL</v>
          </cell>
          <cell r="U639" t="str">
            <v>"-"</v>
          </cell>
        </row>
        <row r="640">
          <cell r="A640">
            <v>46265</v>
          </cell>
          <cell r="B640" t="str">
            <v xml:space="preserve">FRANSISKA BANAFANU                      </v>
          </cell>
          <cell r="C640" t="str">
            <v>FA94388</v>
          </cell>
          <cell r="D640">
            <v>3901041996100</v>
          </cell>
          <cell r="E640" t="str">
            <v>SEDANG</v>
          </cell>
          <cell r="F640" t="str">
            <v>Tidak</v>
          </cell>
          <cell r="G640" t="str">
            <v>Tidak</v>
          </cell>
          <cell r="H640" t="str">
            <v>Tidak</v>
          </cell>
          <cell r="I640" t="str">
            <v>Korupsi - Loan View</v>
          </cell>
          <cell r="J640">
            <v>48</v>
          </cell>
          <cell r="K640">
            <v>15</v>
          </cell>
          <cell r="L640" t="str">
            <v>Korupsi</v>
          </cell>
          <cell r="M640" t="str">
            <v>Kas Kanpus</v>
          </cell>
          <cell r="N640" t="str">
            <v>Kas Kanpus</v>
          </cell>
          <cell r="O640" t="str">
            <v>KAS KANPUS</v>
          </cell>
          <cell r="R640" t="str">
            <v>Belum TL</v>
          </cell>
          <cell r="S640" t="str">
            <v>Belum TL</v>
          </cell>
          <cell r="T640" t="str">
            <v>90185538 - Muhammad Fahikal Auz</v>
          </cell>
          <cell r="U640" t="str">
            <v>"-"</v>
          </cell>
        </row>
        <row r="641">
          <cell r="A641">
            <v>46265</v>
          </cell>
          <cell r="B641" t="str">
            <v xml:space="preserve">FREDDY JOSEP PELAWI                     </v>
          </cell>
          <cell r="C641" t="str">
            <v>FAR7901</v>
          </cell>
          <cell r="D641">
            <v>324701008236103</v>
          </cell>
          <cell r="E641" t="str">
            <v>SEDANG</v>
          </cell>
          <cell r="F641" t="str">
            <v>Tidak</v>
          </cell>
          <cell r="G641" t="str">
            <v>Tidak</v>
          </cell>
          <cell r="H641" t="str">
            <v>Tidak</v>
          </cell>
          <cell r="I641" t="str">
            <v>Korupsi - Loan View</v>
          </cell>
          <cell r="J641">
            <v>48</v>
          </cell>
          <cell r="K641">
            <v>15</v>
          </cell>
          <cell r="L641" t="str">
            <v>Korupsi</v>
          </cell>
          <cell r="M641" t="str">
            <v>Kas Kanpus</v>
          </cell>
          <cell r="N641" t="str">
            <v>Kas Kanpus</v>
          </cell>
          <cell r="O641" t="str">
            <v>KAS KANPUS</v>
          </cell>
          <cell r="R641" t="str">
            <v>Belum TL</v>
          </cell>
          <cell r="S641" t="str">
            <v>Belum TL</v>
          </cell>
          <cell r="T641" t="str">
            <v>90186796 - Devito Arya Wiradila</v>
          </cell>
          <cell r="U641" t="str">
            <v>"-"</v>
          </cell>
        </row>
        <row r="642">
          <cell r="A642">
            <v>46265</v>
          </cell>
          <cell r="B642" t="str">
            <v xml:space="preserve">FENDY HARDIANTO                         </v>
          </cell>
          <cell r="C642" t="str">
            <v>FB63223</v>
          </cell>
          <cell r="D642">
            <v>5101060778101</v>
          </cell>
          <cell r="E642" t="str">
            <v>SEDANG</v>
          </cell>
          <cell r="F642" t="str">
            <v>Ya</v>
          </cell>
          <cell r="G642" t="str">
            <v>Ya</v>
          </cell>
          <cell r="H642" t="str">
            <v>Tidak</v>
          </cell>
          <cell r="I642" t="str">
            <v>Korupsi - Loan View</v>
          </cell>
          <cell r="J642">
            <v>58</v>
          </cell>
          <cell r="K642">
            <v>15</v>
          </cell>
          <cell r="L642" t="str">
            <v>Korupsi</v>
          </cell>
          <cell r="M642" t="str">
            <v>Kas Kanpus</v>
          </cell>
          <cell r="N642" t="str">
            <v>Kas Kanpus</v>
          </cell>
          <cell r="O642" t="str">
            <v>KAS KANPUS</v>
          </cell>
          <cell r="R642" t="str">
            <v>Belum TL</v>
          </cell>
          <cell r="S642" t="str">
            <v>Belum TL</v>
          </cell>
          <cell r="T642" t="str">
            <v>90185538 - Muhammad Fahikal Auz</v>
          </cell>
          <cell r="U642" t="str">
            <v>"-"</v>
          </cell>
        </row>
        <row r="643">
          <cell r="A643">
            <v>46265</v>
          </cell>
          <cell r="B643" t="str">
            <v xml:space="preserve">FEBRIWANTA S.KEMBAREN                   </v>
          </cell>
          <cell r="C643" t="str">
            <v>FBM4586</v>
          </cell>
          <cell r="D643">
            <v>782801005570536</v>
          </cell>
          <cell r="E643" t="str">
            <v>SEDANG</v>
          </cell>
          <cell r="F643" t="str">
            <v>Tidak</v>
          </cell>
          <cell r="G643" t="str">
            <v>Tidak</v>
          </cell>
          <cell r="H643" t="str">
            <v>Tidak</v>
          </cell>
          <cell r="I643" t="str">
            <v>Bandar Judol Withdrawal</v>
          </cell>
          <cell r="J643">
            <v>50</v>
          </cell>
          <cell r="K643" t="str">
            <v>86,88,87</v>
          </cell>
          <cell r="L643" t="str">
            <v>Judi Online</v>
          </cell>
          <cell r="M643" t="str">
            <v xml:space="preserve">Kas Kanpus                              </v>
          </cell>
          <cell r="N643" t="str">
            <v xml:space="preserve">Kas Kanpus                              </v>
          </cell>
          <cell r="O643" t="str">
            <v xml:space="preserve">KAS KANPUS                              </v>
          </cell>
          <cell r="R643" t="str">
            <v>Belum TL</v>
          </cell>
          <cell r="S643" t="str">
            <v>Belum TL</v>
          </cell>
          <cell r="T643" t="str">
            <v>90186790 - Muhammad Alfin Farha</v>
          </cell>
          <cell r="U643" t="str">
            <v>"-"</v>
          </cell>
        </row>
        <row r="644">
          <cell r="A644">
            <v>46265</v>
          </cell>
          <cell r="B644" t="str">
            <v xml:space="preserve">FITRIA BARAKATI                         </v>
          </cell>
          <cell r="C644" t="str">
            <v>FBS9020</v>
          </cell>
          <cell r="D644">
            <v>521301014039108</v>
          </cell>
          <cell r="E644" t="str">
            <v>RENDAH</v>
          </cell>
          <cell r="F644" t="str">
            <v>Tidak</v>
          </cell>
          <cell r="G644" t="str">
            <v>Tidak</v>
          </cell>
          <cell r="H644" t="str">
            <v>Tidak</v>
          </cell>
          <cell r="I644" t="str">
            <v>Korupsi - Loan View</v>
          </cell>
          <cell r="J644">
            <v>38</v>
          </cell>
          <cell r="K644">
            <v>15</v>
          </cell>
          <cell r="L644" t="str">
            <v>Korupsi</v>
          </cell>
          <cell r="M644" t="str">
            <v>Kas Kanpus</v>
          </cell>
          <cell r="N644" t="str">
            <v>Kas Kanpus</v>
          </cell>
          <cell r="O644" t="str">
            <v>KAS KANPUS</v>
          </cell>
          <cell r="R644" t="str">
            <v>Belum TL</v>
          </cell>
          <cell r="S644" t="str">
            <v>Belum TL</v>
          </cell>
          <cell r="T644" t="str">
            <v>90171841 - Rifqi Aziz</v>
          </cell>
          <cell r="U644" t="str">
            <v>"-"</v>
          </cell>
        </row>
        <row r="645">
          <cell r="A645">
            <v>46265</v>
          </cell>
          <cell r="B645" t="str">
            <v xml:space="preserve">FIRMANSYAH                              </v>
          </cell>
          <cell r="C645" t="str">
            <v>FBU7759</v>
          </cell>
          <cell r="D645">
            <v>509601033400530</v>
          </cell>
          <cell r="E645" t="str">
            <v>SEDANG</v>
          </cell>
          <cell r="F645" t="str">
            <v>Ya</v>
          </cell>
          <cell r="G645" t="str">
            <v>Tidak</v>
          </cell>
          <cell r="H645" t="str">
            <v>Tidak</v>
          </cell>
          <cell r="I645" t="str">
            <v>Transaksi Agen BRILink terindikasi Judi Online</v>
          </cell>
          <cell r="J645">
            <v>51</v>
          </cell>
          <cell r="K645">
            <v>105</v>
          </cell>
          <cell r="L645" t="str">
            <v>Agen BRILink</v>
          </cell>
          <cell r="M645" t="str">
            <v xml:space="preserve">Kas Kanpus                              </v>
          </cell>
          <cell r="N645" t="str">
            <v xml:space="preserve">Kas Kanpus                              </v>
          </cell>
          <cell r="O645" t="str">
            <v xml:space="preserve">KAS KANPUS                              </v>
          </cell>
          <cell r="R645" t="str">
            <v>Belum TL</v>
          </cell>
          <cell r="S645" t="str">
            <v>Belum TL</v>
          </cell>
          <cell r="T645" t="str">
            <v>00394520 - Frida Akbar Rani</v>
          </cell>
          <cell r="U645" t="str">
            <v>"-"</v>
          </cell>
        </row>
        <row r="646">
          <cell r="A646">
            <v>46265</v>
          </cell>
          <cell r="B646" t="str">
            <v xml:space="preserve">FAJRIZZIADI                             </v>
          </cell>
          <cell r="C646" t="str">
            <v>FBY6052</v>
          </cell>
          <cell r="D646">
            <v>4359720230786000</v>
          </cell>
          <cell r="E646" t="str">
            <v>RENDAH</v>
          </cell>
          <cell r="F646" t="str">
            <v>Tidak</v>
          </cell>
          <cell r="G646" t="str">
            <v>Tidak</v>
          </cell>
          <cell r="H646" t="str">
            <v>Tidak</v>
          </cell>
          <cell r="I646" t="str">
            <v>Penghindaran Pajak (Transaksi Fiktif)/Penyuapan CC</v>
          </cell>
          <cell r="J646">
            <v>30</v>
          </cell>
          <cell r="K646">
            <v>118</v>
          </cell>
          <cell r="L646" t="str">
            <v>Penyuapan / Penghindaran Pajak CC View</v>
          </cell>
          <cell r="M646" t="str">
            <v xml:space="preserve">Kas Kanpus                              </v>
          </cell>
          <cell r="N646" t="str">
            <v xml:space="preserve">Kas Kanpus                              </v>
          </cell>
          <cell r="O646" t="str">
            <v xml:space="preserve">KAS KANPUS                              </v>
          </cell>
          <cell r="R646" t="str">
            <v>Belum TL</v>
          </cell>
          <cell r="S646" t="str">
            <v>Belum TL</v>
          </cell>
          <cell r="T646" t="str">
            <v>00336949 - Mochammad Al Farabi</v>
          </cell>
          <cell r="U646" t="str">
            <v>"-"</v>
          </cell>
        </row>
        <row r="647">
          <cell r="A647">
            <v>46265</v>
          </cell>
          <cell r="B647" t="str">
            <v xml:space="preserve">FEBRIYANTO                              </v>
          </cell>
          <cell r="C647" t="str">
            <v>FC11451</v>
          </cell>
          <cell r="D647">
            <v>10901027229106</v>
          </cell>
          <cell r="E647" t="str">
            <v>RENDAH</v>
          </cell>
          <cell r="F647" t="str">
            <v>Tidak</v>
          </cell>
          <cell r="G647" t="str">
            <v>Tidak</v>
          </cell>
          <cell r="H647" t="str">
            <v>Tidak</v>
          </cell>
          <cell r="I647" t="str">
            <v>Korupsi - Loan View</v>
          </cell>
          <cell r="J647">
            <v>33</v>
          </cell>
          <cell r="K647">
            <v>15</v>
          </cell>
          <cell r="L647" t="str">
            <v>Korupsi</v>
          </cell>
          <cell r="M647" t="str">
            <v>Kas Kanpus</v>
          </cell>
          <cell r="N647" t="str">
            <v>Kas Kanpus</v>
          </cell>
          <cell r="O647" t="str">
            <v>KAS KANPUS</v>
          </cell>
          <cell r="R647" t="str">
            <v>Belum TL</v>
          </cell>
          <cell r="S647" t="str">
            <v>Belum TL</v>
          </cell>
          <cell r="T647" t="str">
            <v>90150130 - Intan Aida Pratiwi</v>
          </cell>
          <cell r="U647" t="str">
            <v>"-"</v>
          </cell>
        </row>
        <row r="648">
          <cell r="A648">
            <v>46265</v>
          </cell>
          <cell r="B648" t="str">
            <v xml:space="preserve">FERRY JOURNAL PASONGLI                  </v>
          </cell>
          <cell r="C648" t="str">
            <v>FC30585</v>
          </cell>
          <cell r="D648">
            <v>517901014991100</v>
          </cell>
          <cell r="E648" t="str">
            <v>SEDANG</v>
          </cell>
          <cell r="F648" t="str">
            <v>Tidak</v>
          </cell>
          <cell r="G648" t="str">
            <v>Tidak</v>
          </cell>
          <cell r="H648" t="str">
            <v>Tidak</v>
          </cell>
          <cell r="I648" t="str">
            <v>Korupsi - Loan View</v>
          </cell>
          <cell r="J648">
            <v>48</v>
          </cell>
          <cell r="K648">
            <v>15</v>
          </cell>
          <cell r="L648" t="str">
            <v>Korupsi</v>
          </cell>
          <cell r="M648" t="str">
            <v>Kas Kanpus</v>
          </cell>
          <cell r="N648" t="str">
            <v>Kas Kanpus</v>
          </cell>
          <cell r="O648" t="str">
            <v>KAS KANPUS</v>
          </cell>
          <cell r="R648" t="str">
            <v>Belum TL</v>
          </cell>
          <cell r="S648" t="str">
            <v>Belum TL</v>
          </cell>
          <cell r="T648" t="str">
            <v>90186796 - Devito Arya Wiradila</v>
          </cell>
          <cell r="U648" t="str">
            <v>"-"</v>
          </cell>
        </row>
        <row r="649">
          <cell r="A649">
            <v>46265</v>
          </cell>
          <cell r="B649" t="str">
            <v xml:space="preserve">FARHAN YUSUF                            </v>
          </cell>
          <cell r="C649" t="str">
            <v>FCH7726</v>
          </cell>
          <cell r="D649">
            <v>9801005904563</v>
          </cell>
          <cell r="E649" t="str">
            <v>SEDANG</v>
          </cell>
          <cell r="F649" t="str">
            <v>Tidak</v>
          </cell>
          <cell r="G649" t="str">
            <v>Tidak</v>
          </cell>
          <cell r="H649" t="str">
            <v>Tidak</v>
          </cell>
          <cell r="I649" t="str">
            <v>Bandar Judol Depo</v>
          </cell>
          <cell r="J649">
            <v>50</v>
          </cell>
          <cell r="K649" t="str">
            <v>86,74,87</v>
          </cell>
          <cell r="L649" t="str">
            <v>Judi Online</v>
          </cell>
          <cell r="M649" t="str">
            <v xml:space="preserve">Kas Kanpus                              </v>
          </cell>
          <cell r="N649" t="str">
            <v xml:space="preserve">Kas Kanpus                              </v>
          </cell>
          <cell r="O649" t="str">
            <v xml:space="preserve">KAS KANPUS                              </v>
          </cell>
          <cell r="R649" t="str">
            <v>Belum TL</v>
          </cell>
          <cell r="S649" t="str">
            <v>Belum TL</v>
          </cell>
          <cell r="T649" t="str">
            <v>90186796 - Devito Arya Wiradila</v>
          </cell>
          <cell r="U649" t="str">
            <v>"-"</v>
          </cell>
        </row>
        <row r="650">
          <cell r="A650">
            <v>46265</v>
          </cell>
          <cell r="B650" t="str">
            <v xml:space="preserve">FAUZAN ADHIMA                           </v>
          </cell>
          <cell r="C650" t="str">
            <v>FCO1187</v>
          </cell>
          <cell r="D650">
            <v>4359720283408040</v>
          </cell>
          <cell r="E650" t="str">
            <v>RENDAH</v>
          </cell>
          <cell r="F650" t="str">
            <v>Tidak</v>
          </cell>
          <cell r="G650" t="str">
            <v>Tidak</v>
          </cell>
          <cell r="H650" t="str">
            <v>Tidak</v>
          </cell>
          <cell r="I650" t="str">
            <v>Penghindaran Pajak (Transaksi Fiktif)/Penyuapan CC</v>
          </cell>
          <cell r="J650">
            <v>30</v>
          </cell>
          <cell r="K650">
            <v>118</v>
          </cell>
          <cell r="L650" t="str">
            <v>Penyuapan / Penghindaran Pajak CC View</v>
          </cell>
          <cell r="M650" t="str">
            <v xml:space="preserve">Kas Kanpus                              </v>
          </cell>
          <cell r="N650" t="str">
            <v xml:space="preserve">Kas Kanpus                              </v>
          </cell>
          <cell r="O650" t="str">
            <v xml:space="preserve">KAS KANPUS                              </v>
          </cell>
          <cell r="R650" t="str">
            <v>Belum TL</v>
          </cell>
          <cell r="S650" t="str">
            <v>Belum TL</v>
          </cell>
          <cell r="T650" t="str">
            <v>90185537 - Moh.Khoerul Fajar Ar</v>
          </cell>
          <cell r="U650" t="str">
            <v>"-"</v>
          </cell>
        </row>
        <row r="651">
          <cell r="A651">
            <v>46265</v>
          </cell>
          <cell r="B651" t="str">
            <v xml:space="preserve">FAKHTRAN YANTI                          </v>
          </cell>
          <cell r="C651" t="str">
            <v>FDD8250</v>
          </cell>
          <cell r="D651">
            <v>224101000693562</v>
          </cell>
          <cell r="E651" t="str">
            <v>SEDANG</v>
          </cell>
          <cell r="F651" t="str">
            <v>Tidak</v>
          </cell>
          <cell r="G651" t="str">
            <v>Tidak</v>
          </cell>
          <cell r="H651" t="str">
            <v>Tidak</v>
          </cell>
          <cell r="I651" t="str">
            <v>Bandar Judol Withdrawal</v>
          </cell>
          <cell r="J651">
            <v>50</v>
          </cell>
          <cell r="K651" t="str">
            <v>86,88,87</v>
          </cell>
          <cell r="L651" t="str">
            <v>Judi Online</v>
          </cell>
          <cell r="M651" t="str">
            <v xml:space="preserve">Kas Kanpus                              </v>
          </cell>
          <cell r="N651" t="str">
            <v xml:space="preserve">Kas Kanpus                              </v>
          </cell>
          <cell r="O651" t="str">
            <v xml:space="preserve">KAS KANPUS                              </v>
          </cell>
          <cell r="R651" t="str">
            <v>Belum TL</v>
          </cell>
          <cell r="S651" t="str">
            <v>Belum TL</v>
          </cell>
          <cell r="T651" t="str">
            <v>90150130 - Intan Aida Pratiwi</v>
          </cell>
          <cell r="U651" t="str">
            <v>"-"</v>
          </cell>
        </row>
        <row r="652">
          <cell r="A652">
            <v>46265</v>
          </cell>
          <cell r="B652" t="str">
            <v xml:space="preserve">FITRIANI                                </v>
          </cell>
          <cell r="C652" t="str">
            <v>FE59931</v>
          </cell>
          <cell r="D652">
            <v>532101051212532</v>
          </cell>
          <cell r="E652" t="str">
            <v>SEDANG</v>
          </cell>
          <cell r="F652" t="str">
            <v>Tidak</v>
          </cell>
          <cell r="G652" t="str">
            <v>Tidak</v>
          </cell>
          <cell r="H652" t="str">
            <v>Tidak</v>
          </cell>
          <cell r="I652" t="str">
            <v>Bandar Judol Withdrawal</v>
          </cell>
          <cell r="J652">
            <v>50</v>
          </cell>
          <cell r="K652" t="str">
            <v>86,88,87</v>
          </cell>
          <cell r="L652" t="str">
            <v>Judi Online</v>
          </cell>
          <cell r="M652" t="str">
            <v xml:space="preserve">Kas Kanpus                              </v>
          </cell>
          <cell r="N652" t="str">
            <v xml:space="preserve">Kas Kanpus                              </v>
          </cell>
          <cell r="O652" t="str">
            <v xml:space="preserve">KAS KANPUS                              </v>
          </cell>
          <cell r="R652" t="str">
            <v>Belum TL</v>
          </cell>
          <cell r="S652" t="str">
            <v>Belum TL</v>
          </cell>
          <cell r="T652" t="str">
            <v>90185537 - Moh.Khoerul Fajar Ar</v>
          </cell>
          <cell r="U652" t="str">
            <v>"-"</v>
          </cell>
        </row>
        <row r="653">
          <cell r="A653">
            <v>46265</v>
          </cell>
          <cell r="B653" t="str">
            <v xml:space="preserve">FAGAR FERTIWI FARDAH TUNISA AHMAD       </v>
          </cell>
          <cell r="C653" t="str">
            <v>FEZ3171</v>
          </cell>
          <cell r="D653">
            <v>16401502017153</v>
          </cell>
          <cell r="E653" t="str">
            <v>SEDANG</v>
          </cell>
          <cell r="F653" t="str">
            <v>Tidak</v>
          </cell>
          <cell r="G653" t="str">
            <v>Tidak</v>
          </cell>
          <cell r="H653" t="str">
            <v>Tidak</v>
          </cell>
          <cell r="I653" t="str">
            <v>Korupsi - Loan View</v>
          </cell>
          <cell r="J653">
            <v>48</v>
          </cell>
          <cell r="K653">
            <v>15</v>
          </cell>
          <cell r="L653" t="str">
            <v>Korupsi</v>
          </cell>
          <cell r="M653" t="str">
            <v>Kas Kanpus</v>
          </cell>
          <cell r="N653" t="str">
            <v>Kas Kanpus</v>
          </cell>
          <cell r="O653" t="str">
            <v>KAS KANPUS</v>
          </cell>
          <cell r="R653" t="str">
            <v>Belum TL</v>
          </cell>
          <cell r="S653" t="str">
            <v>Belum TL</v>
          </cell>
          <cell r="T653" t="str">
            <v>00336949 - Mochammad Al Farabi</v>
          </cell>
          <cell r="U653" t="str">
            <v>"-"</v>
          </cell>
        </row>
        <row r="654">
          <cell r="A654">
            <v>46243</v>
          </cell>
          <cell r="B654" t="str">
            <v xml:space="preserve">FAHUDIN                                 </v>
          </cell>
          <cell r="C654" t="str">
            <v>FF11539</v>
          </cell>
          <cell r="D654">
            <v>694101020947539</v>
          </cell>
          <cell r="E654" t="str">
            <v>SEDANG</v>
          </cell>
          <cell r="F654" t="str">
            <v>Tidak</v>
          </cell>
          <cell r="G654" t="str">
            <v>Tidak</v>
          </cell>
          <cell r="I654" t="str">
            <v>Teroris - Remark</v>
          </cell>
          <cell r="J654">
            <v>168</v>
          </cell>
          <cell r="K654">
            <v>50</v>
          </cell>
          <cell r="L654" t="str">
            <v>Terorisme</v>
          </cell>
          <cell r="M654" t="str">
            <v xml:space="preserve">Kas Kanpus                              </v>
          </cell>
          <cell r="N654" t="str">
            <v xml:space="preserve">Kas Kanpus                              </v>
          </cell>
          <cell r="O654" t="str">
            <v xml:space="preserve">KAS KANPUS                              </v>
          </cell>
          <cell r="R654" t="str">
            <v>Belum TL</v>
          </cell>
          <cell r="S654" t="str">
            <v>Belum TL</v>
          </cell>
          <cell r="T654" t="str">
            <v>00394521 - Muhammad Hibbanduta</v>
          </cell>
          <cell r="U654" t="str">
            <v>"-"</v>
          </cell>
        </row>
        <row r="655">
          <cell r="A655">
            <v>46265</v>
          </cell>
          <cell r="B655" t="str">
            <v xml:space="preserve">FRESTAMA JAYA                           </v>
          </cell>
          <cell r="C655" t="str">
            <v>FFA2052</v>
          </cell>
          <cell r="D655">
            <v>211501000187154</v>
          </cell>
          <cell r="E655" t="str">
            <v>SEDANG</v>
          </cell>
          <cell r="F655" t="str">
            <v>Tidak</v>
          </cell>
          <cell r="G655" t="str">
            <v>Tidak</v>
          </cell>
          <cell r="H655" t="str">
            <v>Tidak</v>
          </cell>
          <cell r="I655" t="str">
            <v>Korupsi - Loan View</v>
          </cell>
          <cell r="J655">
            <v>48</v>
          </cell>
          <cell r="K655">
            <v>15</v>
          </cell>
          <cell r="L655" t="str">
            <v>Korupsi</v>
          </cell>
          <cell r="M655" t="str">
            <v>Kas Kanpus</v>
          </cell>
          <cell r="N655" t="str">
            <v>Kas Kanpus</v>
          </cell>
          <cell r="O655" t="str">
            <v>KAS KANPUS</v>
          </cell>
          <cell r="R655" t="str">
            <v>Belum TL</v>
          </cell>
          <cell r="S655" t="str">
            <v>Belum TL</v>
          </cell>
          <cell r="T655" t="str">
            <v>00394521 - Muhammad Hibbanduta</v>
          </cell>
          <cell r="U655" t="str">
            <v>"-"</v>
          </cell>
        </row>
        <row r="656">
          <cell r="A656">
            <v>46265</v>
          </cell>
          <cell r="B656" t="str">
            <v xml:space="preserve">FRANCISCA TANTY DEWIJANI                </v>
          </cell>
          <cell r="C656" t="str">
            <v>FG28959</v>
          </cell>
          <cell r="D656">
            <v>32501003743302</v>
          </cell>
          <cell r="E656" t="str">
            <v>TINGGI</v>
          </cell>
          <cell r="F656" t="str">
            <v>Tidak</v>
          </cell>
          <cell r="G656" t="str">
            <v>Tidak</v>
          </cell>
          <cell r="H656" t="str">
            <v>Tidak</v>
          </cell>
          <cell r="I656" t="str">
            <v>Korupsi - Significant Trx View</v>
          </cell>
          <cell r="J656">
            <v>78</v>
          </cell>
          <cell r="K656">
            <v>1.19</v>
          </cell>
          <cell r="L656" t="str">
            <v>Korupsi</v>
          </cell>
          <cell r="M656" t="str">
            <v>Kas Kanpus</v>
          </cell>
          <cell r="N656" t="str">
            <v>Kas Kanpus</v>
          </cell>
          <cell r="O656" t="str">
            <v>KAS KANPUS</v>
          </cell>
          <cell r="R656" t="str">
            <v>Belum TL</v>
          </cell>
          <cell r="S656" t="str">
            <v>Belum TL</v>
          </cell>
          <cell r="T656" t="str">
            <v>90186790 - Muhammad Alfin Farha</v>
          </cell>
          <cell r="U656" t="str">
            <v>"-"</v>
          </cell>
        </row>
        <row r="657">
          <cell r="A657">
            <v>46265</v>
          </cell>
          <cell r="B657" t="str">
            <v xml:space="preserve">FARISA PUTRI                            </v>
          </cell>
          <cell r="C657" t="str">
            <v>FHL1856</v>
          </cell>
          <cell r="D657">
            <v>33801067228501</v>
          </cell>
          <cell r="E657" t="str">
            <v>SEDANG</v>
          </cell>
          <cell r="F657" t="str">
            <v>Tidak</v>
          </cell>
          <cell r="G657" t="str">
            <v>Tidak</v>
          </cell>
          <cell r="H657" t="str">
            <v>Tidak</v>
          </cell>
          <cell r="I657" t="str">
            <v>Bandar Judol Withdrawal</v>
          </cell>
          <cell r="J657">
            <v>50</v>
          </cell>
          <cell r="K657" t="str">
            <v>86,88,87</v>
          </cell>
          <cell r="L657" t="str">
            <v>Judi Online</v>
          </cell>
          <cell r="M657" t="str">
            <v xml:space="preserve">Kas Kanpus                              </v>
          </cell>
          <cell r="N657" t="str">
            <v xml:space="preserve">Kas Kanpus                              </v>
          </cell>
          <cell r="O657" t="str">
            <v xml:space="preserve">KAS KANPUS                              </v>
          </cell>
          <cell r="R657" t="str">
            <v>Belum TL</v>
          </cell>
          <cell r="S657" t="str">
            <v>Belum TL</v>
          </cell>
          <cell r="T657" t="str">
            <v>90185538 - Muhammad Fahikal Auz</v>
          </cell>
          <cell r="U657" t="str">
            <v>"-"</v>
          </cell>
        </row>
        <row r="658">
          <cell r="A658">
            <v>46265</v>
          </cell>
          <cell r="B658" t="str">
            <v xml:space="preserve">FENDY                                   </v>
          </cell>
          <cell r="C658" t="str">
            <v>FHO9200</v>
          </cell>
          <cell r="D658">
            <v>54101019811505</v>
          </cell>
          <cell r="E658" t="str">
            <v>SEDANG</v>
          </cell>
          <cell r="F658" t="str">
            <v>Tidak</v>
          </cell>
          <cell r="G658" t="str">
            <v>Tidak</v>
          </cell>
          <cell r="H658" t="str">
            <v>Tidak</v>
          </cell>
          <cell r="I658" t="str">
            <v>Money Mules</v>
          </cell>
          <cell r="J658">
            <v>53</v>
          </cell>
          <cell r="K658">
            <v>77</v>
          </cell>
          <cell r="L658" t="str">
            <v>Narkotika/Judi Online</v>
          </cell>
          <cell r="M658" t="str">
            <v xml:space="preserve">Kas Kanpus                              </v>
          </cell>
          <cell r="N658" t="str">
            <v xml:space="preserve">Kas Kanpus                              </v>
          </cell>
          <cell r="O658" t="str">
            <v xml:space="preserve">KAS KANPUS                              </v>
          </cell>
          <cell r="R658" t="str">
            <v>Belum TL</v>
          </cell>
          <cell r="S658" t="str">
            <v>Belum TL</v>
          </cell>
          <cell r="T658" t="str">
            <v>90150130 - Intan Aida Pratiwi</v>
          </cell>
          <cell r="U658" t="str">
            <v>"-"</v>
          </cell>
        </row>
        <row r="659">
          <cell r="A659">
            <v>46265</v>
          </cell>
          <cell r="B659" t="str">
            <v xml:space="preserve">FITRI HARIATI                           </v>
          </cell>
          <cell r="C659" t="str">
            <v>FI22051</v>
          </cell>
          <cell r="D659">
            <v>40401052108507</v>
          </cell>
          <cell r="E659" t="str">
            <v>SEDANG</v>
          </cell>
          <cell r="F659" t="str">
            <v>Tidak</v>
          </cell>
          <cell r="G659" t="str">
            <v>Tidak</v>
          </cell>
          <cell r="H659" t="str">
            <v>Tidak</v>
          </cell>
          <cell r="I659" t="str">
            <v>Bandar Judol Withdrawal</v>
          </cell>
          <cell r="J659">
            <v>50</v>
          </cell>
          <cell r="K659" t="str">
            <v>86,88,87</v>
          </cell>
          <cell r="L659" t="str">
            <v>Judi Online</v>
          </cell>
          <cell r="M659" t="str">
            <v xml:space="preserve">Kas Kanpus                              </v>
          </cell>
          <cell r="N659" t="str">
            <v xml:space="preserve">Kas Kanpus                              </v>
          </cell>
          <cell r="O659" t="str">
            <v xml:space="preserve">KAS KANPUS                              </v>
          </cell>
          <cell r="R659" t="str">
            <v>Belum TL</v>
          </cell>
          <cell r="S659" t="str">
            <v>Belum TL</v>
          </cell>
          <cell r="T659" t="str">
            <v>90150130 - Intan Aida Pratiwi</v>
          </cell>
          <cell r="U659" t="str">
            <v>"-"</v>
          </cell>
        </row>
        <row r="660">
          <cell r="A660">
            <v>46265</v>
          </cell>
          <cell r="B660" t="str">
            <v xml:space="preserve">FITRI OKTAVIANI                         </v>
          </cell>
          <cell r="C660" t="str">
            <v>FIA9501</v>
          </cell>
          <cell r="D660">
            <v>385501004724505</v>
          </cell>
          <cell r="F660" t="str">
            <v>Tidak</v>
          </cell>
          <cell r="G660" t="str">
            <v>Tidak</v>
          </cell>
          <cell r="I660" t="str">
            <v>Jual Beli Rekening - E channel Trx</v>
          </cell>
          <cell r="J660">
            <v>33</v>
          </cell>
          <cell r="K660">
            <v>113</v>
          </cell>
          <cell r="L660" t="str">
            <v>Narkotika/Judi Online/Penipuan</v>
          </cell>
          <cell r="M660" t="str">
            <v xml:space="preserve">UNIT YUMAGA SERANG                      </v>
          </cell>
          <cell r="N660" t="str">
            <v xml:space="preserve">KC Serang                               </v>
          </cell>
          <cell r="O660" t="str">
            <v xml:space="preserve">KANWIL JAKARTA 3                        </v>
          </cell>
          <cell r="R660" t="str">
            <v>Belum TL</v>
          </cell>
          <cell r="S660" t="str">
            <v>Belum TL</v>
          </cell>
          <cell r="U660" t="str">
            <v>"-"</v>
          </cell>
        </row>
        <row r="661">
          <cell r="A661">
            <v>46254</v>
          </cell>
          <cell r="B661" t="str">
            <v xml:space="preserve">FARHAN                                  </v>
          </cell>
          <cell r="C661" t="str">
            <v>FIB6693</v>
          </cell>
          <cell r="D661">
            <v>6101027476531</v>
          </cell>
          <cell r="E661" t="str">
            <v>SEDANG</v>
          </cell>
          <cell r="F661" t="str">
            <v>Tidak</v>
          </cell>
          <cell r="G661" t="str">
            <v>Tidak</v>
          </cell>
          <cell r="I661" t="str">
            <v>Teroris - Remark</v>
          </cell>
          <cell r="J661">
            <v>168</v>
          </cell>
          <cell r="K661">
            <v>50</v>
          </cell>
          <cell r="L661" t="str">
            <v>Terorisme</v>
          </cell>
          <cell r="M661" t="str">
            <v xml:space="preserve">Kas Kanpus                              </v>
          </cell>
          <cell r="N661" t="str">
            <v xml:space="preserve">Kas Kanpus                              </v>
          </cell>
          <cell r="O661" t="str">
            <v xml:space="preserve">KAS KANPUS                              </v>
          </cell>
          <cell r="R661" t="str">
            <v>Belum TL</v>
          </cell>
          <cell r="S661" t="str">
            <v>Belum TL</v>
          </cell>
          <cell r="T661" t="str">
            <v>90150130 - Intan Aida Pratiwi</v>
          </cell>
          <cell r="U661" t="str">
            <v>"-"</v>
          </cell>
        </row>
        <row r="662">
          <cell r="A662">
            <v>46265</v>
          </cell>
          <cell r="B662" t="str">
            <v xml:space="preserve">PRISILLA CHIKITA MAYDI                  </v>
          </cell>
          <cell r="C662" t="str">
            <v>FIG2879</v>
          </cell>
          <cell r="D662">
            <v>39901057202509</v>
          </cell>
          <cell r="E662" t="str">
            <v>SEDANG</v>
          </cell>
          <cell r="F662" t="str">
            <v>Tidak</v>
          </cell>
          <cell r="G662" t="str">
            <v>Tidak</v>
          </cell>
          <cell r="H662" t="str">
            <v>Tidak</v>
          </cell>
          <cell r="I662" t="str">
            <v>Bandar Judol Withdrawal</v>
          </cell>
          <cell r="J662">
            <v>50</v>
          </cell>
          <cell r="K662" t="str">
            <v>86,88,87</v>
          </cell>
          <cell r="L662" t="str">
            <v>Judi Online</v>
          </cell>
          <cell r="M662" t="str">
            <v xml:space="preserve">Kas Kanpus                              </v>
          </cell>
          <cell r="N662" t="str">
            <v xml:space="preserve">Kas Kanpus                              </v>
          </cell>
          <cell r="O662" t="str">
            <v xml:space="preserve">KAS KANPUS                              </v>
          </cell>
          <cell r="R662" t="str">
            <v>Belum TL</v>
          </cell>
          <cell r="S662" t="str">
            <v>Belum TL</v>
          </cell>
          <cell r="T662" t="str">
            <v>90186790 - Muhammad Alfin Farha</v>
          </cell>
          <cell r="U662" t="str">
            <v>"-"</v>
          </cell>
        </row>
        <row r="663">
          <cell r="A663">
            <v>46265</v>
          </cell>
          <cell r="B663" t="str">
            <v xml:space="preserve">FRANSISKUS ALFONSUS                     </v>
          </cell>
          <cell r="C663" t="str">
            <v>FIM9873</v>
          </cell>
          <cell r="D663">
            <v>361801020705101</v>
          </cell>
          <cell r="E663" t="str">
            <v>RENDAH</v>
          </cell>
          <cell r="F663" t="str">
            <v>Tidak</v>
          </cell>
          <cell r="G663" t="str">
            <v>Tidak</v>
          </cell>
          <cell r="H663" t="str">
            <v>Tidak</v>
          </cell>
          <cell r="I663" t="str">
            <v>Korupsi - Loan View</v>
          </cell>
          <cell r="J663">
            <v>33</v>
          </cell>
          <cell r="K663">
            <v>15</v>
          </cell>
          <cell r="L663" t="str">
            <v>Korupsi</v>
          </cell>
          <cell r="M663" t="str">
            <v>Kas Kanpus</v>
          </cell>
          <cell r="N663" t="str">
            <v>Kas Kanpus</v>
          </cell>
          <cell r="O663" t="str">
            <v>KAS KANPUS</v>
          </cell>
          <cell r="R663" t="str">
            <v>Belum TL</v>
          </cell>
          <cell r="S663" t="str">
            <v>Belum TL</v>
          </cell>
          <cell r="T663" t="str">
            <v>00394520 - Frida Akbar Rani</v>
          </cell>
          <cell r="U663" t="str">
            <v>"-"</v>
          </cell>
        </row>
        <row r="664">
          <cell r="A664">
            <v>46265</v>
          </cell>
          <cell r="B664" t="str">
            <v xml:space="preserve">FEBIANTY AZHARI                         </v>
          </cell>
          <cell r="C664" t="str">
            <v>FIW1592</v>
          </cell>
          <cell r="D664">
            <v>23801040655533</v>
          </cell>
          <cell r="E664" t="str">
            <v>SEDANG</v>
          </cell>
          <cell r="F664" t="str">
            <v>Tidak</v>
          </cell>
          <cell r="G664" t="str">
            <v>Tidak</v>
          </cell>
          <cell r="H664" t="str">
            <v>Tidak</v>
          </cell>
          <cell r="I664" t="str">
            <v>Bandar Judol Withdrawal</v>
          </cell>
          <cell r="J664">
            <v>50</v>
          </cell>
          <cell r="K664" t="str">
            <v>86,88,87</v>
          </cell>
          <cell r="L664" t="str">
            <v>Judi Online</v>
          </cell>
          <cell r="M664" t="str">
            <v xml:space="preserve">Kas Kanpus                              </v>
          </cell>
          <cell r="N664" t="str">
            <v xml:space="preserve">Kas Kanpus                              </v>
          </cell>
          <cell r="O664" t="str">
            <v xml:space="preserve">KAS KANPUS                              </v>
          </cell>
          <cell r="R664" t="str">
            <v>Belum TL</v>
          </cell>
          <cell r="S664" t="str">
            <v>Belum TL</v>
          </cell>
          <cell r="T664" t="str">
            <v>00394521 - Muhammad Hibbanduta</v>
          </cell>
          <cell r="U664" t="str">
            <v>"-"</v>
          </cell>
        </row>
        <row r="665">
          <cell r="A665">
            <v>46265</v>
          </cell>
          <cell r="B665" t="str">
            <v xml:space="preserve">FORKORUS YABOISEMBUT                    </v>
          </cell>
          <cell r="C665" t="str">
            <v>FJ80082</v>
          </cell>
          <cell r="D665">
            <v>753301003837533</v>
          </cell>
          <cell r="E665" t="str">
            <v>SEDANG</v>
          </cell>
          <cell r="F665" t="str">
            <v>Tidak</v>
          </cell>
          <cell r="G665" t="str">
            <v>Tidak</v>
          </cell>
          <cell r="H665" t="str">
            <v>Tidak</v>
          </cell>
          <cell r="I665" t="str">
            <v>Terorisme - SIPENDAR</v>
          </cell>
          <cell r="J665">
            <v>170</v>
          </cell>
          <cell r="K665">
            <v>36</v>
          </cell>
          <cell r="L665" t="str">
            <v>Terorisme</v>
          </cell>
          <cell r="M665" t="str">
            <v xml:space="preserve">Kas Kanpus                              </v>
          </cell>
          <cell r="N665" t="str">
            <v xml:space="preserve">Kas Kanpus                              </v>
          </cell>
          <cell r="O665" t="str">
            <v xml:space="preserve">KAS KANPUS                              </v>
          </cell>
          <cell r="R665" t="str">
            <v>Belum TL</v>
          </cell>
          <cell r="S665" t="str">
            <v>Belum TL</v>
          </cell>
          <cell r="T665" t="str">
            <v>90171841 - Rifqi Aziz</v>
          </cell>
          <cell r="U665" t="str">
            <v>"-"</v>
          </cell>
        </row>
        <row r="666">
          <cell r="A666">
            <v>46265</v>
          </cell>
          <cell r="B666" t="str">
            <v xml:space="preserve">FEBRY JOHANNES                          </v>
          </cell>
          <cell r="C666" t="str">
            <v>FK36535</v>
          </cell>
          <cell r="D666">
            <v>20601370962108</v>
          </cell>
          <cell r="E666" t="str">
            <v>SEDANG</v>
          </cell>
          <cell r="F666" t="str">
            <v>Tidak</v>
          </cell>
          <cell r="G666" t="str">
            <v>Tidak</v>
          </cell>
          <cell r="H666" t="str">
            <v>Tidak</v>
          </cell>
          <cell r="I666" t="str">
            <v>Korupsi - Loan View</v>
          </cell>
          <cell r="J666">
            <v>48</v>
          </cell>
          <cell r="K666">
            <v>15</v>
          </cell>
          <cell r="L666" t="str">
            <v>Korupsi</v>
          </cell>
          <cell r="M666" t="str">
            <v>Kas Kanpus</v>
          </cell>
          <cell r="N666" t="str">
            <v>Kas Kanpus</v>
          </cell>
          <cell r="O666" t="str">
            <v>KAS KANPUS</v>
          </cell>
          <cell r="R666" t="str">
            <v>Belum TL</v>
          </cell>
          <cell r="S666" t="str">
            <v>Belum TL</v>
          </cell>
          <cell r="T666" t="str">
            <v>90186790 - Muhammad Alfin Farha</v>
          </cell>
          <cell r="U666" t="str">
            <v>"-"</v>
          </cell>
        </row>
        <row r="667">
          <cell r="A667">
            <v>46265</v>
          </cell>
          <cell r="B667" t="str">
            <v xml:space="preserve">FITRI FEBRIANING AGUSTINA               </v>
          </cell>
          <cell r="C667" t="str">
            <v>FK57768</v>
          </cell>
          <cell r="D667">
            <v>376201031355532</v>
          </cell>
          <cell r="E667" t="str">
            <v>SEDANG</v>
          </cell>
          <cell r="F667" t="str">
            <v>Tidak</v>
          </cell>
          <cell r="G667" t="str">
            <v>Tidak</v>
          </cell>
          <cell r="H667" t="str">
            <v>Ya</v>
          </cell>
          <cell r="I667" t="str">
            <v>Bandar Judol Depo</v>
          </cell>
          <cell r="J667">
            <v>50</v>
          </cell>
          <cell r="K667" t="str">
            <v>86,74,87</v>
          </cell>
          <cell r="L667" t="str">
            <v>Judi Online</v>
          </cell>
          <cell r="M667" t="str">
            <v xml:space="preserve">Kas Kanpus                              </v>
          </cell>
          <cell r="N667" t="str">
            <v xml:space="preserve">Kas Kanpus                              </v>
          </cell>
          <cell r="O667" t="str">
            <v xml:space="preserve">KAS KANPUS                              </v>
          </cell>
          <cell r="R667" t="str">
            <v>Belum TL</v>
          </cell>
          <cell r="S667" t="str">
            <v>Belum TL</v>
          </cell>
          <cell r="T667" t="str">
            <v>90186790 - Muhammad Alfin Farha</v>
          </cell>
          <cell r="U667" t="str">
            <v>"-"</v>
          </cell>
        </row>
        <row r="668">
          <cell r="A668">
            <v>46265</v>
          </cell>
          <cell r="B668" t="str">
            <v xml:space="preserve">FIDELIS HOROKUBUN                       </v>
          </cell>
          <cell r="C668" t="str">
            <v>FL09095</v>
          </cell>
          <cell r="D668">
            <v>362501019917106</v>
          </cell>
          <cell r="E668" t="str">
            <v>SEDANG</v>
          </cell>
          <cell r="F668" t="str">
            <v>Tidak</v>
          </cell>
          <cell r="G668" t="str">
            <v>Tidak</v>
          </cell>
          <cell r="H668" t="str">
            <v>Tidak</v>
          </cell>
          <cell r="I668" t="str">
            <v>Korupsi - Loan View</v>
          </cell>
          <cell r="J668">
            <v>48</v>
          </cell>
          <cell r="K668">
            <v>15</v>
          </cell>
          <cell r="L668" t="str">
            <v>Korupsi</v>
          </cell>
          <cell r="M668" t="str">
            <v>Kas Kanpus</v>
          </cell>
          <cell r="N668" t="str">
            <v>Kas Kanpus</v>
          </cell>
          <cell r="O668" t="str">
            <v>KAS KANPUS</v>
          </cell>
          <cell r="R668" t="str">
            <v>Belum TL</v>
          </cell>
          <cell r="S668" t="str">
            <v>Belum TL</v>
          </cell>
          <cell r="T668" t="str">
            <v>90171841 - Rifqi Aziz</v>
          </cell>
          <cell r="U668" t="str">
            <v>"-"</v>
          </cell>
        </row>
        <row r="669">
          <cell r="A669">
            <v>46265</v>
          </cell>
          <cell r="B669" t="str">
            <v xml:space="preserve">FAJAR SURIADI                           </v>
          </cell>
          <cell r="C669" t="str">
            <v>FLD7706</v>
          </cell>
          <cell r="D669">
            <v>33201003383569</v>
          </cell>
          <cell r="E669" t="str">
            <v>SEDANG</v>
          </cell>
          <cell r="F669" t="str">
            <v>Tidak</v>
          </cell>
          <cell r="G669" t="str">
            <v>Tidak</v>
          </cell>
          <cell r="H669" t="str">
            <v>Tidak</v>
          </cell>
          <cell r="I669" t="str">
            <v>Bandar Judol Depo</v>
          </cell>
          <cell r="J669">
            <v>50</v>
          </cell>
          <cell r="K669" t="str">
            <v>86,74,87</v>
          </cell>
          <cell r="L669" t="str">
            <v>Judi Online</v>
          </cell>
          <cell r="M669" t="str">
            <v xml:space="preserve">Kas Kanpus                              </v>
          </cell>
          <cell r="N669" t="str">
            <v xml:space="preserve">Kas Kanpus                              </v>
          </cell>
          <cell r="O669" t="str">
            <v xml:space="preserve">KAS KANPUS                              </v>
          </cell>
          <cell r="R669" t="str">
            <v>Belum TL</v>
          </cell>
          <cell r="S669" t="str">
            <v>Belum TL</v>
          </cell>
          <cell r="T669" t="str">
            <v>00394520 - Frida Akbar Rani</v>
          </cell>
          <cell r="U669" t="str">
            <v>"-"</v>
          </cell>
        </row>
        <row r="670">
          <cell r="A670">
            <v>46265</v>
          </cell>
          <cell r="B670" t="str">
            <v xml:space="preserve">FARID AGUS PRIYONO                      </v>
          </cell>
          <cell r="C670" t="str">
            <v>FLI1424</v>
          </cell>
          <cell r="D670">
            <v>2201003091301</v>
          </cell>
          <cell r="E670" t="str">
            <v>SEDANG</v>
          </cell>
          <cell r="F670" t="str">
            <v>Tidak</v>
          </cell>
          <cell r="G670" t="str">
            <v>Tidak</v>
          </cell>
          <cell r="H670" t="str">
            <v>Tidak</v>
          </cell>
          <cell r="I670" t="str">
            <v>Perpajakan</v>
          </cell>
          <cell r="J670">
            <v>49</v>
          </cell>
          <cell r="K670">
            <v>1.33</v>
          </cell>
          <cell r="L670" t="str">
            <v>Perpajakan</v>
          </cell>
          <cell r="M670" t="str">
            <v xml:space="preserve">KC Jepara                               </v>
          </cell>
          <cell r="N670" t="str">
            <v xml:space="preserve">KC Jepara                               </v>
          </cell>
          <cell r="O670" t="str">
            <v xml:space="preserve">Semarang                                </v>
          </cell>
          <cell r="R670" t="str">
            <v>Belum TL</v>
          </cell>
          <cell r="S670" t="str">
            <v>Belum TL</v>
          </cell>
          <cell r="T670" t="str">
            <v>90185537 - Moh.Khoerul Fajar Ar</v>
          </cell>
          <cell r="U670" t="str">
            <v>"-"</v>
          </cell>
        </row>
        <row r="671">
          <cell r="A671">
            <v>46265</v>
          </cell>
          <cell r="B671" t="str">
            <v xml:space="preserve">FLIPTECH LENTERA INSPIRASI PERTIWI      </v>
          </cell>
          <cell r="C671" t="str">
            <v>FM60762</v>
          </cell>
          <cell r="D671">
            <v>67201000299301</v>
          </cell>
          <cell r="E671" t="str">
            <v>TINGGI</v>
          </cell>
          <cell r="F671" t="str">
            <v>Tidak</v>
          </cell>
          <cell r="G671" t="str">
            <v>Tidak</v>
          </cell>
          <cell r="H671" t="str">
            <v>Tidak</v>
          </cell>
          <cell r="I671" t="str">
            <v>TPPO - Perusahaan PJTKI</v>
          </cell>
          <cell r="J671">
            <v>65</v>
          </cell>
          <cell r="K671">
            <v>103</v>
          </cell>
          <cell r="L671" t="str">
            <v>TPPO</v>
          </cell>
          <cell r="M671" t="str">
            <v xml:space="preserve">KCP UNIVERSITAS INDONESIA               </v>
          </cell>
          <cell r="N671" t="str">
            <v xml:space="preserve">KC Depok                                </v>
          </cell>
          <cell r="O671" t="str">
            <v xml:space="preserve">DKI2                                    </v>
          </cell>
          <cell r="R671" t="str">
            <v>Belum TL</v>
          </cell>
          <cell r="S671" t="str">
            <v>Belum TL</v>
          </cell>
          <cell r="T671" t="str">
            <v>90150130 - Intan Aida Pratiwi</v>
          </cell>
          <cell r="U671" t="str">
            <v>"-"</v>
          </cell>
        </row>
        <row r="672">
          <cell r="A672">
            <v>46265</v>
          </cell>
          <cell r="B672" t="str">
            <v xml:space="preserve">FAUZAN ALFA ABHISTA                     </v>
          </cell>
          <cell r="C672" t="str">
            <v>FME0813</v>
          </cell>
          <cell r="D672">
            <v>4359720219910400</v>
          </cell>
          <cell r="E672" t="str">
            <v>SEDANG</v>
          </cell>
          <cell r="F672" t="str">
            <v>Tidak</v>
          </cell>
          <cell r="G672" t="str">
            <v>Tidak</v>
          </cell>
          <cell r="H672" t="str">
            <v>Tidak</v>
          </cell>
          <cell r="I672" t="str">
            <v>Penghindaran Pajak (Transaksi Fiktif)/Penyuapan CC</v>
          </cell>
          <cell r="J672">
            <v>45</v>
          </cell>
          <cell r="K672">
            <v>118</v>
          </cell>
          <cell r="L672" t="str">
            <v>Penyuapan / Penghindaran Pajak CC View</v>
          </cell>
          <cell r="M672" t="str">
            <v xml:space="preserve">Kas Kanpus                              </v>
          </cell>
          <cell r="N672" t="str">
            <v xml:space="preserve">Kas Kanpus                              </v>
          </cell>
          <cell r="O672" t="str">
            <v xml:space="preserve">KAS KANPUS                              </v>
          </cell>
          <cell r="R672" t="str">
            <v>Belum TL</v>
          </cell>
          <cell r="S672" t="str">
            <v>Belum TL</v>
          </cell>
          <cell r="T672" t="str">
            <v>90186790 - Muhammad Alfin Farha</v>
          </cell>
          <cell r="U672" t="str">
            <v>"-"</v>
          </cell>
        </row>
        <row r="673">
          <cell r="A673">
            <v>46265</v>
          </cell>
          <cell r="B673" t="str">
            <v xml:space="preserve">FITRI SRI NINGSIH                       </v>
          </cell>
          <cell r="C673" t="str">
            <v>FND9193</v>
          </cell>
          <cell r="D673">
            <v>732501001907501</v>
          </cell>
          <cell r="E673" t="str">
            <v>SEDANG</v>
          </cell>
          <cell r="F673" t="str">
            <v>Tidak</v>
          </cell>
          <cell r="G673" t="str">
            <v>Tidak</v>
          </cell>
          <cell r="H673" t="str">
            <v>Tidak</v>
          </cell>
          <cell r="I673" t="str">
            <v>Bandar Judol Withdrawal</v>
          </cell>
          <cell r="J673">
            <v>50</v>
          </cell>
          <cell r="K673" t="str">
            <v>86,88,87</v>
          </cell>
          <cell r="L673" t="str">
            <v>Judi Online</v>
          </cell>
          <cell r="M673" t="str">
            <v xml:space="preserve">Kas Kanpus                              </v>
          </cell>
          <cell r="N673" t="str">
            <v xml:space="preserve">Kas Kanpus                              </v>
          </cell>
          <cell r="O673" t="str">
            <v xml:space="preserve">KAS KANPUS                              </v>
          </cell>
          <cell r="R673" t="str">
            <v>Belum TL</v>
          </cell>
          <cell r="S673" t="str">
            <v>Belum TL</v>
          </cell>
          <cell r="T673" t="str">
            <v>90170665 - Mutiara Ayuningtyas</v>
          </cell>
          <cell r="U673" t="str">
            <v>"-"</v>
          </cell>
        </row>
        <row r="674">
          <cell r="A674">
            <v>46265</v>
          </cell>
          <cell r="B674" t="str">
            <v xml:space="preserve">FERDIANSYAH                             </v>
          </cell>
          <cell r="C674" t="str">
            <v>FOZ1755</v>
          </cell>
          <cell r="D674">
            <v>322301003230508</v>
          </cell>
          <cell r="F674" t="str">
            <v>Tidak</v>
          </cell>
          <cell r="G674" t="str">
            <v>Tidak</v>
          </cell>
          <cell r="H674" t="str">
            <v>Tidak</v>
          </cell>
          <cell r="I674" t="str">
            <v>Bandar Judol Withdrawal</v>
          </cell>
          <cell r="J674">
            <v>35</v>
          </cell>
          <cell r="K674" t="str">
            <v>86,88,87</v>
          </cell>
          <cell r="L674" t="str">
            <v>Judi Online</v>
          </cell>
          <cell r="M674" t="str">
            <v xml:space="preserve">Kas Kanpus                              </v>
          </cell>
          <cell r="N674" t="str">
            <v xml:space="preserve">Kas Kanpus                              </v>
          </cell>
          <cell r="O674" t="str">
            <v xml:space="preserve">KAS KANPUS                              </v>
          </cell>
          <cell r="R674" t="str">
            <v>Belum TL</v>
          </cell>
          <cell r="S674" t="str">
            <v>Belum TL</v>
          </cell>
          <cell r="T674" t="str">
            <v>90170665 - Mutiara Ayuningtyas</v>
          </cell>
          <cell r="U674" t="str">
            <v>"-"</v>
          </cell>
        </row>
        <row r="675">
          <cell r="A675">
            <v>46265</v>
          </cell>
          <cell r="B675" t="str">
            <v xml:space="preserve">FUAD ANWARI                             </v>
          </cell>
          <cell r="C675" t="str">
            <v>FP18055</v>
          </cell>
          <cell r="D675">
            <v>317501014418534</v>
          </cell>
          <cell r="E675" t="str">
            <v>SEDANG</v>
          </cell>
          <cell r="F675" t="str">
            <v>Tidak</v>
          </cell>
          <cell r="G675" t="str">
            <v>Tidak</v>
          </cell>
          <cell r="H675" t="str">
            <v>Tidak</v>
          </cell>
          <cell r="I675" t="str">
            <v>Money Mules</v>
          </cell>
          <cell r="J675">
            <v>42</v>
          </cell>
          <cell r="K675">
            <v>77</v>
          </cell>
          <cell r="L675" t="str">
            <v>Narkotika/Judi Online</v>
          </cell>
          <cell r="M675" t="str">
            <v xml:space="preserve">Kas Kanpus                              </v>
          </cell>
          <cell r="N675" t="str">
            <v xml:space="preserve">Kas Kanpus                              </v>
          </cell>
          <cell r="O675" t="str">
            <v xml:space="preserve">KAS KANPUS                              </v>
          </cell>
          <cell r="R675" t="str">
            <v>Belum TL</v>
          </cell>
          <cell r="S675" t="str">
            <v>Belum TL</v>
          </cell>
          <cell r="T675" t="str">
            <v>90171841 - Rifqi Aziz</v>
          </cell>
          <cell r="U675" t="str">
            <v>"-"</v>
          </cell>
        </row>
        <row r="676">
          <cell r="A676">
            <v>46265</v>
          </cell>
          <cell r="B676" t="str">
            <v xml:space="preserve">FARHAN ADRIAN                           </v>
          </cell>
          <cell r="C676" t="str">
            <v>FPE3381</v>
          </cell>
          <cell r="D676">
            <v>108701018971509</v>
          </cell>
          <cell r="F676" t="str">
            <v>Tidak</v>
          </cell>
          <cell r="G676" t="str">
            <v>Tidak</v>
          </cell>
          <cell r="I676" t="str">
            <v>Jual Beli Rekening - E channel Trx</v>
          </cell>
          <cell r="J676">
            <v>33</v>
          </cell>
          <cell r="K676">
            <v>113</v>
          </cell>
          <cell r="L676" t="str">
            <v>Narkotika/Judi Online/Penipuan</v>
          </cell>
          <cell r="M676" t="str">
            <v xml:space="preserve">KCP GADJAHMADA                          </v>
          </cell>
          <cell r="N676" t="str">
            <v xml:space="preserve">KC Medan Iskandar Muda                  </v>
          </cell>
          <cell r="O676" t="str">
            <v xml:space="preserve">Medan                                   </v>
          </cell>
          <cell r="R676" t="str">
            <v>Belum TL</v>
          </cell>
          <cell r="S676" t="str">
            <v>Belum TL</v>
          </cell>
          <cell r="U676" t="str">
            <v>"-"</v>
          </cell>
        </row>
        <row r="677">
          <cell r="A677">
            <v>46265</v>
          </cell>
          <cell r="B677" t="str">
            <v xml:space="preserve">FATIMAH                                 </v>
          </cell>
          <cell r="C677" t="str">
            <v>FPG1781</v>
          </cell>
          <cell r="D677">
            <v>352801091226533</v>
          </cell>
          <cell r="F677" t="str">
            <v>Tidak</v>
          </cell>
          <cell r="G677" t="str">
            <v>Tidak</v>
          </cell>
          <cell r="H677" t="str">
            <v>Tidak</v>
          </cell>
          <cell r="I677" t="str">
            <v>Bandar Judol Withdrawal</v>
          </cell>
          <cell r="J677">
            <v>35</v>
          </cell>
          <cell r="K677" t="str">
            <v>86,88,87</v>
          </cell>
          <cell r="L677" t="str">
            <v>Judi Online</v>
          </cell>
          <cell r="M677" t="str">
            <v xml:space="preserve">Kas Kanpus                              </v>
          </cell>
          <cell r="N677" t="str">
            <v xml:space="preserve">Kas Kanpus                              </v>
          </cell>
          <cell r="O677" t="str">
            <v xml:space="preserve">KAS KANPUS                              </v>
          </cell>
          <cell r="R677" t="str">
            <v>Belum TL</v>
          </cell>
          <cell r="S677" t="str">
            <v>Belum TL</v>
          </cell>
          <cell r="T677" t="str">
            <v>90170665 - Mutiara Ayuningtyas</v>
          </cell>
          <cell r="U677" t="str">
            <v>"-"</v>
          </cell>
        </row>
        <row r="678">
          <cell r="A678">
            <v>46265</v>
          </cell>
          <cell r="B678" t="str">
            <v xml:space="preserve">FRENKY TANSURI                          </v>
          </cell>
          <cell r="C678" t="str">
            <v>FPL0677</v>
          </cell>
          <cell r="D678">
            <v>119101021854507</v>
          </cell>
          <cell r="F678" t="str">
            <v>Tidak</v>
          </cell>
          <cell r="G678" t="str">
            <v>Tidak</v>
          </cell>
          <cell r="H678" t="str">
            <v>Tidak</v>
          </cell>
          <cell r="I678" t="str">
            <v>Bandar Judol Withdrawal</v>
          </cell>
          <cell r="J678">
            <v>35</v>
          </cell>
          <cell r="K678" t="str">
            <v>86,88,87</v>
          </cell>
          <cell r="L678" t="str">
            <v>Judi Online</v>
          </cell>
          <cell r="M678" t="str">
            <v xml:space="preserve">Kas Kanpus                              </v>
          </cell>
          <cell r="N678" t="str">
            <v xml:space="preserve">Kas Kanpus                              </v>
          </cell>
          <cell r="O678" t="str">
            <v xml:space="preserve">KAS KANPUS                              </v>
          </cell>
          <cell r="R678" t="str">
            <v>Belum TL</v>
          </cell>
          <cell r="S678" t="str">
            <v>Belum TL</v>
          </cell>
          <cell r="T678" t="str">
            <v>90185537 - Moh.Khoerul Fajar Ar</v>
          </cell>
          <cell r="U678" t="str">
            <v>"-"</v>
          </cell>
        </row>
        <row r="679">
          <cell r="A679">
            <v>46265</v>
          </cell>
          <cell r="B679" t="str">
            <v xml:space="preserve">FREDDY KURNIADI SIM                     </v>
          </cell>
          <cell r="C679" t="str">
            <v>FQB1705</v>
          </cell>
          <cell r="D679">
            <v>4359720232886900</v>
          </cell>
          <cell r="F679" t="str">
            <v>Tidak</v>
          </cell>
          <cell r="G679" t="str">
            <v>Tidak</v>
          </cell>
          <cell r="H679" t="str">
            <v>Tidak</v>
          </cell>
          <cell r="I679" t="str">
            <v>Penghindaran Pajak (Transaksi Fiktif)/Penyuapan CC</v>
          </cell>
          <cell r="J679">
            <v>30</v>
          </cell>
          <cell r="K679">
            <v>118</v>
          </cell>
          <cell r="L679" t="str">
            <v>Penyuapan / Penghindaran Pajak CC View</v>
          </cell>
          <cell r="M679" t="str">
            <v xml:space="preserve">Kas Kanpus                              </v>
          </cell>
          <cell r="N679" t="str">
            <v xml:space="preserve">Kas Kanpus                              </v>
          </cell>
          <cell r="O679" t="str">
            <v xml:space="preserve">KAS KANPUS                              </v>
          </cell>
          <cell r="R679" t="str">
            <v>Belum TL</v>
          </cell>
          <cell r="S679" t="str">
            <v>Belum TL</v>
          </cell>
          <cell r="T679" t="str">
            <v>90185538 - Muhammad Fahikal Auz</v>
          </cell>
          <cell r="U679" t="str">
            <v>"-"</v>
          </cell>
        </row>
        <row r="680">
          <cell r="A680">
            <v>46265</v>
          </cell>
          <cell r="B680" t="str">
            <v xml:space="preserve">FREDI                                   </v>
          </cell>
          <cell r="C680" t="str">
            <v>FQI0159</v>
          </cell>
          <cell r="D680">
            <v>188301007792504</v>
          </cell>
          <cell r="F680" t="str">
            <v>Tidak</v>
          </cell>
          <cell r="G680" t="str">
            <v>Tidak</v>
          </cell>
          <cell r="I680" t="str">
            <v>Jual Beli Rekening - E channel Trx</v>
          </cell>
          <cell r="J680">
            <v>33</v>
          </cell>
          <cell r="K680">
            <v>113</v>
          </cell>
          <cell r="L680" t="str">
            <v>Narkotika/Judi Online/Penipuan</v>
          </cell>
          <cell r="M680" t="str">
            <v xml:space="preserve">KK RSUD MENGGALA                        </v>
          </cell>
          <cell r="N680" t="str">
            <v xml:space="preserve">KC Tulang Bawang                        </v>
          </cell>
          <cell r="O680" t="str">
            <v xml:space="preserve">KANWIL BANDAR LAMPUNG                   </v>
          </cell>
          <cell r="R680" t="str">
            <v>Belum TL</v>
          </cell>
          <cell r="S680" t="str">
            <v>Belum TL</v>
          </cell>
          <cell r="U680" t="str">
            <v>"-"</v>
          </cell>
        </row>
        <row r="681">
          <cell r="A681">
            <v>46265</v>
          </cell>
          <cell r="B681" t="str">
            <v xml:space="preserve">FACHRI SUWANATA                         </v>
          </cell>
          <cell r="C681" t="str">
            <v>FQK7538</v>
          </cell>
          <cell r="D681">
            <v>529301004690502</v>
          </cell>
          <cell r="F681" t="str">
            <v>Tidak</v>
          </cell>
          <cell r="G681" t="str">
            <v>Tidak</v>
          </cell>
          <cell r="H681" t="str">
            <v>Tidak</v>
          </cell>
          <cell r="I681" t="str">
            <v>Bandar Judol Withdrawal</v>
          </cell>
          <cell r="J681">
            <v>35</v>
          </cell>
          <cell r="K681" t="str">
            <v>86,88,87</v>
          </cell>
          <cell r="L681" t="str">
            <v>Judi Online</v>
          </cell>
          <cell r="M681" t="str">
            <v xml:space="preserve">Kas Kanpus                              </v>
          </cell>
          <cell r="N681" t="str">
            <v xml:space="preserve">Kas Kanpus                              </v>
          </cell>
          <cell r="O681" t="str">
            <v xml:space="preserve">KAS KANPUS                              </v>
          </cell>
          <cell r="R681" t="str">
            <v>Belum TL</v>
          </cell>
          <cell r="S681" t="str">
            <v>Belum TL</v>
          </cell>
          <cell r="T681" t="str">
            <v>00394521 - Muhammad Hibbanduta</v>
          </cell>
          <cell r="U681" t="str">
            <v>"-"</v>
          </cell>
        </row>
        <row r="682">
          <cell r="A682">
            <v>46265</v>
          </cell>
          <cell r="B682" t="str">
            <v xml:space="preserve">FARHAN FADILAH                          </v>
          </cell>
          <cell r="C682" t="str">
            <v>FQL6410</v>
          </cell>
          <cell r="D682">
            <v>34001002272566</v>
          </cell>
          <cell r="F682" t="str">
            <v>Tidak</v>
          </cell>
          <cell r="G682" t="str">
            <v>Tidak</v>
          </cell>
          <cell r="H682" t="str">
            <v>Tidak</v>
          </cell>
          <cell r="I682" t="str">
            <v>Bandar Judol Withdrawal</v>
          </cell>
          <cell r="J682">
            <v>35</v>
          </cell>
          <cell r="K682" t="str">
            <v>86,88,87</v>
          </cell>
          <cell r="L682" t="str">
            <v>Judi Online</v>
          </cell>
          <cell r="M682" t="str">
            <v xml:space="preserve">Kas Kanpus                              </v>
          </cell>
          <cell r="N682" t="str">
            <v xml:space="preserve">Kas Kanpus                              </v>
          </cell>
          <cell r="O682" t="str">
            <v xml:space="preserve">KAS KANPUS                              </v>
          </cell>
          <cell r="R682" t="str">
            <v>Belum TL</v>
          </cell>
          <cell r="S682" t="str">
            <v>Belum TL</v>
          </cell>
          <cell r="T682" t="str">
            <v>90186790 - Muhammad Alfin Farha</v>
          </cell>
          <cell r="U682" t="str">
            <v>"-"</v>
          </cell>
        </row>
        <row r="683">
          <cell r="A683">
            <v>46265</v>
          </cell>
          <cell r="B683" t="str">
            <v xml:space="preserve">FEBRIAN EKA PUTRA                       </v>
          </cell>
          <cell r="C683" t="str">
            <v>FRE4399</v>
          </cell>
          <cell r="D683">
            <v>13001127901504</v>
          </cell>
          <cell r="F683" t="str">
            <v>Tidak</v>
          </cell>
          <cell r="G683" t="str">
            <v>Tidak</v>
          </cell>
          <cell r="I683" t="str">
            <v>Jual Beli Rekening - E channel Trx</v>
          </cell>
          <cell r="J683">
            <v>33</v>
          </cell>
          <cell r="K683">
            <v>113</v>
          </cell>
          <cell r="L683" t="str">
            <v>Narkotika/Judi Online/Penipuan</v>
          </cell>
          <cell r="M683" t="str">
            <v xml:space="preserve">KC Metro                                </v>
          </cell>
          <cell r="N683" t="str">
            <v xml:space="preserve">KC Metro                                </v>
          </cell>
          <cell r="O683" t="str">
            <v xml:space="preserve">KANWIL BANDAR LAMPUNG                   </v>
          </cell>
          <cell r="R683" t="str">
            <v>Belum TL</v>
          </cell>
          <cell r="S683" t="str">
            <v>Belum TL</v>
          </cell>
          <cell r="U683" t="str">
            <v>"-"</v>
          </cell>
        </row>
        <row r="684">
          <cell r="A684">
            <v>46265</v>
          </cell>
          <cell r="B684" t="str">
            <v xml:space="preserve">FATHIR AHMAD PUTRA HENDRIYAN            </v>
          </cell>
          <cell r="C684" t="str">
            <v>FRU8735</v>
          </cell>
          <cell r="D684">
            <v>212601011957507</v>
          </cell>
          <cell r="F684" t="str">
            <v>Tidak</v>
          </cell>
          <cell r="G684" t="str">
            <v>Tidak</v>
          </cell>
          <cell r="H684" t="str">
            <v>Tidak</v>
          </cell>
          <cell r="I684" t="str">
            <v>Bandar Judol Withdrawal</v>
          </cell>
          <cell r="J684">
            <v>35</v>
          </cell>
          <cell r="K684" t="str">
            <v>86,88,87</v>
          </cell>
          <cell r="L684" t="str">
            <v>Judi Online</v>
          </cell>
          <cell r="M684" t="str">
            <v xml:space="preserve">Kas Kanpus                              </v>
          </cell>
          <cell r="N684" t="str">
            <v xml:space="preserve">Kas Kanpus                              </v>
          </cell>
          <cell r="O684" t="str">
            <v xml:space="preserve">KAS KANPUS                              </v>
          </cell>
          <cell r="R684" t="str">
            <v>Belum TL</v>
          </cell>
          <cell r="S684" t="str">
            <v>Belum TL</v>
          </cell>
          <cell r="T684" t="str">
            <v>90186790 - Muhammad Alfin Farha</v>
          </cell>
          <cell r="U684" t="str">
            <v>"-"</v>
          </cell>
        </row>
        <row r="685">
          <cell r="A685">
            <v>46265</v>
          </cell>
          <cell r="B685" t="str">
            <v xml:space="preserve">FADHIL FAUZI AFANSYAH                   </v>
          </cell>
          <cell r="C685" t="str">
            <v>FRV9348</v>
          </cell>
          <cell r="D685">
            <v>806401028904501</v>
          </cell>
          <cell r="F685" t="str">
            <v>Tidak</v>
          </cell>
          <cell r="G685" t="str">
            <v>Tidak</v>
          </cell>
          <cell r="H685" t="str">
            <v>Tidak</v>
          </cell>
          <cell r="I685" t="str">
            <v>Bandar Judol Depo</v>
          </cell>
          <cell r="J685">
            <v>35</v>
          </cell>
          <cell r="K685" t="str">
            <v>86,74,87</v>
          </cell>
          <cell r="L685" t="str">
            <v>Judi Online</v>
          </cell>
          <cell r="M685" t="str">
            <v xml:space="preserve">Kas Kanpus                              </v>
          </cell>
          <cell r="N685" t="str">
            <v xml:space="preserve">Kas Kanpus                              </v>
          </cell>
          <cell r="O685" t="str">
            <v xml:space="preserve">KAS KANPUS                              </v>
          </cell>
          <cell r="R685" t="str">
            <v>Belum TL</v>
          </cell>
          <cell r="S685" t="str">
            <v>Belum TL</v>
          </cell>
          <cell r="T685" t="str">
            <v>90186796 - Devito Arya Wiradila</v>
          </cell>
          <cell r="U685" t="str">
            <v>"-"</v>
          </cell>
        </row>
        <row r="686">
          <cell r="A686">
            <v>46265</v>
          </cell>
          <cell r="B686" t="str">
            <v xml:space="preserve">FAIRUS AD'DAILAMY                       </v>
          </cell>
          <cell r="C686" t="str">
            <v>FRX4842</v>
          </cell>
          <cell r="D686">
            <v>731101004052500</v>
          </cell>
          <cell r="F686" t="str">
            <v>Tidak</v>
          </cell>
          <cell r="G686" t="str">
            <v>Tidak</v>
          </cell>
          <cell r="H686" t="str">
            <v>Tidak</v>
          </cell>
          <cell r="I686" t="str">
            <v>Bandar Judol Withdrawal</v>
          </cell>
          <cell r="J686">
            <v>35</v>
          </cell>
          <cell r="K686" t="str">
            <v>86,88,87</v>
          </cell>
          <cell r="L686" t="str">
            <v>Judi Online</v>
          </cell>
          <cell r="M686" t="str">
            <v xml:space="preserve">Kas Kanpus                              </v>
          </cell>
          <cell r="N686" t="str">
            <v xml:space="preserve">Kas Kanpus                              </v>
          </cell>
          <cell r="O686" t="str">
            <v xml:space="preserve">KAS KANPUS                              </v>
          </cell>
          <cell r="R686" t="str">
            <v>Belum TL</v>
          </cell>
          <cell r="S686" t="str">
            <v>Belum TL</v>
          </cell>
          <cell r="T686" t="str">
            <v>00394520 - Frida Akbar Rani</v>
          </cell>
          <cell r="U686" t="str">
            <v>"-"</v>
          </cell>
        </row>
        <row r="687">
          <cell r="A687">
            <v>46265</v>
          </cell>
          <cell r="B687" t="str">
            <v xml:space="preserve">FANNY CLAUDIA                           </v>
          </cell>
          <cell r="C687" t="str">
            <v>FRY2585</v>
          </cell>
          <cell r="D687">
            <v>334401014337503</v>
          </cell>
          <cell r="F687" t="str">
            <v>Tidak</v>
          </cell>
          <cell r="G687" t="str">
            <v>Tidak</v>
          </cell>
          <cell r="H687" t="str">
            <v>Tidak</v>
          </cell>
          <cell r="I687" t="str">
            <v>Bandar Judol Withdrawal</v>
          </cell>
          <cell r="J687">
            <v>35</v>
          </cell>
          <cell r="K687" t="str">
            <v>86,88,87</v>
          </cell>
          <cell r="L687" t="str">
            <v>Judi Online</v>
          </cell>
          <cell r="M687" t="str">
            <v xml:space="preserve">Kas Kanpus                              </v>
          </cell>
          <cell r="N687" t="str">
            <v xml:space="preserve">Kas Kanpus                              </v>
          </cell>
          <cell r="O687" t="str">
            <v xml:space="preserve">KAS KANPUS                              </v>
          </cell>
          <cell r="R687" t="str">
            <v>Belum TL</v>
          </cell>
          <cell r="S687" t="str">
            <v>Belum TL</v>
          </cell>
          <cell r="T687" t="str">
            <v>00336949 - Mochammad Al Farabi</v>
          </cell>
          <cell r="U687" t="str">
            <v>"-"</v>
          </cell>
        </row>
        <row r="688">
          <cell r="A688">
            <v>46265</v>
          </cell>
          <cell r="B688" t="str">
            <v xml:space="preserve">FAUZAN IBNU ARGYANTO                    </v>
          </cell>
          <cell r="C688" t="str">
            <v>FSI1968</v>
          </cell>
          <cell r="D688">
            <v>731101004130502</v>
          </cell>
          <cell r="F688" t="str">
            <v>Tidak</v>
          </cell>
          <cell r="G688" t="str">
            <v>Tidak</v>
          </cell>
          <cell r="H688" t="str">
            <v>Tidak</v>
          </cell>
          <cell r="I688" t="str">
            <v>Bandar Judol Withdrawal</v>
          </cell>
          <cell r="J688">
            <v>35</v>
          </cell>
          <cell r="K688" t="str">
            <v>86,88,87</v>
          </cell>
          <cell r="L688" t="str">
            <v>Judi Online</v>
          </cell>
          <cell r="M688" t="str">
            <v xml:space="preserve">Kas Kanpus                              </v>
          </cell>
          <cell r="N688" t="str">
            <v xml:space="preserve">Kas Kanpus                              </v>
          </cell>
          <cell r="O688" t="str">
            <v xml:space="preserve">KAS KANPUS                              </v>
          </cell>
          <cell r="R688" t="str">
            <v>Belum TL</v>
          </cell>
          <cell r="S688" t="str">
            <v>Belum TL</v>
          </cell>
          <cell r="T688" t="str">
            <v>00394521 - Muhammad Hibbanduta</v>
          </cell>
          <cell r="U688" t="str">
            <v>"-"</v>
          </cell>
        </row>
        <row r="689">
          <cell r="A689">
            <v>46265</v>
          </cell>
          <cell r="B689" t="str">
            <v xml:space="preserve">FERDIANSYAH                             </v>
          </cell>
          <cell r="C689" t="str">
            <v>FSL7454</v>
          </cell>
          <cell r="D689">
            <v>119101023148504</v>
          </cell>
          <cell r="F689" t="str">
            <v>Tidak</v>
          </cell>
          <cell r="G689" t="str">
            <v>Tidak</v>
          </cell>
          <cell r="H689" t="str">
            <v>Tidak</v>
          </cell>
          <cell r="I689" t="str">
            <v>Bandar Judol Withdrawal</v>
          </cell>
          <cell r="J689">
            <v>35</v>
          </cell>
          <cell r="K689" t="str">
            <v>86,88,87</v>
          </cell>
          <cell r="L689" t="str">
            <v>Judi Online</v>
          </cell>
          <cell r="M689" t="str">
            <v xml:space="preserve">Kas Kanpus                              </v>
          </cell>
          <cell r="N689" t="str">
            <v xml:space="preserve">Kas Kanpus                              </v>
          </cell>
          <cell r="O689" t="str">
            <v xml:space="preserve">KAS KANPUS                              </v>
          </cell>
          <cell r="R689" t="str">
            <v>Belum TL</v>
          </cell>
          <cell r="S689" t="str">
            <v>Belum TL</v>
          </cell>
          <cell r="T689" t="str">
            <v>90185538 - Muhammad Fahikal Auz</v>
          </cell>
          <cell r="U689" t="str">
            <v>"-"</v>
          </cell>
        </row>
        <row r="690">
          <cell r="A690">
            <v>46265</v>
          </cell>
          <cell r="B690" t="str">
            <v xml:space="preserve">FAHRUL UMAM                             </v>
          </cell>
          <cell r="C690" t="str">
            <v>FSM2073</v>
          </cell>
          <cell r="D690">
            <v>738601026747506</v>
          </cell>
          <cell r="F690" t="str">
            <v>Tidak</v>
          </cell>
          <cell r="G690" t="str">
            <v>Tidak</v>
          </cell>
          <cell r="I690" t="str">
            <v>Jual Beli Rekening - E channel Trx</v>
          </cell>
          <cell r="J690">
            <v>33</v>
          </cell>
          <cell r="K690">
            <v>113</v>
          </cell>
          <cell r="L690" t="str">
            <v>Narkotika/Judi Online/Penipuan</v>
          </cell>
          <cell r="M690" t="str">
            <v xml:space="preserve">UNIT CIPOCOK SERANG                     </v>
          </cell>
          <cell r="N690" t="str">
            <v xml:space="preserve">KC Serang                               </v>
          </cell>
          <cell r="O690" t="str">
            <v xml:space="preserve">KANWIL JAKARTA 3                        </v>
          </cell>
          <cell r="R690" t="str">
            <v>Belum TL</v>
          </cell>
          <cell r="S690" t="str">
            <v>Belum TL</v>
          </cell>
          <cell r="U690" t="str">
            <v>"-"</v>
          </cell>
        </row>
        <row r="691">
          <cell r="A691">
            <v>46265</v>
          </cell>
          <cell r="B691" t="str">
            <v xml:space="preserve">FAHREL PRATAMA                          </v>
          </cell>
          <cell r="C691" t="str">
            <v>FSR1755</v>
          </cell>
          <cell r="D691">
            <v>531001012403501</v>
          </cell>
          <cell r="F691" t="str">
            <v>Tidak</v>
          </cell>
          <cell r="G691" t="str">
            <v>Tidak</v>
          </cell>
          <cell r="H691" t="str">
            <v>Tidak</v>
          </cell>
          <cell r="I691" t="str">
            <v>Bandar Judol Withdrawal</v>
          </cell>
          <cell r="J691">
            <v>35</v>
          </cell>
          <cell r="K691" t="str">
            <v>86,88,87</v>
          </cell>
          <cell r="L691" t="str">
            <v>Judi Online</v>
          </cell>
          <cell r="M691" t="str">
            <v xml:space="preserve">Kas Kanpus                              </v>
          </cell>
          <cell r="N691" t="str">
            <v xml:space="preserve">Kas Kanpus                              </v>
          </cell>
          <cell r="O691" t="str">
            <v xml:space="preserve">KAS KANPUS                              </v>
          </cell>
          <cell r="R691" t="str">
            <v>Belum TL</v>
          </cell>
          <cell r="S691" t="str">
            <v>Belum TL</v>
          </cell>
          <cell r="T691" t="str">
            <v>90186790 - Muhammad Alfin Farha</v>
          </cell>
          <cell r="U691" t="str">
            <v>"-"</v>
          </cell>
        </row>
        <row r="692">
          <cell r="A692">
            <v>46265</v>
          </cell>
          <cell r="B692" t="str">
            <v xml:space="preserve">FAJAR RAMADHAN                          </v>
          </cell>
          <cell r="C692" t="str">
            <v>FST7399</v>
          </cell>
          <cell r="D692">
            <v>53101017297508</v>
          </cell>
          <cell r="F692" t="str">
            <v>Tidak</v>
          </cell>
          <cell r="G692" t="str">
            <v>Tidak</v>
          </cell>
          <cell r="H692" t="str">
            <v>Tidak</v>
          </cell>
          <cell r="I692" t="str">
            <v>Bandar Judol Withdrawal</v>
          </cell>
          <cell r="J692">
            <v>35</v>
          </cell>
          <cell r="K692" t="str">
            <v>86,88,87</v>
          </cell>
          <cell r="L692" t="str">
            <v>Judi Online</v>
          </cell>
          <cell r="M692" t="str">
            <v xml:space="preserve">Kas Kanpus                              </v>
          </cell>
          <cell r="N692" t="str">
            <v xml:space="preserve">Kas Kanpus                              </v>
          </cell>
          <cell r="O692" t="str">
            <v xml:space="preserve">KAS KANPUS                              </v>
          </cell>
          <cell r="R692" t="str">
            <v>Belum TL</v>
          </cell>
          <cell r="S692" t="str">
            <v>Belum TL</v>
          </cell>
          <cell r="T692" t="str">
            <v>90185537 - Moh.Khoerul Fajar Ar</v>
          </cell>
          <cell r="U692" t="str">
            <v>"-"</v>
          </cell>
        </row>
        <row r="693">
          <cell r="A693">
            <v>46265</v>
          </cell>
          <cell r="B693" t="str">
            <v xml:space="preserve">FAHRI MUHAMAD YUSUF                     </v>
          </cell>
          <cell r="C693" t="str">
            <v>FTE4933</v>
          </cell>
          <cell r="D693">
            <v>711301004030500</v>
          </cell>
          <cell r="F693" t="str">
            <v>Tidak</v>
          </cell>
          <cell r="G693" t="str">
            <v>Tidak</v>
          </cell>
          <cell r="H693" t="str">
            <v>Tidak</v>
          </cell>
          <cell r="I693" t="str">
            <v>Bandar Judol Withdrawal</v>
          </cell>
          <cell r="J693">
            <v>35</v>
          </cell>
          <cell r="K693" t="str">
            <v>86,88,87</v>
          </cell>
          <cell r="L693" t="str">
            <v>Judi Online</v>
          </cell>
          <cell r="M693" t="str">
            <v xml:space="preserve">Kas Kanpus                              </v>
          </cell>
          <cell r="N693" t="str">
            <v xml:space="preserve">Kas Kanpus                              </v>
          </cell>
          <cell r="O693" t="str">
            <v xml:space="preserve">KAS KANPUS                              </v>
          </cell>
          <cell r="R693" t="str">
            <v>Belum TL</v>
          </cell>
          <cell r="S693" t="str">
            <v>Belum TL</v>
          </cell>
          <cell r="T693" t="str">
            <v>00394521 - Muhammad Hibbanduta</v>
          </cell>
          <cell r="U693" t="str">
            <v>"-"</v>
          </cell>
        </row>
        <row r="694">
          <cell r="A694">
            <v>46265</v>
          </cell>
          <cell r="B694" t="str">
            <v xml:space="preserve">FADLI HABIBI                            </v>
          </cell>
          <cell r="C694" t="str">
            <v>FTG7247</v>
          </cell>
          <cell r="D694">
            <v>112901001482567</v>
          </cell>
          <cell r="F694" t="str">
            <v>Tidak</v>
          </cell>
          <cell r="G694" t="str">
            <v>Tidak</v>
          </cell>
          <cell r="H694" t="str">
            <v>Tidak</v>
          </cell>
          <cell r="I694" t="str">
            <v>Bandar Judol Withdrawal</v>
          </cell>
          <cell r="J694">
            <v>35</v>
          </cell>
          <cell r="K694" t="str">
            <v>86,88,87</v>
          </cell>
          <cell r="L694" t="str">
            <v>Judi Online</v>
          </cell>
          <cell r="M694" t="str">
            <v xml:space="preserve">Kas Kanpus                              </v>
          </cell>
          <cell r="N694" t="str">
            <v xml:space="preserve">Kas Kanpus                              </v>
          </cell>
          <cell r="O694" t="str">
            <v xml:space="preserve">KAS KANPUS                              </v>
          </cell>
          <cell r="R694" t="str">
            <v>Belum TL</v>
          </cell>
          <cell r="S694" t="str">
            <v>Belum TL</v>
          </cell>
          <cell r="T694" t="str">
            <v>00394521 - Muhammad Hibbanduta</v>
          </cell>
          <cell r="U694" t="str">
            <v>"-"</v>
          </cell>
        </row>
        <row r="695">
          <cell r="A695">
            <v>46265</v>
          </cell>
          <cell r="B695" t="str">
            <v xml:space="preserve">FEBRIANSYAH                             </v>
          </cell>
          <cell r="C695" t="str">
            <v>FTH0971</v>
          </cell>
          <cell r="D695">
            <v>80701034244501</v>
          </cell>
          <cell r="F695" t="str">
            <v>Tidak</v>
          </cell>
          <cell r="G695" t="str">
            <v>Tidak</v>
          </cell>
          <cell r="H695" t="str">
            <v>Tidak</v>
          </cell>
          <cell r="I695" t="str">
            <v>Bandar Judol Depo</v>
          </cell>
          <cell r="J695">
            <v>35</v>
          </cell>
          <cell r="K695" t="str">
            <v>86,74,87</v>
          </cell>
          <cell r="L695" t="str">
            <v>Judi Online</v>
          </cell>
          <cell r="M695" t="str">
            <v xml:space="preserve">Kas Kanpus                              </v>
          </cell>
          <cell r="N695" t="str">
            <v xml:space="preserve">Kas Kanpus                              </v>
          </cell>
          <cell r="O695" t="str">
            <v xml:space="preserve">KAS KANPUS                              </v>
          </cell>
          <cell r="R695" t="str">
            <v>Belum TL</v>
          </cell>
          <cell r="S695" t="str">
            <v>Belum TL</v>
          </cell>
          <cell r="T695" t="str">
            <v>90170665 - Mutiara Ayuningtyas</v>
          </cell>
          <cell r="U695" t="str">
            <v>"-"</v>
          </cell>
        </row>
        <row r="696">
          <cell r="A696">
            <v>46265</v>
          </cell>
          <cell r="B696" t="str">
            <v xml:space="preserve">FENITA CAROLIN PRAMIA                   </v>
          </cell>
          <cell r="C696" t="str">
            <v>FTH3061</v>
          </cell>
          <cell r="D696">
            <v>28501134937507</v>
          </cell>
          <cell r="F696" t="str">
            <v>Tidak</v>
          </cell>
          <cell r="G696" t="str">
            <v>Tidak</v>
          </cell>
          <cell r="H696" t="str">
            <v>Tidak</v>
          </cell>
          <cell r="I696" t="str">
            <v>Bandar Judol Withdrawal</v>
          </cell>
          <cell r="J696">
            <v>35</v>
          </cell>
          <cell r="K696" t="str">
            <v>86,88,87</v>
          </cell>
          <cell r="L696" t="str">
            <v>Judi Online</v>
          </cell>
          <cell r="M696" t="str">
            <v xml:space="preserve">Kas Kanpus                              </v>
          </cell>
          <cell r="N696" t="str">
            <v xml:space="preserve">Kas Kanpus                              </v>
          </cell>
          <cell r="O696" t="str">
            <v xml:space="preserve">KAS KANPUS                              </v>
          </cell>
          <cell r="R696" t="str">
            <v>Belum TL</v>
          </cell>
          <cell r="S696" t="str">
            <v>Belum TL</v>
          </cell>
          <cell r="T696" t="str">
            <v>90150130 - Intan Aida Pratiwi</v>
          </cell>
          <cell r="U696" t="str">
            <v>"-"</v>
          </cell>
        </row>
        <row r="697">
          <cell r="A697">
            <v>46265</v>
          </cell>
          <cell r="B697" t="str">
            <v xml:space="preserve">FELIX ANGKASA                           </v>
          </cell>
          <cell r="C697" t="str">
            <v>FTI1789</v>
          </cell>
          <cell r="D697">
            <v>4359720283387150</v>
          </cell>
          <cell r="F697" t="str">
            <v>Tidak</v>
          </cell>
          <cell r="G697" t="str">
            <v>Tidak</v>
          </cell>
          <cell r="H697" t="str">
            <v>Tidak</v>
          </cell>
          <cell r="I697" t="str">
            <v>Penghindaran Pajak (Transaksi Fiktif)/Penyuapan CC</v>
          </cell>
          <cell r="J697">
            <v>30</v>
          </cell>
          <cell r="K697">
            <v>118</v>
          </cell>
          <cell r="L697" t="str">
            <v>Penyuapan / Penghindaran Pajak CC View</v>
          </cell>
          <cell r="M697" t="str">
            <v xml:space="preserve">Kas Kanpus                              </v>
          </cell>
          <cell r="N697" t="str">
            <v xml:space="preserve">Kas Kanpus                              </v>
          </cell>
          <cell r="O697" t="str">
            <v xml:space="preserve">KAS KANPUS                              </v>
          </cell>
          <cell r="R697" t="str">
            <v>Belum TL</v>
          </cell>
          <cell r="S697" t="str">
            <v>Belum TL</v>
          </cell>
          <cell r="T697" t="str">
            <v>90186796 - Devito Arya Wiradila</v>
          </cell>
          <cell r="U697" t="str">
            <v>"-"</v>
          </cell>
        </row>
        <row r="698">
          <cell r="A698">
            <v>46265</v>
          </cell>
          <cell r="B698" t="str">
            <v xml:space="preserve">FADLAN HERDIANSYAH                      </v>
          </cell>
          <cell r="C698" t="str">
            <v>FTT7313</v>
          </cell>
          <cell r="D698">
            <v>322101010896509</v>
          </cell>
          <cell r="F698" t="str">
            <v>Tidak</v>
          </cell>
          <cell r="G698" t="str">
            <v>Tidak</v>
          </cell>
          <cell r="I698" t="str">
            <v>Jual Beli Rekening - E channel Trx</v>
          </cell>
          <cell r="J698">
            <v>33</v>
          </cell>
          <cell r="K698">
            <v>113</v>
          </cell>
          <cell r="L698" t="str">
            <v>Narkotika/Judi Online/Penipuan</v>
          </cell>
          <cell r="M698" t="str">
            <v xml:space="preserve">UNIT PONDOK KOPI                        </v>
          </cell>
          <cell r="N698" t="str">
            <v xml:space="preserve">KC JAKARTA KALIMALANG                   </v>
          </cell>
          <cell r="O698" t="str">
            <v xml:space="preserve">DKI                                     </v>
          </cell>
          <cell r="R698" t="str">
            <v>Belum TL</v>
          </cell>
          <cell r="S698" t="str">
            <v>Belum TL</v>
          </cell>
          <cell r="U698" t="str">
            <v>"-"</v>
          </cell>
        </row>
        <row r="699">
          <cell r="A699">
            <v>46265</v>
          </cell>
          <cell r="B699" t="str">
            <v xml:space="preserve">FIERIS LIFESTYLES GROUP                 </v>
          </cell>
          <cell r="C699" t="str">
            <v>FTW9475</v>
          </cell>
          <cell r="D699">
            <v>12201002975568</v>
          </cell>
          <cell r="F699" t="str">
            <v>Tidak</v>
          </cell>
          <cell r="G699" t="str">
            <v>Tidak</v>
          </cell>
          <cell r="H699" t="str">
            <v>Tidak</v>
          </cell>
          <cell r="I699" t="str">
            <v>Perpajakan</v>
          </cell>
          <cell r="J699">
            <v>33</v>
          </cell>
          <cell r="K699">
            <v>41</v>
          </cell>
          <cell r="L699" t="str">
            <v>Perpajakan</v>
          </cell>
          <cell r="M699" t="str">
            <v xml:space="preserve">KC Jakarta Jatinegara                   </v>
          </cell>
          <cell r="N699" t="str">
            <v xml:space="preserve">KC Jakarta Jatinegara                   </v>
          </cell>
          <cell r="O699" t="str">
            <v xml:space="preserve">DKI                                     </v>
          </cell>
          <cell r="R699" t="str">
            <v>Belum TL</v>
          </cell>
          <cell r="S699" t="str">
            <v>Belum TL</v>
          </cell>
          <cell r="T699" t="str">
            <v>00394520 - Frida Akbar Rani</v>
          </cell>
          <cell r="U699" t="str">
            <v>"-"</v>
          </cell>
        </row>
        <row r="700">
          <cell r="A700">
            <v>46265</v>
          </cell>
          <cell r="B700" t="str">
            <v xml:space="preserve">FITRIANI                                </v>
          </cell>
          <cell r="C700" t="str">
            <v>FU24060</v>
          </cell>
          <cell r="D700">
            <v>4359720233473600</v>
          </cell>
          <cell r="E700" t="str">
            <v>SEDANG</v>
          </cell>
          <cell r="F700" t="str">
            <v>Tidak</v>
          </cell>
          <cell r="G700" t="str">
            <v>Tidak</v>
          </cell>
          <cell r="H700" t="str">
            <v>Tidak</v>
          </cell>
          <cell r="I700" t="str">
            <v>Penyuapan - CC View</v>
          </cell>
          <cell r="J700">
            <v>45</v>
          </cell>
          <cell r="K700">
            <v>16.170000000000002</v>
          </cell>
          <cell r="L700" t="str">
            <v>Penyuapan</v>
          </cell>
          <cell r="M700" t="str">
            <v xml:space="preserve">Kas Kanpus                              </v>
          </cell>
          <cell r="N700" t="str">
            <v xml:space="preserve">Kas Kanpus                              </v>
          </cell>
          <cell r="O700" t="str">
            <v xml:space="preserve">KAS KANPUS                              </v>
          </cell>
          <cell r="R700" t="str">
            <v>Belum TL</v>
          </cell>
          <cell r="S700" t="str">
            <v>Belum TL</v>
          </cell>
          <cell r="T700" t="str">
            <v>90170665 - Mutiara Ayuningtyas</v>
          </cell>
          <cell r="U700" t="str">
            <v>"-"</v>
          </cell>
        </row>
        <row r="701">
          <cell r="A701">
            <v>46265</v>
          </cell>
          <cell r="B701" t="str">
            <v xml:space="preserve">FITRIANI                                </v>
          </cell>
          <cell r="C701" t="str">
            <v>FU24060</v>
          </cell>
          <cell r="D701">
            <v>4359720233473600</v>
          </cell>
          <cell r="E701" t="str">
            <v>SEDANG</v>
          </cell>
          <cell r="F701" t="str">
            <v>Tidak</v>
          </cell>
          <cell r="G701" t="str">
            <v>Tidak</v>
          </cell>
          <cell r="H701" t="str">
            <v>Tidak</v>
          </cell>
          <cell r="I701" t="str">
            <v>Anomali Transaksi Kartu Kredit</v>
          </cell>
          <cell r="J701">
            <v>45</v>
          </cell>
          <cell r="K701">
            <v>117</v>
          </cell>
          <cell r="L701" t="str">
            <v>Anomali Transaksi Kartu Kredit</v>
          </cell>
          <cell r="M701" t="str">
            <v xml:space="preserve">Kas Kanpus                              </v>
          </cell>
          <cell r="N701" t="str">
            <v xml:space="preserve">Kas Kanpus                              </v>
          </cell>
          <cell r="O701" t="str">
            <v xml:space="preserve">KAS KANPUS                              </v>
          </cell>
          <cell r="R701" t="str">
            <v>Belum TL</v>
          </cell>
          <cell r="S701" t="str">
            <v>Belum TL</v>
          </cell>
          <cell r="T701" t="str">
            <v>90150130 - Intan Aida Pratiwi</v>
          </cell>
          <cell r="U701" t="str">
            <v>"-"</v>
          </cell>
        </row>
        <row r="702">
          <cell r="A702">
            <v>46265</v>
          </cell>
          <cell r="B702" t="str">
            <v xml:space="preserve">FITRIANI                                </v>
          </cell>
          <cell r="C702" t="str">
            <v>FU24060</v>
          </cell>
          <cell r="D702">
            <v>4359720233473600</v>
          </cell>
          <cell r="E702" t="str">
            <v>SEDANG</v>
          </cell>
          <cell r="F702" t="str">
            <v>Tidak</v>
          </cell>
          <cell r="G702" t="str">
            <v>Tidak</v>
          </cell>
          <cell r="H702" t="str">
            <v>Tidak</v>
          </cell>
          <cell r="I702" t="str">
            <v>Penghindaran Pajak (Transaksi Fiktif)/Penyuapan CC</v>
          </cell>
          <cell r="J702">
            <v>45</v>
          </cell>
          <cell r="K702">
            <v>118</v>
          </cell>
          <cell r="L702" t="str">
            <v>Penyuapan / Penghindaran Pajak CC View</v>
          </cell>
          <cell r="M702" t="str">
            <v xml:space="preserve">Kas Kanpus                              </v>
          </cell>
          <cell r="N702" t="str">
            <v xml:space="preserve">Kas Kanpus                              </v>
          </cell>
          <cell r="O702" t="str">
            <v xml:space="preserve">KAS KANPUS                              </v>
          </cell>
          <cell r="R702" t="str">
            <v>Belum TL</v>
          </cell>
          <cell r="S702" t="str">
            <v>Belum TL</v>
          </cell>
          <cell r="T702" t="str">
            <v>00394521 - Muhammad Hibbanduta</v>
          </cell>
          <cell r="U702" t="str">
            <v>"-"</v>
          </cell>
        </row>
        <row r="703">
          <cell r="A703">
            <v>46265</v>
          </cell>
          <cell r="B703" t="str">
            <v xml:space="preserve">FERFA BERKAH SEJAHTERAH                 </v>
          </cell>
          <cell r="C703" t="str">
            <v>FU26700</v>
          </cell>
          <cell r="D703">
            <v>41201000553159</v>
          </cell>
          <cell r="E703" t="str">
            <v>SEDANG</v>
          </cell>
          <cell r="F703" t="str">
            <v>Tidak</v>
          </cell>
          <cell r="G703" t="str">
            <v>Tidak</v>
          </cell>
          <cell r="H703" t="str">
            <v>Tidak</v>
          </cell>
          <cell r="I703" t="str">
            <v>Korupsi - Loan View</v>
          </cell>
          <cell r="J703">
            <v>48</v>
          </cell>
          <cell r="K703">
            <v>15</v>
          </cell>
          <cell r="L703" t="str">
            <v>Korupsi</v>
          </cell>
          <cell r="M703" t="str">
            <v>Kas Kanpus</v>
          </cell>
          <cell r="N703" t="str">
            <v>Kas Kanpus</v>
          </cell>
          <cell r="O703" t="str">
            <v>KAS KANPUS</v>
          </cell>
          <cell r="R703" t="str">
            <v>Belum TL</v>
          </cell>
          <cell r="S703" t="str">
            <v>Belum TL</v>
          </cell>
          <cell r="T703" t="str">
            <v>00394520 - Frida Akbar Rani</v>
          </cell>
          <cell r="U703" t="str">
            <v>"-"</v>
          </cell>
        </row>
        <row r="704">
          <cell r="A704">
            <v>46265</v>
          </cell>
          <cell r="B704" t="str">
            <v xml:space="preserve">FEBRILIYANTI                            </v>
          </cell>
          <cell r="C704" t="str">
            <v>FX09103</v>
          </cell>
          <cell r="D704">
            <v>4801112556507</v>
          </cell>
          <cell r="F704" t="str">
            <v>Tidak</v>
          </cell>
          <cell r="G704" t="str">
            <v>Tidak</v>
          </cell>
          <cell r="I704" t="str">
            <v>Jual Beli Rekening - E channel Trx</v>
          </cell>
          <cell r="J704">
            <v>33</v>
          </cell>
          <cell r="K704">
            <v>113</v>
          </cell>
          <cell r="L704" t="str">
            <v>Narkotika/Judi Online/Penipuan</v>
          </cell>
          <cell r="M704" t="str">
            <v xml:space="preserve">KC Magelang                             </v>
          </cell>
          <cell r="N704" t="str">
            <v xml:space="preserve">KC Magelang                             </v>
          </cell>
          <cell r="O704" t="str">
            <v xml:space="preserve">Yogyakarta                              </v>
          </cell>
          <cell r="R704" t="str">
            <v>Belum TL</v>
          </cell>
          <cell r="S704" t="str">
            <v>Belum TL</v>
          </cell>
          <cell r="U704" t="str">
            <v>"-"</v>
          </cell>
        </row>
        <row r="705">
          <cell r="A705">
            <v>46265</v>
          </cell>
          <cell r="B705" t="str">
            <v xml:space="preserve">FRENDYAWAN                              </v>
          </cell>
          <cell r="C705" t="str">
            <v>FZ18528</v>
          </cell>
          <cell r="D705">
            <v>217801048830509</v>
          </cell>
          <cell r="E705" t="str">
            <v>RENDAH</v>
          </cell>
          <cell r="F705" t="str">
            <v>Tidak</v>
          </cell>
          <cell r="G705" t="str">
            <v>Tidak</v>
          </cell>
          <cell r="H705" t="str">
            <v>Tidak</v>
          </cell>
          <cell r="I705" t="str">
            <v>Bandar Judol Withdrawal</v>
          </cell>
          <cell r="J705">
            <v>35</v>
          </cell>
          <cell r="K705" t="str">
            <v>86,88,87</v>
          </cell>
          <cell r="L705" t="str">
            <v>Judi Online</v>
          </cell>
          <cell r="M705" t="str">
            <v xml:space="preserve">Kas Kanpus                              </v>
          </cell>
          <cell r="N705" t="str">
            <v xml:space="preserve">Kas Kanpus                              </v>
          </cell>
          <cell r="O705" t="str">
            <v xml:space="preserve">KAS KANPUS                              </v>
          </cell>
          <cell r="R705" t="str">
            <v>Belum TL</v>
          </cell>
          <cell r="S705" t="str">
            <v>Belum TL</v>
          </cell>
          <cell r="T705" t="str">
            <v>90150130 - Intan Aida Pratiwi</v>
          </cell>
          <cell r="U705" t="str">
            <v>"-"</v>
          </cell>
        </row>
        <row r="706">
          <cell r="A706">
            <v>46265</v>
          </cell>
          <cell r="B706" t="str">
            <v xml:space="preserve">FARHAN FALIH AHMAD                      </v>
          </cell>
          <cell r="C706" t="str">
            <v>FZ90106</v>
          </cell>
          <cell r="D706">
            <v>9701077524507</v>
          </cell>
          <cell r="E706" t="str">
            <v>SEDANG</v>
          </cell>
          <cell r="F706" t="str">
            <v>Tidak</v>
          </cell>
          <cell r="G706" t="str">
            <v>Tidak</v>
          </cell>
          <cell r="H706" t="str">
            <v>Tidak</v>
          </cell>
          <cell r="I706" t="str">
            <v>Money Mules</v>
          </cell>
          <cell r="J706">
            <v>42</v>
          </cell>
          <cell r="K706">
            <v>77</v>
          </cell>
          <cell r="L706" t="str">
            <v>Narkotika/Judi Online</v>
          </cell>
          <cell r="M706" t="str">
            <v xml:space="preserve">Kas Kanpus                              </v>
          </cell>
          <cell r="N706" t="str">
            <v xml:space="preserve">Kas Kanpus                              </v>
          </cell>
          <cell r="O706" t="str">
            <v xml:space="preserve">KAS KANPUS                              </v>
          </cell>
          <cell r="R706" t="str">
            <v>Belum TL</v>
          </cell>
          <cell r="S706" t="str">
            <v>Belum TL</v>
          </cell>
          <cell r="T706" t="str">
            <v>90170665 - Mutiara Ayuningtyas</v>
          </cell>
          <cell r="U706" t="str">
            <v>"-"</v>
          </cell>
        </row>
        <row r="707">
          <cell r="A707">
            <v>46265</v>
          </cell>
          <cell r="B707" t="str">
            <v xml:space="preserve">GUNADI                                  </v>
          </cell>
          <cell r="C707" t="str">
            <v>G025100</v>
          </cell>
          <cell r="D707">
            <v>5101483199504</v>
          </cell>
          <cell r="E707" t="str">
            <v>SEDANG</v>
          </cell>
          <cell r="F707" t="str">
            <v>Tidak</v>
          </cell>
          <cell r="G707" t="str">
            <v>Tidak</v>
          </cell>
          <cell r="H707" t="str">
            <v>Tidak</v>
          </cell>
          <cell r="I707" t="str">
            <v>Perpajakan</v>
          </cell>
          <cell r="J707">
            <v>60</v>
          </cell>
          <cell r="K707">
            <v>1.33</v>
          </cell>
          <cell r="L707" t="str">
            <v>Perpajakan</v>
          </cell>
          <cell r="M707" t="str">
            <v xml:space="preserve">KC Malang Kawi                          </v>
          </cell>
          <cell r="N707" t="str">
            <v xml:space="preserve">KC Malang Kawi                          </v>
          </cell>
          <cell r="O707" t="str">
            <v xml:space="preserve">KANWIL MALANG                           </v>
          </cell>
          <cell r="R707" t="str">
            <v>Belum TL</v>
          </cell>
          <cell r="S707" t="str">
            <v>Belum TL</v>
          </cell>
          <cell r="T707" t="str">
            <v>90186790 - Muhammad Alfin Farha</v>
          </cell>
          <cell r="U707" t="str">
            <v>"-"</v>
          </cell>
        </row>
        <row r="708">
          <cell r="A708">
            <v>46265</v>
          </cell>
          <cell r="B708" t="str">
            <v xml:space="preserve">GAJI PENSIUNAN PT.TASPEN                </v>
          </cell>
          <cell r="C708" t="str">
            <v>G055625</v>
          </cell>
          <cell r="D708">
            <v>11301000530305</v>
          </cell>
          <cell r="E708" t="str">
            <v>SEDANG</v>
          </cell>
          <cell r="F708" t="str">
            <v>Tidak</v>
          </cell>
          <cell r="G708" t="str">
            <v>Tidak</v>
          </cell>
          <cell r="H708" t="str">
            <v>Tidak</v>
          </cell>
          <cell r="I708" t="str">
            <v>Korupsi - Significant Trx View</v>
          </cell>
          <cell r="J708">
            <v>50</v>
          </cell>
          <cell r="K708">
            <v>1.19</v>
          </cell>
          <cell r="L708" t="str">
            <v>Korupsi</v>
          </cell>
          <cell r="M708" t="str">
            <v>Kas Kanpus</v>
          </cell>
          <cell r="N708" t="str">
            <v>Kas Kanpus</v>
          </cell>
          <cell r="O708" t="str">
            <v>KAS KANPUS</v>
          </cell>
          <cell r="R708" t="str">
            <v>Belum TL</v>
          </cell>
          <cell r="S708" t="str">
            <v>Belum TL</v>
          </cell>
          <cell r="T708" t="str">
            <v>00336949 - Mochammad Al Farabi</v>
          </cell>
          <cell r="U708" t="str">
            <v>"-"</v>
          </cell>
        </row>
        <row r="709">
          <cell r="A709">
            <v>46265</v>
          </cell>
          <cell r="B709" t="str">
            <v xml:space="preserve">GRAHA WAHYU KENCANA, PT                 </v>
          </cell>
          <cell r="C709" t="str">
            <v>G168461</v>
          </cell>
          <cell r="D709">
            <v>5901500312158</v>
          </cell>
          <cell r="E709" t="str">
            <v>SEDANG</v>
          </cell>
          <cell r="F709" t="str">
            <v>Tidak</v>
          </cell>
          <cell r="G709" t="str">
            <v>Tidak</v>
          </cell>
          <cell r="H709" t="str">
            <v>Tidak</v>
          </cell>
          <cell r="I709" t="str">
            <v>Korupsi - Loan View</v>
          </cell>
          <cell r="J709">
            <v>48</v>
          </cell>
          <cell r="K709">
            <v>15</v>
          </cell>
          <cell r="L709" t="str">
            <v>Korupsi</v>
          </cell>
          <cell r="M709" t="str">
            <v>Kas Kanpus</v>
          </cell>
          <cell r="N709" t="str">
            <v>Kas Kanpus</v>
          </cell>
          <cell r="O709" t="str">
            <v>KAS KANPUS</v>
          </cell>
          <cell r="R709" t="str">
            <v>Belum TL</v>
          </cell>
          <cell r="S709" t="str">
            <v>Belum TL</v>
          </cell>
          <cell r="T709" t="str">
            <v>90170665 - Mutiara Ayuningtyas</v>
          </cell>
          <cell r="U709" t="str">
            <v>"-"</v>
          </cell>
        </row>
        <row r="710">
          <cell r="A710">
            <v>46265</v>
          </cell>
          <cell r="B710" t="str">
            <v xml:space="preserve">GIRI SUPRAPDIONO                        </v>
          </cell>
          <cell r="C710" t="str">
            <v>G327796</v>
          </cell>
          <cell r="D710">
            <v>37801044949104</v>
          </cell>
          <cell r="E710" t="str">
            <v>SEDANG</v>
          </cell>
          <cell r="F710" t="str">
            <v>Tidak</v>
          </cell>
          <cell r="G710" t="str">
            <v>Tidak</v>
          </cell>
          <cell r="H710" t="str">
            <v>Tidak</v>
          </cell>
          <cell r="I710" t="str">
            <v>Korupsi - Loan View</v>
          </cell>
          <cell r="J710">
            <v>48</v>
          </cell>
          <cell r="K710">
            <v>15</v>
          </cell>
          <cell r="L710" t="str">
            <v>Korupsi</v>
          </cell>
          <cell r="M710" t="str">
            <v>Kas Kanpus</v>
          </cell>
          <cell r="N710" t="str">
            <v>Kas Kanpus</v>
          </cell>
          <cell r="O710" t="str">
            <v>KAS KANPUS</v>
          </cell>
          <cell r="R710" t="str">
            <v>Belum TL</v>
          </cell>
          <cell r="S710" t="str">
            <v>Belum TL</v>
          </cell>
          <cell r="T710" t="str">
            <v>90150130 - Intan Aida Pratiwi</v>
          </cell>
          <cell r="U710" t="str">
            <v>"-"</v>
          </cell>
        </row>
        <row r="711">
          <cell r="A711">
            <v>46265</v>
          </cell>
          <cell r="B711" t="str">
            <v xml:space="preserve">GUNAWAN SAID                            </v>
          </cell>
          <cell r="C711" t="str">
            <v>G400380</v>
          </cell>
          <cell r="D711">
            <v>20601381755104</v>
          </cell>
          <cell r="E711" t="str">
            <v>SEDANG</v>
          </cell>
          <cell r="F711" t="str">
            <v>Tidak</v>
          </cell>
          <cell r="G711" t="str">
            <v>Tidak</v>
          </cell>
          <cell r="H711" t="str">
            <v>Tidak</v>
          </cell>
          <cell r="I711" t="str">
            <v>Korupsi - Loan View</v>
          </cell>
          <cell r="J711">
            <v>48</v>
          </cell>
          <cell r="K711">
            <v>15</v>
          </cell>
          <cell r="L711" t="str">
            <v>Korupsi</v>
          </cell>
          <cell r="M711" t="str">
            <v>Kas Kanpus</v>
          </cell>
          <cell r="N711" t="str">
            <v>Kas Kanpus</v>
          </cell>
          <cell r="O711" t="str">
            <v>KAS KANPUS</v>
          </cell>
          <cell r="R711" t="str">
            <v>Belum TL</v>
          </cell>
          <cell r="S711" t="str">
            <v>Belum TL</v>
          </cell>
          <cell r="T711" t="str">
            <v>00394521 - Muhammad Hibbanduta</v>
          </cell>
          <cell r="U711" t="str">
            <v>"-"</v>
          </cell>
        </row>
        <row r="712">
          <cell r="A712">
            <v>46265</v>
          </cell>
          <cell r="B712" t="str">
            <v xml:space="preserve">GUNAWAN INDRA LESMANA                   </v>
          </cell>
          <cell r="C712" t="str">
            <v>G498063</v>
          </cell>
          <cell r="D712">
            <v>501005102560</v>
          </cell>
          <cell r="E712" t="str">
            <v>SEDANG</v>
          </cell>
          <cell r="F712" t="str">
            <v>Tidak</v>
          </cell>
          <cell r="G712" t="str">
            <v>Tidak</v>
          </cell>
          <cell r="H712" t="str">
            <v>Tidak</v>
          </cell>
          <cell r="I712" t="str">
            <v>Korupsi - Significant Trx View</v>
          </cell>
          <cell r="J712">
            <v>60</v>
          </cell>
          <cell r="K712">
            <v>1.19</v>
          </cell>
          <cell r="L712" t="str">
            <v>Korupsi</v>
          </cell>
          <cell r="M712" t="str">
            <v>Kas Kanpus</v>
          </cell>
          <cell r="N712" t="str">
            <v>Kas Kanpus</v>
          </cell>
          <cell r="O712" t="str">
            <v>KAS KANPUS</v>
          </cell>
          <cell r="R712" t="str">
            <v>Belum TL</v>
          </cell>
          <cell r="S712" t="str">
            <v>Belum TL</v>
          </cell>
          <cell r="T712" t="str">
            <v>90185537 - Moh.Khoerul Fajar Ar</v>
          </cell>
          <cell r="U712" t="str">
            <v>"-"</v>
          </cell>
        </row>
        <row r="713">
          <cell r="A713">
            <v>46265</v>
          </cell>
          <cell r="B713" t="str">
            <v xml:space="preserve">GANESHA PRAPTAMA                        </v>
          </cell>
          <cell r="C713" t="str">
            <v>G525895</v>
          </cell>
          <cell r="D713">
            <v>9601502128157</v>
          </cell>
          <cell r="E713" t="str">
            <v>SEDANG</v>
          </cell>
          <cell r="F713" t="str">
            <v>Tidak</v>
          </cell>
          <cell r="G713" t="str">
            <v>Tidak</v>
          </cell>
          <cell r="H713" t="str">
            <v>Tidak</v>
          </cell>
          <cell r="I713" t="str">
            <v>Korupsi - Loan View</v>
          </cell>
          <cell r="J713">
            <v>48</v>
          </cell>
          <cell r="K713">
            <v>15</v>
          </cell>
          <cell r="L713" t="str">
            <v>Korupsi</v>
          </cell>
          <cell r="M713" t="str">
            <v>Kas Kanpus</v>
          </cell>
          <cell r="N713" t="str">
            <v>Kas Kanpus</v>
          </cell>
          <cell r="O713" t="str">
            <v>KAS KANPUS</v>
          </cell>
          <cell r="R713" t="str">
            <v>Belum TL</v>
          </cell>
          <cell r="S713" t="str">
            <v>Belum TL</v>
          </cell>
          <cell r="T713" t="str">
            <v>90150130 - Intan Aida Pratiwi</v>
          </cell>
          <cell r="U713" t="str">
            <v>"-"</v>
          </cell>
        </row>
        <row r="714">
          <cell r="A714">
            <v>46265</v>
          </cell>
          <cell r="B714" t="str">
            <v xml:space="preserve">GANE PERMAI SENTOSA                     </v>
          </cell>
          <cell r="C714" t="str">
            <v>G551786</v>
          </cell>
          <cell r="D714">
            <v>10301001130309</v>
          </cell>
          <cell r="E714" t="str">
            <v>SEDANG</v>
          </cell>
          <cell r="F714" t="str">
            <v>Tidak</v>
          </cell>
          <cell r="G714" t="str">
            <v>Tidak</v>
          </cell>
          <cell r="H714" t="str">
            <v>Tidak</v>
          </cell>
          <cell r="I714" t="str">
            <v>Korupsi - Cash &amp; Amount</v>
          </cell>
          <cell r="J714">
            <v>48</v>
          </cell>
          <cell r="K714" t="str">
            <v>1,2,20</v>
          </cell>
          <cell r="L714" t="str">
            <v>Korupsi</v>
          </cell>
          <cell r="M714" t="str">
            <v>Kas Kanpus</v>
          </cell>
          <cell r="N714" t="str">
            <v>Kas Kanpus</v>
          </cell>
          <cell r="O714" t="str">
            <v>KAS KANPUS</v>
          </cell>
          <cell r="R714" t="str">
            <v>Belum TL</v>
          </cell>
          <cell r="S714" t="str">
            <v>Belum TL</v>
          </cell>
          <cell r="T714" t="str">
            <v>00336949 - Mochammad Al Farabi</v>
          </cell>
          <cell r="U714" t="str">
            <v>"-"</v>
          </cell>
        </row>
        <row r="715">
          <cell r="A715">
            <v>46265</v>
          </cell>
          <cell r="B715" t="str">
            <v xml:space="preserve">GASNIATI                                </v>
          </cell>
          <cell r="C715" t="str">
            <v>G586352</v>
          </cell>
          <cell r="D715">
            <v>56101001258565</v>
          </cell>
          <cell r="E715" t="str">
            <v>SEDANG</v>
          </cell>
          <cell r="F715" t="str">
            <v>Tidak</v>
          </cell>
          <cell r="G715" t="str">
            <v>Tidak</v>
          </cell>
          <cell r="H715" t="str">
            <v>Tidak</v>
          </cell>
          <cell r="I715" t="str">
            <v>Bandar Judol Withdrawal</v>
          </cell>
          <cell r="J715">
            <v>50</v>
          </cell>
          <cell r="K715" t="str">
            <v>86,88,87</v>
          </cell>
          <cell r="L715" t="str">
            <v>Judi Online</v>
          </cell>
          <cell r="M715" t="str">
            <v xml:space="preserve">Kas Kanpus                              </v>
          </cell>
          <cell r="N715" t="str">
            <v xml:space="preserve">Kas Kanpus                              </v>
          </cell>
          <cell r="O715" t="str">
            <v xml:space="preserve">KAS KANPUS                              </v>
          </cell>
          <cell r="R715" t="str">
            <v>Belum TL</v>
          </cell>
          <cell r="S715" t="str">
            <v>Belum TL</v>
          </cell>
          <cell r="T715" t="str">
            <v>90185538 - Muhammad Fahikal Auz</v>
          </cell>
          <cell r="U715" t="str">
            <v>"-"</v>
          </cell>
        </row>
        <row r="716">
          <cell r="A716">
            <v>46265</v>
          </cell>
          <cell r="B716" t="str">
            <v xml:space="preserve">GUNAWAN                                 </v>
          </cell>
          <cell r="C716" t="str">
            <v>G800390</v>
          </cell>
          <cell r="D716">
            <v>790301005350108</v>
          </cell>
          <cell r="E716" t="str">
            <v>SEDANG</v>
          </cell>
          <cell r="F716" t="str">
            <v>Tidak</v>
          </cell>
          <cell r="G716" t="str">
            <v>Tidak</v>
          </cell>
          <cell r="H716" t="str">
            <v>Tidak</v>
          </cell>
          <cell r="I716" t="str">
            <v>Korupsi - Loan View</v>
          </cell>
          <cell r="J716">
            <v>48</v>
          </cell>
          <cell r="K716">
            <v>15</v>
          </cell>
          <cell r="L716" t="str">
            <v>Korupsi</v>
          </cell>
          <cell r="M716" t="str">
            <v>Kas Kanpus</v>
          </cell>
          <cell r="N716" t="str">
            <v>Kas Kanpus</v>
          </cell>
          <cell r="O716" t="str">
            <v>KAS KANPUS</v>
          </cell>
          <cell r="R716" t="str">
            <v>Belum TL</v>
          </cell>
          <cell r="S716" t="str">
            <v>Belum TL</v>
          </cell>
          <cell r="T716" t="str">
            <v>00336949 - Mochammad Al Farabi</v>
          </cell>
          <cell r="U716" t="str">
            <v>"-"</v>
          </cell>
        </row>
        <row r="717">
          <cell r="A717">
            <v>46265</v>
          </cell>
          <cell r="B717" t="str">
            <v xml:space="preserve">GANESHA MOTOR CV                        </v>
          </cell>
          <cell r="C717" t="str">
            <v>G994838</v>
          </cell>
          <cell r="D717">
            <v>55501001095156</v>
          </cell>
          <cell r="E717" t="str">
            <v>SEDANG</v>
          </cell>
          <cell r="F717" t="str">
            <v>Tidak</v>
          </cell>
          <cell r="G717" t="str">
            <v>Tidak</v>
          </cell>
          <cell r="H717" t="str">
            <v>Tidak</v>
          </cell>
          <cell r="I717" t="str">
            <v>Korupsi - Loan View</v>
          </cell>
          <cell r="J717">
            <v>48</v>
          </cell>
          <cell r="K717">
            <v>15</v>
          </cell>
          <cell r="L717" t="str">
            <v>Korupsi</v>
          </cell>
          <cell r="M717" t="str">
            <v>Kas Kanpus</v>
          </cell>
          <cell r="N717" t="str">
            <v>Kas Kanpus</v>
          </cell>
          <cell r="O717" t="str">
            <v>KAS KANPUS</v>
          </cell>
          <cell r="R717" t="str">
            <v>Belum TL</v>
          </cell>
          <cell r="S717" t="str">
            <v>Belum TL</v>
          </cell>
          <cell r="T717" t="str">
            <v>00394521 - Muhammad Hibbanduta</v>
          </cell>
          <cell r="U717" t="str">
            <v>"-"</v>
          </cell>
        </row>
        <row r="718">
          <cell r="A718">
            <v>46265</v>
          </cell>
          <cell r="B718" t="str">
            <v xml:space="preserve">GUSTI MADE SURIAWAN                     </v>
          </cell>
          <cell r="C718" t="str">
            <v>GA99882</v>
          </cell>
          <cell r="D718">
            <v>464601036887101</v>
          </cell>
          <cell r="E718" t="str">
            <v>SEDANG</v>
          </cell>
          <cell r="F718" t="str">
            <v>Tidak</v>
          </cell>
          <cell r="G718" t="str">
            <v>Tidak</v>
          </cell>
          <cell r="H718" t="str">
            <v>Tidak</v>
          </cell>
          <cell r="I718" t="str">
            <v>Korupsi - Loan View</v>
          </cell>
          <cell r="J718">
            <v>53</v>
          </cell>
          <cell r="K718">
            <v>15</v>
          </cell>
          <cell r="L718" t="str">
            <v>Korupsi</v>
          </cell>
          <cell r="M718" t="str">
            <v>Kas Kanpus</v>
          </cell>
          <cell r="N718" t="str">
            <v>Kas Kanpus</v>
          </cell>
          <cell r="O718" t="str">
            <v>KAS KANPUS</v>
          </cell>
          <cell r="R718" t="str">
            <v>Belum TL</v>
          </cell>
          <cell r="S718" t="str">
            <v>Belum TL</v>
          </cell>
          <cell r="T718" t="str">
            <v>90150130 - Intan Aida Pratiwi</v>
          </cell>
          <cell r="U718" t="str">
            <v>"-"</v>
          </cell>
        </row>
        <row r="719">
          <cell r="A719">
            <v>46265</v>
          </cell>
          <cell r="B719" t="str">
            <v xml:space="preserve">GOSUL ALAM                              </v>
          </cell>
          <cell r="C719" t="str">
            <v>GH55219</v>
          </cell>
          <cell r="D719">
            <v>16601105627509</v>
          </cell>
          <cell r="F719" t="str">
            <v>Tidak</v>
          </cell>
          <cell r="G719" t="str">
            <v>Tidak</v>
          </cell>
          <cell r="I719" t="str">
            <v>Jual Beli Rekening - E channel Trx</v>
          </cell>
          <cell r="J719">
            <v>33</v>
          </cell>
          <cell r="K719">
            <v>113</v>
          </cell>
          <cell r="L719" t="str">
            <v>Narkotika/Judi Online/Penipuan</v>
          </cell>
          <cell r="M719" t="str">
            <v xml:space="preserve">KC Labuan                               </v>
          </cell>
          <cell r="N719" t="str">
            <v xml:space="preserve">KC Labuan                               </v>
          </cell>
          <cell r="O719" t="str">
            <v xml:space="preserve">KANWIL JAKARTA 3                        </v>
          </cell>
          <cell r="R719" t="str">
            <v>Belum TL</v>
          </cell>
          <cell r="S719" t="str">
            <v>Belum TL</v>
          </cell>
          <cell r="U719" t="str">
            <v>"-"</v>
          </cell>
        </row>
        <row r="720">
          <cell r="A720">
            <v>46265</v>
          </cell>
          <cell r="B720" t="str">
            <v xml:space="preserve">GUSTINA SITIO                           </v>
          </cell>
          <cell r="C720" t="str">
            <v>GH58680</v>
          </cell>
          <cell r="D720">
            <v>531401025311537</v>
          </cell>
          <cell r="E720" t="str">
            <v>SEDANG</v>
          </cell>
          <cell r="F720" t="str">
            <v>Tidak</v>
          </cell>
          <cell r="G720" t="str">
            <v>Tidak</v>
          </cell>
          <cell r="H720" t="str">
            <v>Tidak</v>
          </cell>
          <cell r="I720" t="str">
            <v>Bandar Judol Withdrawal</v>
          </cell>
          <cell r="J720">
            <v>50</v>
          </cell>
          <cell r="K720" t="str">
            <v>86,88,87</v>
          </cell>
          <cell r="L720" t="str">
            <v>Judi Online</v>
          </cell>
          <cell r="M720" t="str">
            <v xml:space="preserve">Kas Kanpus                              </v>
          </cell>
          <cell r="N720" t="str">
            <v xml:space="preserve">Kas Kanpus                              </v>
          </cell>
          <cell r="O720" t="str">
            <v xml:space="preserve">KAS KANPUS                              </v>
          </cell>
          <cell r="R720" t="str">
            <v>Belum TL</v>
          </cell>
          <cell r="S720" t="str">
            <v>Belum TL</v>
          </cell>
          <cell r="T720" t="str">
            <v>90185538 - Muhammad Fahikal Auz</v>
          </cell>
          <cell r="U720" t="str">
            <v>"-"</v>
          </cell>
        </row>
        <row r="721">
          <cell r="A721">
            <v>46265</v>
          </cell>
          <cell r="B721" t="str">
            <v xml:space="preserve">GRIYA RIDIA PERMAI                      </v>
          </cell>
          <cell r="C721" t="str">
            <v>GI38821</v>
          </cell>
          <cell r="D721">
            <v>30701020656106</v>
          </cell>
          <cell r="E721" t="str">
            <v>SEDANG</v>
          </cell>
          <cell r="F721" t="str">
            <v>Tidak</v>
          </cell>
          <cell r="G721" t="str">
            <v>Tidak</v>
          </cell>
          <cell r="H721" t="str">
            <v>Tidak</v>
          </cell>
          <cell r="I721" t="str">
            <v>Korupsi - Loan View</v>
          </cell>
          <cell r="J721">
            <v>48</v>
          </cell>
          <cell r="K721">
            <v>15</v>
          </cell>
          <cell r="L721" t="str">
            <v>Korupsi</v>
          </cell>
          <cell r="M721" t="str">
            <v>Kas Kanpus</v>
          </cell>
          <cell r="N721" t="str">
            <v>Kas Kanpus</v>
          </cell>
          <cell r="O721" t="str">
            <v>KAS KANPUS</v>
          </cell>
          <cell r="R721" t="str">
            <v>Belum TL</v>
          </cell>
          <cell r="S721" t="str">
            <v>Belum TL</v>
          </cell>
          <cell r="T721" t="str">
            <v>90150130 - Intan Aida Pratiwi</v>
          </cell>
          <cell r="U721" t="str">
            <v>"-"</v>
          </cell>
        </row>
        <row r="722">
          <cell r="A722">
            <v>46265</v>
          </cell>
          <cell r="B722" t="str">
            <v xml:space="preserve">GOLD COIN INDONESIA                     </v>
          </cell>
          <cell r="C722" t="str">
            <v>GK70162</v>
          </cell>
          <cell r="D722">
            <v>58401001624308</v>
          </cell>
          <cell r="E722" t="str">
            <v>SEDANG</v>
          </cell>
          <cell r="F722" t="str">
            <v>Tidak</v>
          </cell>
          <cell r="G722" t="str">
            <v>Tidak</v>
          </cell>
          <cell r="H722" t="str">
            <v>Tidak</v>
          </cell>
          <cell r="I722" t="str">
            <v>Narkotika - Area Lapas</v>
          </cell>
          <cell r="J722">
            <v>50</v>
          </cell>
          <cell r="K722">
            <v>47</v>
          </cell>
          <cell r="L722" t="str">
            <v>Narkotika</v>
          </cell>
          <cell r="M722" t="str">
            <v>KC Surabaya HR Muhammad</v>
          </cell>
          <cell r="N722" t="str">
            <v>KC Surabaya HR Muhammad</v>
          </cell>
          <cell r="O722" t="str">
            <v>Surabaya</v>
          </cell>
          <cell r="R722" t="str">
            <v>Belum TL</v>
          </cell>
          <cell r="S722" t="str">
            <v>Belum TL</v>
          </cell>
          <cell r="T722" t="str">
            <v>90171841 - Rifqi Aziz</v>
          </cell>
          <cell r="U722" t="str">
            <v>"-"</v>
          </cell>
        </row>
        <row r="723">
          <cell r="A723">
            <v>46265</v>
          </cell>
          <cell r="B723" t="str">
            <v xml:space="preserve">GOSHEN ANUGERAH SEJAHTERA               </v>
          </cell>
          <cell r="C723" t="str">
            <v>GL45413</v>
          </cell>
          <cell r="D723">
            <v>105801000447561</v>
          </cell>
          <cell r="E723" t="str">
            <v>SEDANG</v>
          </cell>
          <cell r="F723" t="str">
            <v>Tidak</v>
          </cell>
          <cell r="G723" t="str">
            <v>Tidak</v>
          </cell>
          <cell r="H723" t="str">
            <v>Tidak</v>
          </cell>
          <cell r="I723" t="str">
            <v>Perpajakan</v>
          </cell>
          <cell r="J723">
            <v>48</v>
          </cell>
          <cell r="K723">
            <v>41</v>
          </cell>
          <cell r="L723" t="str">
            <v>Perpajakan</v>
          </cell>
          <cell r="M723" t="str">
            <v xml:space="preserve">KCP HAMKA                               </v>
          </cell>
          <cell r="N723" t="str">
            <v xml:space="preserve">KC Semarang Pandanaran                  </v>
          </cell>
          <cell r="O723" t="str">
            <v xml:space="preserve">Semarang                                </v>
          </cell>
          <cell r="R723" t="str">
            <v>Belum TL</v>
          </cell>
          <cell r="S723" t="str">
            <v>Belum TL</v>
          </cell>
          <cell r="T723" t="str">
            <v>00394520 - Frida Akbar Rani</v>
          </cell>
          <cell r="U723" t="str">
            <v>"-"</v>
          </cell>
        </row>
        <row r="724">
          <cell r="A724">
            <v>46265</v>
          </cell>
          <cell r="B724" t="str">
            <v xml:space="preserve">GAMETRACO TUNGGAL                       </v>
          </cell>
          <cell r="C724" t="str">
            <v>GM04878</v>
          </cell>
          <cell r="D724">
            <v>38601333888565</v>
          </cell>
          <cell r="E724" t="str">
            <v>SEDANG</v>
          </cell>
          <cell r="F724" t="str">
            <v>Tidak</v>
          </cell>
          <cell r="G724" t="str">
            <v>Tidak</v>
          </cell>
          <cell r="H724" t="str">
            <v>Tidak</v>
          </cell>
          <cell r="I724" t="str">
            <v>Perpajakan</v>
          </cell>
          <cell r="J724">
            <v>48</v>
          </cell>
          <cell r="K724">
            <v>41</v>
          </cell>
          <cell r="L724" t="str">
            <v>Perpajakan</v>
          </cell>
          <cell r="M724" t="str">
            <v xml:space="preserve">KC JAKARTA RAWAMANGUN                   </v>
          </cell>
          <cell r="N724" t="str">
            <v xml:space="preserve">KC JAKARTA RAWAMANGUN                   </v>
          </cell>
          <cell r="O724" t="str">
            <v xml:space="preserve">DKI                                     </v>
          </cell>
          <cell r="R724" t="str">
            <v>Belum TL</v>
          </cell>
          <cell r="S724" t="str">
            <v>Belum TL</v>
          </cell>
          <cell r="T724" t="str">
            <v>00394521 - Muhammad Hibbanduta</v>
          </cell>
          <cell r="U724" t="str">
            <v>"-"</v>
          </cell>
        </row>
        <row r="725">
          <cell r="A725">
            <v>46265</v>
          </cell>
          <cell r="B725" t="str">
            <v xml:space="preserve">GLOBAL MANDIRI                          </v>
          </cell>
          <cell r="C725" t="str">
            <v>GM11674</v>
          </cell>
          <cell r="D725">
            <v>61501001326155</v>
          </cell>
          <cell r="E725" t="str">
            <v>SEDANG</v>
          </cell>
          <cell r="F725" t="str">
            <v>Tidak</v>
          </cell>
          <cell r="G725" t="str">
            <v>Tidak</v>
          </cell>
          <cell r="H725" t="str">
            <v>Tidak</v>
          </cell>
          <cell r="I725" t="str">
            <v>Korupsi - Loan View</v>
          </cell>
          <cell r="J725">
            <v>48</v>
          </cell>
          <cell r="K725">
            <v>15</v>
          </cell>
          <cell r="L725" t="str">
            <v>Korupsi</v>
          </cell>
          <cell r="M725" t="str">
            <v>Kas Kanpus</v>
          </cell>
          <cell r="N725" t="str">
            <v>Kas Kanpus</v>
          </cell>
          <cell r="O725" t="str">
            <v>KAS KANPUS</v>
          </cell>
          <cell r="R725" t="str">
            <v>Belum TL</v>
          </cell>
          <cell r="S725" t="str">
            <v>Belum TL</v>
          </cell>
          <cell r="T725" t="str">
            <v>90171841 - Rifqi Aziz</v>
          </cell>
          <cell r="U725" t="str">
            <v>"-"</v>
          </cell>
        </row>
        <row r="726">
          <cell r="A726">
            <v>46265</v>
          </cell>
          <cell r="B726" t="str">
            <v xml:space="preserve">GREGORIUS RAHADI MULYO WIDAGDO          </v>
          </cell>
          <cell r="C726" t="str">
            <v>GM20183</v>
          </cell>
          <cell r="D726">
            <v>4359720283437060</v>
          </cell>
          <cell r="E726" t="str">
            <v>SEDANG</v>
          </cell>
          <cell r="F726" t="str">
            <v>Tidak</v>
          </cell>
          <cell r="G726" t="str">
            <v>Tidak</v>
          </cell>
          <cell r="H726" t="str">
            <v>Tidak</v>
          </cell>
          <cell r="I726" t="str">
            <v>Penghindaran Pajak (Transaksi Fiktif)/Penyuapan CC</v>
          </cell>
          <cell r="J726">
            <v>45</v>
          </cell>
          <cell r="K726">
            <v>118</v>
          </cell>
          <cell r="L726" t="str">
            <v>Penyuapan / Penghindaran Pajak CC View</v>
          </cell>
          <cell r="M726" t="str">
            <v xml:space="preserve">Kas Kanpus                              </v>
          </cell>
          <cell r="N726" t="str">
            <v xml:space="preserve">Kas Kanpus                              </v>
          </cell>
          <cell r="O726" t="str">
            <v xml:space="preserve">KAS KANPUS                              </v>
          </cell>
          <cell r="R726" t="str">
            <v>Belum TL</v>
          </cell>
          <cell r="S726" t="str">
            <v>Belum TL</v>
          </cell>
          <cell r="T726" t="str">
            <v>90186790 - Muhammad Alfin Farha</v>
          </cell>
          <cell r="U726" t="str">
            <v>"-"</v>
          </cell>
        </row>
        <row r="727">
          <cell r="A727">
            <v>46265</v>
          </cell>
          <cell r="B727" t="str">
            <v xml:space="preserve">GUNUNG BERKAH BERSAMA                   </v>
          </cell>
          <cell r="C727" t="str">
            <v>GM21041</v>
          </cell>
          <cell r="D727">
            <v>22101002228305</v>
          </cell>
          <cell r="E727" t="str">
            <v>SEDANG</v>
          </cell>
          <cell r="F727" t="str">
            <v>Tidak</v>
          </cell>
          <cell r="G727" t="str">
            <v>Tidak</v>
          </cell>
          <cell r="H727" t="str">
            <v>Tidak</v>
          </cell>
          <cell r="I727" t="str">
            <v>Korupsi - Cash &amp; Amount</v>
          </cell>
          <cell r="J727">
            <v>50</v>
          </cell>
          <cell r="K727" t="str">
            <v>1,2,20</v>
          </cell>
          <cell r="L727" t="str">
            <v>Korupsi</v>
          </cell>
          <cell r="M727" t="str">
            <v>Kas Kanpus</v>
          </cell>
          <cell r="N727" t="str">
            <v>Kas Kanpus</v>
          </cell>
          <cell r="O727" t="str">
            <v>KAS KANPUS</v>
          </cell>
          <cell r="R727" t="str">
            <v>Belum TL</v>
          </cell>
          <cell r="S727" t="str">
            <v>Belum TL</v>
          </cell>
          <cell r="T727" t="str">
            <v>00394520 - Frida Akbar Rani</v>
          </cell>
          <cell r="U727" t="str">
            <v>"-"</v>
          </cell>
        </row>
        <row r="728">
          <cell r="A728">
            <v>46265</v>
          </cell>
          <cell r="B728" t="str">
            <v xml:space="preserve">GISELLA ARINI SALSABILA YANUARI         </v>
          </cell>
          <cell r="C728" t="str">
            <v>GN48866</v>
          </cell>
          <cell r="D728">
            <v>60001019181504</v>
          </cell>
          <cell r="E728" t="str">
            <v>SEDANG</v>
          </cell>
          <cell r="F728" t="str">
            <v>Tidak</v>
          </cell>
          <cell r="G728" t="str">
            <v>Tidak</v>
          </cell>
          <cell r="H728" t="str">
            <v>Tidak</v>
          </cell>
          <cell r="I728" t="str">
            <v>Bandar Judol Depo</v>
          </cell>
          <cell r="J728">
            <v>50</v>
          </cell>
          <cell r="K728" t="str">
            <v>86,74,87</v>
          </cell>
          <cell r="L728" t="str">
            <v>Judi Online</v>
          </cell>
          <cell r="M728" t="str">
            <v xml:space="preserve">Kas Kanpus                              </v>
          </cell>
          <cell r="N728" t="str">
            <v xml:space="preserve">Kas Kanpus                              </v>
          </cell>
          <cell r="O728" t="str">
            <v xml:space="preserve">KAS KANPUS                              </v>
          </cell>
          <cell r="R728" t="str">
            <v>Belum TL</v>
          </cell>
          <cell r="S728" t="str">
            <v>Belum TL</v>
          </cell>
          <cell r="T728" t="str">
            <v>00394521 - Muhammad Hibbanduta</v>
          </cell>
          <cell r="U728" t="str">
            <v>"-"</v>
          </cell>
        </row>
        <row r="729">
          <cell r="A729">
            <v>46265</v>
          </cell>
          <cell r="B729" t="str">
            <v xml:space="preserve">GADING CAKRA LOKA                       </v>
          </cell>
          <cell r="C729" t="str">
            <v>GP47693</v>
          </cell>
          <cell r="D729">
            <v>17201013588105</v>
          </cell>
          <cell r="E729" t="str">
            <v>SEDANG</v>
          </cell>
          <cell r="F729" t="str">
            <v>Tidak</v>
          </cell>
          <cell r="G729" t="str">
            <v>Tidak</v>
          </cell>
          <cell r="H729" t="str">
            <v>Tidak</v>
          </cell>
          <cell r="I729" t="str">
            <v>Korupsi - Loan View</v>
          </cell>
          <cell r="J729">
            <v>48</v>
          </cell>
          <cell r="K729">
            <v>15</v>
          </cell>
          <cell r="L729" t="str">
            <v>Korupsi</v>
          </cell>
          <cell r="M729" t="str">
            <v>Kas Kanpus</v>
          </cell>
          <cell r="N729" t="str">
            <v>Kas Kanpus</v>
          </cell>
          <cell r="O729" t="str">
            <v>KAS KANPUS</v>
          </cell>
          <cell r="R729" t="str">
            <v>Belum TL</v>
          </cell>
          <cell r="S729" t="str">
            <v>Belum TL</v>
          </cell>
          <cell r="T729" t="str">
            <v>90186796 - Devito Arya Wiradila</v>
          </cell>
          <cell r="U729" t="str">
            <v>"-"</v>
          </cell>
        </row>
        <row r="730">
          <cell r="A730">
            <v>46265</v>
          </cell>
          <cell r="B730" t="str">
            <v xml:space="preserve">GERAKAN EKONOMI DAN BUDAYA MINANG       </v>
          </cell>
          <cell r="C730" t="str">
            <v>GQ07290</v>
          </cell>
          <cell r="D730">
            <v>38601121989567</v>
          </cell>
          <cell r="E730" t="str">
            <v>SEDANG</v>
          </cell>
          <cell r="F730" t="str">
            <v>Tidak</v>
          </cell>
          <cell r="G730" t="str">
            <v>Tidak</v>
          </cell>
          <cell r="H730" t="str">
            <v>Tidak</v>
          </cell>
          <cell r="I730" t="str">
            <v>Perpajakan</v>
          </cell>
          <cell r="J730">
            <v>48</v>
          </cell>
          <cell r="K730">
            <v>41</v>
          </cell>
          <cell r="L730" t="str">
            <v>Perpajakan</v>
          </cell>
          <cell r="M730" t="str">
            <v xml:space="preserve">KC JAKARTA RAWAMANGUN                   </v>
          </cell>
          <cell r="N730" t="str">
            <v xml:space="preserve">KC JAKARTA RAWAMANGUN                   </v>
          </cell>
          <cell r="O730" t="str">
            <v xml:space="preserve">DKI                                     </v>
          </cell>
          <cell r="R730" t="str">
            <v>Belum TL</v>
          </cell>
          <cell r="S730" t="str">
            <v>Belum TL</v>
          </cell>
          <cell r="T730" t="str">
            <v>00394521 - Muhammad Hibbanduta</v>
          </cell>
          <cell r="U730" t="str">
            <v>"-"</v>
          </cell>
        </row>
        <row r="731">
          <cell r="A731">
            <v>46265</v>
          </cell>
          <cell r="B731" t="str">
            <v xml:space="preserve">GILANG ARIO PRASTYAN                    </v>
          </cell>
          <cell r="C731" t="str">
            <v>GQ81550</v>
          </cell>
          <cell r="D731">
            <v>708501015887501</v>
          </cell>
          <cell r="E731" t="str">
            <v>SEDANG</v>
          </cell>
          <cell r="F731" t="str">
            <v>Tidak</v>
          </cell>
          <cell r="G731" t="str">
            <v>Tidak</v>
          </cell>
          <cell r="H731" t="str">
            <v>Tidak</v>
          </cell>
          <cell r="I731" t="str">
            <v>Bandar Judol Withdrawal</v>
          </cell>
          <cell r="J731">
            <v>50</v>
          </cell>
          <cell r="K731" t="str">
            <v>86,88,87</v>
          </cell>
          <cell r="L731" t="str">
            <v>Judi Online</v>
          </cell>
          <cell r="M731" t="str">
            <v xml:space="preserve">Kas Kanpus                              </v>
          </cell>
          <cell r="N731" t="str">
            <v xml:space="preserve">Kas Kanpus                              </v>
          </cell>
          <cell r="O731" t="str">
            <v xml:space="preserve">KAS KANPUS                              </v>
          </cell>
          <cell r="R731" t="str">
            <v>Belum TL</v>
          </cell>
          <cell r="S731" t="str">
            <v>Belum TL</v>
          </cell>
          <cell r="T731" t="str">
            <v>90186790 - Muhammad Alfin Farha</v>
          </cell>
          <cell r="U731" t="str">
            <v>"-"</v>
          </cell>
        </row>
        <row r="732">
          <cell r="A732">
            <v>46265</v>
          </cell>
          <cell r="B732" t="str">
            <v xml:space="preserve">GMAHK JEMAAT FILADELFIA KENDARI         </v>
          </cell>
          <cell r="C732" t="str">
            <v>GO85619</v>
          </cell>
          <cell r="D732">
            <v>19201002129566</v>
          </cell>
          <cell r="E732" t="str">
            <v>SEDANG</v>
          </cell>
          <cell r="F732" t="str">
            <v>Tidak</v>
          </cell>
          <cell r="G732" t="str">
            <v>Tidak</v>
          </cell>
          <cell r="H732" t="str">
            <v>Tidak</v>
          </cell>
          <cell r="I732" t="str">
            <v>Perpajakan</v>
          </cell>
          <cell r="J732">
            <v>48</v>
          </cell>
          <cell r="K732">
            <v>41</v>
          </cell>
          <cell r="L732" t="str">
            <v>Perpajakan</v>
          </cell>
          <cell r="M732" t="str">
            <v xml:space="preserve">KC Kendari Samratulangi                 </v>
          </cell>
          <cell r="N732" t="str">
            <v xml:space="preserve">KC Kendari Samratulangi                 </v>
          </cell>
          <cell r="O732" t="str">
            <v xml:space="preserve">Makassar                                </v>
          </cell>
          <cell r="R732" t="str">
            <v>Belum TL</v>
          </cell>
          <cell r="S732" t="str">
            <v>Belum TL</v>
          </cell>
          <cell r="T732" t="str">
            <v>00394520 - Frida Akbar Rani</v>
          </cell>
          <cell r="U732" t="str">
            <v>"-"</v>
          </cell>
        </row>
        <row r="733">
          <cell r="A733">
            <v>46265</v>
          </cell>
          <cell r="B733" t="str">
            <v xml:space="preserve">GUSTI RAMADAN                           </v>
          </cell>
          <cell r="C733" t="str">
            <v>GT97247</v>
          </cell>
          <cell r="D733">
            <v>734701012739505</v>
          </cell>
          <cell r="F733" t="str">
            <v>Tidak</v>
          </cell>
          <cell r="G733" t="str">
            <v>Tidak</v>
          </cell>
          <cell r="H733" t="str">
            <v>Tidak</v>
          </cell>
          <cell r="I733" t="str">
            <v>Bandar Judol Withdrawal</v>
          </cell>
          <cell r="J733">
            <v>35</v>
          </cell>
          <cell r="K733" t="str">
            <v>86,88,87</v>
          </cell>
          <cell r="L733" t="str">
            <v>Judi Online</v>
          </cell>
          <cell r="M733" t="str">
            <v xml:space="preserve">Kas Kanpus                              </v>
          </cell>
          <cell r="N733" t="str">
            <v xml:space="preserve">Kas Kanpus                              </v>
          </cell>
          <cell r="O733" t="str">
            <v xml:space="preserve">KAS KANPUS                              </v>
          </cell>
          <cell r="R733" t="str">
            <v>Belum TL</v>
          </cell>
          <cell r="S733" t="str">
            <v>Belum TL</v>
          </cell>
          <cell r="T733" t="str">
            <v>90186790 - Muhammad Alfin Farha</v>
          </cell>
          <cell r="U733" t="str">
            <v>"-"</v>
          </cell>
        </row>
        <row r="734">
          <cell r="A734">
            <v>46265</v>
          </cell>
          <cell r="B734" t="str">
            <v xml:space="preserve">GABRIEL CRISTIAN GINTING                </v>
          </cell>
          <cell r="C734" t="str">
            <v>GU01363</v>
          </cell>
          <cell r="D734">
            <v>108801018948500</v>
          </cell>
          <cell r="F734" t="str">
            <v>Tidak</v>
          </cell>
          <cell r="G734" t="str">
            <v>Tidak</v>
          </cell>
          <cell r="H734" t="str">
            <v>Tidak</v>
          </cell>
          <cell r="I734" t="str">
            <v>Bandar Judol Depo</v>
          </cell>
          <cell r="J734">
            <v>35</v>
          </cell>
          <cell r="K734" t="str">
            <v>86,74,87</v>
          </cell>
          <cell r="L734" t="str">
            <v>Judi Online</v>
          </cell>
          <cell r="M734" t="str">
            <v xml:space="preserve">Kas Kanpus                              </v>
          </cell>
          <cell r="N734" t="str">
            <v xml:space="preserve">Kas Kanpus                              </v>
          </cell>
          <cell r="O734" t="str">
            <v xml:space="preserve">KAS KANPUS                              </v>
          </cell>
          <cell r="R734" t="str">
            <v>Belum TL</v>
          </cell>
          <cell r="S734" t="str">
            <v>Belum TL</v>
          </cell>
          <cell r="T734" t="str">
            <v>00336949 - Mochammad Al Farabi</v>
          </cell>
          <cell r="U734" t="str">
            <v>"-"</v>
          </cell>
        </row>
        <row r="735">
          <cell r="A735">
            <v>46265</v>
          </cell>
          <cell r="B735" t="str">
            <v xml:space="preserve">GRAMITRAMA BATTERY                      </v>
          </cell>
          <cell r="C735" t="str">
            <v>GV88489</v>
          </cell>
          <cell r="D735">
            <v>51601188888309</v>
          </cell>
          <cell r="F735" t="str">
            <v>Tidak</v>
          </cell>
          <cell r="G735" t="str">
            <v>Tidak</v>
          </cell>
          <cell r="H735" t="str">
            <v>Tidak</v>
          </cell>
          <cell r="I735" t="str">
            <v>Perpajakan</v>
          </cell>
          <cell r="J735">
            <v>33</v>
          </cell>
          <cell r="K735">
            <v>41</v>
          </cell>
          <cell r="L735" t="str">
            <v>Perpajakan</v>
          </cell>
          <cell r="M735" t="str">
            <v xml:space="preserve">KC Kepanjen                             </v>
          </cell>
          <cell r="N735" t="str">
            <v xml:space="preserve">KC Kepanjen                             </v>
          </cell>
          <cell r="O735" t="str">
            <v xml:space="preserve">KANWIL MALANG                           </v>
          </cell>
          <cell r="R735" t="str">
            <v>Belum TL</v>
          </cell>
          <cell r="S735" t="str">
            <v>Belum TL</v>
          </cell>
          <cell r="T735" t="str">
            <v>90150130 - Intan Aida Pratiwi</v>
          </cell>
          <cell r="U735" t="str">
            <v>"-"</v>
          </cell>
        </row>
        <row r="736">
          <cell r="A736">
            <v>46265</v>
          </cell>
          <cell r="B736" t="str">
            <v xml:space="preserve">GARUDA AEGIS SYSTEMS                    </v>
          </cell>
          <cell r="C736" t="str">
            <v>GV95704</v>
          </cell>
          <cell r="D736">
            <v>39701005460569</v>
          </cell>
          <cell r="F736" t="str">
            <v>Tidak</v>
          </cell>
          <cell r="G736" t="str">
            <v>Tidak</v>
          </cell>
          <cell r="H736" t="str">
            <v>Tidak</v>
          </cell>
          <cell r="I736" t="str">
            <v>Perpajakan</v>
          </cell>
          <cell r="J736">
            <v>33</v>
          </cell>
          <cell r="K736">
            <v>41</v>
          </cell>
          <cell r="L736" t="str">
            <v>Perpajakan</v>
          </cell>
          <cell r="M736" t="str">
            <v xml:space="preserve">KC Jakarta Palmerah                     </v>
          </cell>
          <cell r="N736" t="str">
            <v xml:space="preserve">KC Jakarta Palmerah                     </v>
          </cell>
          <cell r="O736" t="str">
            <v xml:space="preserve">KANWIL JAKARTA 3                        </v>
          </cell>
          <cell r="R736" t="str">
            <v>Belum TL</v>
          </cell>
          <cell r="S736" t="str">
            <v>Belum TL</v>
          </cell>
          <cell r="T736" t="str">
            <v>90150130 - Intan Aida Pratiwi</v>
          </cell>
          <cell r="U736" t="str">
            <v>"-"</v>
          </cell>
        </row>
        <row r="737">
          <cell r="A737">
            <v>46265</v>
          </cell>
          <cell r="B737" t="str">
            <v xml:space="preserve">HASBIAH B                               </v>
          </cell>
          <cell r="C737" t="str">
            <v>H392544</v>
          </cell>
          <cell r="D737">
            <v>21601000362566</v>
          </cell>
          <cell r="E737" t="str">
            <v>SEDANG</v>
          </cell>
          <cell r="F737" t="str">
            <v>Ya</v>
          </cell>
          <cell r="G737" t="str">
            <v>Tidak</v>
          </cell>
          <cell r="H737" t="str">
            <v>Tidak</v>
          </cell>
          <cell r="I737" t="str">
            <v>Perpajakan</v>
          </cell>
          <cell r="J737">
            <v>50</v>
          </cell>
          <cell r="K737">
            <v>1.33</v>
          </cell>
          <cell r="L737" t="str">
            <v>Perpajakan</v>
          </cell>
          <cell r="M737" t="str">
            <v xml:space="preserve">KC Kolaka                               </v>
          </cell>
          <cell r="N737" t="str">
            <v xml:space="preserve">KC Kolaka                               </v>
          </cell>
          <cell r="O737" t="str">
            <v xml:space="preserve">Makassar                                </v>
          </cell>
          <cell r="R737" t="str">
            <v>Belum TL</v>
          </cell>
          <cell r="S737" t="str">
            <v>Belum TL</v>
          </cell>
          <cell r="T737" t="str">
            <v>00336949 - Mochammad Al Farabi</v>
          </cell>
          <cell r="U737" t="str">
            <v>"-"</v>
          </cell>
        </row>
        <row r="738">
          <cell r="A738">
            <v>46265</v>
          </cell>
          <cell r="B738" t="str">
            <v xml:space="preserve">HASYIM                                  </v>
          </cell>
          <cell r="C738" t="str">
            <v>H667733</v>
          </cell>
          <cell r="D738">
            <v>2301089460506</v>
          </cell>
          <cell r="E738" t="str">
            <v>SEDANG</v>
          </cell>
          <cell r="F738" t="str">
            <v>Tidak</v>
          </cell>
          <cell r="G738" t="str">
            <v>Tidak</v>
          </cell>
          <cell r="H738" t="str">
            <v>Tidak</v>
          </cell>
          <cell r="I738" t="str">
            <v>Bandar Judol Depo</v>
          </cell>
          <cell r="J738">
            <v>50</v>
          </cell>
          <cell r="K738" t="str">
            <v>86,74,87</v>
          </cell>
          <cell r="L738" t="str">
            <v>Judi Online</v>
          </cell>
          <cell r="M738" t="str">
            <v xml:space="preserve">Kas Kanpus                              </v>
          </cell>
          <cell r="N738" t="str">
            <v xml:space="preserve">Kas Kanpus                              </v>
          </cell>
          <cell r="O738" t="str">
            <v xml:space="preserve">KAS KANPUS                              </v>
          </cell>
          <cell r="R738" t="str">
            <v>Belum TL</v>
          </cell>
          <cell r="S738" t="str">
            <v>Belum TL</v>
          </cell>
          <cell r="T738" t="str">
            <v>90150130 - Intan Aida Pratiwi</v>
          </cell>
          <cell r="U738" t="str">
            <v>"-"</v>
          </cell>
        </row>
        <row r="739">
          <cell r="A739">
            <v>46265</v>
          </cell>
          <cell r="B739" t="str">
            <v xml:space="preserve">GRANDI GUMULIA                          </v>
          </cell>
          <cell r="C739" t="str">
            <v>GU71009</v>
          </cell>
          <cell r="D739">
            <v>97301004836501</v>
          </cell>
          <cell r="F739" t="str">
            <v>Tidak</v>
          </cell>
          <cell r="G739" t="str">
            <v>Tidak</v>
          </cell>
          <cell r="H739" t="str">
            <v>Tidak</v>
          </cell>
          <cell r="I739" t="str">
            <v>Bandar Judol Withdrawal</v>
          </cell>
          <cell r="J739">
            <v>35</v>
          </cell>
          <cell r="K739" t="str">
            <v>86,88,87</v>
          </cell>
          <cell r="L739" t="str">
            <v>Judi Online</v>
          </cell>
          <cell r="M739" t="str">
            <v xml:space="preserve">Kas Kanpus                              </v>
          </cell>
          <cell r="N739" t="str">
            <v xml:space="preserve">Kas Kanpus                              </v>
          </cell>
          <cell r="O739" t="str">
            <v xml:space="preserve">KAS KANPUS                              </v>
          </cell>
          <cell r="R739" t="str">
            <v>Belum TL</v>
          </cell>
          <cell r="S739" t="str">
            <v>Belum TL</v>
          </cell>
          <cell r="T739" t="str">
            <v>90185538 - Muhammad Fahikal Auz</v>
          </cell>
          <cell r="U739" t="str">
            <v>"-"</v>
          </cell>
        </row>
        <row r="740">
          <cell r="A740">
            <v>46265</v>
          </cell>
          <cell r="B740" t="str">
            <v xml:space="preserve">GALIH RENDRA ADITYA                     </v>
          </cell>
          <cell r="C740" t="str">
            <v>GV42336</v>
          </cell>
          <cell r="D740">
            <v>77801016985502</v>
          </cell>
          <cell r="F740" t="str">
            <v>Tidak</v>
          </cell>
          <cell r="G740" t="str">
            <v>Tidak</v>
          </cell>
          <cell r="H740" t="str">
            <v>Tidak</v>
          </cell>
          <cell r="I740" t="str">
            <v>Bandar Judol Depo</v>
          </cell>
          <cell r="J740">
            <v>35</v>
          </cell>
          <cell r="K740" t="str">
            <v>86,74,87</v>
          </cell>
          <cell r="L740" t="str">
            <v>Judi Online</v>
          </cell>
          <cell r="M740" t="str">
            <v xml:space="preserve">Kas Kanpus                              </v>
          </cell>
          <cell r="N740" t="str">
            <v xml:space="preserve">Kas Kanpus                              </v>
          </cell>
          <cell r="O740" t="str">
            <v xml:space="preserve">KAS KANPUS                              </v>
          </cell>
          <cell r="R740" t="str">
            <v>Belum TL</v>
          </cell>
          <cell r="S740" t="str">
            <v>Belum TL</v>
          </cell>
          <cell r="T740" t="str">
            <v>00394521 - Muhammad Hibbanduta</v>
          </cell>
          <cell r="U740" t="str">
            <v>"-"</v>
          </cell>
        </row>
        <row r="741">
          <cell r="A741">
            <v>46265</v>
          </cell>
          <cell r="B741" t="str">
            <v xml:space="preserve">HASIAN PARDOMUAN GULTOM                 </v>
          </cell>
          <cell r="C741" t="str">
            <v>HAEL081</v>
          </cell>
          <cell r="D741">
            <v>4359720281709900</v>
          </cell>
          <cell r="E741" t="str">
            <v>SEDANG</v>
          </cell>
          <cell r="F741" t="str">
            <v>Tidak</v>
          </cell>
          <cell r="G741" t="str">
            <v>Tidak</v>
          </cell>
          <cell r="H741" t="str">
            <v>Tidak</v>
          </cell>
          <cell r="I741" t="str">
            <v>Penghindaran Pajak (Transaksi Fiktif)/Penyuapan CC</v>
          </cell>
          <cell r="J741">
            <v>45</v>
          </cell>
          <cell r="K741">
            <v>118</v>
          </cell>
          <cell r="L741" t="str">
            <v>Penyuapan / Penghindaran Pajak CC View</v>
          </cell>
          <cell r="M741" t="str">
            <v xml:space="preserve">Kas Kanpus                              </v>
          </cell>
          <cell r="N741" t="str">
            <v xml:space="preserve">Kas Kanpus                              </v>
          </cell>
          <cell r="O741" t="str">
            <v xml:space="preserve">KAS KANPUS                              </v>
          </cell>
          <cell r="R741" t="str">
            <v>Belum TL</v>
          </cell>
          <cell r="S741" t="str">
            <v>Belum TL</v>
          </cell>
          <cell r="T741" t="str">
            <v>90170665 - Mutiara Ayuningtyas</v>
          </cell>
          <cell r="U741" t="str">
            <v>"-"</v>
          </cell>
        </row>
        <row r="742">
          <cell r="A742">
            <v>46265</v>
          </cell>
          <cell r="B742" t="str">
            <v xml:space="preserve">HASBI HUMAIDI                           </v>
          </cell>
          <cell r="C742" t="str">
            <v>HAEV068</v>
          </cell>
          <cell r="D742">
            <v>39001022991501</v>
          </cell>
          <cell r="E742" t="str">
            <v>SEDANG</v>
          </cell>
          <cell r="F742" t="str">
            <v>Tidak</v>
          </cell>
          <cell r="G742" t="str">
            <v>Tidak</v>
          </cell>
          <cell r="H742" t="str">
            <v>Tidak</v>
          </cell>
          <cell r="I742" t="str">
            <v>Money Mules</v>
          </cell>
          <cell r="J742">
            <v>42</v>
          </cell>
          <cell r="K742">
            <v>77</v>
          </cell>
          <cell r="L742" t="str">
            <v>Narkotika/Judi Online</v>
          </cell>
          <cell r="M742" t="str">
            <v xml:space="preserve">Kas Kanpus                              </v>
          </cell>
          <cell r="N742" t="str">
            <v xml:space="preserve">Kas Kanpus                              </v>
          </cell>
          <cell r="O742" t="str">
            <v xml:space="preserve">KAS KANPUS                              </v>
          </cell>
          <cell r="R742" t="str">
            <v>Belum TL</v>
          </cell>
          <cell r="S742" t="str">
            <v>Belum TL</v>
          </cell>
          <cell r="T742" t="str">
            <v>90185537 - Moh.Khoerul Fajar Ar</v>
          </cell>
          <cell r="U742" t="str">
            <v>"-"</v>
          </cell>
        </row>
        <row r="743">
          <cell r="A743">
            <v>46265</v>
          </cell>
          <cell r="B743" t="str">
            <v xml:space="preserve">HIKMAH HIDUP ANUGRAH PERMAI             </v>
          </cell>
          <cell r="C743" t="str">
            <v>HAFM119</v>
          </cell>
          <cell r="D743">
            <v>33201002839305</v>
          </cell>
          <cell r="E743" t="str">
            <v>SEDANG</v>
          </cell>
          <cell r="F743" t="str">
            <v>Tidak</v>
          </cell>
          <cell r="G743" t="str">
            <v>Tidak</v>
          </cell>
          <cell r="H743" t="str">
            <v>Tidak</v>
          </cell>
          <cell r="I743" t="str">
            <v>Perpajakan</v>
          </cell>
          <cell r="J743">
            <v>48</v>
          </cell>
          <cell r="K743">
            <v>41</v>
          </cell>
          <cell r="L743" t="str">
            <v>Perpajakan</v>
          </cell>
          <cell r="M743" t="str">
            <v xml:space="preserve">KC Jakarta Hayam Wuruk                  </v>
          </cell>
          <cell r="N743" t="str">
            <v xml:space="preserve">KC Jakarta Hayam Wuruk                  </v>
          </cell>
          <cell r="O743" t="str">
            <v xml:space="preserve">KANWIL JAKARTA 3                        </v>
          </cell>
          <cell r="R743" t="str">
            <v>Belum TL</v>
          </cell>
          <cell r="S743" t="str">
            <v>Belum TL</v>
          </cell>
          <cell r="T743" t="str">
            <v>90170665 - Mutiara Ayuningtyas</v>
          </cell>
          <cell r="U743" t="str">
            <v>"-"</v>
          </cell>
        </row>
        <row r="744">
          <cell r="A744">
            <v>46265</v>
          </cell>
          <cell r="B744" t="str">
            <v xml:space="preserve">HENDIKA GINTING                         </v>
          </cell>
          <cell r="C744" t="str">
            <v>HAHY949</v>
          </cell>
          <cell r="D744">
            <v>341001053268536</v>
          </cell>
          <cell r="E744" t="str">
            <v>SEDANG</v>
          </cell>
          <cell r="F744" t="str">
            <v>Tidak</v>
          </cell>
          <cell r="G744" t="str">
            <v>Tidak</v>
          </cell>
          <cell r="H744" t="str">
            <v>Tidak</v>
          </cell>
          <cell r="I744" t="str">
            <v>Bandar Judol Depo</v>
          </cell>
          <cell r="J744">
            <v>50</v>
          </cell>
          <cell r="K744" t="str">
            <v>86,74,87</v>
          </cell>
          <cell r="L744" t="str">
            <v>Judi Online</v>
          </cell>
          <cell r="M744" t="str">
            <v xml:space="preserve">Kas Kanpus                              </v>
          </cell>
          <cell r="N744" t="str">
            <v xml:space="preserve">Kas Kanpus                              </v>
          </cell>
          <cell r="O744" t="str">
            <v xml:space="preserve">KAS KANPUS                              </v>
          </cell>
          <cell r="R744" t="str">
            <v>Belum TL</v>
          </cell>
          <cell r="S744" t="str">
            <v>Belum TL</v>
          </cell>
          <cell r="T744" t="str">
            <v>90171841 - Rifqi Aziz</v>
          </cell>
          <cell r="U744" t="str">
            <v>"-"</v>
          </cell>
        </row>
        <row r="745">
          <cell r="A745">
            <v>46265</v>
          </cell>
          <cell r="B745" t="str">
            <v xml:space="preserve">HENDRY DARMAWAN                         </v>
          </cell>
          <cell r="C745" t="str">
            <v>HAU0140</v>
          </cell>
          <cell r="D745">
            <v>4359720282779200</v>
          </cell>
          <cell r="E745" t="str">
            <v>TINGGI</v>
          </cell>
          <cell r="F745" t="str">
            <v>Tidak</v>
          </cell>
          <cell r="G745" t="str">
            <v>Tidak</v>
          </cell>
          <cell r="H745" t="str">
            <v>Tidak</v>
          </cell>
          <cell r="I745" t="str">
            <v>Penghindaran Pajak (Transaksi Fiktif)/Penyuapan CC</v>
          </cell>
          <cell r="J745">
            <v>70</v>
          </cell>
          <cell r="K745">
            <v>118</v>
          </cell>
          <cell r="L745" t="str">
            <v>Penyuapan / Penghindaran Pajak CC View</v>
          </cell>
          <cell r="M745" t="str">
            <v xml:space="preserve">Kas Kanpus                              </v>
          </cell>
          <cell r="N745" t="str">
            <v xml:space="preserve">Kas Kanpus                              </v>
          </cell>
          <cell r="O745" t="str">
            <v xml:space="preserve">KAS KANPUS                              </v>
          </cell>
          <cell r="R745" t="str">
            <v>Belum TL</v>
          </cell>
          <cell r="S745" t="str">
            <v>Belum TL</v>
          </cell>
          <cell r="T745" t="str">
            <v>90170665 - Mutiara Ayuningtyas</v>
          </cell>
          <cell r="U745" t="str">
            <v>"-"</v>
          </cell>
        </row>
        <row r="746">
          <cell r="A746">
            <v>46265</v>
          </cell>
          <cell r="B746" t="str">
            <v xml:space="preserve">HADIAH UTAMA RAYA                       </v>
          </cell>
          <cell r="C746" t="str">
            <v>HAUM861</v>
          </cell>
          <cell r="D746">
            <v>50501000651302</v>
          </cell>
          <cell r="F746" t="str">
            <v>Tidak</v>
          </cell>
          <cell r="G746" t="str">
            <v>Tidak</v>
          </cell>
          <cell r="H746" t="str">
            <v>Tidak</v>
          </cell>
          <cell r="I746" t="str">
            <v>Perpajakan</v>
          </cell>
          <cell r="J746">
            <v>33</v>
          </cell>
          <cell r="K746">
            <v>41</v>
          </cell>
          <cell r="L746" t="str">
            <v>Perpajakan</v>
          </cell>
          <cell r="M746" t="str">
            <v xml:space="preserve">KCP Central Park                        </v>
          </cell>
          <cell r="N746" t="str">
            <v xml:space="preserve">KC Jakarta Tanjung Duren                </v>
          </cell>
          <cell r="O746" t="str">
            <v xml:space="preserve">KANWIL JAKARTA 3                        </v>
          </cell>
          <cell r="R746" t="str">
            <v>Belum TL</v>
          </cell>
          <cell r="S746" t="str">
            <v>Belum TL</v>
          </cell>
          <cell r="T746" t="str">
            <v>00336949 - Mochammad Al Farabi</v>
          </cell>
          <cell r="U746" t="str">
            <v>"-"</v>
          </cell>
        </row>
        <row r="747">
          <cell r="A747">
            <v>46265</v>
          </cell>
          <cell r="B747" t="str">
            <v xml:space="preserve">HENDRAWAN                               </v>
          </cell>
          <cell r="C747" t="str">
            <v>HAZG606</v>
          </cell>
          <cell r="D747">
            <v>170701005183509</v>
          </cell>
          <cell r="F747" t="str">
            <v>Tidak</v>
          </cell>
          <cell r="G747" t="str">
            <v>Tidak</v>
          </cell>
          <cell r="I747" t="str">
            <v>Jual Beli Rekening - E channel Trx</v>
          </cell>
          <cell r="J747">
            <v>33</v>
          </cell>
          <cell r="K747">
            <v>113</v>
          </cell>
          <cell r="L747" t="str">
            <v>Narkotika/Judi Online/Penipuan</v>
          </cell>
          <cell r="M747" t="str">
            <v xml:space="preserve">KK BANGKA TRADE CENTER                  </v>
          </cell>
          <cell r="N747" t="str">
            <v xml:space="preserve">KC Pangkal Pinang                       </v>
          </cell>
          <cell r="O747" t="str">
            <v xml:space="preserve">Palembang                               </v>
          </cell>
          <cell r="R747" t="str">
            <v>Belum TL</v>
          </cell>
          <cell r="S747" t="str">
            <v>Belum TL</v>
          </cell>
          <cell r="U747" t="str">
            <v>"-"</v>
          </cell>
        </row>
        <row r="748">
          <cell r="A748">
            <v>46265</v>
          </cell>
          <cell r="B748" t="str">
            <v xml:space="preserve">ATNA TUKIMAN                            </v>
          </cell>
          <cell r="C748" t="str">
            <v>HB96041</v>
          </cell>
          <cell r="D748">
            <v>14201000023565</v>
          </cell>
          <cell r="E748" t="str">
            <v>SEDANG</v>
          </cell>
          <cell r="F748" t="str">
            <v>Ya</v>
          </cell>
          <cell r="G748" t="str">
            <v>Tidak</v>
          </cell>
          <cell r="H748" t="str">
            <v>Tidak</v>
          </cell>
          <cell r="I748" t="str">
            <v>Perpajakan</v>
          </cell>
          <cell r="J748">
            <v>58</v>
          </cell>
          <cell r="K748">
            <v>1.33</v>
          </cell>
          <cell r="L748" t="str">
            <v>Perpajakan</v>
          </cell>
          <cell r="M748" t="str">
            <v xml:space="preserve">KC Rembang                              </v>
          </cell>
          <cell r="N748" t="str">
            <v xml:space="preserve">KC Rembang                              </v>
          </cell>
          <cell r="O748" t="str">
            <v xml:space="preserve">Semarang                                </v>
          </cell>
          <cell r="R748" t="str">
            <v>Belum TL</v>
          </cell>
          <cell r="S748" t="str">
            <v>Belum TL</v>
          </cell>
          <cell r="T748" t="str">
            <v>00394521 - Muhammad Hibbanduta</v>
          </cell>
          <cell r="U748" t="str">
            <v>"-"</v>
          </cell>
        </row>
        <row r="749">
          <cell r="A749">
            <v>46265</v>
          </cell>
          <cell r="B749" t="str">
            <v xml:space="preserve">HERU JULIANSYAH SINAGA                  </v>
          </cell>
          <cell r="C749" t="str">
            <v>HBAD511</v>
          </cell>
          <cell r="D749">
            <v>84101023425502</v>
          </cell>
          <cell r="F749" t="str">
            <v>Tidak</v>
          </cell>
          <cell r="G749" t="str">
            <v>Tidak</v>
          </cell>
          <cell r="H749" t="str">
            <v>Tidak</v>
          </cell>
          <cell r="I749" t="str">
            <v>Bandar Judol Withdrawal</v>
          </cell>
          <cell r="J749">
            <v>35</v>
          </cell>
          <cell r="K749" t="str">
            <v>86,88,87</v>
          </cell>
          <cell r="L749" t="str">
            <v>Judi Online</v>
          </cell>
          <cell r="M749" t="str">
            <v xml:space="preserve">Kas Kanpus                              </v>
          </cell>
          <cell r="N749" t="str">
            <v xml:space="preserve">Kas Kanpus                              </v>
          </cell>
          <cell r="O749" t="str">
            <v xml:space="preserve">KAS KANPUS                              </v>
          </cell>
          <cell r="R749" t="str">
            <v>Belum TL</v>
          </cell>
          <cell r="S749" t="str">
            <v>Belum TL</v>
          </cell>
          <cell r="T749" t="str">
            <v>90171841 - Rifqi Aziz</v>
          </cell>
          <cell r="U749" t="str">
            <v>"-"</v>
          </cell>
        </row>
        <row r="750">
          <cell r="A750">
            <v>46265</v>
          </cell>
          <cell r="B750" t="str">
            <v xml:space="preserve">HADI SANUSI                             </v>
          </cell>
          <cell r="C750" t="str">
            <v>HBBA901</v>
          </cell>
          <cell r="D750">
            <v>12001002492562</v>
          </cell>
          <cell r="F750" t="str">
            <v>Tidak</v>
          </cell>
          <cell r="G750" t="str">
            <v>Tidak</v>
          </cell>
          <cell r="H750" t="str">
            <v>Tidak</v>
          </cell>
          <cell r="I750" t="str">
            <v>Bandar Judol Withdrawal</v>
          </cell>
          <cell r="J750">
            <v>35</v>
          </cell>
          <cell r="K750" t="str">
            <v>86,88,87</v>
          </cell>
          <cell r="L750" t="str">
            <v>Judi Online</v>
          </cell>
          <cell r="M750" t="str">
            <v xml:space="preserve">Kas Kanpus                              </v>
          </cell>
          <cell r="N750" t="str">
            <v xml:space="preserve">Kas Kanpus                              </v>
          </cell>
          <cell r="O750" t="str">
            <v xml:space="preserve">KAS KANPUS                              </v>
          </cell>
          <cell r="R750" t="str">
            <v>Belum TL</v>
          </cell>
          <cell r="S750" t="str">
            <v>Belum TL</v>
          </cell>
          <cell r="T750" t="str">
            <v>90186796 - Devito Arya Wiradila</v>
          </cell>
          <cell r="U750" t="str">
            <v>"-"</v>
          </cell>
        </row>
        <row r="751">
          <cell r="A751">
            <v>46265</v>
          </cell>
          <cell r="B751" t="str">
            <v xml:space="preserve">HERMAN                                  </v>
          </cell>
          <cell r="C751" t="str">
            <v>HBFP160</v>
          </cell>
          <cell r="D751">
            <v>119101023195501</v>
          </cell>
          <cell r="F751" t="str">
            <v>Tidak</v>
          </cell>
          <cell r="G751" t="str">
            <v>Tidak</v>
          </cell>
          <cell r="H751" t="str">
            <v>Tidak</v>
          </cell>
          <cell r="I751" t="str">
            <v>Bandar Judol Withdrawal</v>
          </cell>
          <cell r="J751">
            <v>35</v>
          </cell>
          <cell r="K751" t="str">
            <v>86,88,87</v>
          </cell>
          <cell r="L751" t="str">
            <v>Judi Online</v>
          </cell>
          <cell r="M751" t="str">
            <v xml:space="preserve">Kas Kanpus                              </v>
          </cell>
          <cell r="N751" t="str">
            <v xml:space="preserve">Kas Kanpus                              </v>
          </cell>
          <cell r="O751" t="str">
            <v xml:space="preserve">KAS KANPUS                              </v>
          </cell>
          <cell r="R751" t="str">
            <v>Belum TL</v>
          </cell>
          <cell r="S751" t="str">
            <v>Belum TL</v>
          </cell>
          <cell r="T751" t="str">
            <v>90185537 - Moh.Khoerul Fajar Ar</v>
          </cell>
          <cell r="U751" t="str">
            <v>"-"</v>
          </cell>
        </row>
        <row r="752">
          <cell r="A752">
            <v>46265</v>
          </cell>
          <cell r="B752" t="str">
            <v xml:space="preserve">HIKMAH HIDUP TANGGUH LESTARI KSO        </v>
          </cell>
          <cell r="C752" t="str">
            <v>HBHJ356</v>
          </cell>
          <cell r="D752">
            <v>33201003093300</v>
          </cell>
          <cell r="F752" t="str">
            <v>Tidak</v>
          </cell>
          <cell r="G752" t="str">
            <v>Tidak</v>
          </cell>
          <cell r="H752" t="str">
            <v>Tidak</v>
          </cell>
          <cell r="I752" t="str">
            <v>Perpajakan</v>
          </cell>
          <cell r="J752">
            <v>33</v>
          </cell>
          <cell r="K752">
            <v>41</v>
          </cell>
          <cell r="L752" t="str">
            <v>Perpajakan</v>
          </cell>
          <cell r="M752" t="str">
            <v xml:space="preserve">KC Jakarta Hayam Wuruk                  </v>
          </cell>
          <cell r="N752" t="str">
            <v xml:space="preserve">KC Jakarta Hayam Wuruk                  </v>
          </cell>
          <cell r="O752" t="str">
            <v xml:space="preserve">KANWIL JAKARTA 3                        </v>
          </cell>
          <cell r="R752" t="str">
            <v>Belum TL</v>
          </cell>
          <cell r="S752" t="str">
            <v>Belum TL</v>
          </cell>
          <cell r="T752" t="str">
            <v>90185538 - Muhammad Fahikal Auz</v>
          </cell>
          <cell r="U752" t="str">
            <v>"-"</v>
          </cell>
        </row>
        <row r="753">
          <cell r="A753">
            <v>46265</v>
          </cell>
          <cell r="B753" t="str">
            <v xml:space="preserve">HERI SUNANTA                            </v>
          </cell>
          <cell r="C753" t="str">
            <v>HBPD242</v>
          </cell>
          <cell r="D753">
            <v>324101004763502</v>
          </cell>
          <cell r="F753" t="str">
            <v>Tidak</v>
          </cell>
          <cell r="G753" t="str">
            <v>Tidak</v>
          </cell>
          <cell r="H753" t="str">
            <v>Tidak</v>
          </cell>
          <cell r="I753" t="str">
            <v>Bandar Judol Withdrawal</v>
          </cell>
          <cell r="J753">
            <v>35</v>
          </cell>
          <cell r="K753" t="str">
            <v>86,88,87</v>
          </cell>
          <cell r="L753" t="str">
            <v>Judi Online</v>
          </cell>
          <cell r="M753" t="str">
            <v xml:space="preserve">Kas Kanpus                              </v>
          </cell>
          <cell r="N753" t="str">
            <v xml:space="preserve">Kas Kanpus                              </v>
          </cell>
          <cell r="O753" t="str">
            <v xml:space="preserve">KAS KANPUS                              </v>
          </cell>
          <cell r="R753" t="str">
            <v>Belum TL</v>
          </cell>
          <cell r="S753" t="str">
            <v>Belum TL</v>
          </cell>
          <cell r="T753" t="str">
            <v>90186790 - Muhammad Alfin Farha</v>
          </cell>
          <cell r="U753" t="str">
            <v>"-"</v>
          </cell>
        </row>
        <row r="754">
          <cell r="A754">
            <v>46265</v>
          </cell>
          <cell r="B754" t="str">
            <v xml:space="preserve">HAN SETIAWAN                            </v>
          </cell>
          <cell r="C754" t="str">
            <v>HBPU298</v>
          </cell>
          <cell r="D754">
            <v>332501003075506</v>
          </cell>
          <cell r="F754" t="str">
            <v>Tidak</v>
          </cell>
          <cell r="G754" t="str">
            <v>Tidak</v>
          </cell>
          <cell r="H754" t="str">
            <v>Tidak</v>
          </cell>
          <cell r="I754" t="str">
            <v>Bandar Judol Withdrawal</v>
          </cell>
          <cell r="J754">
            <v>35</v>
          </cell>
          <cell r="K754" t="str">
            <v>86,88,87</v>
          </cell>
          <cell r="L754" t="str">
            <v>Judi Online</v>
          </cell>
          <cell r="M754" t="str">
            <v xml:space="preserve">Kas Kanpus                              </v>
          </cell>
          <cell r="N754" t="str">
            <v xml:space="preserve">Kas Kanpus                              </v>
          </cell>
          <cell r="O754" t="str">
            <v xml:space="preserve">KAS KANPUS                              </v>
          </cell>
          <cell r="R754" t="str">
            <v>Belum TL</v>
          </cell>
          <cell r="S754" t="str">
            <v>Belum TL</v>
          </cell>
          <cell r="T754" t="str">
            <v>00394521 - Muhammad Hibbanduta</v>
          </cell>
          <cell r="U754" t="str">
            <v>"-"</v>
          </cell>
        </row>
        <row r="755">
          <cell r="A755">
            <v>46265</v>
          </cell>
          <cell r="B755" t="str">
            <v xml:space="preserve">HENRY INDRAGUNA                         </v>
          </cell>
          <cell r="C755" t="str">
            <v>HBQV928</v>
          </cell>
          <cell r="D755">
            <v>20602003996503</v>
          </cell>
          <cell r="F755" t="str">
            <v>Tidak</v>
          </cell>
          <cell r="G755" t="str">
            <v>Tidak</v>
          </cell>
          <cell r="I755" t="str">
            <v>Money Mules</v>
          </cell>
          <cell r="J755">
            <v>37</v>
          </cell>
          <cell r="K755">
            <v>79</v>
          </cell>
          <cell r="L755" t="str">
            <v>Narkotika/Judi Online</v>
          </cell>
          <cell r="M755" t="str">
            <v xml:space="preserve">Kas Kanpus                              </v>
          </cell>
          <cell r="N755" t="str">
            <v xml:space="preserve">Kas Kanpus                              </v>
          </cell>
          <cell r="O755" t="str">
            <v xml:space="preserve">KAS KANPUS                              </v>
          </cell>
          <cell r="R755" t="str">
            <v>Belum TL</v>
          </cell>
          <cell r="S755" t="str">
            <v>Belum TL</v>
          </cell>
          <cell r="T755" t="str">
            <v>90186790 - Muhammad Alfin Farha</v>
          </cell>
          <cell r="U755" t="str">
            <v>"-"</v>
          </cell>
        </row>
        <row r="756">
          <cell r="A756">
            <v>46265</v>
          </cell>
          <cell r="B756" t="str">
            <v xml:space="preserve">HADI NUR WIDAYAT                        </v>
          </cell>
          <cell r="C756" t="str">
            <v>HBS5968</v>
          </cell>
          <cell r="D756">
            <v>106801011207509</v>
          </cell>
          <cell r="E756" t="str">
            <v>SEDANG</v>
          </cell>
          <cell r="F756" t="str">
            <v>Tidak</v>
          </cell>
          <cell r="G756" t="str">
            <v>Tidak</v>
          </cell>
          <cell r="H756" t="str">
            <v>Tidak</v>
          </cell>
          <cell r="I756" t="str">
            <v>Bandar Judol Withdrawal</v>
          </cell>
          <cell r="J756">
            <v>50</v>
          </cell>
          <cell r="K756" t="str">
            <v>86,88,87</v>
          </cell>
          <cell r="L756" t="str">
            <v>Judi Online</v>
          </cell>
          <cell r="M756" t="str">
            <v xml:space="preserve">Kas Kanpus                              </v>
          </cell>
          <cell r="N756" t="str">
            <v xml:space="preserve">Kas Kanpus                              </v>
          </cell>
          <cell r="O756" t="str">
            <v xml:space="preserve">KAS KANPUS                              </v>
          </cell>
          <cell r="R756" t="str">
            <v>Belum TL</v>
          </cell>
          <cell r="S756" t="str">
            <v>Belum TL</v>
          </cell>
          <cell r="T756" t="str">
            <v>90185538 - Muhammad Fahikal Auz</v>
          </cell>
          <cell r="U756" t="str">
            <v>"-"</v>
          </cell>
        </row>
        <row r="757">
          <cell r="A757">
            <v>46265</v>
          </cell>
          <cell r="B757" t="str">
            <v xml:space="preserve">HERI YANA                               </v>
          </cell>
          <cell r="C757" t="str">
            <v>HCA0261</v>
          </cell>
          <cell r="D757">
            <v>40701056456506</v>
          </cell>
          <cell r="F757" t="str">
            <v>Tidak</v>
          </cell>
          <cell r="G757" t="str">
            <v>Tidak</v>
          </cell>
          <cell r="I757" t="str">
            <v>Jual Beli Rekening - E channel Trx</v>
          </cell>
          <cell r="J757">
            <v>33</v>
          </cell>
          <cell r="K757">
            <v>113</v>
          </cell>
          <cell r="L757" t="str">
            <v>Narkotika/Judi Online/Penipuan</v>
          </cell>
          <cell r="M757" t="str">
            <v xml:space="preserve">KC Bandung Sukarno Hatta                </v>
          </cell>
          <cell r="N757" t="str">
            <v xml:space="preserve">KC Bandung Sukarno Hatta                </v>
          </cell>
          <cell r="O757" t="str">
            <v xml:space="preserve">Bandung                                 </v>
          </cell>
          <cell r="R757" t="str">
            <v>Belum TL</v>
          </cell>
          <cell r="S757" t="str">
            <v>Belum TL</v>
          </cell>
          <cell r="U757" t="str">
            <v>"-"</v>
          </cell>
        </row>
        <row r="758">
          <cell r="A758">
            <v>46265</v>
          </cell>
          <cell r="B758" t="str">
            <v xml:space="preserve">HUSAINI                                 </v>
          </cell>
          <cell r="C758" t="str">
            <v>HCAF912</v>
          </cell>
          <cell r="D758">
            <v>69401036018507</v>
          </cell>
          <cell r="F758" t="str">
            <v>Tidak</v>
          </cell>
          <cell r="G758" t="str">
            <v>Tidak</v>
          </cell>
          <cell r="I758" t="str">
            <v>Jual Beli Rekening - E channel Trx</v>
          </cell>
          <cell r="J758">
            <v>33</v>
          </cell>
          <cell r="K758">
            <v>113</v>
          </cell>
          <cell r="L758" t="str">
            <v>Narkotika/Judi Online/Penipuan</v>
          </cell>
          <cell r="M758" t="str">
            <v xml:space="preserve">KCP KRAKATAU MEDAN                      </v>
          </cell>
          <cell r="N758" t="str">
            <v xml:space="preserve">KC Medan Putri Hijau                    </v>
          </cell>
          <cell r="O758" t="str">
            <v xml:space="preserve">Medan                                   </v>
          </cell>
          <cell r="R758" t="str">
            <v>Belum TL</v>
          </cell>
          <cell r="S758" t="str">
            <v>Belum TL</v>
          </cell>
          <cell r="U758" t="str">
            <v>"-"</v>
          </cell>
        </row>
        <row r="759">
          <cell r="A759">
            <v>46265</v>
          </cell>
          <cell r="B759" t="str">
            <v xml:space="preserve">HERON HEDWIG                            </v>
          </cell>
          <cell r="C759" t="str">
            <v>HCE3792</v>
          </cell>
          <cell r="D759">
            <v>11901016606106</v>
          </cell>
          <cell r="E759" t="str">
            <v>RENDAH</v>
          </cell>
          <cell r="F759" t="str">
            <v>Tidak</v>
          </cell>
          <cell r="G759" t="str">
            <v>Tidak</v>
          </cell>
          <cell r="H759" t="str">
            <v>Tidak</v>
          </cell>
          <cell r="I759" t="str">
            <v>Korupsi - Loan View</v>
          </cell>
          <cell r="J759">
            <v>33</v>
          </cell>
          <cell r="K759">
            <v>15</v>
          </cell>
          <cell r="L759" t="str">
            <v>Korupsi</v>
          </cell>
          <cell r="M759" t="str">
            <v>Kas Kanpus</v>
          </cell>
          <cell r="N759" t="str">
            <v>Kas Kanpus</v>
          </cell>
          <cell r="O759" t="str">
            <v>KAS KANPUS</v>
          </cell>
          <cell r="R759" t="str">
            <v>Belum TL</v>
          </cell>
          <cell r="S759" t="str">
            <v>Belum TL</v>
          </cell>
          <cell r="T759" t="str">
            <v>90150130 - Intan Aida Pratiwi</v>
          </cell>
          <cell r="U759" t="str">
            <v>"-"</v>
          </cell>
        </row>
        <row r="760">
          <cell r="A760">
            <v>46265</v>
          </cell>
          <cell r="B760" t="str">
            <v xml:space="preserve">HERI MUHAMAD HAMIM                      </v>
          </cell>
          <cell r="C760" t="str">
            <v>HCEG638</v>
          </cell>
          <cell r="D760">
            <v>748701002186500</v>
          </cell>
          <cell r="F760" t="str">
            <v>Tidak</v>
          </cell>
          <cell r="G760" t="str">
            <v>Tidak</v>
          </cell>
          <cell r="H760" t="str">
            <v>Tidak</v>
          </cell>
          <cell r="I760" t="str">
            <v>Bandar Judol Withdrawal</v>
          </cell>
          <cell r="J760">
            <v>35</v>
          </cell>
          <cell r="K760" t="str">
            <v>86,88,87</v>
          </cell>
          <cell r="L760" t="str">
            <v>Judi Online</v>
          </cell>
          <cell r="M760" t="str">
            <v xml:space="preserve">Kas Kanpus                              </v>
          </cell>
          <cell r="N760" t="str">
            <v xml:space="preserve">Kas Kanpus                              </v>
          </cell>
          <cell r="O760" t="str">
            <v xml:space="preserve">KAS KANPUS                              </v>
          </cell>
          <cell r="R760" t="str">
            <v>Belum TL</v>
          </cell>
          <cell r="S760" t="str">
            <v>Belum TL</v>
          </cell>
          <cell r="T760" t="str">
            <v>90185538 - Muhammad Fahikal Auz</v>
          </cell>
          <cell r="U760" t="str">
            <v>"-"</v>
          </cell>
        </row>
        <row r="761">
          <cell r="A761">
            <v>46265</v>
          </cell>
          <cell r="B761" t="str">
            <v xml:space="preserve">HAKKAN FAIZ SULTON                      </v>
          </cell>
          <cell r="C761" t="str">
            <v>HCHO418</v>
          </cell>
          <cell r="D761">
            <v>332501003325503</v>
          </cell>
          <cell r="F761" t="str">
            <v>Tidak</v>
          </cell>
          <cell r="G761" t="str">
            <v>Tidak</v>
          </cell>
          <cell r="H761" t="str">
            <v>Tidak</v>
          </cell>
          <cell r="I761" t="str">
            <v>Bandar Judol Withdrawal</v>
          </cell>
          <cell r="J761">
            <v>35</v>
          </cell>
          <cell r="K761" t="str">
            <v>86,88,87</v>
          </cell>
          <cell r="L761" t="str">
            <v>Judi Online</v>
          </cell>
          <cell r="M761" t="str">
            <v xml:space="preserve">Kas Kanpus                              </v>
          </cell>
          <cell r="N761" t="str">
            <v xml:space="preserve">Kas Kanpus                              </v>
          </cell>
          <cell r="O761" t="str">
            <v xml:space="preserve">KAS KANPUS                              </v>
          </cell>
          <cell r="R761" t="str">
            <v>Belum TL</v>
          </cell>
          <cell r="S761" t="str">
            <v>Belum TL</v>
          </cell>
          <cell r="T761" t="str">
            <v>90185538 - Muhammad Fahikal Auz</v>
          </cell>
          <cell r="U761" t="str">
            <v>"-"</v>
          </cell>
        </row>
        <row r="762">
          <cell r="A762">
            <v>46265</v>
          </cell>
          <cell r="B762" t="str">
            <v xml:space="preserve">HALIMATUNSAKDIAH                        </v>
          </cell>
          <cell r="C762" t="str">
            <v>HCIH914</v>
          </cell>
          <cell r="D762">
            <v>63801101042502</v>
          </cell>
          <cell r="F762" t="str">
            <v>Tidak</v>
          </cell>
          <cell r="G762" t="str">
            <v>Tidak</v>
          </cell>
          <cell r="H762" t="str">
            <v>Tidak</v>
          </cell>
          <cell r="I762" t="str">
            <v>Bandar Judol Withdrawal</v>
          </cell>
          <cell r="J762">
            <v>35</v>
          </cell>
          <cell r="K762" t="str">
            <v>86,88,87</v>
          </cell>
          <cell r="L762" t="str">
            <v>Judi Online</v>
          </cell>
          <cell r="M762" t="str">
            <v xml:space="preserve">Kas Kanpus                              </v>
          </cell>
          <cell r="N762" t="str">
            <v xml:space="preserve">Kas Kanpus                              </v>
          </cell>
          <cell r="O762" t="str">
            <v xml:space="preserve">KAS KANPUS                              </v>
          </cell>
          <cell r="R762" t="str">
            <v>Belum TL</v>
          </cell>
          <cell r="S762" t="str">
            <v>Belum TL</v>
          </cell>
          <cell r="T762" t="str">
            <v>00394520 - Frida Akbar Rani</v>
          </cell>
          <cell r="U762" t="str">
            <v>"-"</v>
          </cell>
        </row>
        <row r="763">
          <cell r="A763">
            <v>46265</v>
          </cell>
          <cell r="B763" t="str">
            <v xml:space="preserve">HERUDIN                                 </v>
          </cell>
          <cell r="C763" t="str">
            <v>HCII468</v>
          </cell>
          <cell r="D763">
            <v>99601016783506</v>
          </cell>
          <cell r="F763" t="str">
            <v>Tidak</v>
          </cell>
          <cell r="G763" t="str">
            <v>Tidak</v>
          </cell>
          <cell r="H763" t="str">
            <v>Tidak</v>
          </cell>
          <cell r="I763" t="str">
            <v>Bandar Judol Depo</v>
          </cell>
          <cell r="J763">
            <v>35</v>
          </cell>
          <cell r="K763" t="str">
            <v>86,74,87</v>
          </cell>
          <cell r="L763" t="str">
            <v>Judi Online</v>
          </cell>
          <cell r="M763" t="str">
            <v xml:space="preserve">Kas Kanpus                              </v>
          </cell>
          <cell r="N763" t="str">
            <v xml:space="preserve">Kas Kanpus                              </v>
          </cell>
          <cell r="O763" t="str">
            <v xml:space="preserve">KAS KANPUS                              </v>
          </cell>
          <cell r="R763" t="str">
            <v>Belum TL</v>
          </cell>
          <cell r="S763" t="str">
            <v>Belum TL</v>
          </cell>
          <cell r="T763" t="str">
            <v>90186790 - Muhammad Alfin Farha</v>
          </cell>
          <cell r="U763" t="str">
            <v>"-"</v>
          </cell>
        </row>
        <row r="764">
          <cell r="A764">
            <v>46265</v>
          </cell>
          <cell r="B764" t="str">
            <v xml:space="preserve">HARDI M NUR                             </v>
          </cell>
          <cell r="C764" t="str">
            <v>HCIV389</v>
          </cell>
          <cell r="D764">
            <v>54101025907506</v>
          </cell>
          <cell r="F764" t="str">
            <v>Tidak</v>
          </cell>
          <cell r="G764" t="str">
            <v>Tidak</v>
          </cell>
          <cell r="H764" t="str">
            <v>Tidak</v>
          </cell>
          <cell r="I764" t="str">
            <v>Bandar Judol Withdrawal</v>
          </cell>
          <cell r="J764">
            <v>35</v>
          </cell>
          <cell r="K764" t="str">
            <v>86,88,87</v>
          </cell>
          <cell r="L764" t="str">
            <v>Judi Online</v>
          </cell>
          <cell r="M764" t="str">
            <v xml:space="preserve">Kas Kanpus                              </v>
          </cell>
          <cell r="N764" t="str">
            <v xml:space="preserve">Kas Kanpus                              </v>
          </cell>
          <cell r="O764" t="str">
            <v xml:space="preserve">KAS KANPUS                              </v>
          </cell>
          <cell r="R764" t="str">
            <v>Belum TL</v>
          </cell>
          <cell r="S764" t="str">
            <v>Belum TL</v>
          </cell>
          <cell r="T764" t="str">
            <v>90185537 - Moh.Khoerul Fajar Ar</v>
          </cell>
          <cell r="U764" t="str">
            <v>"-"</v>
          </cell>
        </row>
        <row r="765">
          <cell r="A765">
            <v>46265</v>
          </cell>
          <cell r="B765" t="str">
            <v xml:space="preserve">HAKIM                                   </v>
          </cell>
          <cell r="C765" t="str">
            <v>HCKJ239</v>
          </cell>
          <cell r="D765">
            <v>654901016708503</v>
          </cell>
          <cell r="F765" t="str">
            <v>Tidak</v>
          </cell>
          <cell r="G765" t="str">
            <v>Tidak</v>
          </cell>
          <cell r="I765" t="str">
            <v>Jual Beli Rekening - E channel Trx</v>
          </cell>
          <cell r="J765">
            <v>33</v>
          </cell>
          <cell r="K765">
            <v>113</v>
          </cell>
          <cell r="L765" t="str">
            <v>Narkotika/Judi Online/Penipuan</v>
          </cell>
          <cell r="M765" t="str">
            <v xml:space="preserve">UNIT POGOT KAPAS KRAMPUNG               </v>
          </cell>
          <cell r="N765" t="str">
            <v xml:space="preserve">KC Kapas Krampung                       </v>
          </cell>
          <cell r="O765" t="str">
            <v xml:space="preserve">Surabaya                                </v>
          </cell>
          <cell r="R765" t="str">
            <v>Belum TL</v>
          </cell>
          <cell r="S765" t="str">
            <v>Belum TL</v>
          </cell>
          <cell r="U765" t="str">
            <v>"-"</v>
          </cell>
        </row>
        <row r="766">
          <cell r="A766">
            <v>46265</v>
          </cell>
          <cell r="B766" t="str">
            <v xml:space="preserve">HANDI SAMMA                             </v>
          </cell>
          <cell r="C766" t="str">
            <v>HCKX535</v>
          </cell>
          <cell r="D766">
            <v>41801028958507</v>
          </cell>
          <cell r="F766" t="str">
            <v>Tidak</v>
          </cell>
          <cell r="G766" t="str">
            <v>Tidak</v>
          </cell>
          <cell r="H766" t="str">
            <v>Tidak</v>
          </cell>
          <cell r="I766" t="str">
            <v>Bandar Judol Withdrawal</v>
          </cell>
          <cell r="J766">
            <v>35</v>
          </cell>
          <cell r="K766" t="str">
            <v>86,88,87</v>
          </cell>
          <cell r="L766" t="str">
            <v>Judi Online</v>
          </cell>
          <cell r="M766" t="str">
            <v xml:space="preserve">Kas Kanpus                              </v>
          </cell>
          <cell r="N766" t="str">
            <v xml:space="preserve">Kas Kanpus                              </v>
          </cell>
          <cell r="O766" t="str">
            <v xml:space="preserve">KAS KANPUS                              </v>
          </cell>
          <cell r="R766" t="str">
            <v>Belum TL</v>
          </cell>
          <cell r="S766" t="str">
            <v>Belum TL</v>
          </cell>
          <cell r="T766" t="str">
            <v>00394520 - Frida Akbar Rani</v>
          </cell>
          <cell r="U766" t="str">
            <v>"-"</v>
          </cell>
        </row>
        <row r="767">
          <cell r="A767">
            <v>46265</v>
          </cell>
          <cell r="B767" t="str">
            <v xml:space="preserve">HENDRI GUNAWAN                          </v>
          </cell>
          <cell r="C767" t="str">
            <v>HCLZ730</v>
          </cell>
          <cell r="D767">
            <v>1901295293502</v>
          </cell>
          <cell r="F767" t="str">
            <v>Tidak</v>
          </cell>
          <cell r="G767" t="str">
            <v>Tidak</v>
          </cell>
          <cell r="H767" t="str">
            <v>Tidak</v>
          </cell>
          <cell r="I767" t="str">
            <v>Bandar Judol Withdrawal</v>
          </cell>
          <cell r="J767">
            <v>35</v>
          </cell>
          <cell r="K767" t="str">
            <v>86,88,87</v>
          </cell>
          <cell r="L767" t="str">
            <v>Judi Online</v>
          </cell>
          <cell r="M767" t="str">
            <v xml:space="preserve">Kas Kanpus                              </v>
          </cell>
          <cell r="N767" t="str">
            <v xml:space="preserve">Kas Kanpus                              </v>
          </cell>
          <cell r="O767" t="str">
            <v xml:space="preserve">KAS KANPUS                              </v>
          </cell>
          <cell r="R767" t="str">
            <v>Belum TL</v>
          </cell>
          <cell r="S767" t="str">
            <v>Belum TL</v>
          </cell>
          <cell r="T767" t="str">
            <v>90186796 - Devito Arya Wiradila</v>
          </cell>
          <cell r="U767" t="str">
            <v>"-"</v>
          </cell>
        </row>
        <row r="768">
          <cell r="A768">
            <v>46265</v>
          </cell>
          <cell r="B768" t="str">
            <v xml:space="preserve">HAIRUL ABADI                            </v>
          </cell>
          <cell r="C768" t="str">
            <v>HCQ1782</v>
          </cell>
          <cell r="D768">
            <v>40401020528537</v>
          </cell>
          <cell r="E768" t="str">
            <v>SEDANG</v>
          </cell>
          <cell r="F768" t="str">
            <v>Tidak</v>
          </cell>
          <cell r="G768" t="str">
            <v>Tidak</v>
          </cell>
          <cell r="H768" t="str">
            <v>Tidak</v>
          </cell>
          <cell r="I768" t="str">
            <v>Bandar Judol Withdrawal</v>
          </cell>
          <cell r="J768">
            <v>50</v>
          </cell>
          <cell r="K768" t="str">
            <v>86,88,87</v>
          </cell>
          <cell r="L768" t="str">
            <v>Judi Online</v>
          </cell>
          <cell r="M768" t="str">
            <v xml:space="preserve">Kas Kanpus                              </v>
          </cell>
          <cell r="N768" t="str">
            <v xml:space="preserve">Kas Kanpus                              </v>
          </cell>
          <cell r="O768" t="str">
            <v xml:space="preserve">KAS KANPUS                              </v>
          </cell>
          <cell r="R768" t="str">
            <v>Belum TL</v>
          </cell>
          <cell r="S768" t="str">
            <v>Belum TL</v>
          </cell>
          <cell r="T768" t="str">
            <v>00394521 - Muhammad Hibbanduta</v>
          </cell>
          <cell r="U768" t="str">
            <v>"-"</v>
          </cell>
        </row>
        <row r="769">
          <cell r="A769">
            <v>46265</v>
          </cell>
          <cell r="B769" t="str">
            <v xml:space="preserve">HENDRY SUTRISNO                         </v>
          </cell>
          <cell r="C769" t="str">
            <v>HCY6832</v>
          </cell>
          <cell r="D769">
            <v>4359720212784900</v>
          </cell>
          <cell r="E769" t="str">
            <v>TINGGI</v>
          </cell>
          <cell r="F769" t="str">
            <v>Tidak</v>
          </cell>
          <cell r="G769" t="str">
            <v>Tidak</v>
          </cell>
          <cell r="H769" t="str">
            <v>Tidak</v>
          </cell>
          <cell r="I769" t="str">
            <v>Penghindaran Pajak (Transaksi Fiktif)/Penyuapan CC</v>
          </cell>
          <cell r="J769">
            <v>70</v>
          </cell>
          <cell r="K769">
            <v>118</v>
          </cell>
          <cell r="L769" t="str">
            <v>Penyuapan / Penghindaran Pajak CC View</v>
          </cell>
          <cell r="M769" t="str">
            <v xml:space="preserve">Kas Kanpus                              </v>
          </cell>
          <cell r="N769" t="str">
            <v xml:space="preserve">Kas Kanpus                              </v>
          </cell>
          <cell r="O769" t="str">
            <v xml:space="preserve">KAS KANPUS                              </v>
          </cell>
          <cell r="R769" t="str">
            <v>Belum TL</v>
          </cell>
          <cell r="S769" t="str">
            <v>Belum TL</v>
          </cell>
          <cell r="T769" t="str">
            <v>90171841 - Rifqi Aziz</v>
          </cell>
          <cell r="U769" t="str">
            <v>"-"</v>
          </cell>
        </row>
        <row r="770">
          <cell r="A770">
            <v>46265</v>
          </cell>
          <cell r="B770" t="str">
            <v xml:space="preserve">HILMAN SAMAD FAUZI                      </v>
          </cell>
          <cell r="C770" t="str">
            <v>HDA4430</v>
          </cell>
          <cell r="D770">
            <v>19101041732102</v>
          </cell>
          <cell r="E770" t="str">
            <v>RENDAH</v>
          </cell>
          <cell r="F770" t="str">
            <v>Tidak</v>
          </cell>
          <cell r="G770" t="str">
            <v>Tidak</v>
          </cell>
          <cell r="H770" t="str">
            <v>Tidak</v>
          </cell>
          <cell r="I770" t="str">
            <v>Korupsi - Loan View</v>
          </cell>
          <cell r="J770">
            <v>33</v>
          </cell>
          <cell r="K770">
            <v>15</v>
          </cell>
          <cell r="L770" t="str">
            <v>Korupsi</v>
          </cell>
          <cell r="M770" t="str">
            <v>Kas Kanpus</v>
          </cell>
          <cell r="N770" t="str">
            <v>Kas Kanpus</v>
          </cell>
          <cell r="O770" t="str">
            <v>KAS KANPUS</v>
          </cell>
          <cell r="R770" t="str">
            <v>Belum TL</v>
          </cell>
          <cell r="S770" t="str">
            <v>Belum TL</v>
          </cell>
          <cell r="T770" t="str">
            <v>90170665 - Mutiara Ayuningtyas</v>
          </cell>
          <cell r="U770" t="str">
            <v>"-"</v>
          </cell>
        </row>
        <row r="771">
          <cell r="A771">
            <v>46265</v>
          </cell>
          <cell r="B771" t="str">
            <v xml:space="preserve">HARIS MANTO                             </v>
          </cell>
          <cell r="C771" t="str">
            <v>HDE0588</v>
          </cell>
          <cell r="D771">
            <v>751801012027535</v>
          </cell>
          <cell r="E771" t="str">
            <v>SEDANG</v>
          </cell>
          <cell r="F771" t="str">
            <v>Tidak</v>
          </cell>
          <cell r="G771" t="str">
            <v>Tidak</v>
          </cell>
          <cell r="H771" t="str">
            <v>Tidak</v>
          </cell>
          <cell r="I771" t="str">
            <v>Terorisme - SIPENDAR</v>
          </cell>
          <cell r="J771">
            <v>168</v>
          </cell>
          <cell r="K771">
            <v>36</v>
          </cell>
          <cell r="L771" t="str">
            <v>Terorisme</v>
          </cell>
          <cell r="M771" t="str">
            <v xml:space="preserve">Kas Kanpus                              </v>
          </cell>
          <cell r="N771" t="str">
            <v xml:space="preserve">Kas Kanpus                              </v>
          </cell>
          <cell r="O771" t="str">
            <v xml:space="preserve">KAS KANPUS                              </v>
          </cell>
          <cell r="R771" t="str">
            <v>Belum TL</v>
          </cell>
          <cell r="S771" t="str">
            <v>Belum TL</v>
          </cell>
          <cell r="T771" t="str">
            <v>90150130 - Intan Aida Pratiwi</v>
          </cell>
          <cell r="U771" t="str">
            <v>"-"</v>
          </cell>
        </row>
        <row r="772">
          <cell r="A772">
            <v>46265</v>
          </cell>
          <cell r="B772" t="str">
            <v xml:space="preserve">HARIYANTO                               </v>
          </cell>
          <cell r="C772" t="str">
            <v>HCCY004</v>
          </cell>
          <cell r="D772">
            <v>109101046327503</v>
          </cell>
          <cell r="F772" t="str">
            <v>Tidak</v>
          </cell>
          <cell r="G772" t="str">
            <v>Tidak</v>
          </cell>
          <cell r="H772" t="str">
            <v>Tidak</v>
          </cell>
          <cell r="I772" t="str">
            <v>Bandar Judol Depo</v>
          </cell>
          <cell r="J772">
            <v>35</v>
          </cell>
          <cell r="K772" t="str">
            <v>86,74,87</v>
          </cell>
          <cell r="L772" t="str">
            <v>Judi Online</v>
          </cell>
          <cell r="M772" t="str">
            <v xml:space="preserve">Kas Kanpus                              </v>
          </cell>
          <cell r="N772" t="str">
            <v xml:space="preserve">Kas Kanpus                              </v>
          </cell>
          <cell r="O772" t="str">
            <v xml:space="preserve">KAS KANPUS                              </v>
          </cell>
          <cell r="R772" t="str">
            <v>Belum TL</v>
          </cell>
          <cell r="S772" t="str">
            <v>Belum TL</v>
          </cell>
          <cell r="T772" t="str">
            <v>90185537 - Moh.Khoerul Fajar Ar</v>
          </cell>
          <cell r="U772" t="str">
            <v>"-"</v>
          </cell>
        </row>
        <row r="773">
          <cell r="A773">
            <v>46265</v>
          </cell>
          <cell r="B773" t="str">
            <v xml:space="preserve">HERA NURDIANA                           </v>
          </cell>
          <cell r="C773" t="str">
            <v>HEB0915</v>
          </cell>
          <cell r="D773">
            <v>51601023197504</v>
          </cell>
          <cell r="E773" t="str">
            <v>TINGGI</v>
          </cell>
          <cell r="F773" t="str">
            <v>Tidak</v>
          </cell>
          <cell r="G773" t="str">
            <v>Tidak</v>
          </cell>
          <cell r="H773" t="str">
            <v>Tidak</v>
          </cell>
          <cell r="I773" t="str">
            <v>Korupsi - Payroll View</v>
          </cell>
          <cell r="J773">
            <v>75</v>
          </cell>
          <cell r="K773">
            <v>84</v>
          </cell>
          <cell r="L773" t="str">
            <v>Korupsi</v>
          </cell>
          <cell r="M773" t="str">
            <v>Kas Kanpus</v>
          </cell>
          <cell r="N773" t="str">
            <v>Kas Kanpus</v>
          </cell>
          <cell r="O773" t="str">
            <v>KAS KANPUS</v>
          </cell>
          <cell r="R773" t="str">
            <v>Belum TL</v>
          </cell>
          <cell r="S773" t="str">
            <v>Belum TL</v>
          </cell>
          <cell r="T773" t="str">
            <v>90186790 - Muhammad Alfin Farha</v>
          </cell>
          <cell r="U773" t="str">
            <v>"-"</v>
          </cell>
        </row>
        <row r="774">
          <cell r="A774">
            <v>46265</v>
          </cell>
          <cell r="B774" t="str">
            <v xml:space="preserve">HADIJAH                                 </v>
          </cell>
          <cell r="C774" t="str">
            <v>HFG8624</v>
          </cell>
          <cell r="D774">
            <v>4359720230035700</v>
          </cell>
          <cell r="E774" t="str">
            <v>SEDANG</v>
          </cell>
          <cell r="F774" t="str">
            <v>Tidak</v>
          </cell>
          <cell r="G774" t="str">
            <v>Tidak</v>
          </cell>
          <cell r="H774" t="str">
            <v>Tidak</v>
          </cell>
          <cell r="I774" t="str">
            <v>Penyuapan - CC View</v>
          </cell>
          <cell r="J774">
            <v>45</v>
          </cell>
          <cell r="K774">
            <v>16.170000000000002</v>
          </cell>
          <cell r="L774" t="str">
            <v>Penyuapan</v>
          </cell>
          <cell r="M774" t="str">
            <v xml:space="preserve">Kas Kanpus                              </v>
          </cell>
          <cell r="N774" t="str">
            <v xml:space="preserve">Kas Kanpus                              </v>
          </cell>
          <cell r="O774" t="str">
            <v xml:space="preserve">KAS KANPUS                              </v>
          </cell>
          <cell r="R774" t="str">
            <v>Belum TL</v>
          </cell>
          <cell r="S774" t="str">
            <v>Belum TL</v>
          </cell>
          <cell r="T774" t="str">
            <v>90185538 - Muhammad Fahikal Auz</v>
          </cell>
          <cell r="U774" t="str">
            <v>"-"</v>
          </cell>
        </row>
        <row r="775">
          <cell r="A775">
            <v>46265</v>
          </cell>
          <cell r="B775" t="str">
            <v xml:space="preserve">HUTAN SAWIT LESTARI                     </v>
          </cell>
          <cell r="C775" t="str">
            <v>HGL8620</v>
          </cell>
          <cell r="D775">
            <v>16301001613305</v>
          </cell>
          <cell r="E775" t="str">
            <v>SEDANG</v>
          </cell>
          <cell r="F775" t="str">
            <v>Tidak</v>
          </cell>
          <cell r="G775" t="str">
            <v>Tidak</v>
          </cell>
          <cell r="H775" t="str">
            <v>Tidak</v>
          </cell>
          <cell r="I775" t="str">
            <v>Korupsi - Cash &amp; Amount</v>
          </cell>
          <cell r="J775">
            <v>48</v>
          </cell>
          <cell r="K775" t="str">
            <v>1,2,20</v>
          </cell>
          <cell r="L775" t="str">
            <v>Korupsi</v>
          </cell>
          <cell r="M775" t="str">
            <v>Kas Kanpus</v>
          </cell>
          <cell r="N775" t="str">
            <v>Kas Kanpus</v>
          </cell>
          <cell r="O775" t="str">
            <v>KAS KANPUS</v>
          </cell>
          <cell r="R775" t="str">
            <v>Belum TL</v>
          </cell>
          <cell r="S775" t="str">
            <v>Belum TL</v>
          </cell>
          <cell r="T775" t="str">
            <v>00394521 - Muhammad Hibbanduta</v>
          </cell>
          <cell r="U775" t="str">
            <v>"-"</v>
          </cell>
        </row>
        <row r="776">
          <cell r="A776">
            <v>46265</v>
          </cell>
          <cell r="B776" t="str">
            <v xml:space="preserve">HAKIM ALIM SATRIO                       </v>
          </cell>
          <cell r="C776" t="str">
            <v>HGR3443</v>
          </cell>
          <cell r="D776">
            <v>4359720219893400</v>
          </cell>
          <cell r="E776" t="str">
            <v>RENDAH</v>
          </cell>
          <cell r="F776" t="str">
            <v>Tidak</v>
          </cell>
          <cell r="G776" t="str">
            <v>Tidak</v>
          </cell>
          <cell r="H776" t="str">
            <v>Tidak</v>
          </cell>
          <cell r="I776" t="str">
            <v>Penghindaran Pajak (Transaksi Fiktif)/Penyuapan CC</v>
          </cell>
          <cell r="J776">
            <v>30</v>
          </cell>
          <cell r="K776">
            <v>118</v>
          </cell>
          <cell r="L776" t="str">
            <v>Penyuapan / Penghindaran Pajak CC View</v>
          </cell>
          <cell r="M776" t="str">
            <v xml:space="preserve">Kas Kanpus                              </v>
          </cell>
          <cell r="N776" t="str">
            <v xml:space="preserve">Kas Kanpus                              </v>
          </cell>
          <cell r="O776" t="str">
            <v xml:space="preserve">KAS KANPUS                              </v>
          </cell>
          <cell r="R776" t="str">
            <v>Belum TL</v>
          </cell>
          <cell r="S776" t="str">
            <v>Belum TL</v>
          </cell>
          <cell r="T776" t="str">
            <v>90186796 - Devito Arya Wiradila</v>
          </cell>
          <cell r="U776" t="str">
            <v>"-"</v>
          </cell>
        </row>
        <row r="777">
          <cell r="A777">
            <v>46265</v>
          </cell>
          <cell r="B777" t="str">
            <v xml:space="preserve">HASPAN HASIBUAN                         </v>
          </cell>
          <cell r="C777" t="str">
            <v>HHJ9774</v>
          </cell>
          <cell r="D777">
            <v>533801014342539</v>
          </cell>
          <cell r="E777" t="str">
            <v>SEDANG</v>
          </cell>
          <cell r="F777" t="str">
            <v>Tidak</v>
          </cell>
          <cell r="G777" t="str">
            <v>Tidak</v>
          </cell>
          <cell r="H777" t="str">
            <v>Tidak</v>
          </cell>
          <cell r="I777" t="str">
            <v>Korupsi - Payroll View</v>
          </cell>
          <cell r="J777">
            <v>59</v>
          </cell>
          <cell r="K777">
            <v>84</v>
          </cell>
          <cell r="L777" t="str">
            <v>Korupsi</v>
          </cell>
          <cell r="M777" t="str">
            <v>Kas Kanpus</v>
          </cell>
          <cell r="N777" t="str">
            <v>Kas Kanpus</v>
          </cell>
          <cell r="O777" t="str">
            <v>KAS KANPUS</v>
          </cell>
          <cell r="R777" t="str">
            <v>Belum TL</v>
          </cell>
          <cell r="S777" t="str">
            <v>Belum TL</v>
          </cell>
          <cell r="T777" t="str">
            <v>00394521 - Muhammad Hibbanduta</v>
          </cell>
          <cell r="U777" t="str">
            <v>"-"</v>
          </cell>
        </row>
        <row r="778">
          <cell r="A778">
            <v>46265</v>
          </cell>
          <cell r="B778" t="str">
            <v xml:space="preserve">HAERIYAH KOMALASARI                     </v>
          </cell>
          <cell r="C778" t="str">
            <v>HHO9088</v>
          </cell>
          <cell r="D778">
            <v>1901284440506</v>
          </cell>
          <cell r="E778" t="str">
            <v>SEDANG</v>
          </cell>
          <cell r="F778" t="str">
            <v>Tidak</v>
          </cell>
          <cell r="G778" t="str">
            <v>Tidak</v>
          </cell>
          <cell r="H778" t="str">
            <v>Tidak</v>
          </cell>
          <cell r="I778" t="str">
            <v>Bandar Judol Withdrawal</v>
          </cell>
          <cell r="J778">
            <v>50</v>
          </cell>
          <cell r="K778" t="str">
            <v>86,88,87</v>
          </cell>
          <cell r="L778" t="str">
            <v>Judi Online</v>
          </cell>
          <cell r="M778" t="str">
            <v xml:space="preserve">Kas Kanpus                              </v>
          </cell>
          <cell r="N778" t="str">
            <v xml:space="preserve">Kas Kanpus                              </v>
          </cell>
          <cell r="O778" t="str">
            <v xml:space="preserve">KAS KANPUS                              </v>
          </cell>
          <cell r="R778" t="str">
            <v>Belum TL</v>
          </cell>
          <cell r="S778" t="str">
            <v>Belum TL</v>
          </cell>
          <cell r="T778" t="str">
            <v>00394520 - Frida Akbar Rani</v>
          </cell>
          <cell r="U778" t="str">
            <v>"-"</v>
          </cell>
        </row>
        <row r="779">
          <cell r="A779">
            <v>46265</v>
          </cell>
          <cell r="B779" t="str">
            <v xml:space="preserve">HARYATI                                 </v>
          </cell>
          <cell r="C779" t="str">
            <v>HJS9786</v>
          </cell>
          <cell r="D779">
            <v>33201173941506</v>
          </cell>
          <cell r="E779" t="str">
            <v>RENDAH</v>
          </cell>
          <cell r="F779" t="str">
            <v>Tidak</v>
          </cell>
          <cell r="G779" t="str">
            <v>Tidak</v>
          </cell>
          <cell r="H779" t="str">
            <v>Tidak</v>
          </cell>
          <cell r="I779" t="str">
            <v>Bandar Judol Withdrawal</v>
          </cell>
          <cell r="J779">
            <v>35</v>
          </cell>
          <cell r="K779" t="str">
            <v>86,88,87</v>
          </cell>
          <cell r="L779" t="str">
            <v>Judi Online</v>
          </cell>
          <cell r="M779" t="str">
            <v xml:space="preserve">Kas Kanpus                              </v>
          </cell>
          <cell r="N779" t="str">
            <v xml:space="preserve">Kas Kanpus                              </v>
          </cell>
          <cell r="O779" t="str">
            <v xml:space="preserve">KAS KANPUS                              </v>
          </cell>
          <cell r="R779" t="str">
            <v>Belum TL</v>
          </cell>
          <cell r="S779" t="str">
            <v>Belum TL</v>
          </cell>
          <cell r="T779" t="str">
            <v>90185537 - Moh.Khoerul Fajar Ar</v>
          </cell>
          <cell r="U779" t="str">
            <v>"-"</v>
          </cell>
        </row>
        <row r="780">
          <cell r="A780">
            <v>46265</v>
          </cell>
          <cell r="B780" t="str">
            <v xml:space="preserve">HARDANSYAH                              </v>
          </cell>
          <cell r="C780" t="str">
            <v>HJW7609</v>
          </cell>
          <cell r="D780">
            <v>552001000178305</v>
          </cell>
          <cell r="E780" t="str">
            <v>SEDANG</v>
          </cell>
          <cell r="F780" t="str">
            <v>Ya</v>
          </cell>
          <cell r="G780" t="str">
            <v>Tidak</v>
          </cell>
          <cell r="H780" t="str">
            <v>Tidak</v>
          </cell>
          <cell r="I780" t="str">
            <v>Perpajakan</v>
          </cell>
          <cell r="J780">
            <v>48</v>
          </cell>
          <cell r="K780">
            <v>1.33</v>
          </cell>
          <cell r="L780" t="str">
            <v>Perpajakan</v>
          </cell>
          <cell r="M780" t="str">
            <v xml:space="preserve">UNIT CERENTI TELUK KUANTAN              </v>
          </cell>
          <cell r="N780" t="str">
            <v xml:space="preserve">KC Teluk Kuantan                        </v>
          </cell>
          <cell r="O780" t="str">
            <v xml:space="preserve">KANWIL PEKANBARU                        </v>
          </cell>
          <cell r="R780" t="str">
            <v>Belum TL</v>
          </cell>
          <cell r="S780" t="str">
            <v>Belum TL</v>
          </cell>
          <cell r="T780" t="str">
            <v>00394520 - Frida Akbar Rani</v>
          </cell>
          <cell r="U780" t="str">
            <v>"-"</v>
          </cell>
        </row>
        <row r="781">
          <cell r="A781">
            <v>46265</v>
          </cell>
          <cell r="B781" t="str">
            <v xml:space="preserve">HERIANTO                                </v>
          </cell>
          <cell r="C781" t="str">
            <v>HLW7610</v>
          </cell>
          <cell r="D781">
            <v>31101167988502</v>
          </cell>
          <cell r="E781" t="str">
            <v>SEDANG</v>
          </cell>
          <cell r="F781" t="str">
            <v>Tidak</v>
          </cell>
          <cell r="G781" t="str">
            <v>Tidak</v>
          </cell>
          <cell r="H781" t="str">
            <v>Tidak</v>
          </cell>
          <cell r="I781" t="str">
            <v>Pencurian Rekening</v>
          </cell>
          <cell r="J781">
            <v>47</v>
          </cell>
          <cell r="K781">
            <v>59</v>
          </cell>
          <cell r="L781" t="str">
            <v>Perbankan</v>
          </cell>
          <cell r="M781" t="str">
            <v xml:space="preserve">KC Wamena                               </v>
          </cell>
          <cell r="N781" t="str">
            <v xml:space="preserve">KC Wamena                               </v>
          </cell>
          <cell r="O781" t="str">
            <v xml:space="preserve">KANWIL JAYAPURA                         </v>
          </cell>
          <cell r="R781" t="str">
            <v>Belum TL</v>
          </cell>
          <cell r="S781" t="str">
            <v>Belum TL</v>
          </cell>
          <cell r="T781" t="str">
            <v>90185538 - Muhammad Fahikal Auz</v>
          </cell>
          <cell r="U781" t="str">
            <v>"-"</v>
          </cell>
        </row>
        <row r="782">
          <cell r="A782">
            <v>46265</v>
          </cell>
          <cell r="B782" t="str">
            <v xml:space="preserve">HAMDAN                                  </v>
          </cell>
          <cell r="C782" t="str">
            <v>HMB6621</v>
          </cell>
          <cell r="D782">
            <v>35601094537505</v>
          </cell>
          <cell r="E782" t="str">
            <v>SEDANG</v>
          </cell>
          <cell r="F782" t="str">
            <v>Tidak</v>
          </cell>
          <cell r="G782" t="str">
            <v>Tidak</v>
          </cell>
          <cell r="H782" t="str">
            <v>Tidak</v>
          </cell>
          <cell r="I782" t="str">
            <v>Bandar Judol Withdrawal</v>
          </cell>
          <cell r="J782">
            <v>50</v>
          </cell>
          <cell r="K782" t="str">
            <v>86,88,87</v>
          </cell>
          <cell r="L782" t="str">
            <v>Judi Online</v>
          </cell>
          <cell r="M782" t="str">
            <v xml:space="preserve">Kas Kanpus                              </v>
          </cell>
          <cell r="N782" t="str">
            <v xml:space="preserve">Kas Kanpus                              </v>
          </cell>
          <cell r="O782" t="str">
            <v xml:space="preserve">KAS KANPUS                              </v>
          </cell>
          <cell r="R782" t="str">
            <v>Belum TL</v>
          </cell>
          <cell r="S782" t="str">
            <v>Belum TL</v>
          </cell>
          <cell r="T782" t="str">
            <v>90185538 - Muhammad Fahikal Auz</v>
          </cell>
          <cell r="U782" t="str">
            <v>"-"</v>
          </cell>
        </row>
        <row r="783">
          <cell r="A783">
            <v>46265</v>
          </cell>
          <cell r="B783" t="str">
            <v xml:space="preserve">HILMAN LUTFHI                           </v>
          </cell>
          <cell r="C783" t="str">
            <v>HMW2761</v>
          </cell>
          <cell r="D783">
            <v>339601022901103</v>
          </cell>
          <cell r="E783" t="str">
            <v>SEDANG</v>
          </cell>
          <cell r="F783" t="str">
            <v>Tidak</v>
          </cell>
          <cell r="G783" t="str">
            <v>Tidak</v>
          </cell>
          <cell r="H783" t="str">
            <v>Tidak</v>
          </cell>
          <cell r="I783" t="str">
            <v>Korupsi - Loan View</v>
          </cell>
          <cell r="J783">
            <v>48</v>
          </cell>
          <cell r="K783">
            <v>15</v>
          </cell>
          <cell r="L783" t="str">
            <v>Korupsi</v>
          </cell>
          <cell r="M783" t="str">
            <v>Kas Kanpus</v>
          </cell>
          <cell r="N783" t="str">
            <v>Kas Kanpus</v>
          </cell>
          <cell r="O783" t="str">
            <v>KAS KANPUS</v>
          </cell>
          <cell r="R783" t="str">
            <v>Belum TL</v>
          </cell>
          <cell r="S783" t="str">
            <v>Belum TL</v>
          </cell>
          <cell r="T783" t="str">
            <v>00394521 - Muhammad Hibbanduta</v>
          </cell>
          <cell r="U783" t="str">
            <v>"-"</v>
          </cell>
        </row>
        <row r="784">
          <cell r="A784">
            <v>46265</v>
          </cell>
          <cell r="B784" t="str">
            <v xml:space="preserve">HENDRA HERMAWAN                         </v>
          </cell>
          <cell r="C784" t="str">
            <v>HNV4927</v>
          </cell>
          <cell r="D784">
            <v>493301024039101</v>
          </cell>
          <cell r="E784" t="str">
            <v>SEDANG</v>
          </cell>
          <cell r="F784" t="str">
            <v>Tidak</v>
          </cell>
          <cell r="G784" t="str">
            <v>Tidak</v>
          </cell>
          <cell r="H784" t="str">
            <v>Tidak</v>
          </cell>
          <cell r="I784" t="str">
            <v>Korupsi - Loan View</v>
          </cell>
          <cell r="J784">
            <v>48</v>
          </cell>
          <cell r="K784">
            <v>15</v>
          </cell>
          <cell r="L784" t="str">
            <v>Korupsi</v>
          </cell>
          <cell r="M784" t="str">
            <v>Kas Kanpus</v>
          </cell>
          <cell r="N784" t="str">
            <v>Kas Kanpus</v>
          </cell>
          <cell r="O784" t="str">
            <v>KAS KANPUS</v>
          </cell>
          <cell r="R784" t="str">
            <v>Belum TL</v>
          </cell>
          <cell r="S784" t="str">
            <v>Belum TL</v>
          </cell>
          <cell r="T784" t="str">
            <v>90186790 - Muhammad Alfin Farha</v>
          </cell>
          <cell r="U784" t="str">
            <v>"-"</v>
          </cell>
        </row>
        <row r="785">
          <cell r="A785">
            <v>46265</v>
          </cell>
          <cell r="B785" t="str">
            <v xml:space="preserve">HARIS MATIUS SILAEN                     </v>
          </cell>
          <cell r="C785" t="str">
            <v>HNW9351</v>
          </cell>
          <cell r="D785">
            <v>206201038412502</v>
          </cell>
          <cell r="E785" t="str">
            <v>SEDANG</v>
          </cell>
          <cell r="F785" t="str">
            <v>Tidak</v>
          </cell>
          <cell r="G785" t="str">
            <v>Tidak</v>
          </cell>
          <cell r="H785" t="str">
            <v>Ya</v>
          </cell>
          <cell r="I785" t="str">
            <v>Narkotika - Area Lapas</v>
          </cell>
          <cell r="J785">
            <v>48</v>
          </cell>
          <cell r="K785">
            <v>48</v>
          </cell>
          <cell r="L785" t="str">
            <v>Narkotika</v>
          </cell>
          <cell r="M785" t="str">
            <v>KC Kota Pinang</v>
          </cell>
          <cell r="N785" t="str">
            <v>KC Kota Pinang</v>
          </cell>
          <cell r="O785" t="str">
            <v>Medan</v>
          </cell>
          <cell r="R785" t="str">
            <v>Belum TL</v>
          </cell>
          <cell r="S785" t="str">
            <v>Belum TL</v>
          </cell>
          <cell r="T785" t="str">
            <v>90186790 - Muhammad Alfin Farha</v>
          </cell>
          <cell r="U785" t="str">
            <v>"-"</v>
          </cell>
        </row>
        <row r="786">
          <cell r="A786">
            <v>46265</v>
          </cell>
          <cell r="B786" t="str">
            <v xml:space="preserve">HENDRA                                  </v>
          </cell>
          <cell r="C786" t="str">
            <v>HOJ0407</v>
          </cell>
          <cell r="D786">
            <v>518101024474107</v>
          </cell>
          <cell r="E786" t="str">
            <v>SEDANG</v>
          </cell>
          <cell r="F786" t="str">
            <v>Tidak</v>
          </cell>
          <cell r="G786" t="str">
            <v>Tidak</v>
          </cell>
          <cell r="H786" t="str">
            <v>Tidak</v>
          </cell>
          <cell r="I786" t="str">
            <v>Korupsi - Loan View</v>
          </cell>
          <cell r="J786">
            <v>48</v>
          </cell>
          <cell r="K786">
            <v>15</v>
          </cell>
          <cell r="L786" t="str">
            <v>Korupsi</v>
          </cell>
          <cell r="M786" t="str">
            <v>Kas Kanpus</v>
          </cell>
          <cell r="N786" t="str">
            <v>Kas Kanpus</v>
          </cell>
          <cell r="O786" t="str">
            <v>KAS KANPUS</v>
          </cell>
          <cell r="R786" t="str">
            <v>Belum TL</v>
          </cell>
          <cell r="S786" t="str">
            <v>Belum TL</v>
          </cell>
          <cell r="T786" t="str">
            <v>90186796 - Devito Arya Wiradila</v>
          </cell>
          <cell r="U786" t="str">
            <v>"-"</v>
          </cell>
        </row>
        <row r="787">
          <cell r="A787">
            <v>46265</v>
          </cell>
          <cell r="B787" t="str">
            <v xml:space="preserve">HAFI ENERGI INDONESIA                   </v>
          </cell>
          <cell r="C787" t="str">
            <v>HOK5089</v>
          </cell>
          <cell r="D787">
            <v>42501000469151</v>
          </cell>
          <cell r="E787" t="str">
            <v>SEDANG</v>
          </cell>
          <cell r="F787" t="str">
            <v>Tidak</v>
          </cell>
          <cell r="G787" t="str">
            <v>Tidak</v>
          </cell>
          <cell r="H787" t="str">
            <v>Tidak</v>
          </cell>
          <cell r="I787" t="str">
            <v>Korupsi - Loan View</v>
          </cell>
          <cell r="J787">
            <v>48</v>
          </cell>
          <cell r="K787">
            <v>15</v>
          </cell>
          <cell r="L787" t="str">
            <v>Korupsi</v>
          </cell>
          <cell r="M787" t="str">
            <v>Kas Kanpus</v>
          </cell>
          <cell r="N787" t="str">
            <v>Kas Kanpus</v>
          </cell>
          <cell r="O787" t="str">
            <v>KAS KANPUS</v>
          </cell>
          <cell r="R787" t="str">
            <v>Belum TL</v>
          </cell>
          <cell r="S787" t="str">
            <v>Belum TL</v>
          </cell>
          <cell r="T787" t="str">
            <v>90185538 - Muhammad Fahikal Auz</v>
          </cell>
          <cell r="U787" t="str">
            <v>"-"</v>
          </cell>
        </row>
        <row r="788">
          <cell r="A788">
            <v>46265</v>
          </cell>
          <cell r="B788" t="str">
            <v xml:space="preserve">HASANUDDIN                              </v>
          </cell>
          <cell r="C788" t="str">
            <v>HLH8128</v>
          </cell>
          <cell r="D788">
            <v>518101018728102</v>
          </cell>
          <cell r="E788" t="str">
            <v>TINGGI</v>
          </cell>
          <cell r="F788" t="str">
            <v>Tidak</v>
          </cell>
          <cell r="G788" t="str">
            <v>Tidak</v>
          </cell>
          <cell r="H788" t="str">
            <v>Tidak</v>
          </cell>
          <cell r="I788" t="str">
            <v>Korupsi - Loan View</v>
          </cell>
          <cell r="J788">
            <v>73</v>
          </cell>
          <cell r="K788">
            <v>15</v>
          </cell>
          <cell r="L788" t="str">
            <v>Korupsi</v>
          </cell>
          <cell r="M788" t="str">
            <v>Kas Kanpus</v>
          </cell>
          <cell r="N788" t="str">
            <v>Kas Kanpus</v>
          </cell>
          <cell r="O788" t="str">
            <v>KAS KANPUS</v>
          </cell>
          <cell r="R788" t="str">
            <v>Belum TL</v>
          </cell>
          <cell r="S788" t="str">
            <v>Belum TL</v>
          </cell>
          <cell r="T788" t="str">
            <v>90171841 - Rifqi Aziz</v>
          </cell>
          <cell r="U788" t="str">
            <v>"-"</v>
          </cell>
        </row>
        <row r="789">
          <cell r="A789">
            <v>46265</v>
          </cell>
          <cell r="B789" t="str">
            <v xml:space="preserve">HETTY TUNGARI                           </v>
          </cell>
          <cell r="C789" t="str">
            <v>HON2869</v>
          </cell>
          <cell r="D789">
            <v>212901000518566</v>
          </cell>
          <cell r="E789" t="str">
            <v>SEDANG</v>
          </cell>
          <cell r="F789" t="str">
            <v>Tidak</v>
          </cell>
          <cell r="G789" t="str">
            <v>Tidak</v>
          </cell>
          <cell r="H789" t="str">
            <v>Tidak</v>
          </cell>
          <cell r="I789" t="str">
            <v>Korupsi - Significant Trx View</v>
          </cell>
          <cell r="J789">
            <v>68</v>
          </cell>
          <cell r="K789">
            <v>1.19</v>
          </cell>
          <cell r="L789" t="str">
            <v>Korupsi</v>
          </cell>
          <cell r="M789" t="str">
            <v>Kas Kanpus</v>
          </cell>
          <cell r="N789" t="str">
            <v>Kas Kanpus</v>
          </cell>
          <cell r="O789" t="str">
            <v>KAS KANPUS</v>
          </cell>
          <cell r="R789" t="str">
            <v>Belum TL</v>
          </cell>
          <cell r="S789" t="str">
            <v>Belum TL</v>
          </cell>
          <cell r="T789" t="str">
            <v>90185537 - Moh.Khoerul Fajar Ar</v>
          </cell>
          <cell r="U789" t="str">
            <v>"-"</v>
          </cell>
        </row>
        <row r="790">
          <cell r="A790">
            <v>46265</v>
          </cell>
          <cell r="B790" t="str">
            <v xml:space="preserve">HOMNA TIANDI PRIMA                      </v>
          </cell>
          <cell r="C790" t="str">
            <v>HON4802</v>
          </cell>
          <cell r="D790">
            <v>207401000133151</v>
          </cell>
          <cell r="E790" t="str">
            <v>SEDANG</v>
          </cell>
          <cell r="F790" t="str">
            <v>Tidak</v>
          </cell>
          <cell r="G790" t="str">
            <v>Tidak</v>
          </cell>
          <cell r="H790" t="str">
            <v>Tidak</v>
          </cell>
          <cell r="I790" t="str">
            <v>Korupsi - Loan View</v>
          </cell>
          <cell r="J790">
            <v>48</v>
          </cell>
          <cell r="K790">
            <v>15</v>
          </cell>
          <cell r="L790" t="str">
            <v>Korupsi</v>
          </cell>
          <cell r="M790" t="str">
            <v>Kas Kanpus</v>
          </cell>
          <cell r="N790" t="str">
            <v>Kas Kanpus</v>
          </cell>
          <cell r="O790" t="str">
            <v>KAS KANPUS</v>
          </cell>
          <cell r="R790" t="str">
            <v>Belum TL</v>
          </cell>
          <cell r="S790" t="str">
            <v>Belum TL</v>
          </cell>
          <cell r="T790" t="str">
            <v>90185537 - Moh.Khoerul Fajar Ar</v>
          </cell>
          <cell r="U790" t="str">
            <v>"-"</v>
          </cell>
        </row>
        <row r="791">
          <cell r="A791">
            <v>46265</v>
          </cell>
          <cell r="B791" t="str">
            <v xml:space="preserve">HERDELYNA S                             </v>
          </cell>
          <cell r="C791" t="str">
            <v>HQ57554</v>
          </cell>
          <cell r="D791">
            <v>13901001596566</v>
          </cell>
          <cell r="E791" t="str">
            <v>SEDANG</v>
          </cell>
          <cell r="F791" t="str">
            <v>Tidak</v>
          </cell>
          <cell r="G791" t="str">
            <v>Tidak</v>
          </cell>
          <cell r="H791" t="str">
            <v>Tidak</v>
          </cell>
          <cell r="I791" t="str">
            <v>Bandar Judol Depo</v>
          </cell>
          <cell r="J791">
            <v>60</v>
          </cell>
          <cell r="K791" t="str">
            <v>86,74,87</v>
          </cell>
          <cell r="L791" t="str">
            <v>Judi Online</v>
          </cell>
          <cell r="M791" t="str">
            <v xml:space="preserve">Kas Kanpus                              </v>
          </cell>
          <cell r="N791" t="str">
            <v xml:space="preserve">Kas Kanpus                              </v>
          </cell>
          <cell r="O791" t="str">
            <v xml:space="preserve">KAS KANPUS                              </v>
          </cell>
          <cell r="R791" t="str">
            <v>Belum TL</v>
          </cell>
          <cell r="S791" t="str">
            <v>Belum TL</v>
          </cell>
          <cell r="T791" t="str">
            <v>90150130 - Intan Aida Pratiwi</v>
          </cell>
          <cell r="U791" t="str">
            <v>"-"</v>
          </cell>
        </row>
        <row r="792">
          <cell r="A792">
            <v>46265</v>
          </cell>
          <cell r="B792" t="str">
            <v xml:space="preserve">HERU ACIK                               </v>
          </cell>
          <cell r="C792" t="str">
            <v>HQC5460</v>
          </cell>
          <cell r="D792">
            <v>1901255886507</v>
          </cell>
          <cell r="E792" t="str">
            <v>SEDANG</v>
          </cell>
          <cell r="F792" t="str">
            <v>Tidak</v>
          </cell>
          <cell r="G792" t="str">
            <v>Tidak</v>
          </cell>
          <cell r="H792" t="str">
            <v>Tidak</v>
          </cell>
          <cell r="I792" t="str">
            <v>Bandar Judol Withdrawal</v>
          </cell>
          <cell r="J792">
            <v>50</v>
          </cell>
          <cell r="K792" t="str">
            <v>86,88,87</v>
          </cell>
          <cell r="L792" t="str">
            <v>Judi Online</v>
          </cell>
          <cell r="M792" t="str">
            <v xml:space="preserve">Kas Kanpus                              </v>
          </cell>
          <cell r="N792" t="str">
            <v xml:space="preserve">Kas Kanpus                              </v>
          </cell>
          <cell r="O792" t="str">
            <v xml:space="preserve">KAS KANPUS                              </v>
          </cell>
          <cell r="R792" t="str">
            <v>Belum TL</v>
          </cell>
          <cell r="S792" t="str">
            <v>Belum TL</v>
          </cell>
          <cell r="T792" t="str">
            <v>00394520 - Frida Akbar Rani</v>
          </cell>
          <cell r="U792" t="str">
            <v>"-"</v>
          </cell>
        </row>
        <row r="793">
          <cell r="A793">
            <v>46265</v>
          </cell>
          <cell r="B793" t="str">
            <v xml:space="preserve">HJ NURLINA                              </v>
          </cell>
          <cell r="C793" t="str">
            <v>HP49937</v>
          </cell>
          <cell r="D793">
            <v>22501001690563</v>
          </cell>
          <cell r="E793" t="str">
            <v>TINGGI</v>
          </cell>
          <cell r="F793" t="str">
            <v>Tidak</v>
          </cell>
          <cell r="G793" t="str">
            <v>Tidak</v>
          </cell>
          <cell r="H793" t="str">
            <v>Tidak</v>
          </cell>
          <cell r="I793" t="str">
            <v>Korupsi - Significant Trx View</v>
          </cell>
          <cell r="J793">
            <v>84</v>
          </cell>
          <cell r="K793">
            <v>1.19</v>
          </cell>
          <cell r="L793" t="str">
            <v>Korupsi</v>
          </cell>
          <cell r="M793" t="str">
            <v>Kas Kanpus</v>
          </cell>
          <cell r="N793" t="str">
            <v>Kas Kanpus</v>
          </cell>
          <cell r="O793" t="str">
            <v>KAS KANPUS</v>
          </cell>
          <cell r="R793" t="str">
            <v>Belum TL</v>
          </cell>
          <cell r="S793" t="str">
            <v>Belum TL</v>
          </cell>
          <cell r="T793" t="str">
            <v>90150130 - Intan Aida Pratiwi</v>
          </cell>
          <cell r="U793" t="str">
            <v>"-"</v>
          </cell>
        </row>
        <row r="794">
          <cell r="A794">
            <v>46265</v>
          </cell>
          <cell r="B794" t="str">
            <v xml:space="preserve">HARUN SSOS                              </v>
          </cell>
          <cell r="C794" t="str">
            <v>HPA4522</v>
          </cell>
          <cell r="D794">
            <v>9801045239106</v>
          </cell>
          <cell r="E794" t="str">
            <v>TINGGI</v>
          </cell>
          <cell r="F794" t="str">
            <v>Tidak</v>
          </cell>
          <cell r="G794" t="str">
            <v>Tidak</v>
          </cell>
          <cell r="H794" t="str">
            <v>Tidak</v>
          </cell>
          <cell r="I794" t="str">
            <v>Korupsi - Loan View</v>
          </cell>
          <cell r="J794">
            <v>63</v>
          </cell>
          <cell r="K794">
            <v>15</v>
          </cell>
          <cell r="L794" t="str">
            <v>Korupsi</v>
          </cell>
          <cell r="M794" t="str">
            <v>Kas Kanpus</v>
          </cell>
          <cell r="N794" t="str">
            <v>Kas Kanpus</v>
          </cell>
          <cell r="O794" t="str">
            <v>KAS KANPUS</v>
          </cell>
          <cell r="R794" t="str">
            <v>Belum TL</v>
          </cell>
          <cell r="S794" t="str">
            <v>Belum TL</v>
          </cell>
          <cell r="T794" t="str">
            <v>90185538 - Muhammad Fahikal Auz</v>
          </cell>
          <cell r="U794" t="str">
            <v>"-"</v>
          </cell>
        </row>
        <row r="795">
          <cell r="A795">
            <v>46265</v>
          </cell>
          <cell r="B795" t="str">
            <v xml:space="preserve">HENDRIKUS LENDE                         </v>
          </cell>
          <cell r="C795" t="str">
            <v>HRB8565</v>
          </cell>
          <cell r="D795">
            <v>357901016118104</v>
          </cell>
          <cell r="E795" t="str">
            <v>RENDAH</v>
          </cell>
          <cell r="F795" t="str">
            <v>Tidak</v>
          </cell>
          <cell r="G795" t="str">
            <v>Tidak</v>
          </cell>
          <cell r="H795" t="str">
            <v>Tidak</v>
          </cell>
          <cell r="I795" t="str">
            <v>Korupsi - Loan View</v>
          </cell>
          <cell r="J795">
            <v>33</v>
          </cell>
          <cell r="K795">
            <v>15</v>
          </cell>
          <cell r="L795" t="str">
            <v>Korupsi</v>
          </cell>
          <cell r="M795" t="str">
            <v>Kas Kanpus</v>
          </cell>
          <cell r="N795" t="str">
            <v>Kas Kanpus</v>
          </cell>
          <cell r="O795" t="str">
            <v>KAS KANPUS</v>
          </cell>
          <cell r="R795" t="str">
            <v>Belum TL</v>
          </cell>
          <cell r="S795" t="str">
            <v>Belum TL</v>
          </cell>
          <cell r="T795" t="str">
            <v>90186796 - Devito Arya Wiradila</v>
          </cell>
          <cell r="U795" t="str">
            <v>"-"</v>
          </cell>
        </row>
        <row r="796">
          <cell r="A796">
            <v>46265</v>
          </cell>
          <cell r="B796" t="str">
            <v xml:space="preserve">HADRI                                   </v>
          </cell>
          <cell r="C796" t="str">
            <v>HRK3773</v>
          </cell>
          <cell r="D796">
            <v>107401006193534</v>
          </cell>
          <cell r="E796" t="str">
            <v>SEDANG</v>
          </cell>
          <cell r="F796" t="str">
            <v>Tidak</v>
          </cell>
          <cell r="G796" t="str">
            <v>Tidak</v>
          </cell>
          <cell r="H796" t="str">
            <v>Tidak</v>
          </cell>
          <cell r="I796" t="str">
            <v>Money Mules</v>
          </cell>
          <cell r="J796">
            <v>42</v>
          </cell>
          <cell r="K796">
            <v>77</v>
          </cell>
          <cell r="L796" t="str">
            <v>Narkotika/Judi Online</v>
          </cell>
          <cell r="M796" t="str">
            <v xml:space="preserve">Kas Kanpus                              </v>
          </cell>
          <cell r="N796" t="str">
            <v xml:space="preserve">Kas Kanpus                              </v>
          </cell>
          <cell r="O796" t="str">
            <v xml:space="preserve">KAS KANPUS                              </v>
          </cell>
          <cell r="R796" t="str">
            <v>Belum TL</v>
          </cell>
          <cell r="S796" t="str">
            <v>Belum TL</v>
          </cell>
          <cell r="T796" t="str">
            <v>90170665 - Mutiara Ayuningtyas</v>
          </cell>
          <cell r="U796" t="str">
            <v>"-"</v>
          </cell>
        </row>
        <row r="797">
          <cell r="A797">
            <v>46265</v>
          </cell>
          <cell r="B797" t="str">
            <v xml:space="preserve">HANOCKH VIKTOR DANI                     </v>
          </cell>
          <cell r="C797" t="str">
            <v>HRV5250</v>
          </cell>
          <cell r="D797">
            <v>497801006950105</v>
          </cell>
          <cell r="E797" t="str">
            <v>SEDANG</v>
          </cell>
          <cell r="F797" t="str">
            <v>Tidak</v>
          </cell>
          <cell r="G797" t="str">
            <v>Tidak</v>
          </cell>
          <cell r="H797" t="str">
            <v>Tidak</v>
          </cell>
          <cell r="I797" t="str">
            <v>Korupsi - Loan View</v>
          </cell>
          <cell r="J797">
            <v>48</v>
          </cell>
          <cell r="K797">
            <v>15</v>
          </cell>
          <cell r="L797" t="str">
            <v>Korupsi</v>
          </cell>
          <cell r="M797" t="str">
            <v>Kas Kanpus</v>
          </cell>
          <cell r="N797" t="str">
            <v>Kas Kanpus</v>
          </cell>
          <cell r="O797" t="str">
            <v>KAS KANPUS</v>
          </cell>
          <cell r="R797" t="str">
            <v>Belum TL</v>
          </cell>
          <cell r="S797" t="str">
            <v>Belum TL</v>
          </cell>
          <cell r="T797" t="str">
            <v>90150130 - Intan Aida Pratiwi</v>
          </cell>
          <cell r="U797" t="str">
            <v>"-"</v>
          </cell>
        </row>
        <row r="798">
          <cell r="A798">
            <v>46265</v>
          </cell>
          <cell r="B798" t="str">
            <v xml:space="preserve">HOKKY GONARTO                           </v>
          </cell>
          <cell r="C798" t="str">
            <v>HT02339</v>
          </cell>
          <cell r="D798">
            <v>2101000774566</v>
          </cell>
          <cell r="E798" t="str">
            <v>TINGGI</v>
          </cell>
          <cell r="F798" t="str">
            <v>Tidak</v>
          </cell>
          <cell r="G798" t="str">
            <v>Tidak</v>
          </cell>
          <cell r="H798" t="str">
            <v>Tidak</v>
          </cell>
          <cell r="I798" t="str">
            <v>Korupsi - Significant Trx View</v>
          </cell>
          <cell r="J798">
            <v>78</v>
          </cell>
          <cell r="K798">
            <v>1.19</v>
          </cell>
          <cell r="L798" t="str">
            <v>Korupsi</v>
          </cell>
          <cell r="M798" t="str">
            <v>Kas Kanpus</v>
          </cell>
          <cell r="N798" t="str">
            <v>Kas Kanpus</v>
          </cell>
          <cell r="O798" t="str">
            <v>KAS KANPUS</v>
          </cell>
          <cell r="R798" t="str">
            <v>Belum TL</v>
          </cell>
          <cell r="S798" t="str">
            <v>Belum TL</v>
          </cell>
          <cell r="T798" t="str">
            <v>90170665 - Mutiara Ayuningtyas</v>
          </cell>
          <cell r="U798" t="str">
            <v>"-"</v>
          </cell>
        </row>
        <row r="799">
          <cell r="A799">
            <v>46265</v>
          </cell>
          <cell r="B799" t="str">
            <v xml:space="preserve">HOKKY GONARTO                           </v>
          </cell>
          <cell r="C799" t="str">
            <v>HT02339</v>
          </cell>
          <cell r="D799">
            <v>220301014568501</v>
          </cell>
          <cell r="E799" t="str">
            <v>TINGGI</v>
          </cell>
          <cell r="F799" t="str">
            <v>Tidak</v>
          </cell>
          <cell r="G799" t="str">
            <v>Tidak</v>
          </cell>
          <cell r="H799" t="str">
            <v>Tidak</v>
          </cell>
          <cell r="I799" t="str">
            <v>Korupsi - Significant Trx View</v>
          </cell>
          <cell r="J799">
            <v>78</v>
          </cell>
          <cell r="K799">
            <v>1.19</v>
          </cell>
          <cell r="L799" t="str">
            <v>Korupsi</v>
          </cell>
          <cell r="M799" t="str">
            <v>Kas Kanpus</v>
          </cell>
          <cell r="N799" t="str">
            <v>Kas Kanpus</v>
          </cell>
          <cell r="O799" t="str">
            <v>KAS KANPUS</v>
          </cell>
          <cell r="R799" t="str">
            <v>Belum TL</v>
          </cell>
          <cell r="S799" t="str">
            <v>Belum TL</v>
          </cell>
          <cell r="T799" t="str">
            <v>90171841 - Rifqi Aziz</v>
          </cell>
          <cell r="U799" t="str">
            <v>"-"</v>
          </cell>
        </row>
        <row r="800">
          <cell r="A800">
            <v>46265</v>
          </cell>
          <cell r="B800" t="str">
            <v xml:space="preserve">HASMERI                                 </v>
          </cell>
          <cell r="C800" t="str">
            <v>HTF8991</v>
          </cell>
          <cell r="D800">
            <v>40401089317509</v>
          </cell>
          <cell r="F800" t="str">
            <v>Tidak</v>
          </cell>
          <cell r="G800" t="str">
            <v>Tidak</v>
          </cell>
          <cell r="I800" t="str">
            <v>Jual Beli Rekening - E channel Trx</v>
          </cell>
          <cell r="J800">
            <v>33</v>
          </cell>
          <cell r="K800">
            <v>113</v>
          </cell>
          <cell r="L800" t="str">
            <v>Narkotika/Judi Online/Penipuan</v>
          </cell>
          <cell r="M800" t="str">
            <v xml:space="preserve">KC Medan Gatot Subroto                  </v>
          </cell>
          <cell r="N800" t="str">
            <v xml:space="preserve">KC Medan Gatot Subroto                  </v>
          </cell>
          <cell r="O800" t="str">
            <v xml:space="preserve">Medan                                   </v>
          </cell>
          <cell r="R800" t="str">
            <v>Belum TL</v>
          </cell>
          <cell r="S800" t="str">
            <v>Belum TL</v>
          </cell>
          <cell r="U800" t="str">
            <v>"-"</v>
          </cell>
        </row>
        <row r="801">
          <cell r="A801">
            <v>46265</v>
          </cell>
          <cell r="B801" t="str">
            <v xml:space="preserve">HARIS                                   </v>
          </cell>
          <cell r="C801" t="str">
            <v>HUF5928</v>
          </cell>
          <cell r="D801">
            <v>52901021279509</v>
          </cell>
          <cell r="E801" t="str">
            <v>SEDANG</v>
          </cell>
          <cell r="F801" t="str">
            <v>Tidak</v>
          </cell>
          <cell r="G801" t="str">
            <v>Tidak</v>
          </cell>
          <cell r="H801" t="str">
            <v>Tidak</v>
          </cell>
          <cell r="I801" t="str">
            <v>Bandar Judol Withdrawal</v>
          </cell>
          <cell r="J801">
            <v>50</v>
          </cell>
          <cell r="K801" t="str">
            <v>86,88,87</v>
          </cell>
          <cell r="L801" t="str">
            <v>Judi Online</v>
          </cell>
          <cell r="M801" t="str">
            <v xml:space="preserve">Kas Kanpus                              </v>
          </cell>
          <cell r="N801" t="str">
            <v xml:space="preserve">Kas Kanpus                              </v>
          </cell>
          <cell r="O801" t="str">
            <v xml:space="preserve">KAS KANPUS                              </v>
          </cell>
          <cell r="R801" t="str">
            <v>Belum TL</v>
          </cell>
          <cell r="S801" t="str">
            <v>Belum TL</v>
          </cell>
          <cell r="T801" t="str">
            <v>00336949 - Mochammad Al Farabi</v>
          </cell>
          <cell r="U801" t="str">
            <v>"-"</v>
          </cell>
        </row>
        <row r="802">
          <cell r="A802">
            <v>46265</v>
          </cell>
          <cell r="B802" t="str">
            <v xml:space="preserve">HIDAYAT                                 </v>
          </cell>
          <cell r="C802" t="str">
            <v>HUV9464</v>
          </cell>
          <cell r="D802">
            <v>522701019228109</v>
          </cell>
          <cell r="E802" t="str">
            <v>RENDAH</v>
          </cell>
          <cell r="F802" t="str">
            <v>Tidak</v>
          </cell>
          <cell r="G802" t="str">
            <v>Tidak</v>
          </cell>
          <cell r="H802" t="str">
            <v>Tidak</v>
          </cell>
          <cell r="I802" t="str">
            <v>Korupsi - Loan View</v>
          </cell>
          <cell r="J802">
            <v>33</v>
          </cell>
          <cell r="K802">
            <v>15</v>
          </cell>
          <cell r="L802" t="str">
            <v>Korupsi</v>
          </cell>
          <cell r="M802" t="str">
            <v>Kas Kanpus</v>
          </cell>
          <cell r="N802" t="str">
            <v>Kas Kanpus</v>
          </cell>
          <cell r="O802" t="str">
            <v>KAS KANPUS</v>
          </cell>
          <cell r="R802" t="str">
            <v>Belum TL</v>
          </cell>
          <cell r="S802" t="str">
            <v>Belum TL</v>
          </cell>
          <cell r="T802" t="str">
            <v>90186796 - Devito Arya Wiradila</v>
          </cell>
          <cell r="U802" t="str">
            <v>"-"</v>
          </cell>
        </row>
        <row r="803">
          <cell r="A803">
            <v>46265</v>
          </cell>
          <cell r="B803" t="str">
            <v xml:space="preserve">HOIDIN                                  </v>
          </cell>
          <cell r="C803" t="str">
            <v>HVD4171</v>
          </cell>
          <cell r="D803">
            <v>41901057668505</v>
          </cell>
          <cell r="E803" t="str">
            <v>SEDANG</v>
          </cell>
          <cell r="F803" t="str">
            <v>Tidak</v>
          </cell>
          <cell r="G803" t="str">
            <v>Tidak</v>
          </cell>
          <cell r="H803" t="str">
            <v>Tidak</v>
          </cell>
          <cell r="I803" t="str">
            <v>Bandar Judol Withdrawal</v>
          </cell>
          <cell r="J803">
            <v>50</v>
          </cell>
          <cell r="K803" t="str">
            <v>86,88,87</v>
          </cell>
          <cell r="L803" t="str">
            <v>Judi Online</v>
          </cell>
          <cell r="M803" t="str">
            <v xml:space="preserve">Kas Kanpus                              </v>
          </cell>
          <cell r="N803" t="str">
            <v xml:space="preserve">Kas Kanpus                              </v>
          </cell>
          <cell r="O803" t="str">
            <v xml:space="preserve">KAS KANPUS                              </v>
          </cell>
          <cell r="R803" t="str">
            <v>Belum TL</v>
          </cell>
          <cell r="S803" t="str">
            <v>Belum TL</v>
          </cell>
          <cell r="T803" t="str">
            <v>90170665 - Mutiara Ayuningtyas</v>
          </cell>
          <cell r="U803" t="str">
            <v>"-"</v>
          </cell>
        </row>
        <row r="804">
          <cell r="A804">
            <v>46265</v>
          </cell>
          <cell r="B804" t="str">
            <v xml:space="preserve">HARMOKO                                 </v>
          </cell>
          <cell r="C804" t="str">
            <v>HVD5564</v>
          </cell>
          <cell r="D804">
            <v>22501048672102</v>
          </cell>
          <cell r="E804" t="str">
            <v>SEDANG</v>
          </cell>
          <cell r="F804" t="str">
            <v>Tidak</v>
          </cell>
          <cell r="G804" t="str">
            <v>Tidak</v>
          </cell>
          <cell r="H804" t="str">
            <v>Tidak</v>
          </cell>
          <cell r="I804" t="str">
            <v>Korupsi - Loan View</v>
          </cell>
          <cell r="J804">
            <v>48</v>
          </cell>
          <cell r="K804">
            <v>15</v>
          </cell>
          <cell r="L804" t="str">
            <v>Korupsi</v>
          </cell>
          <cell r="M804" t="str">
            <v>Kas Kanpus</v>
          </cell>
          <cell r="N804" t="str">
            <v>Kas Kanpus</v>
          </cell>
          <cell r="O804" t="str">
            <v>KAS KANPUS</v>
          </cell>
          <cell r="R804" t="str">
            <v>Belum TL</v>
          </cell>
          <cell r="S804" t="str">
            <v>Belum TL</v>
          </cell>
          <cell r="T804" t="str">
            <v>00336949 - Mochammad Al Farabi</v>
          </cell>
          <cell r="U804" t="str">
            <v>"-"</v>
          </cell>
        </row>
        <row r="805">
          <cell r="A805">
            <v>46265</v>
          </cell>
          <cell r="B805" t="str">
            <v xml:space="preserve">HABILA AMRI RAHMAN                      </v>
          </cell>
          <cell r="C805" t="str">
            <v>HVV8304</v>
          </cell>
          <cell r="D805">
            <v>4359720236430400</v>
          </cell>
          <cell r="E805" t="str">
            <v>TINGGI</v>
          </cell>
          <cell r="F805" t="str">
            <v>Tidak</v>
          </cell>
          <cell r="G805" t="str">
            <v>Tidak</v>
          </cell>
          <cell r="H805" t="str">
            <v>Tidak</v>
          </cell>
          <cell r="I805" t="str">
            <v>Penyuapan - CC View</v>
          </cell>
          <cell r="J805">
            <v>65</v>
          </cell>
          <cell r="K805">
            <v>16.170000000000002</v>
          </cell>
          <cell r="L805" t="str">
            <v>Penyuapan</v>
          </cell>
          <cell r="M805" t="str">
            <v xml:space="preserve">Kas Kanpus                              </v>
          </cell>
          <cell r="N805" t="str">
            <v xml:space="preserve">Kas Kanpus                              </v>
          </cell>
          <cell r="O805" t="str">
            <v xml:space="preserve">KAS KANPUS                              </v>
          </cell>
          <cell r="R805" t="str">
            <v>Belum TL</v>
          </cell>
          <cell r="S805" t="str">
            <v>Belum TL</v>
          </cell>
          <cell r="T805" t="str">
            <v>90185537 - Moh.Khoerul Fajar Ar</v>
          </cell>
          <cell r="U805" t="str">
            <v>"-"</v>
          </cell>
        </row>
        <row r="806">
          <cell r="A806">
            <v>46265</v>
          </cell>
          <cell r="B806" t="str">
            <v xml:space="preserve">HABILA AMRI RAHMAN                      </v>
          </cell>
          <cell r="C806" t="str">
            <v>HVV8304</v>
          </cell>
          <cell r="D806">
            <v>4359720236430400</v>
          </cell>
          <cell r="E806" t="str">
            <v>TINGGI</v>
          </cell>
          <cell r="F806" t="str">
            <v>Tidak</v>
          </cell>
          <cell r="G806" t="str">
            <v>Tidak</v>
          </cell>
          <cell r="H806" t="str">
            <v>Tidak</v>
          </cell>
          <cell r="I806" t="str">
            <v>Anomali Transaksi Kartu Kredit</v>
          </cell>
          <cell r="J806">
            <v>65</v>
          </cell>
          <cell r="K806">
            <v>117</v>
          </cell>
          <cell r="L806" t="str">
            <v>Anomali Transaksi Kartu Kredit</v>
          </cell>
          <cell r="M806" t="str">
            <v xml:space="preserve">Kas Kanpus                              </v>
          </cell>
          <cell r="N806" t="str">
            <v xml:space="preserve">Kas Kanpus                              </v>
          </cell>
          <cell r="O806" t="str">
            <v xml:space="preserve">KAS KANPUS                              </v>
          </cell>
          <cell r="R806" t="str">
            <v>Belum TL</v>
          </cell>
          <cell r="S806" t="str">
            <v>Belum TL</v>
          </cell>
          <cell r="T806" t="str">
            <v>90186790 - Muhammad Alfin Farha</v>
          </cell>
          <cell r="U806" t="str">
            <v>"-"</v>
          </cell>
        </row>
        <row r="807">
          <cell r="A807">
            <v>46265</v>
          </cell>
          <cell r="B807" t="str">
            <v xml:space="preserve">HERMANTO SIREGAR                        </v>
          </cell>
          <cell r="C807" t="str">
            <v>HU22329</v>
          </cell>
          <cell r="D807">
            <v>5326599000001850</v>
          </cell>
          <cell r="E807" t="str">
            <v>TINGGI</v>
          </cell>
          <cell r="F807" t="str">
            <v>Tidak</v>
          </cell>
          <cell r="G807" t="str">
            <v>Ya</v>
          </cell>
          <cell r="H807" t="str">
            <v>Tidak</v>
          </cell>
          <cell r="I807" t="str">
            <v>Private or Priority Customer Investment</v>
          </cell>
          <cell r="J807">
            <v>93</v>
          </cell>
          <cell r="K807">
            <v>93</v>
          </cell>
          <cell r="L807" t="str">
            <v>Pasar Modal</v>
          </cell>
          <cell r="M807" t="str">
            <v xml:space="preserve">Jkt KCK                                 </v>
          </cell>
          <cell r="N807" t="str">
            <v xml:space="preserve">Jkt KCK                                 </v>
          </cell>
          <cell r="O807" t="str">
            <v xml:space="preserve">DKI                                     </v>
          </cell>
          <cell r="R807" t="str">
            <v>Belum TL</v>
          </cell>
          <cell r="S807" t="str">
            <v>Belum TL</v>
          </cell>
          <cell r="T807" t="str">
            <v>90185537 - Moh.Khoerul Fajar Ar</v>
          </cell>
          <cell r="U807" t="str">
            <v>"-"</v>
          </cell>
        </row>
        <row r="808">
          <cell r="A808">
            <v>46265</v>
          </cell>
          <cell r="B808" t="str">
            <v xml:space="preserve">HAN S TANDINATA                         </v>
          </cell>
          <cell r="C808" t="str">
            <v>HWO4979</v>
          </cell>
          <cell r="D808">
            <v>530001024314533</v>
          </cell>
          <cell r="E808" t="str">
            <v>SEDANG</v>
          </cell>
          <cell r="F808" t="str">
            <v>Tidak</v>
          </cell>
          <cell r="G808" t="str">
            <v>Tidak</v>
          </cell>
          <cell r="H808" t="str">
            <v>Ya</v>
          </cell>
          <cell r="I808" t="str">
            <v>Bandar Judol Withdrawal</v>
          </cell>
          <cell r="J808">
            <v>50</v>
          </cell>
          <cell r="K808" t="str">
            <v>86,88,87</v>
          </cell>
          <cell r="L808" t="str">
            <v>Judi Online</v>
          </cell>
          <cell r="M808" t="str">
            <v xml:space="preserve">Kas Kanpus                              </v>
          </cell>
          <cell r="N808" t="str">
            <v xml:space="preserve">Kas Kanpus                              </v>
          </cell>
          <cell r="O808" t="str">
            <v xml:space="preserve">KAS KANPUS                              </v>
          </cell>
          <cell r="R808" t="str">
            <v>Belum TL</v>
          </cell>
          <cell r="S808" t="str">
            <v>Belum TL</v>
          </cell>
          <cell r="T808" t="str">
            <v>00394521 - Muhammad Hibbanduta</v>
          </cell>
          <cell r="U808" t="str">
            <v>"-"</v>
          </cell>
        </row>
        <row r="809">
          <cell r="A809">
            <v>46265</v>
          </cell>
          <cell r="B809" t="str">
            <v xml:space="preserve">HAFRIZ JAYA ABADI                       </v>
          </cell>
          <cell r="C809" t="str">
            <v>HXQ4097</v>
          </cell>
          <cell r="D809">
            <v>32801501774150</v>
          </cell>
          <cell r="E809" t="str">
            <v>SEDANG</v>
          </cell>
          <cell r="F809" t="str">
            <v>Tidak</v>
          </cell>
          <cell r="G809" t="str">
            <v>Tidak</v>
          </cell>
          <cell r="H809" t="str">
            <v>Tidak</v>
          </cell>
          <cell r="I809" t="str">
            <v>Korupsi - Loan View</v>
          </cell>
          <cell r="J809">
            <v>48</v>
          </cell>
          <cell r="K809">
            <v>15</v>
          </cell>
          <cell r="L809" t="str">
            <v>Korupsi</v>
          </cell>
          <cell r="M809" t="str">
            <v>Kas Kanpus</v>
          </cell>
          <cell r="N809" t="str">
            <v>Kas Kanpus</v>
          </cell>
          <cell r="O809" t="str">
            <v>KAS KANPUS</v>
          </cell>
          <cell r="R809" t="str">
            <v>Belum TL</v>
          </cell>
          <cell r="S809" t="str">
            <v>Belum TL</v>
          </cell>
          <cell r="T809" t="str">
            <v>00394520 - Frida Akbar Rani</v>
          </cell>
          <cell r="U809" t="str">
            <v>"-"</v>
          </cell>
        </row>
        <row r="810">
          <cell r="A810">
            <v>46265</v>
          </cell>
          <cell r="B810" t="str">
            <v xml:space="preserve">HARUN                                   </v>
          </cell>
          <cell r="C810" t="str">
            <v>HXU6520</v>
          </cell>
          <cell r="D810">
            <v>44501077884508</v>
          </cell>
          <cell r="E810" t="str">
            <v>SEDANG</v>
          </cell>
          <cell r="F810" t="str">
            <v>Tidak</v>
          </cell>
          <cell r="G810" t="str">
            <v>Tidak</v>
          </cell>
          <cell r="H810" t="str">
            <v>Tidak</v>
          </cell>
          <cell r="I810" t="str">
            <v>Bandar Judol Withdrawal</v>
          </cell>
          <cell r="J810">
            <v>50</v>
          </cell>
          <cell r="K810" t="str">
            <v>86,88,87</v>
          </cell>
          <cell r="L810" t="str">
            <v>Judi Online</v>
          </cell>
          <cell r="M810" t="str">
            <v xml:space="preserve">Kas Kanpus                              </v>
          </cell>
          <cell r="N810" t="str">
            <v xml:space="preserve">Kas Kanpus                              </v>
          </cell>
          <cell r="O810" t="str">
            <v xml:space="preserve">KAS KANPUS                              </v>
          </cell>
          <cell r="R810" t="str">
            <v>Belum TL</v>
          </cell>
          <cell r="S810" t="str">
            <v>Belum TL</v>
          </cell>
          <cell r="T810" t="str">
            <v>90171841 - Rifqi Aziz</v>
          </cell>
          <cell r="U810" t="str">
            <v>"-"</v>
          </cell>
        </row>
        <row r="811">
          <cell r="A811">
            <v>46265</v>
          </cell>
          <cell r="B811" t="str">
            <v xml:space="preserve">HALIMA TUSSADIYAH NASUTION              </v>
          </cell>
          <cell r="C811" t="str">
            <v>HXX2270</v>
          </cell>
          <cell r="D811">
            <v>65801029281503</v>
          </cell>
          <cell r="E811" t="str">
            <v>SEDANG</v>
          </cell>
          <cell r="F811" t="str">
            <v>Tidak</v>
          </cell>
          <cell r="G811" t="str">
            <v>Tidak</v>
          </cell>
          <cell r="H811" t="str">
            <v>Tidak</v>
          </cell>
          <cell r="I811" t="str">
            <v>Bandar Judol Withdrawal</v>
          </cell>
          <cell r="J811">
            <v>50</v>
          </cell>
          <cell r="K811" t="str">
            <v>86,88,87</v>
          </cell>
          <cell r="L811" t="str">
            <v>Judi Online</v>
          </cell>
          <cell r="M811" t="str">
            <v xml:space="preserve">Kas Kanpus                              </v>
          </cell>
          <cell r="N811" t="str">
            <v xml:space="preserve">Kas Kanpus                              </v>
          </cell>
          <cell r="O811" t="str">
            <v xml:space="preserve">KAS KANPUS                              </v>
          </cell>
          <cell r="R811" t="str">
            <v>Belum TL</v>
          </cell>
          <cell r="S811" t="str">
            <v>Belum TL</v>
          </cell>
          <cell r="T811" t="str">
            <v>00336949 - Mochammad Al Farabi</v>
          </cell>
          <cell r="U811" t="str">
            <v>"-"</v>
          </cell>
        </row>
        <row r="812">
          <cell r="A812">
            <v>46265</v>
          </cell>
          <cell r="B812" t="str">
            <v xml:space="preserve">HALUTINDO PERKASA                       </v>
          </cell>
          <cell r="C812" t="str">
            <v>HYH5266</v>
          </cell>
          <cell r="D812">
            <v>10301003351309</v>
          </cell>
          <cell r="E812" t="str">
            <v>SEDANG</v>
          </cell>
          <cell r="F812" t="str">
            <v>Tidak</v>
          </cell>
          <cell r="G812" t="str">
            <v>Tidak</v>
          </cell>
          <cell r="H812" t="str">
            <v>Tidak</v>
          </cell>
          <cell r="I812" t="str">
            <v>Korupsi - Cash &amp; Amount</v>
          </cell>
          <cell r="J812">
            <v>48</v>
          </cell>
          <cell r="K812" t="str">
            <v>1,2,20</v>
          </cell>
          <cell r="L812" t="str">
            <v>Korupsi</v>
          </cell>
          <cell r="M812" t="str">
            <v>Kas Kanpus</v>
          </cell>
          <cell r="N812" t="str">
            <v>Kas Kanpus</v>
          </cell>
          <cell r="O812" t="str">
            <v>KAS KANPUS</v>
          </cell>
          <cell r="R812" t="str">
            <v>Belum TL</v>
          </cell>
          <cell r="S812" t="str">
            <v>Belum TL</v>
          </cell>
          <cell r="T812" t="str">
            <v>00336949 - Mochammad Al Farabi</v>
          </cell>
          <cell r="U812" t="str">
            <v>"-"</v>
          </cell>
        </row>
        <row r="813">
          <cell r="A813">
            <v>46265</v>
          </cell>
          <cell r="B813" t="str">
            <v xml:space="preserve">HAIDIR                                  </v>
          </cell>
          <cell r="C813" t="str">
            <v>HYJ0788</v>
          </cell>
          <cell r="D813">
            <v>69301019553506</v>
          </cell>
          <cell r="E813" t="str">
            <v>SEDANG</v>
          </cell>
          <cell r="F813" t="str">
            <v>Tidak</v>
          </cell>
          <cell r="G813" t="str">
            <v>Tidak</v>
          </cell>
          <cell r="H813" t="str">
            <v>Tidak</v>
          </cell>
          <cell r="I813" t="str">
            <v>Bandar Judol Withdrawal</v>
          </cell>
          <cell r="J813">
            <v>50</v>
          </cell>
          <cell r="K813" t="str">
            <v>86,88,87</v>
          </cell>
          <cell r="L813" t="str">
            <v>Judi Online</v>
          </cell>
          <cell r="M813" t="str">
            <v xml:space="preserve">Kas Kanpus                              </v>
          </cell>
          <cell r="N813" t="str">
            <v xml:space="preserve">Kas Kanpus                              </v>
          </cell>
          <cell r="O813" t="str">
            <v xml:space="preserve">KAS KANPUS                              </v>
          </cell>
          <cell r="R813" t="str">
            <v>Belum TL</v>
          </cell>
          <cell r="S813" t="str">
            <v>Belum TL</v>
          </cell>
          <cell r="T813" t="str">
            <v>00394521 - Muhammad Hibbanduta</v>
          </cell>
          <cell r="U813" t="str">
            <v>"-"</v>
          </cell>
        </row>
        <row r="814">
          <cell r="A814">
            <v>46265</v>
          </cell>
          <cell r="B814" t="str">
            <v xml:space="preserve">HARKATJAYA BUMIPERSADA                  </v>
          </cell>
          <cell r="C814" t="str">
            <v>HYJ5136</v>
          </cell>
          <cell r="D814">
            <v>38601001724566</v>
          </cell>
          <cell r="E814" t="str">
            <v>TINGGI</v>
          </cell>
          <cell r="F814" t="str">
            <v>Tidak</v>
          </cell>
          <cell r="G814" t="str">
            <v>Tidak</v>
          </cell>
          <cell r="H814" t="str">
            <v>Tidak</v>
          </cell>
          <cell r="I814" t="str">
            <v>Perpajakan</v>
          </cell>
          <cell r="J814">
            <v>63</v>
          </cell>
          <cell r="K814">
            <v>41</v>
          </cell>
          <cell r="L814" t="str">
            <v>Perpajakan</v>
          </cell>
          <cell r="M814" t="str">
            <v xml:space="preserve">KC JAKARTA RAWAMANGUN                   </v>
          </cell>
          <cell r="N814" t="str">
            <v xml:space="preserve">KC JAKARTA RAWAMANGUN                   </v>
          </cell>
          <cell r="O814" t="str">
            <v xml:space="preserve">DKI                                     </v>
          </cell>
          <cell r="R814" t="str">
            <v>Belum TL</v>
          </cell>
          <cell r="S814" t="str">
            <v>Belum TL</v>
          </cell>
          <cell r="T814" t="str">
            <v>90185537 - Moh.Khoerul Fajar Ar</v>
          </cell>
          <cell r="U814" t="str">
            <v>"-"</v>
          </cell>
        </row>
        <row r="815">
          <cell r="A815">
            <v>46265</v>
          </cell>
          <cell r="B815" t="str">
            <v xml:space="preserve">HASUDA GEMAKERTA                        </v>
          </cell>
          <cell r="C815" t="str">
            <v>HYN3831</v>
          </cell>
          <cell r="D815">
            <v>39701000510157</v>
          </cell>
          <cell r="E815" t="str">
            <v>SEDANG</v>
          </cell>
          <cell r="F815" t="str">
            <v>Tidak</v>
          </cell>
          <cell r="G815" t="str">
            <v>Tidak</v>
          </cell>
          <cell r="H815" t="str">
            <v>Tidak</v>
          </cell>
          <cell r="I815" t="str">
            <v>Korupsi - Loan View</v>
          </cell>
          <cell r="J815">
            <v>48</v>
          </cell>
          <cell r="K815">
            <v>15</v>
          </cell>
          <cell r="L815" t="str">
            <v>Korupsi</v>
          </cell>
          <cell r="M815" t="str">
            <v>Kas Kanpus</v>
          </cell>
          <cell r="N815" t="str">
            <v>Kas Kanpus</v>
          </cell>
          <cell r="O815" t="str">
            <v>KAS KANPUS</v>
          </cell>
          <cell r="R815" t="str">
            <v>Belum TL</v>
          </cell>
          <cell r="S815" t="str">
            <v>Belum TL</v>
          </cell>
          <cell r="T815" t="str">
            <v>90185538 - Muhammad Fahikal Auz</v>
          </cell>
          <cell r="U815" t="str">
            <v>"-"</v>
          </cell>
        </row>
        <row r="816">
          <cell r="A816">
            <v>46265</v>
          </cell>
          <cell r="B816" t="str">
            <v xml:space="preserve">INDAH KIAT PULP AND PAPER TBK           </v>
          </cell>
          <cell r="C816" t="str">
            <v>I464149</v>
          </cell>
          <cell r="D816">
            <v>32901055440100</v>
          </cell>
          <cell r="E816" t="str">
            <v>TINGGI</v>
          </cell>
          <cell r="F816" t="str">
            <v>Tidak</v>
          </cell>
          <cell r="G816" t="str">
            <v>Tidak</v>
          </cell>
          <cell r="H816" t="str">
            <v>Tidak</v>
          </cell>
          <cell r="I816" t="str">
            <v>Korupsi - Loan View</v>
          </cell>
          <cell r="J816">
            <v>63</v>
          </cell>
          <cell r="K816">
            <v>15</v>
          </cell>
          <cell r="L816" t="str">
            <v>Korupsi</v>
          </cell>
          <cell r="M816" t="str">
            <v>Kas Kanpus</v>
          </cell>
          <cell r="N816" t="str">
            <v>Kas Kanpus</v>
          </cell>
          <cell r="O816" t="str">
            <v>KAS KANPUS</v>
          </cell>
          <cell r="R816" t="str">
            <v>Belum TL</v>
          </cell>
          <cell r="S816" t="str">
            <v>Belum TL</v>
          </cell>
          <cell r="T816" t="str">
            <v>00336949 - Mochammad Al Farabi</v>
          </cell>
          <cell r="U816" t="str">
            <v>"-"</v>
          </cell>
        </row>
        <row r="817">
          <cell r="A817">
            <v>46265</v>
          </cell>
          <cell r="B817" t="str">
            <v xml:space="preserve">IRAWAN KANADI                           </v>
          </cell>
          <cell r="C817" t="str">
            <v>I529064</v>
          </cell>
          <cell r="D817">
            <v>4359720210873300</v>
          </cell>
          <cell r="E817" t="str">
            <v>SEDANG</v>
          </cell>
          <cell r="F817" t="str">
            <v>Tidak</v>
          </cell>
          <cell r="G817" t="str">
            <v>Tidak</v>
          </cell>
          <cell r="H817" t="str">
            <v>Tidak</v>
          </cell>
          <cell r="I817" t="str">
            <v>Anomali Transaksi Kartu Kredit</v>
          </cell>
          <cell r="J817">
            <v>45</v>
          </cell>
          <cell r="K817">
            <v>116.117</v>
          </cell>
          <cell r="L817" t="str">
            <v>Anomali Transaksi Kartu Kredit</v>
          </cell>
          <cell r="M817" t="str">
            <v xml:space="preserve">Kas Kanpus                              </v>
          </cell>
          <cell r="N817" t="str">
            <v xml:space="preserve">Kas Kanpus                              </v>
          </cell>
          <cell r="O817" t="str">
            <v xml:space="preserve">KAS KANPUS                              </v>
          </cell>
          <cell r="R817" t="str">
            <v>Belum TL</v>
          </cell>
          <cell r="S817" t="str">
            <v>Belum TL</v>
          </cell>
          <cell r="T817" t="str">
            <v>90185537 - Moh.Khoerul Fajar Ar</v>
          </cell>
          <cell r="U817" t="str">
            <v>"-"</v>
          </cell>
        </row>
        <row r="818">
          <cell r="A818">
            <v>46265</v>
          </cell>
          <cell r="B818" t="str">
            <v xml:space="preserve">IRAWAN KANADI                           </v>
          </cell>
          <cell r="C818" t="str">
            <v>I529064</v>
          </cell>
          <cell r="D818">
            <v>4359720210873300</v>
          </cell>
          <cell r="E818" t="str">
            <v>SEDANG</v>
          </cell>
          <cell r="F818" t="str">
            <v>Tidak</v>
          </cell>
          <cell r="G818" t="str">
            <v>Tidak</v>
          </cell>
          <cell r="H818" t="str">
            <v>Tidak</v>
          </cell>
          <cell r="I818" t="str">
            <v>Penghindaran Pajak (Transaksi Fiktif)/Penyuapan CC</v>
          </cell>
          <cell r="J818">
            <v>45</v>
          </cell>
          <cell r="K818">
            <v>118</v>
          </cell>
          <cell r="L818" t="str">
            <v>Penyuapan / Penghindaran Pajak CC View</v>
          </cell>
          <cell r="M818" t="str">
            <v xml:space="preserve">Kas Kanpus                              </v>
          </cell>
          <cell r="N818" t="str">
            <v xml:space="preserve">Kas Kanpus                              </v>
          </cell>
          <cell r="O818" t="str">
            <v xml:space="preserve">KAS KANPUS                              </v>
          </cell>
          <cell r="R818" t="str">
            <v>Belum TL</v>
          </cell>
          <cell r="S818" t="str">
            <v>Belum TL</v>
          </cell>
          <cell r="T818" t="str">
            <v>00394520 - Frida Akbar Rani</v>
          </cell>
          <cell r="U818" t="str">
            <v>"-"</v>
          </cell>
        </row>
        <row r="819">
          <cell r="A819">
            <v>46265</v>
          </cell>
          <cell r="B819" t="str">
            <v xml:space="preserve">ISMAIL MARZUKI RENNGUR                  </v>
          </cell>
          <cell r="C819" t="str">
            <v>I733263</v>
          </cell>
          <cell r="D819">
            <v>351601022403107</v>
          </cell>
          <cell r="E819" t="str">
            <v>RENDAH</v>
          </cell>
          <cell r="F819" t="str">
            <v>Tidak</v>
          </cell>
          <cell r="G819" t="str">
            <v>Tidak</v>
          </cell>
          <cell r="H819" t="str">
            <v>Tidak</v>
          </cell>
          <cell r="I819" t="str">
            <v>Korupsi - Loan View</v>
          </cell>
          <cell r="J819">
            <v>33</v>
          </cell>
          <cell r="K819">
            <v>15</v>
          </cell>
          <cell r="L819" t="str">
            <v>Korupsi</v>
          </cell>
          <cell r="M819" t="str">
            <v>Kas Kanpus</v>
          </cell>
          <cell r="N819" t="str">
            <v>Kas Kanpus</v>
          </cell>
          <cell r="O819" t="str">
            <v>KAS KANPUS</v>
          </cell>
          <cell r="R819" t="str">
            <v>Belum TL</v>
          </cell>
          <cell r="S819" t="str">
            <v>Belum TL</v>
          </cell>
          <cell r="T819" t="str">
            <v>00394520 - Frida Akbar Rani</v>
          </cell>
          <cell r="U819" t="str">
            <v>"-"</v>
          </cell>
        </row>
        <row r="820">
          <cell r="A820">
            <v>46265</v>
          </cell>
          <cell r="B820" t="str">
            <v xml:space="preserve">INCONIS NUSA JAYA. PT                   </v>
          </cell>
          <cell r="C820" t="str">
            <v>I902208</v>
          </cell>
          <cell r="D820">
            <v>23001001812304</v>
          </cell>
          <cell r="E820" t="str">
            <v>SEDANG</v>
          </cell>
          <cell r="F820" t="str">
            <v>Tidak</v>
          </cell>
          <cell r="G820" t="str">
            <v>Tidak</v>
          </cell>
          <cell r="H820" t="str">
            <v>Tidak</v>
          </cell>
          <cell r="I820" t="str">
            <v>Korupsi - Cash &amp; Amount</v>
          </cell>
          <cell r="J820">
            <v>50</v>
          </cell>
          <cell r="K820" t="str">
            <v>1,2,20</v>
          </cell>
          <cell r="L820" t="str">
            <v>Korupsi</v>
          </cell>
          <cell r="M820" t="str">
            <v>Kas Kanpus</v>
          </cell>
          <cell r="N820" t="str">
            <v>Kas Kanpus</v>
          </cell>
          <cell r="O820" t="str">
            <v>KAS KANPUS</v>
          </cell>
          <cell r="R820" t="str">
            <v>Belum TL</v>
          </cell>
          <cell r="S820" t="str">
            <v>Belum TL</v>
          </cell>
          <cell r="T820" t="str">
            <v>90170665 - Mutiara Ayuningtyas</v>
          </cell>
          <cell r="U820" t="str">
            <v>"-"</v>
          </cell>
        </row>
        <row r="821">
          <cell r="A821">
            <v>46265</v>
          </cell>
          <cell r="B821" t="str">
            <v xml:space="preserve">I DEWA GEDE SUARDANA                    </v>
          </cell>
          <cell r="C821" t="str">
            <v>IAEU566</v>
          </cell>
          <cell r="D821">
            <v>463101002761500</v>
          </cell>
          <cell r="E821" t="str">
            <v>SEDANG</v>
          </cell>
          <cell r="F821" t="str">
            <v>Tidak</v>
          </cell>
          <cell r="G821" t="str">
            <v>Tidak</v>
          </cell>
          <cell r="H821" t="str">
            <v>Tidak</v>
          </cell>
          <cell r="I821" t="str">
            <v>Bandar Judol Withdrawal</v>
          </cell>
          <cell r="J821">
            <v>50</v>
          </cell>
          <cell r="K821" t="str">
            <v>86,88,87</v>
          </cell>
          <cell r="L821" t="str">
            <v>Judi Online</v>
          </cell>
          <cell r="M821" t="str">
            <v xml:space="preserve">Kas Kanpus                              </v>
          </cell>
          <cell r="N821" t="str">
            <v xml:space="preserve">Kas Kanpus                              </v>
          </cell>
          <cell r="O821" t="str">
            <v xml:space="preserve">KAS KANPUS                              </v>
          </cell>
          <cell r="R821" t="str">
            <v>Belum TL</v>
          </cell>
          <cell r="S821" t="str">
            <v>Belum TL</v>
          </cell>
          <cell r="T821" t="str">
            <v>90186790 - Muhammad Alfin Farha</v>
          </cell>
          <cell r="U821" t="str">
            <v>"-"</v>
          </cell>
        </row>
        <row r="822">
          <cell r="A822">
            <v>46265</v>
          </cell>
          <cell r="B822" t="str">
            <v xml:space="preserve">I GUSTI NGURAH PUTU SUWANDIRA           </v>
          </cell>
          <cell r="C822" t="str">
            <v>IAI0284</v>
          </cell>
          <cell r="D822">
            <v>356601000073565</v>
          </cell>
          <cell r="E822" t="str">
            <v>TINGGI</v>
          </cell>
          <cell r="F822" t="str">
            <v>Tidak</v>
          </cell>
          <cell r="G822" t="str">
            <v>Tidak</v>
          </cell>
          <cell r="H822" t="str">
            <v>Tidak</v>
          </cell>
          <cell r="I822" t="str">
            <v>Korupsi - Significant Trx View</v>
          </cell>
          <cell r="J822">
            <v>80</v>
          </cell>
          <cell r="K822">
            <v>1.19</v>
          </cell>
          <cell r="L822" t="str">
            <v>Korupsi</v>
          </cell>
          <cell r="M822" t="str">
            <v>Kas Kanpus</v>
          </cell>
          <cell r="N822" t="str">
            <v>Kas Kanpus</v>
          </cell>
          <cell r="O822" t="str">
            <v>KAS KANPUS</v>
          </cell>
          <cell r="R822" t="str">
            <v>Belum TL</v>
          </cell>
          <cell r="S822" t="str">
            <v>Belum TL</v>
          </cell>
          <cell r="T822" t="str">
            <v>90185537 - Moh.Khoerul Fajar Ar</v>
          </cell>
          <cell r="U822" t="str">
            <v>"-"</v>
          </cell>
        </row>
        <row r="823">
          <cell r="A823">
            <v>46265</v>
          </cell>
          <cell r="B823" t="str">
            <v xml:space="preserve">ISMAN ARDIANA                           </v>
          </cell>
          <cell r="C823" t="str">
            <v>I161808</v>
          </cell>
          <cell r="D823">
            <v>5534790227139210</v>
          </cell>
          <cell r="E823" t="str">
            <v>SEDANG</v>
          </cell>
          <cell r="F823" t="str">
            <v>Tidak</v>
          </cell>
          <cell r="G823" t="str">
            <v>Ya</v>
          </cell>
          <cell r="H823" t="str">
            <v>Tidak</v>
          </cell>
          <cell r="I823" t="str">
            <v>Anomali Transaksi Kartu Kredit</v>
          </cell>
          <cell r="J823">
            <v>70</v>
          </cell>
          <cell r="K823">
            <v>116</v>
          </cell>
          <cell r="L823" t="str">
            <v>Anomali Transaksi Kartu Kredit</v>
          </cell>
          <cell r="M823" t="str">
            <v xml:space="preserve">Kas Kanpus                              </v>
          </cell>
          <cell r="N823" t="str">
            <v xml:space="preserve">Kas Kanpus                              </v>
          </cell>
          <cell r="O823" t="str">
            <v xml:space="preserve">KAS KANPUS                              </v>
          </cell>
          <cell r="R823" t="str">
            <v>Belum TL</v>
          </cell>
          <cell r="S823" t="str">
            <v>Belum TL</v>
          </cell>
          <cell r="T823" t="str">
            <v>90185538 - Muhammad Fahikal Auz</v>
          </cell>
          <cell r="U823" t="str">
            <v>"-"</v>
          </cell>
        </row>
        <row r="824">
          <cell r="A824">
            <v>46265</v>
          </cell>
          <cell r="B824" t="str">
            <v xml:space="preserve">IYASHALIM                               </v>
          </cell>
          <cell r="C824" t="str">
            <v>I226975</v>
          </cell>
          <cell r="D824">
            <v>13201500262153</v>
          </cell>
          <cell r="E824" t="str">
            <v>RENDAH</v>
          </cell>
          <cell r="F824" t="str">
            <v>Tidak</v>
          </cell>
          <cell r="G824" t="str">
            <v>Tidak</v>
          </cell>
          <cell r="H824" t="str">
            <v>Tidak</v>
          </cell>
          <cell r="I824" t="str">
            <v>Korupsi - Loan View</v>
          </cell>
          <cell r="J824">
            <v>33</v>
          </cell>
          <cell r="K824">
            <v>15</v>
          </cell>
          <cell r="L824" t="str">
            <v>Korupsi</v>
          </cell>
          <cell r="M824" t="str">
            <v>Kas Kanpus</v>
          </cell>
          <cell r="N824" t="str">
            <v>Kas Kanpus</v>
          </cell>
          <cell r="O824" t="str">
            <v>KAS KANPUS</v>
          </cell>
          <cell r="R824" t="str">
            <v>Belum TL</v>
          </cell>
          <cell r="S824" t="str">
            <v>Belum TL</v>
          </cell>
          <cell r="T824" t="str">
            <v>90150130 - Intan Aida Pratiwi</v>
          </cell>
          <cell r="U824" t="str">
            <v>"-"</v>
          </cell>
        </row>
        <row r="825">
          <cell r="A825">
            <v>46265</v>
          </cell>
          <cell r="B825" t="str">
            <v xml:space="preserve">INDAH HENDRA KOSASIH                    </v>
          </cell>
          <cell r="C825" t="str">
            <v>IBAY411</v>
          </cell>
          <cell r="D825">
            <v>44501001907564</v>
          </cell>
          <cell r="E825" t="str">
            <v>SEDANG</v>
          </cell>
          <cell r="F825" t="str">
            <v>Tidak</v>
          </cell>
          <cell r="G825" t="str">
            <v>Tidak</v>
          </cell>
          <cell r="H825" t="str">
            <v>Tidak</v>
          </cell>
          <cell r="I825" t="str">
            <v>Bandar Judol Depo</v>
          </cell>
          <cell r="J825">
            <v>50</v>
          </cell>
          <cell r="K825" t="str">
            <v>86,74,87</v>
          </cell>
          <cell r="L825" t="str">
            <v>Judi Online</v>
          </cell>
          <cell r="M825" t="str">
            <v xml:space="preserve">Kas Kanpus                              </v>
          </cell>
          <cell r="N825" t="str">
            <v xml:space="preserve">Kas Kanpus                              </v>
          </cell>
          <cell r="O825" t="str">
            <v xml:space="preserve">KAS KANPUS                              </v>
          </cell>
          <cell r="R825" t="str">
            <v>Belum TL</v>
          </cell>
          <cell r="S825" t="str">
            <v>Belum TL</v>
          </cell>
          <cell r="T825" t="str">
            <v>90150130 - Intan Aida Pratiwi</v>
          </cell>
          <cell r="U825" t="str">
            <v>"-"</v>
          </cell>
        </row>
        <row r="826">
          <cell r="A826">
            <v>46265</v>
          </cell>
          <cell r="B826" t="str">
            <v xml:space="preserve">IHSAN BAHARUDDIN                        </v>
          </cell>
          <cell r="C826" t="str">
            <v>IBE2668</v>
          </cell>
          <cell r="D826">
            <v>25801015716108</v>
          </cell>
          <cell r="E826" t="str">
            <v>SEDANG</v>
          </cell>
          <cell r="F826" t="str">
            <v>Tidak</v>
          </cell>
          <cell r="G826" t="str">
            <v>Tidak</v>
          </cell>
          <cell r="H826" t="str">
            <v>Tidak</v>
          </cell>
          <cell r="I826" t="str">
            <v>Korupsi - Loan View</v>
          </cell>
          <cell r="J826">
            <v>48</v>
          </cell>
          <cell r="K826">
            <v>15</v>
          </cell>
          <cell r="L826" t="str">
            <v>Korupsi</v>
          </cell>
          <cell r="M826" t="str">
            <v>Kas Kanpus</v>
          </cell>
          <cell r="N826" t="str">
            <v>Kas Kanpus</v>
          </cell>
          <cell r="O826" t="str">
            <v>KAS KANPUS</v>
          </cell>
          <cell r="R826" t="str">
            <v>Belum TL</v>
          </cell>
          <cell r="S826" t="str">
            <v>Belum TL</v>
          </cell>
          <cell r="T826" t="str">
            <v>00394521 - Muhammad Hibbanduta</v>
          </cell>
          <cell r="U826" t="str">
            <v>"-"</v>
          </cell>
        </row>
        <row r="827">
          <cell r="A827">
            <v>46265</v>
          </cell>
          <cell r="B827" t="str">
            <v xml:space="preserve">INDRA SETIA PERMANA                     </v>
          </cell>
          <cell r="C827" t="str">
            <v>IBGC453</v>
          </cell>
          <cell r="D827">
            <v>407901052995537</v>
          </cell>
          <cell r="F827" t="str">
            <v>Tidak</v>
          </cell>
          <cell r="G827" t="str">
            <v>Tidak</v>
          </cell>
          <cell r="H827" t="str">
            <v>Tidak</v>
          </cell>
          <cell r="I827" t="str">
            <v>Bandar Judol Depo</v>
          </cell>
          <cell r="J827">
            <v>35</v>
          </cell>
          <cell r="K827" t="str">
            <v>86,74,87</v>
          </cell>
          <cell r="L827" t="str">
            <v>Judi Online</v>
          </cell>
          <cell r="M827" t="str">
            <v xml:space="preserve">Kas Kanpus                              </v>
          </cell>
          <cell r="N827" t="str">
            <v xml:space="preserve">Kas Kanpus                              </v>
          </cell>
          <cell r="O827" t="str">
            <v xml:space="preserve">KAS KANPUS                              </v>
          </cell>
          <cell r="R827" t="str">
            <v>Belum TL</v>
          </cell>
          <cell r="S827" t="str">
            <v>Belum TL</v>
          </cell>
          <cell r="T827" t="str">
            <v>90150130 - Intan Aida Pratiwi</v>
          </cell>
          <cell r="U827" t="str">
            <v>"-"</v>
          </cell>
        </row>
        <row r="828">
          <cell r="A828">
            <v>46265</v>
          </cell>
          <cell r="B828" t="str">
            <v xml:space="preserve">IZAH CAHAYA RIZKI                       </v>
          </cell>
          <cell r="C828" t="str">
            <v>IBKH597</v>
          </cell>
          <cell r="D828">
            <v>63501042956503</v>
          </cell>
          <cell r="F828" t="str">
            <v>Tidak</v>
          </cell>
          <cell r="G828" t="str">
            <v>Tidak</v>
          </cell>
          <cell r="H828" t="str">
            <v>Tidak</v>
          </cell>
          <cell r="I828" t="str">
            <v>Bandar Judol Withdrawal</v>
          </cell>
          <cell r="J828">
            <v>35</v>
          </cell>
          <cell r="K828" t="str">
            <v>86,88,87</v>
          </cell>
          <cell r="L828" t="str">
            <v>Judi Online</v>
          </cell>
          <cell r="M828" t="str">
            <v xml:space="preserve">Kas Kanpus                              </v>
          </cell>
          <cell r="N828" t="str">
            <v xml:space="preserve">Kas Kanpus                              </v>
          </cell>
          <cell r="O828" t="str">
            <v xml:space="preserve">KAS KANPUS                              </v>
          </cell>
          <cell r="R828" t="str">
            <v>Belum TL</v>
          </cell>
          <cell r="S828" t="str">
            <v>Belum TL</v>
          </cell>
          <cell r="T828" t="str">
            <v>00336949 - Mochammad Al Farabi</v>
          </cell>
          <cell r="U828" t="str">
            <v>"-"</v>
          </cell>
        </row>
        <row r="829">
          <cell r="A829">
            <v>46265</v>
          </cell>
          <cell r="B829" t="str">
            <v xml:space="preserve">IKHSAN MAULANA BALDAN                   </v>
          </cell>
          <cell r="C829" t="str">
            <v>IBKW893</v>
          </cell>
          <cell r="D829">
            <v>61601001464567</v>
          </cell>
          <cell r="F829" t="str">
            <v>Tidak</v>
          </cell>
          <cell r="G829" t="str">
            <v>Tidak</v>
          </cell>
          <cell r="H829" t="str">
            <v>Tidak</v>
          </cell>
          <cell r="I829" t="str">
            <v>Korupsi - Significant Trx View</v>
          </cell>
          <cell r="J829">
            <v>43</v>
          </cell>
          <cell r="K829">
            <v>1.19</v>
          </cell>
          <cell r="L829" t="str">
            <v>Korupsi</v>
          </cell>
          <cell r="M829" t="str">
            <v>Kas Kanpus</v>
          </cell>
          <cell r="N829" t="str">
            <v>Kas Kanpus</v>
          </cell>
          <cell r="O829" t="str">
            <v>KAS KANPUS</v>
          </cell>
          <cell r="R829" t="str">
            <v>Belum TL</v>
          </cell>
          <cell r="S829" t="str">
            <v>Belum TL</v>
          </cell>
          <cell r="T829" t="str">
            <v>90170665 - Mutiara Ayuningtyas</v>
          </cell>
          <cell r="U829" t="str">
            <v>"-"</v>
          </cell>
        </row>
        <row r="830">
          <cell r="A830">
            <v>46265</v>
          </cell>
          <cell r="B830" t="str">
            <v xml:space="preserve">ILMA MAHARANI                           </v>
          </cell>
          <cell r="C830" t="str">
            <v>IBLQ249</v>
          </cell>
          <cell r="D830">
            <v>535301039540532</v>
          </cell>
          <cell r="F830" t="str">
            <v>Tidak</v>
          </cell>
          <cell r="G830" t="str">
            <v>Tidak</v>
          </cell>
          <cell r="H830" t="str">
            <v>Tidak</v>
          </cell>
          <cell r="I830" t="str">
            <v>Bandar Judol Withdrawal</v>
          </cell>
          <cell r="J830">
            <v>35</v>
          </cell>
          <cell r="K830" t="str">
            <v>86,88,87</v>
          </cell>
          <cell r="L830" t="str">
            <v>Judi Online</v>
          </cell>
          <cell r="M830" t="str">
            <v xml:space="preserve">Kas Kanpus                              </v>
          </cell>
          <cell r="N830" t="str">
            <v xml:space="preserve">Kas Kanpus                              </v>
          </cell>
          <cell r="O830" t="str">
            <v xml:space="preserve">KAS KANPUS                              </v>
          </cell>
          <cell r="R830" t="str">
            <v>Belum TL</v>
          </cell>
          <cell r="S830" t="str">
            <v>Belum TL</v>
          </cell>
          <cell r="T830" t="str">
            <v>00394520 - Frida Akbar Rani</v>
          </cell>
          <cell r="U830" t="str">
            <v>"-"</v>
          </cell>
        </row>
        <row r="831">
          <cell r="A831">
            <v>46265</v>
          </cell>
          <cell r="B831" t="str">
            <v xml:space="preserve">IWAN SETIAWAN                           </v>
          </cell>
          <cell r="C831" t="str">
            <v>IBNO186</v>
          </cell>
          <cell r="D831">
            <v>59601001063537</v>
          </cell>
          <cell r="F831" t="str">
            <v>Tidak</v>
          </cell>
          <cell r="G831" t="str">
            <v>Tidak</v>
          </cell>
          <cell r="H831" t="str">
            <v>Tidak</v>
          </cell>
          <cell r="I831" t="str">
            <v>Bandar Judol Withdrawal</v>
          </cell>
          <cell r="J831">
            <v>35</v>
          </cell>
          <cell r="K831" t="str">
            <v>86,88,87</v>
          </cell>
          <cell r="L831" t="str">
            <v>Judi Online</v>
          </cell>
          <cell r="M831" t="str">
            <v xml:space="preserve">Kas Kanpus                              </v>
          </cell>
          <cell r="N831" t="str">
            <v xml:space="preserve">Kas Kanpus                              </v>
          </cell>
          <cell r="O831" t="str">
            <v xml:space="preserve">KAS KANPUS                              </v>
          </cell>
          <cell r="R831" t="str">
            <v>Belum TL</v>
          </cell>
          <cell r="S831" t="str">
            <v>Belum TL</v>
          </cell>
          <cell r="T831" t="str">
            <v>00394520 - Frida Akbar Rani</v>
          </cell>
          <cell r="U831" t="str">
            <v>"-"</v>
          </cell>
        </row>
        <row r="832">
          <cell r="A832">
            <v>46265</v>
          </cell>
          <cell r="B832" t="str">
            <v xml:space="preserve">IDRIS SAPUTRA                           </v>
          </cell>
          <cell r="C832" t="str">
            <v>IBNV125</v>
          </cell>
          <cell r="D832">
            <v>28601107908507</v>
          </cell>
          <cell r="F832" t="str">
            <v>Tidak</v>
          </cell>
          <cell r="G832" t="str">
            <v>Tidak</v>
          </cell>
          <cell r="H832" t="str">
            <v>Tidak</v>
          </cell>
          <cell r="I832" t="str">
            <v>Bandar Judol Withdrawal</v>
          </cell>
          <cell r="J832">
            <v>35</v>
          </cell>
          <cell r="K832" t="str">
            <v>86,88,87</v>
          </cell>
          <cell r="L832" t="str">
            <v>Judi Online</v>
          </cell>
          <cell r="M832" t="str">
            <v xml:space="preserve">Kas Kanpus                              </v>
          </cell>
          <cell r="N832" t="str">
            <v xml:space="preserve">Kas Kanpus                              </v>
          </cell>
          <cell r="O832" t="str">
            <v xml:space="preserve">KAS KANPUS                              </v>
          </cell>
          <cell r="R832" t="str">
            <v>Belum TL</v>
          </cell>
          <cell r="S832" t="str">
            <v>Belum TL</v>
          </cell>
          <cell r="T832" t="str">
            <v>90185538 - Muhammad Fahikal Auz</v>
          </cell>
          <cell r="U832" t="str">
            <v>"-"</v>
          </cell>
        </row>
        <row r="833">
          <cell r="A833">
            <v>46265</v>
          </cell>
          <cell r="B833" t="str">
            <v xml:space="preserve">IKBAL                                   </v>
          </cell>
          <cell r="C833" t="str">
            <v>IBP6761</v>
          </cell>
          <cell r="D833">
            <v>564401017283109</v>
          </cell>
          <cell r="E833" t="str">
            <v>SEDANG</v>
          </cell>
          <cell r="F833" t="str">
            <v>Tidak</v>
          </cell>
          <cell r="G833" t="str">
            <v>Tidak</v>
          </cell>
          <cell r="H833" t="str">
            <v>Tidak</v>
          </cell>
          <cell r="I833" t="str">
            <v>Korupsi - Loan View</v>
          </cell>
          <cell r="J833">
            <v>48</v>
          </cell>
          <cell r="K833">
            <v>15</v>
          </cell>
          <cell r="L833" t="str">
            <v>Korupsi</v>
          </cell>
          <cell r="M833" t="str">
            <v>Kas Kanpus</v>
          </cell>
          <cell r="N833" t="str">
            <v>Kas Kanpus</v>
          </cell>
          <cell r="O833" t="str">
            <v>KAS KANPUS</v>
          </cell>
          <cell r="R833" t="str">
            <v>Belum TL</v>
          </cell>
          <cell r="S833" t="str">
            <v>Belum TL</v>
          </cell>
          <cell r="T833" t="str">
            <v>90186796 - Devito Arya Wiradila</v>
          </cell>
          <cell r="U833" t="str">
            <v>"-"</v>
          </cell>
        </row>
        <row r="834">
          <cell r="A834">
            <v>46265</v>
          </cell>
          <cell r="B834" t="str">
            <v xml:space="preserve">IRVAN SOPARDI                           </v>
          </cell>
          <cell r="C834" t="str">
            <v>IBRO326</v>
          </cell>
          <cell r="D834">
            <v>118101053774500</v>
          </cell>
          <cell r="F834" t="str">
            <v>Tidak</v>
          </cell>
          <cell r="G834" t="str">
            <v>Tidak</v>
          </cell>
          <cell r="H834" t="str">
            <v>Tidak</v>
          </cell>
          <cell r="I834" t="str">
            <v>Bandar Judol Withdrawal</v>
          </cell>
          <cell r="J834">
            <v>35</v>
          </cell>
          <cell r="K834" t="str">
            <v>86,88,87</v>
          </cell>
          <cell r="L834" t="str">
            <v>Judi Online</v>
          </cell>
          <cell r="M834" t="str">
            <v xml:space="preserve">Kas Kanpus                              </v>
          </cell>
          <cell r="N834" t="str">
            <v xml:space="preserve">Kas Kanpus                              </v>
          </cell>
          <cell r="O834" t="str">
            <v xml:space="preserve">KAS KANPUS                              </v>
          </cell>
          <cell r="R834" t="str">
            <v>Belum TL</v>
          </cell>
          <cell r="S834" t="str">
            <v>Belum TL</v>
          </cell>
          <cell r="T834" t="str">
            <v>90150130 - Intan Aida Pratiwi</v>
          </cell>
          <cell r="U834" t="str">
            <v>"-"</v>
          </cell>
        </row>
        <row r="835">
          <cell r="A835">
            <v>46265</v>
          </cell>
          <cell r="B835" t="str">
            <v xml:space="preserve">I PUTU INDRA KURNIAWAN                  </v>
          </cell>
          <cell r="C835" t="str">
            <v>IBSU634</v>
          </cell>
          <cell r="D835">
            <v>516401023687101</v>
          </cell>
          <cell r="F835" t="str">
            <v>Tidak</v>
          </cell>
          <cell r="G835" t="str">
            <v>Tidak</v>
          </cell>
          <cell r="H835" t="str">
            <v>Tidak</v>
          </cell>
          <cell r="I835" t="str">
            <v>Korupsi - Loan View</v>
          </cell>
          <cell r="J835">
            <v>33</v>
          </cell>
          <cell r="K835">
            <v>15</v>
          </cell>
          <cell r="L835" t="str">
            <v>Korupsi</v>
          </cell>
          <cell r="M835" t="str">
            <v>Kas Kanpus</v>
          </cell>
          <cell r="N835" t="str">
            <v>Kas Kanpus</v>
          </cell>
          <cell r="O835" t="str">
            <v>KAS KANPUS</v>
          </cell>
          <cell r="R835" t="str">
            <v>Belum TL</v>
          </cell>
          <cell r="S835" t="str">
            <v>Belum TL</v>
          </cell>
          <cell r="T835" t="str">
            <v>00336949 - Mochammad Al Farabi</v>
          </cell>
          <cell r="U835" t="str">
            <v>"-"</v>
          </cell>
        </row>
        <row r="836">
          <cell r="A836">
            <v>46265</v>
          </cell>
          <cell r="B836" t="str">
            <v xml:space="preserve">IRGI DWINANDA                           </v>
          </cell>
          <cell r="C836" t="str">
            <v>IBTW981</v>
          </cell>
          <cell r="D836">
            <v>222401010269537</v>
          </cell>
          <cell r="F836" t="str">
            <v>Tidak</v>
          </cell>
          <cell r="G836" t="str">
            <v>Tidak</v>
          </cell>
          <cell r="H836" t="str">
            <v>Tidak</v>
          </cell>
          <cell r="I836" t="str">
            <v>Bandar Judol Withdrawal</v>
          </cell>
          <cell r="J836">
            <v>35</v>
          </cell>
          <cell r="K836" t="str">
            <v>86,88,87</v>
          </cell>
          <cell r="L836" t="str">
            <v>Judi Online</v>
          </cell>
          <cell r="M836" t="str">
            <v xml:space="preserve">Kas Kanpus                              </v>
          </cell>
          <cell r="N836" t="str">
            <v xml:space="preserve">Kas Kanpus                              </v>
          </cell>
          <cell r="O836" t="str">
            <v xml:space="preserve">KAS KANPUS                              </v>
          </cell>
          <cell r="R836" t="str">
            <v>Belum TL</v>
          </cell>
          <cell r="S836" t="str">
            <v>Belum TL</v>
          </cell>
          <cell r="T836" t="str">
            <v>90150130 - Intan Aida Pratiwi</v>
          </cell>
          <cell r="U836" t="str">
            <v>"-"</v>
          </cell>
        </row>
        <row r="837">
          <cell r="A837">
            <v>46265</v>
          </cell>
          <cell r="B837" t="str">
            <v xml:space="preserve">ILHAM JUHRI                             </v>
          </cell>
          <cell r="C837" t="str">
            <v>IBXO332</v>
          </cell>
          <cell r="D837">
            <v>23801092665500</v>
          </cell>
          <cell r="F837" t="str">
            <v>Tidak</v>
          </cell>
          <cell r="G837" t="str">
            <v>Tidak</v>
          </cell>
          <cell r="H837" t="str">
            <v>Tidak</v>
          </cell>
          <cell r="I837" t="str">
            <v>Bandar Judol Withdrawal</v>
          </cell>
          <cell r="J837">
            <v>35</v>
          </cell>
          <cell r="K837" t="str">
            <v>86,88,87</v>
          </cell>
          <cell r="L837" t="str">
            <v>Judi Online</v>
          </cell>
          <cell r="M837" t="str">
            <v xml:space="preserve">Kas Kanpus                              </v>
          </cell>
          <cell r="N837" t="str">
            <v xml:space="preserve">Kas Kanpus                              </v>
          </cell>
          <cell r="O837" t="str">
            <v xml:space="preserve">KAS KANPUS                              </v>
          </cell>
          <cell r="R837" t="str">
            <v>Belum TL</v>
          </cell>
          <cell r="S837" t="str">
            <v>Belum TL</v>
          </cell>
          <cell r="T837" t="str">
            <v>90170665 - Mutiara Ayuningtyas</v>
          </cell>
          <cell r="U837" t="str">
            <v>"-"</v>
          </cell>
        </row>
        <row r="838">
          <cell r="A838">
            <v>46265</v>
          </cell>
          <cell r="B838" t="str">
            <v xml:space="preserve">I WAYAN NURADA                          </v>
          </cell>
          <cell r="C838" t="str">
            <v>IC77659</v>
          </cell>
          <cell r="D838">
            <v>11401000793305</v>
          </cell>
          <cell r="E838" t="str">
            <v>SEDANG</v>
          </cell>
          <cell r="F838" t="str">
            <v>Tidak</v>
          </cell>
          <cell r="G838" t="str">
            <v>Tidak</v>
          </cell>
          <cell r="H838" t="str">
            <v>Tidak</v>
          </cell>
          <cell r="I838" t="str">
            <v>Perpajakan</v>
          </cell>
          <cell r="J838">
            <v>58</v>
          </cell>
          <cell r="K838">
            <v>1.33</v>
          </cell>
          <cell r="L838" t="str">
            <v>Perpajakan</v>
          </cell>
          <cell r="M838" t="str">
            <v xml:space="preserve">KC Semarapura                           </v>
          </cell>
          <cell r="N838" t="str">
            <v xml:space="preserve">KC Semarapura                           </v>
          </cell>
          <cell r="O838" t="str">
            <v xml:space="preserve">Denpasar                                </v>
          </cell>
          <cell r="R838" t="str">
            <v>Belum TL</v>
          </cell>
          <cell r="S838" t="str">
            <v>Belum TL</v>
          </cell>
          <cell r="T838" t="str">
            <v>90186796 - Devito Arya Wiradila</v>
          </cell>
          <cell r="U838" t="str">
            <v>"-"</v>
          </cell>
        </row>
        <row r="839">
          <cell r="A839">
            <v>46265</v>
          </cell>
          <cell r="B839" t="str">
            <v xml:space="preserve">ISMIRULLAH                              </v>
          </cell>
          <cell r="C839" t="str">
            <v>ICBJ499</v>
          </cell>
          <cell r="D839">
            <v>36701004675560</v>
          </cell>
          <cell r="F839" t="str">
            <v>Tidak</v>
          </cell>
          <cell r="G839" t="str">
            <v>Tidak</v>
          </cell>
          <cell r="H839" t="str">
            <v>Tidak</v>
          </cell>
          <cell r="I839" t="str">
            <v>Bandar Judol Depo</v>
          </cell>
          <cell r="J839">
            <v>35</v>
          </cell>
          <cell r="K839" t="str">
            <v>86,74,87</v>
          </cell>
          <cell r="L839" t="str">
            <v>Judi Online</v>
          </cell>
          <cell r="M839" t="str">
            <v xml:space="preserve">Kas Kanpus                              </v>
          </cell>
          <cell r="N839" t="str">
            <v xml:space="preserve">Kas Kanpus                              </v>
          </cell>
          <cell r="O839" t="str">
            <v xml:space="preserve">KAS KANPUS                              </v>
          </cell>
          <cell r="R839" t="str">
            <v>Belum TL</v>
          </cell>
          <cell r="S839" t="str">
            <v>Belum TL</v>
          </cell>
          <cell r="T839" t="str">
            <v>90185537 - Moh.Khoerul Fajar Ar</v>
          </cell>
          <cell r="U839" t="str">
            <v>"-"</v>
          </cell>
        </row>
        <row r="840">
          <cell r="A840">
            <v>46265</v>
          </cell>
          <cell r="B840" t="str">
            <v xml:space="preserve">II SUPRIATNA                            </v>
          </cell>
          <cell r="C840" t="str">
            <v>ICBV296</v>
          </cell>
          <cell r="D840">
            <v>10501144824506</v>
          </cell>
          <cell r="F840" t="str">
            <v>Tidak</v>
          </cell>
          <cell r="G840" t="str">
            <v>Tidak</v>
          </cell>
          <cell r="H840" t="str">
            <v>Tidak</v>
          </cell>
          <cell r="I840" t="str">
            <v>Bandar Judol Depo</v>
          </cell>
          <cell r="J840">
            <v>35</v>
          </cell>
          <cell r="K840" t="str">
            <v>86,74,87</v>
          </cell>
          <cell r="L840" t="str">
            <v>Judi Online</v>
          </cell>
          <cell r="M840" t="str">
            <v xml:space="preserve">Kas Kanpus                              </v>
          </cell>
          <cell r="N840" t="str">
            <v xml:space="preserve">Kas Kanpus                              </v>
          </cell>
          <cell r="O840" t="str">
            <v xml:space="preserve">KAS KANPUS                              </v>
          </cell>
          <cell r="R840" t="str">
            <v>Belum TL</v>
          </cell>
          <cell r="S840" t="str">
            <v>Belum TL</v>
          </cell>
          <cell r="T840" t="str">
            <v>90186796 - Devito Arya Wiradila</v>
          </cell>
          <cell r="U840" t="str">
            <v>"-"</v>
          </cell>
        </row>
        <row r="841">
          <cell r="A841">
            <v>46265</v>
          </cell>
          <cell r="B841" t="str">
            <v xml:space="preserve">IMAM SAFI'I                             </v>
          </cell>
          <cell r="C841" t="str">
            <v>ICE8152</v>
          </cell>
          <cell r="D841">
            <v>33801000397563</v>
          </cell>
          <cell r="E841" t="str">
            <v>TINGGI</v>
          </cell>
          <cell r="F841" t="str">
            <v>Tidak</v>
          </cell>
          <cell r="G841" t="str">
            <v>Tidak</v>
          </cell>
          <cell r="H841" t="str">
            <v>Tidak</v>
          </cell>
          <cell r="I841" t="str">
            <v>Pencurian Rekening</v>
          </cell>
          <cell r="J841">
            <v>64</v>
          </cell>
          <cell r="K841">
            <v>59</v>
          </cell>
          <cell r="L841" t="str">
            <v>Perbankan</v>
          </cell>
          <cell r="M841" t="str">
            <v xml:space="preserve">KC JAKARTA ROXI                         </v>
          </cell>
          <cell r="N841" t="str">
            <v xml:space="preserve">KC JAKARTA ROXI                         </v>
          </cell>
          <cell r="O841" t="str">
            <v xml:space="preserve">DKI                                     </v>
          </cell>
          <cell r="R841" t="str">
            <v>Belum TL</v>
          </cell>
          <cell r="S841" t="str">
            <v>Belum TL</v>
          </cell>
          <cell r="T841" t="str">
            <v>00394521 - Muhammad Hibbanduta</v>
          </cell>
          <cell r="U841" t="str">
            <v>"-"</v>
          </cell>
        </row>
        <row r="842">
          <cell r="A842">
            <v>46265</v>
          </cell>
          <cell r="B842" t="str">
            <v xml:space="preserve">IBNU AZHAR SAPUTRA                      </v>
          </cell>
          <cell r="C842" t="str">
            <v>ICGA504</v>
          </cell>
          <cell r="D842">
            <v>385401006491502</v>
          </cell>
          <cell r="F842" t="str">
            <v>Tidak</v>
          </cell>
          <cell r="G842" t="str">
            <v>Tidak</v>
          </cell>
          <cell r="H842" t="str">
            <v>Tidak</v>
          </cell>
          <cell r="I842" t="str">
            <v>Bandar Judol Withdrawal</v>
          </cell>
          <cell r="J842">
            <v>35</v>
          </cell>
          <cell r="K842" t="str">
            <v>86,88,87</v>
          </cell>
          <cell r="L842" t="str">
            <v>Judi Online</v>
          </cell>
          <cell r="M842" t="str">
            <v xml:space="preserve">Kas Kanpus                              </v>
          </cell>
          <cell r="N842" t="str">
            <v xml:space="preserve">Kas Kanpus                              </v>
          </cell>
          <cell r="O842" t="str">
            <v xml:space="preserve">KAS KANPUS                              </v>
          </cell>
          <cell r="R842" t="str">
            <v>Belum TL</v>
          </cell>
          <cell r="S842" t="str">
            <v>Belum TL</v>
          </cell>
          <cell r="T842" t="str">
            <v>90170665 - Mutiara Ayuningtyas</v>
          </cell>
          <cell r="U842" t="str">
            <v>"-"</v>
          </cell>
        </row>
        <row r="843">
          <cell r="A843">
            <v>46265</v>
          </cell>
          <cell r="B843" t="str">
            <v xml:space="preserve">IRGI HIDRIYAGI                          </v>
          </cell>
          <cell r="C843" t="str">
            <v>ICJN093</v>
          </cell>
          <cell r="D843">
            <v>384901026573501</v>
          </cell>
          <cell r="F843" t="str">
            <v>Tidak</v>
          </cell>
          <cell r="G843" t="str">
            <v>Tidak</v>
          </cell>
          <cell r="H843" t="str">
            <v>Tidak</v>
          </cell>
          <cell r="I843" t="str">
            <v>Bandar Judol Withdrawal</v>
          </cell>
          <cell r="J843">
            <v>35</v>
          </cell>
          <cell r="K843" t="str">
            <v>86,88,87</v>
          </cell>
          <cell r="L843" t="str">
            <v>Judi Online</v>
          </cell>
          <cell r="M843" t="str">
            <v xml:space="preserve">Kas Kanpus                              </v>
          </cell>
          <cell r="N843" t="str">
            <v xml:space="preserve">Kas Kanpus                              </v>
          </cell>
          <cell r="O843" t="str">
            <v xml:space="preserve">KAS KANPUS                              </v>
          </cell>
          <cell r="R843" t="str">
            <v>Belum TL</v>
          </cell>
          <cell r="S843" t="str">
            <v>Belum TL</v>
          </cell>
          <cell r="T843" t="str">
            <v>90171841 - Rifqi Aziz</v>
          </cell>
          <cell r="U843" t="str">
            <v>"-"</v>
          </cell>
        </row>
        <row r="844">
          <cell r="A844">
            <v>46265</v>
          </cell>
          <cell r="B844" t="str">
            <v xml:space="preserve">INDRA JAYA GINTING                      </v>
          </cell>
          <cell r="C844" t="str">
            <v>ICKZ603</v>
          </cell>
          <cell r="D844">
            <v>23801040109532</v>
          </cell>
          <cell r="F844" t="str">
            <v>Tidak</v>
          </cell>
          <cell r="G844" t="str">
            <v>Tidak</v>
          </cell>
          <cell r="H844" t="str">
            <v>Tidak</v>
          </cell>
          <cell r="I844" t="str">
            <v>Bandar Judol Withdrawal</v>
          </cell>
          <cell r="J844">
            <v>35</v>
          </cell>
          <cell r="K844" t="str">
            <v>86,88,87</v>
          </cell>
          <cell r="L844" t="str">
            <v>Judi Online</v>
          </cell>
          <cell r="M844" t="str">
            <v xml:space="preserve">Kas Kanpus                              </v>
          </cell>
          <cell r="N844" t="str">
            <v xml:space="preserve">Kas Kanpus                              </v>
          </cell>
          <cell r="O844" t="str">
            <v xml:space="preserve">KAS KANPUS                              </v>
          </cell>
          <cell r="R844" t="str">
            <v>Belum TL</v>
          </cell>
          <cell r="S844" t="str">
            <v>Belum TL</v>
          </cell>
          <cell r="T844" t="str">
            <v>90185537 - Moh.Khoerul Fajar Ar</v>
          </cell>
          <cell r="U844" t="str">
            <v>"-"</v>
          </cell>
        </row>
        <row r="845">
          <cell r="A845">
            <v>46265</v>
          </cell>
          <cell r="B845" t="str">
            <v xml:space="preserve">IDA FARIDA                              </v>
          </cell>
          <cell r="C845" t="str">
            <v>ICMM293</v>
          </cell>
          <cell r="D845">
            <v>42201052525503</v>
          </cell>
          <cell r="F845" t="str">
            <v>Tidak</v>
          </cell>
          <cell r="G845" t="str">
            <v>Tidak</v>
          </cell>
          <cell r="H845" t="str">
            <v>Tidak</v>
          </cell>
          <cell r="I845" t="str">
            <v>Bandar Judol Withdrawal</v>
          </cell>
          <cell r="J845">
            <v>35</v>
          </cell>
          <cell r="K845" t="str">
            <v>86,88,87</v>
          </cell>
          <cell r="L845" t="str">
            <v>Judi Online</v>
          </cell>
          <cell r="M845" t="str">
            <v xml:space="preserve">Kas Kanpus                              </v>
          </cell>
          <cell r="N845" t="str">
            <v xml:space="preserve">Kas Kanpus                              </v>
          </cell>
          <cell r="O845" t="str">
            <v xml:space="preserve">KAS KANPUS                              </v>
          </cell>
          <cell r="R845" t="str">
            <v>Belum TL</v>
          </cell>
          <cell r="S845" t="str">
            <v>Belum TL</v>
          </cell>
          <cell r="T845" t="str">
            <v>90171841 - Rifqi Aziz</v>
          </cell>
          <cell r="U845" t="str">
            <v>"-"</v>
          </cell>
        </row>
        <row r="846">
          <cell r="A846">
            <v>46265</v>
          </cell>
          <cell r="B846" t="str">
            <v xml:space="preserve">INDRA WIJAYA                            </v>
          </cell>
          <cell r="C846" t="str">
            <v>ICNM454</v>
          </cell>
          <cell r="D846">
            <v>532101023910506</v>
          </cell>
          <cell r="F846" t="str">
            <v>Tidak</v>
          </cell>
          <cell r="G846" t="str">
            <v>Tidak</v>
          </cell>
          <cell r="H846" t="str">
            <v>Tidak</v>
          </cell>
          <cell r="I846" t="str">
            <v>Bandar Judol Withdrawal</v>
          </cell>
          <cell r="J846">
            <v>35</v>
          </cell>
          <cell r="K846" t="str">
            <v>86,88,87</v>
          </cell>
          <cell r="L846" t="str">
            <v>Judi Online</v>
          </cell>
          <cell r="M846" t="str">
            <v xml:space="preserve">Kas Kanpus                              </v>
          </cell>
          <cell r="N846" t="str">
            <v xml:space="preserve">Kas Kanpus                              </v>
          </cell>
          <cell r="O846" t="str">
            <v xml:space="preserve">KAS KANPUS                              </v>
          </cell>
          <cell r="R846" t="str">
            <v>Belum TL</v>
          </cell>
          <cell r="S846" t="str">
            <v>Belum TL</v>
          </cell>
          <cell r="T846" t="str">
            <v>90171841 - Rifqi Aziz</v>
          </cell>
          <cell r="U846" t="str">
            <v>"-"</v>
          </cell>
        </row>
        <row r="847">
          <cell r="A847">
            <v>46265</v>
          </cell>
          <cell r="B847" t="str">
            <v xml:space="preserve">IMAM HADISNA                            </v>
          </cell>
          <cell r="C847" t="str">
            <v>ICQT250</v>
          </cell>
          <cell r="D847">
            <v>81101031400505</v>
          </cell>
          <cell r="F847" t="str">
            <v>Tidak</v>
          </cell>
          <cell r="G847" t="str">
            <v>Tidak</v>
          </cell>
          <cell r="H847" t="str">
            <v>Tidak</v>
          </cell>
          <cell r="I847" t="str">
            <v>Bandar Judol Withdrawal</v>
          </cell>
          <cell r="J847">
            <v>35</v>
          </cell>
          <cell r="K847" t="str">
            <v>86,88,87</v>
          </cell>
          <cell r="L847" t="str">
            <v>Judi Online</v>
          </cell>
          <cell r="M847" t="str">
            <v xml:space="preserve">Kas Kanpus                              </v>
          </cell>
          <cell r="N847" t="str">
            <v xml:space="preserve">Kas Kanpus                              </v>
          </cell>
          <cell r="O847" t="str">
            <v xml:space="preserve">KAS KANPUS                              </v>
          </cell>
          <cell r="R847" t="str">
            <v>Belum TL</v>
          </cell>
          <cell r="S847" t="str">
            <v>Belum TL</v>
          </cell>
          <cell r="T847" t="str">
            <v>00394520 - Frida Akbar Rani</v>
          </cell>
          <cell r="U847" t="str">
            <v>"-"</v>
          </cell>
        </row>
        <row r="848">
          <cell r="A848">
            <v>46265</v>
          </cell>
          <cell r="B848" t="str">
            <v xml:space="preserve">ILMAN FAJAR                             </v>
          </cell>
          <cell r="C848" t="str">
            <v>ICRP962</v>
          </cell>
          <cell r="D848">
            <v>4359720223896500</v>
          </cell>
          <cell r="F848" t="str">
            <v>Tidak</v>
          </cell>
          <cell r="G848" t="str">
            <v>Tidak</v>
          </cell>
          <cell r="H848" t="str">
            <v>Tidak</v>
          </cell>
          <cell r="I848" t="str">
            <v>Penghindaran Pajak (Transaksi Fiktif)/Penyuapan CC</v>
          </cell>
          <cell r="J848">
            <v>30</v>
          </cell>
          <cell r="K848">
            <v>118</v>
          </cell>
          <cell r="L848" t="str">
            <v>Penyuapan / Penghindaran Pajak CC View</v>
          </cell>
          <cell r="M848" t="str">
            <v xml:space="preserve">Kas Kanpus                              </v>
          </cell>
          <cell r="N848" t="str">
            <v xml:space="preserve">Kas Kanpus                              </v>
          </cell>
          <cell r="O848" t="str">
            <v xml:space="preserve">KAS KANPUS                              </v>
          </cell>
          <cell r="R848" t="str">
            <v>Belum TL</v>
          </cell>
          <cell r="S848" t="str">
            <v>Belum TL</v>
          </cell>
          <cell r="T848" t="str">
            <v>90171841 - Rifqi Aziz</v>
          </cell>
          <cell r="U848" t="str">
            <v>"-"</v>
          </cell>
        </row>
        <row r="849">
          <cell r="A849">
            <v>46265</v>
          </cell>
          <cell r="B849" t="str">
            <v xml:space="preserve">ILMA MAULANA                            </v>
          </cell>
          <cell r="C849" t="str">
            <v>ICTA313</v>
          </cell>
          <cell r="D849">
            <v>346001004543502</v>
          </cell>
          <cell r="F849" t="str">
            <v>Tidak</v>
          </cell>
          <cell r="G849" t="str">
            <v>Tidak</v>
          </cell>
          <cell r="H849" t="str">
            <v>Tidak</v>
          </cell>
          <cell r="I849" t="str">
            <v>Bandar Judol Withdrawal</v>
          </cell>
          <cell r="J849">
            <v>35</v>
          </cell>
          <cell r="K849" t="str">
            <v>86,88,87</v>
          </cell>
          <cell r="L849" t="str">
            <v>Judi Online</v>
          </cell>
          <cell r="M849" t="str">
            <v xml:space="preserve">Kas Kanpus                              </v>
          </cell>
          <cell r="N849" t="str">
            <v xml:space="preserve">Kas Kanpus                              </v>
          </cell>
          <cell r="O849" t="str">
            <v xml:space="preserve">KAS KANPUS                              </v>
          </cell>
          <cell r="R849" t="str">
            <v>Belum TL</v>
          </cell>
          <cell r="S849" t="str">
            <v>Belum TL</v>
          </cell>
          <cell r="T849" t="str">
            <v>90186790 - Muhammad Alfin Farha</v>
          </cell>
          <cell r="U849" t="str">
            <v>"-"</v>
          </cell>
        </row>
        <row r="850">
          <cell r="A850">
            <v>46265</v>
          </cell>
          <cell r="B850" t="str">
            <v xml:space="preserve">IWAN RUSMANA                            </v>
          </cell>
          <cell r="C850" t="str">
            <v>ICTA998</v>
          </cell>
          <cell r="D850">
            <v>444301007585506</v>
          </cell>
          <cell r="F850" t="str">
            <v>Tidak</v>
          </cell>
          <cell r="G850" t="str">
            <v>Tidak</v>
          </cell>
          <cell r="H850" t="str">
            <v>Tidak</v>
          </cell>
          <cell r="I850" t="str">
            <v>Bandar Judol Withdrawal</v>
          </cell>
          <cell r="J850">
            <v>35</v>
          </cell>
          <cell r="K850" t="str">
            <v>86,88,87</v>
          </cell>
          <cell r="L850" t="str">
            <v>Judi Online</v>
          </cell>
          <cell r="M850" t="str">
            <v xml:space="preserve">Kas Kanpus                              </v>
          </cell>
          <cell r="N850" t="str">
            <v xml:space="preserve">Kas Kanpus                              </v>
          </cell>
          <cell r="O850" t="str">
            <v xml:space="preserve">KAS KANPUS                              </v>
          </cell>
          <cell r="R850" t="str">
            <v>Belum TL</v>
          </cell>
          <cell r="S850" t="str">
            <v>Belum TL</v>
          </cell>
          <cell r="T850" t="str">
            <v>00336949 - Mochammad Al Farabi</v>
          </cell>
          <cell r="U850" t="str">
            <v>"-"</v>
          </cell>
        </row>
        <row r="851">
          <cell r="A851">
            <v>46265</v>
          </cell>
          <cell r="B851" t="str">
            <v xml:space="preserve">ICHSAN ANDARA                           </v>
          </cell>
          <cell r="C851" t="str">
            <v>ICTS631</v>
          </cell>
          <cell r="D851">
            <v>158701002935507</v>
          </cell>
          <cell r="F851" t="str">
            <v>Tidak</v>
          </cell>
          <cell r="G851" t="str">
            <v>Tidak</v>
          </cell>
          <cell r="I851" t="str">
            <v>Jual Beli Rekening - E channel Trx</v>
          </cell>
          <cell r="J851">
            <v>33</v>
          </cell>
          <cell r="K851">
            <v>113</v>
          </cell>
          <cell r="L851" t="str">
            <v>Narkotika/Judi Online/Penipuan</v>
          </cell>
          <cell r="M851" t="str">
            <v xml:space="preserve">KK PASAR RAME                           </v>
          </cell>
          <cell r="N851" t="str">
            <v xml:space="preserve">KC Medan Thamrin                        </v>
          </cell>
          <cell r="O851" t="str">
            <v xml:space="preserve">Medan                                   </v>
          </cell>
          <cell r="R851" t="str">
            <v>Belum TL</v>
          </cell>
          <cell r="S851" t="str">
            <v>Belum TL</v>
          </cell>
          <cell r="U851" t="str">
            <v>"-"</v>
          </cell>
        </row>
        <row r="852">
          <cell r="A852">
            <v>46265</v>
          </cell>
          <cell r="B852" t="str">
            <v xml:space="preserve">IKAH ATIKA                              </v>
          </cell>
          <cell r="C852" t="str">
            <v>ICW4834</v>
          </cell>
          <cell r="D852">
            <v>39301003755564</v>
          </cell>
          <cell r="E852" t="str">
            <v>RENDAH</v>
          </cell>
          <cell r="F852" t="str">
            <v>Tidak</v>
          </cell>
          <cell r="G852" t="str">
            <v>Tidak</v>
          </cell>
          <cell r="H852" t="str">
            <v>Tidak</v>
          </cell>
          <cell r="I852" t="str">
            <v>Bandar Judol Withdrawal</v>
          </cell>
          <cell r="J852">
            <v>35</v>
          </cell>
          <cell r="K852" t="str">
            <v>86,88,87</v>
          </cell>
          <cell r="L852" t="str">
            <v>Judi Online</v>
          </cell>
          <cell r="M852" t="str">
            <v xml:space="preserve">Kas Kanpus                              </v>
          </cell>
          <cell r="N852" t="str">
            <v xml:space="preserve">Kas Kanpus                              </v>
          </cell>
          <cell r="O852" t="str">
            <v xml:space="preserve">KAS KANPUS                              </v>
          </cell>
          <cell r="R852" t="str">
            <v>Belum TL</v>
          </cell>
          <cell r="S852" t="str">
            <v>Belum TL</v>
          </cell>
          <cell r="T852" t="str">
            <v>90185537 - Moh.Khoerul Fajar Ar</v>
          </cell>
          <cell r="U852" t="str">
            <v>"-"</v>
          </cell>
        </row>
        <row r="853">
          <cell r="A853">
            <v>46265</v>
          </cell>
          <cell r="B853" t="str">
            <v xml:space="preserve">IKSAN RAMADANI                          </v>
          </cell>
          <cell r="C853" t="str">
            <v>ICWL239</v>
          </cell>
          <cell r="D853">
            <v>26601128159509</v>
          </cell>
          <cell r="F853" t="str">
            <v>Tidak</v>
          </cell>
          <cell r="G853" t="str">
            <v>Tidak</v>
          </cell>
          <cell r="H853" t="str">
            <v>Tidak</v>
          </cell>
          <cell r="I853" t="str">
            <v>Bandar Judol Depo</v>
          </cell>
          <cell r="J853">
            <v>35</v>
          </cell>
          <cell r="K853" t="str">
            <v>86,74,87</v>
          </cell>
          <cell r="L853" t="str">
            <v>Judi Online</v>
          </cell>
          <cell r="M853" t="str">
            <v xml:space="preserve">Kas Kanpus                              </v>
          </cell>
          <cell r="N853" t="str">
            <v xml:space="preserve">Kas Kanpus                              </v>
          </cell>
          <cell r="O853" t="str">
            <v xml:space="preserve">KAS KANPUS                              </v>
          </cell>
          <cell r="R853" t="str">
            <v>Belum TL</v>
          </cell>
          <cell r="S853" t="str">
            <v>Belum TL</v>
          </cell>
          <cell r="T853" t="str">
            <v>90186790 - Muhammad Alfin Farha</v>
          </cell>
          <cell r="U853" t="str">
            <v>"-"</v>
          </cell>
        </row>
        <row r="854">
          <cell r="A854">
            <v>46265</v>
          </cell>
          <cell r="B854" t="str">
            <v xml:space="preserve">ISKANDAR                                </v>
          </cell>
          <cell r="C854" t="str">
            <v>ICXU074</v>
          </cell>
          <cell r="D854">
            <v>141801042085503</v>
          </cell>
          <cell r="F854" t="str">
            <v>Tidak</v>
          </cell>
          <cell r="G854" t="str">
            <v>Tidak</v>
          </cell>
          <cell r="H854" t="str">
            <v>Tidak</v>
          </cell>
          <cell r="I854" t="str">
            <v>Bandar Judol Withdrawal</v>
          </cell>
          <cell r="J854">
            <v>35</v>
          </cell>
          <cell r="K854" t="str">
            <v>86,88,87</v>
          </cell>
          <cell r="L854" t="str">
            <v>Judi Online</v>
          </cell>
          <cell r="M854" t="str">
            <v xml:space="preserve">Kas Kanpus                              </v>
          </cell>
          <cell r="N854" t="str">
            <v xml:space="preserve">Kas Kanpus                              </v>
          </cell>
          <cell r="O854" t="str">
            <v xml:space="preserve">KAS KANPUS                              </v>
          </cell>
          <cell r="R854" t="str">
            <v>Belum TL</v>
          </cell>
          <cell r="S854" t="str">
            <v>Belum TL</v>
          </cell>
          <cell r="T854" t="str">
            <v>90171841 - Rifqi Aziz</v>
          </cell>
          <cell r="U854" t="str">
            <v>"-"</v>
          </cell>
        </row>
        <row r="855">
          <cell r="A855">
            <v>46265</v>
          </cell>
          <cell r="B855" t="str">
            <v xml:space="preserve">ISMAIL                                  </v>
          </cell>
          <cell r="C855" t="str">
            <v>IDBG313</v>
          </cell>
          <cell r="D855">
            <v>511501004486501</v>
          </cell>
          <cell r="F855" t="str">
            <v>Tidak</v>
          </cell>
          <cell r="G855" t="str">
            <v>Tidak</v>
          </cell>
          <cell r="I855" t="str">
            <v>Jual Beli Rekening - E channel Trx</v>
          </cell>
          <cell r="J855">
            <v>33</v>
          </cell>
          <cell r="K855">
            <v>113</v>
          </cell>
          <cell r="L855" t="str">
            <v>Narkotika/Judi Online/Penipuan</v>
          </cell>
          <cell r="M855" t="str">
            <v xml:space="preserve">UNIT PATTOJO WATANSOPPENG               </v>
          </cell>
          <cell r="N855" t="str">
            <v xml:space="preserve">KC Watansopeng                          </v>
          </cell>
          <cell r="O855" t="str">
            <v xml:space="preserve">Makassar                                </v>
          </cell>
          <cell r="R855" t="str">
            <v>Belum TL</v>
          </cell>
          <cell r="S855" t="str">
            <v>Belum TL</v>
          </cell>
          <cell r="U855" t="str">
            <v>"-"</v>
          </cell>
        </row>
        <row r="856">
          <cell r="A856">
            <v>46265</v>
          </cell>
          <cell r="B856" t="str">
            <v xml:space="preserve">ILHAM                                   </v>
          </cell>
          <cell r="C856" t="str">
            <v>IDCG293</v>
          </cell>
          <cell r="D856">
            <v>1201306951508</v>
          </cell>
          <cell r="F856" t="str">
            <v>Tidak</v>
          </cell>
          <cell r="G856" t="str">
            <v>Tidak</v>
          </cell>
          <cell r="H856" t="str">
            <v>Tidak</v>
          </cell>
          <cell r="I856" t="str">
            <v>Bandar Judol Withdrawal</v>
          </cell>
          <cell r="J856">
            <v>35</v>
          </cell>
          <cell r="K856" t="str">
            <v>86,88,87</v>
          </cell>
          <cell r="L856" t="str">
            <v>Judi Online</v>
          </cell>
          <cell r="M856" t="str">
            <v xml:space="preserve">Kas Kanpus                              </v>
          </cell>
          <cell r="N856" t="str">
            <v xml:space="preserve">Kas Kanpus                              </v>
          </cell>
          <cell r="O856" t="str">
            <v xml:space="preserve">KAS KANPUS                              </v>
          </cell>
          <cell r="R856" t="str">
            <v>Belum TL</v>
          </cell>
          <cell r="S856" t="str">
            <v>Belum TL</v>
          </cell>
          <cell r="T856" t="str">
            <v>00394521 - Muhammad Hibbanduta</v>
          </cell>
          <cell r="U856" t="str">
            <v>"-"</v>
          </cell>
        </row>
        <row r="857">
          <cell r="A857">
            <v>46265</v>
          </cell>
          <cell r="B857" t="str">
            <v xml:space="preserve">INDAH MEILANI U                         </v>
          </cell>
          <cell r="C857" t="str">
            <v>IDCI806</v>
          </cell>
          <cell r="D857">
            <v>34201003192563</v>
          </cell>
          <cell r="F857" t="str">
            <v>Tidak</v>
          </cell>
          <cell r="G857" t="str">
            <v>Tidak</v>
          </cell>
          <cell r="H857" t="str">
            <v>Tidak</v>
          </cell>
          <cell r="I857" t="str">
            <v>Bandar Judol Depo</v>
          </cell>
          <cell r="J857">
            <v>35</v>
          </cell>
          <cell r="K857" t="str">
            <v>86,74,87</v>
          </cell>
          <cell r="L857" t="str">
            <v>Judi Online</v>
          </cell>
          <cell r="M857" t="str">
            <v xml:space="preserve">Kas Kanpus                              </v>
          </cell>
          <cell r="N857" t="str">
            <v xml:space="preserve">Kas Kanpus                              </v>
          </cell>
          <cell r="O857" t="str">
            <v xml:space="preserve">KAS KANPUS                              </v>
          </cell>
          <cell r="R857" t="str">
            <v>Belum TL</v>
          </cell>
          <cell r="S857" t="str">
            <v>Belum TL</v>
          </cell>
          <cell r="T857" t="str">
            <v>90185538 - Muhammad Fahikal Auz</v>
          </cell>
          <cell r="U857" t="str">
            <v>"-"</v>
          </cell>
        </row>
        <row r="858">
          <cell r="A858">
            <v>46265</v>
          </cell>
          <cell r="B858" t="str">
            <v xml:space="preserve">ISWAHYUNI                               </v>
          </cell>
          <cell r="C858" t="str">
            <v>IDGE232</v>
          </cell>
          <cell r="D858">
            <v>42201055124500</v>
          </cell>
          <cell r="F858" t="str">
            <v>Tidak</v>
          </cell>
          <cell r="G858" t="str">
            <v>Tidak</v>
          </cell>
          <cell r="H858" t="str">
            <v>Tidak</v>
          </cell>
          <cell r="I858" t="str">
            <v>Bandar Judol Withdrawal</v>
          </cell>
          <cell r="J858">
            <v>35</v>
          </cell>
          <cell r="K858" t="str">
            <v>86,88,87</v>
          </cell>
          <cell r="L858" t="str">
            <v>Judi Online</v>
          </cell>
          <cell r="M858" t="str">
            <v xml:space="preserve">Kas Kanpus                              </v>
          </cell>
          <cell r="N858" t="str">
            <v xml:space="preserve">Kas Kanpus                              </v>
          </cell>
          <cell r="O858" t="str">
            <v xml:space="preserve">KAS KANPUS                              </v>
          </cell>
          <cell r="R858" t="str">
            <v>Belum TL</v>
          </cell>
          <cell r="S858" t="str">
            <v>Belum TL</v>
          </cell>
          <cell r="T858" t="str">
            <v>90185537 - Moh.Khoerul Fajar Ar</v>
          </cell>
          <cell r="U858" t="str">
            <v>"-"</v>
          </cell>
        </row>
        <row r="859">
          <cell r="A859">
            <v>46265</v>
          </cell>
          <cell r="B859" t="str">
            <v xml:space="preserve">IRPAN SYAHPUTRA                         </v>
          </cell>
          <cell r="C859" t="str">
            <v>IDHG704</v>
          </cell>
          <cell r="D859">
            <v>763401022638502</v>
          </cell>
          <cell r="F859" t="str">
            <v>Tidak</v>
          </cell>
          <cell r="G859" t="str">
            <v>Tidak</v>
          </cell>
          <cell r="H859" t="str">
            <v>Tidak</v>
          </cell>
          <cell r="I859" t="str">
            <v>Bandar Judol Withdrawal</v>
          </cell>
          <cell r="J859">
            <v>35</v>
          </cell>
          <cell r="K859" t="str">
            <v>86,88,87</v>
          </cell>
          <cell r="L859" t="str">
            <v>Judi Online</v>
          </cell>
          <cell r="M859" t="str">
            <v xml:space="preserve">Kas Kanpus                              </v>
          </cell>
          <cell r="N859" t="str">
            <v xml:space="preserve">Kas Kanpus                              </v>
          </cell>
          <cell r="O859" t="str">
            <v xml:space="preserve">KAS KANPUS                              </v>
          </cell>
          <cell r="R859" t="str">
            <v>Belum TL</v>
          </cell>
          <cell r="S859" t="str">
            <v>Belum TL</v>
          </cell>
          <cell r="T859" t="str">
            <v>90186796 - Devito Arya Wiradila</v>
          </cell>
          <cell r="U859" t="str">
            <v>"-"</v>
          </cell>
        </row>
        <row r="860">
          <cell r="A860">
            <v>46265</v>
          </cell>
          <cell r="B860" t="str">
            <v xml:space="preserve">IPAN PAUZI                              </v>
          </cell>
          <cell r="C860" t="str">
            <v>IDHJ796</v>
          </cell>
          <cell r="D860">
            <v>118101057761509</v>
          </cell>
          <cell r="F860" t="str">
            <v>Tidak</v>
          </cell>
          <cell r="G860" t="str">
            <v>Tidak</v>
          </cell>
          <cell r="H860" t="str">
            <v>Tidak</v>
          </cell>
          <cell r="I860" t="str">
            <v>Bandar Judol Depo</v>
          </cell>
          <cell r="J860">
            <v>35</v>
          </cell>
          <cell r="K860" t="str">
            <v>86,74,87</v>
          </cell>
          <cell r="L860" t="str">
            <v>Judi Online</v>
          </cell>
          <cell r="M860" t="str">
            <v xml:space="preserve">Kas Kanpus                              </v>
          </cell>
          <cell r="N860" t="str">
            <v xml:space="preserve">Kas Kanpus                              </v>
          </cell>
          <cell r="O860" t="str">
            <v xml:space="preserve">KAS KANPUS                              </v>
          </cell>
          <cell r="R860" t="str">
            <v>Belum TL</v>
          </cell>
          <cell r="S860" t="str">
            <v>Belum TL</v>
          </cell>
          <cell r="T860" t="str">
            <v>90171841 - Rifqi Aziz</v>
          </cell>
          <cell r="U860" t="str">
            <v>"-"</v>
          </cell>
        </row>
        <row r="861">
          <cell r="A861">
            <v>46265</v>
          </cell>
          <cell r="B861" t="str">
            <v xml:space="preserve">ISNAWATI                                </v>
          </cell>
          <cell r="C861" t="str">
            <v>IDHP050</v>
          </cell>
          <cell r="D861">
            <v>112901039685503</v>
          </cell>
          <cell r="F861" t="str">
            <v>Tidak</v>
          </cell>
          <cell r="G861" t="str">
            <v>Tidak</v>
          </cell>
          <cell r="H861" t="str">
            <v>Tidak</v>
          </cell>
          <cell r="I861" t="str">
            <v>Bandar Judol Withdrawal</v>
          </cell>
          <cell r="J861">
            <v>35</v>
          </cell>
          <cell r="K861" t="str">
            <v>86,88,87</v>
          </cell>
          <cell r="L861" t="str">
            <v>Judi Online</v>
          </cell>
          <cell r="M861" t="str">
            <v xml:space="preserve">Kas Kanpus                              </v>
          </cell>
          <cell r="N861" t="str">
            <v xml:space="preserve">Kas Kanpus                              </v>
          </cell>
          <cell r="O861" t="str">
            <v xml:space="preserve">KAS KANPUS                              </v>
          </cell>
          <cell r="R861" t="str">
            <v>Belum TL</v>
          </cell>
          <cell r="S861" t="str">
            <v>Belum TL</v>
          </cell>
          <cell r="T861" t="str">
            <v>00336949 - Mochammad Al Farabi</v>
          </cell>
          <cell r="U861" t="str">
            <v>"-"</v>
          </cell>
        </row>
        <row r="862">
          <cell r="A862">
            <v>46265</v>
          </cell>
          <cell r="B862" t="str">
            <v xml:space="preserve">Ignatius Bambang Tri Angg               </v>
          </cell>
          <cell r="C862" t="str">
            <v>IDI3820</v>
          </cell>
          <cell r="D862">
            <v>4359720236442500</v>
          </cell>
          <cell r="E862" t="str">
            <v>SEDANG</v>
          </cell>
          <cell r="F862" t="str">
            <v>Tidak</v>
          </cell>
          <cell r="G862" t="str">
            <v>Tidak</v>
          </cell>
          <cell r="H862" t="str">
            <v>Tidak</v>
          </cell>
          <cell r="I862" t="str">
            <v>Penyuapan - CC View</v>
          </cell>
          <cell r="J862">
            <v>45</v>
          </cell>
          <cell r="K862">
            <v>16.170000000000002</v>
          </cell>
          <cell r="L862" t="str">
            <v>Penyuapan</v>
          </cell>
          <cell r="M862" t="str">
            <v xml:space="preserve">Kas Kanpus                              </v>
          </cell>
          <cell r="N862" t="str">
            <v xml:space="preserve">Kas Kanpus                              </v>
          </cell>
          <cell r="O862" t="str">
            <v xml:space="preserve">KAS KANPUS                              </v>
          </cell>
          <cell r="R862" t="str">
            <v>Belum TL</v>
          </cell>
          <cell r="S862" t="str">
            <v>Belum TL</v>
          </cell>
          <cell r="T862" t="str">
            <v>00336949 - Mochammad Al Farabi</v>
          </cell>
          <cell r="U862" t="str">
            <v>"-"</v>
          </cell>
        </row>
        <row r="863">
          <cell r="A863">
            <v>46265</v>
          </cell>
          <cell r="B863" t="str">
            <v xml:space="preserve">IRWANDO                                 </v>
          </cell>
          <cell r="C863" t="str">
            <v>IDJM247</v>
          </cell>
          <cell r="D863">
            <v>5901217221509</v>
          </cell>
          <cell r="F863" t="str">
            <v>Tidak</v>
          </cell>
          <cell r="G863" t="str">
            <v>Tidak</v>
          </cell>
          <cell r="I863" t="str">
            <v>Jual Beli Rekening - E channel Trx</v>
          </cell>
          <cell r="J863">
            <v>33</v>
          </cell>
          <cell r="K863">
            <v>113</v>
          </cell>
          <cell r="L863" t="str">
            <v>Narkotika/Judi Online/Penipuan</v>
          </cell>
          <cell r="M863" t="str">
            <v xml:space="preserve">KC Palembang A. Rivai                   </v>
          </cell>
          <cell r="N863" t="str">
            <v xml:space="preserve">KC Palembang A. Rivai                   </v>
          </cell>
          <cell r="O863" t="str">
            <v xml:space="preserve">Palembang                               </v>
          </cell>
          <cell r="R863" t="str">
            <v>Belum TL</v>
          </cell>
          <cell r="S863" t="str">
            <v>Belum TL</v>
          </cell>
          <cell r="U863" t="str">
            <v>"-"</v>
          </cell>
        </row>
        <row r="864">
          <cell r="A864">
            <v>46265</v>
          </cell>
          <cell r="B864" t="str">
            <v xml:space="preserve">INDAH ADE MARSANDA SIREGAR              </v>
          </cell>
          <cell r="C864" t="str">
            <v>IDLZ500</v>
          </cell>
          <cell r="D864">
            <v>11301046029532</v>
          </cell>
          <cell r="F864" t="str">
            <v>Tidak</v>
          </cell>
          <cell r="G864" t="str">
            <v>Tidak</v>
          </cell>
          <cell r="H864" t="str">
            <v>Tidak</v>
          </cell>
          <cell r="I864" t="str">
            <v>Bandar Judol Withdrawal</v>
          </cell>
          <cell r="J864">
            <v>35</v>
          </cell>
          <cell r="K864" t="str">
            <v>86,88,87</v>
          </cell>
          <cell r="L864" t="str">
            <v>Judi Online</v>
          </cell>
          <cell r="M864" t="str">
            <v xml:space="preserve">Kas Kanpus                              </v>
          </cell>
          <cell r="N864" t="str">
            <v xml:space="preserve">Kas Kanpus                              </v>
          </cell>
          <cell r="O864" t="str">
            <v xml:space="preserve">KAS KANPUS                              </v>
          </cell>
          <cell r="R864" t="str">
            <v>Belum TL</v>
          </cell>
          <cell r="S864" t="str">
            <v>Belum TL</v>
          </cell>
          <cell r="T864" t="str">
            <v>90150130 - Intan Aida Pratiwi</v>
          </cell>
          <cell r="U864" t="str">
            <v>"-"</v>
          </cell>
        </row>
        <row r="865">
          <cell r="A865">
            <v>46265</v>
          </cell>
          <cell r="B865" t="str">
            <v xml:space="preserve">ILHAM KURNIA PRATAMA                    </v>
          </cell>
          <cell r="C865" t="str">
            <v>IDNZ353</v>
          </cell>
          <cell r="D865">
            <v>762501005033502</v>
          </cell>
          <cell r="F865" t="str">
            <v>Tidak</v>
          </cell>
          <cell r="G865" t="str">
            <v>Tidak</v>
          </cell>
          <cell r="H865" t="str">
            <v>Tidak</v>
          </cell>
          <cell r="I865" t="str">
            <v>Bandar Judol Withdrawal</v>
          </cell>
          <cell r="J865">
            <v>35</v>
          </cell>
          <cell r="K865" t="str">
            <v>86,88,87</v>
          </cell>
          <cell r="L865" t="str">
            <v>Judi Online</v>
          </cell>
          <cell r="M865" t="str">
            <v xml:space="preserve">Kas Kanpus                              </v>
          </cell>
          <cell r="N865" t="str">
            <v xml:space="preserve">Kas Kanpus                              </v>
          </cell>
          <cell r="O865" t="str">
            <v xml:space="preserve">KAS KANPUS                              </v>
          </cell>
          <cell r="R865" t="str">
            <v>Belum TL</v>
          </cell>
          <cell r="S865" t="str">
            <v>Belum TL</v>
          </cell>
          <cell r="T865" t="str">
            <v>90185537 - Moh.Khoerul Fajar Ar</v>
          </cell>
          <cell r="U865" t="str">
            <v>"-"</v>
          </cell>
        </row>
        <row r="866">
          <cell r="A866">
            <v>46265</v>
          </cell>
          <cell r="B866" t="str">
            <v xml:space="preserve">INDORASAPRIMA SUKSES MAKMUR             </v>
          </cell>
          <cell r="C866" t="str">
            <v>IDPK933</v>
          </cell>
          <cell r="D866">
            <v>11301003484309</v>
          </cell>
          <cell r="F866" t="str">
            <v>Tidak</v>
          </cell>
          <cell r="G866" t="str">
            <v>Tidak</v>
          </cell>
          <cell r="H866" t="str">
            <v>Tidak</v>
          </cell>
          <cell r="I866" t="str">
            <v>Perpajakan</v>
          </cell>
          <cell r="J866">
            <v>33</v>
          </cell>
          <cell r="K866">
            <v>41</v>
          </cell>
          <cell r="L866" t="str">
            <v>Perpajakan</v>
          </cell>
          <cell r="M866" t="str">
            <v xml:space="preserve">KC Pematang Siantar                     </v>
          </cell>
          <cell r="N866" t="str">
            <v xml:space="preserve">KC Pematang Siantar                     </v>
          </cell>
          <cell r="O866" t="str">
            <v xml:space="preserve">Medan                                   </v>
          </cell>
          <cell r="R866" t="str">
            <v>Belum TL</v>
          </cell>
          <cell r="S866" t="str">
            <v>Belum TL</v>
          </cell>
          <cell r="T866" t="str">
            <v>90185537 - Moh.Khoerul Fajar Ar</v>
          </cell>
          <cell r="U866" t="str">
            <v>"-"</v>
          </cell>
        </row>
        <row r="867">
          <cell r="A867">
            <v>46265</v>
          </cell>
          <cell r="B867" t="str">
            <v xml:space="preserve">IBRAHIM FATJE                           </v>
          </cell>
          <cell r="C867" t="str">
            <v>IDQD820</v>
          </cell>
          <cell r="D867">
            <v>214401068056504</v>
          </cell>
          <cell r="F867" t="str">
            <v>Tidak</v>
          </cell>
          <cell r="G867" t="str">
            <v>Tidak</v>
          </cell>
          <cell r="H867" t="str">
            <v>Tidak</v>
          </cell>
          <cell r="I867" t="str">
            <v>Korupsi - Cash &amp; Amount</v>
          </cell>
          <cell r="J867">
            <v>33</v>
          </cell>
          <cell r="K867" t="str">
            <v>1,2,20</v>
          </cell>
          <cell r="L867" t="str">
            <v>Korupsi</v>
          </cell>
          <cell r="M867" t="str">
            <v>Kas Kanpus</v>
          </cell>
          <cell r="N867" t="str">
            <v>Kas Kanpus</v>
          </cell>
          <cell r="O867" t="str">
            <v>KAS KANPUS</v>
          </cell>
          <cell r="R867" t="str">
            <v>Belum TL</v>
          </cell>
          <cell r="S867" t="str">
            <v>Belum TL</v>
          </cell>
          <cell r="T867" t="str">
            <v>90185537 - Moh.Khoerul Fajar Ar</v>
          </cell>
          <cell r="U867" t="str">
            <v>"-"</v>
          </cell>
        </row>
        <row r="868">
          <cell r="A868">
            <v>46265</v>
          </cell>
          <cell r="B868" t="str">
            <v xml:space="preserve">INTAN INDRIANI                          </v>
          </cell>
          <cell r="C868" t="str">
            <v>IEP1248</v>
          </cell>
          <cell r="D868">
            <v>4359720230651900</v>
          </cell>
          <cell r="E868" t="str">
            <v>SEDANG</v>
          </cell>
          <cell r="F868" t="str">
            <v>Tidak</v>
          </cell>
          <cell r="G868" t="str">
            <v>Tidak</v>
          </cell>
          <cell r="H868" t="str">
            <v>Tidak</v>
          </cell>
          <cell r="I868" t="str">
            <v>Penghindaran Pajak (Transaksi Fiktif)/Penyuapan CC</v>
          </cell>
          <cell r="J868">
            <v>45</v>
          </cell>
          <cell r="K868">
            <v>118</v>
          </cell>
          <cell r="L868" t="str">
            <v>Penyuapan / Penghindaran Pajak CC View</v>
          </cell>
          <cell r="M868" t="str">
            <v xml:space="preserve">Kas Kanpus                              </v>
          </cell>
          <cell r="N868" t="str">
            <v xml:space="preserve">Kas Kanpus                              </v>
          </cell>
          <cell r="O868" t="str">
            <v xml:space="preserve">KAS KANPUS                              </v>
          </cell>
          <cell r="R868" t="str">
            <v>Belum TL</v>
          </cell>
          <cell r="S868" t="str">
            <v>Belum TL</v>
          </cell>
          <cell r="T868" t="str">
            <v>00394521 - Muhammad Hibbanduta</v>
          </cell>
          <cell r="U868" t="str">
            <v>"-"</v>
          </cell>
        </row>
        <row r="869">
          <cell r="A869">
            <v>46265</v>
          </cell>
          <cell r="B869" t="str">
            <v xml:space="preserve">IRNA                                    </v>
          </cell>
          <cell r="C869" t="str">
            <v>IF52503</v>
          </cell>
          <cell r="D869">
            <v>2001035545108</v>
          </cell>
          <cell r="E869" t="str">
            <v>TINGGI</v>
          </cell>
          <cell r="F869" t="str">
            <v>Tidak</v>
          </cell>
          <cell r="G869" t="str">
            <v>Tidak</v>
          </cell>
          <cell r="H869" t="str">
            <v>Tidak</v>
          </cell>
          <cell r="I869" t="str">
            <v>Korupsi - Loan View</v>
          </cell>
          <cell r="J869">
            <v>68</v>
          </cell>
          <cell r="K869">
            <v>15</v>
          </cell>
          <cell r="L869" t="str">
            <v>Korupsi</v>
          </cell>
          <cell r="M869" t="str">
            <v>Kas Kanpus</v>
          </cell>
          <cell r="N869" t="str">
            <v>Kas Kanpus</v>
          </cell>
          <cell r="O869" t="str">
            <v>KAS KANPUS</v>
          </cell>
          <cell r="R869" t="str">
            <v>Belum TL</v>
          </cell>
          <cell r="S869" t="str">
            <v>Belum TL</v>
          </cell>
          <cell r="T869" t="str">
            <v>90150130 - Intan Aida Pratiwi</v>
          </cell>
          <cell r="U869" t="str">
            <v>"-"</v>
          </cell>
        </row>
        <row r="870">
          <cell r="A870">
            <v>46265</v>
          </cell>
          <cell r="B870" t="str">
            <v xml:space="preserve">ILHAM RIYANDI                           </v>
          </cell>
          <cell r="C870" t="str">
            <v>IFJ0769</v>
          </cell>
          <cell r="D870">
            <v>11501035862107</v>
          </cell>
          <cell r="E870" t="str">
            <v>SEDANG</v>
          </cell>
          <cell r="F870" t="str">
            <v>Tidak</v>
          </cell>
          <cell r="G870" t="str">
            <v>Tidak</v>
          </cell>
          <cell r="H870" t="str">
            <v>Tidak</v>
          </cell>
          <cell r="I870" t="str">
            <v>Korupsi - Loan View</v>
          </cell>
          <cell r="J870">
            <v>48</v>
          </cell>
          <cell r="K870">
            <v>15</v>
          </cell>
          <cell r="L870" t="str">
            <v>Korupsi</v>
          </cell>
          <cell r="M870" t="str">
            <v>Kas Kanpus</v>
          </cell>
          <cell r="N870" t="str">
            <v>Kas Kanpus</v>
          </cell>
          <cell r="O870" t="str">
            <v>KAS KANPUS</v>
          </cell>
          <cell r="R870" t="str">
            <v>Belum TL</v>
          </cell>
          <cell r="S870" t="str">
            <v>Belum TL</v>
          </cell>
          <cell r="T870" t="str">
            <v>90150130 - Intan Aida Pratiwi</v>
          </cell>
          <cell r="U870" t="str">
            <v>"-"</v>
          </cell>
        </row>
        <row r="871">
          <cell r="A871">
            <v>46265</v>
          </cell>
          <cell r="B871" t="str">
            <v xml:space="preserve">ISA ACHIRUDIN                           </v>
          </cell>
          <cell r="C871" t="str">
            <v>IFK4267</v>
          </cell>
          <cell r="D871">
            <v>26101007791533</v>
          </cell>
          <cell r="E871" t="str">
            <v>SEDANG</v>
          </cell>
          <cell r="F871" t="str">
            <v>Tidak</v>
          </cell>
          <cell r="G871" t="str">
            <v>Tidak</v>
          </cell>
          <cell r="H871" t="str">
            <v>Tidak</v>
          </cell>
          <cell r="I871" t="str">
            <v>Bandar Judol Withdrawal</v>
          </cell>
          <cell r="J871">
            <v>50</v>
          </cell>
          <cell r="K871" t="str">
            <v>86,88,87</v>
          </cell>
          <cell r="L871" t="str">
            <v>Judi Online</v>
          </cell>
          <cell r="M871" t="str">
            <v xml:space="preserve">Kas Kanpus                              </v>
          </cell>
          <cell r="N871" t="str">
            <v xml:space="preserve">Kas Kanpus                              </v>
          </cell>
          <cell r="O871" t="str">
            <v xml:space="preserve">KAS KANPUS                              </v>
          </cell>
          <cell r="R871" t="str">
            <v>Belum TL</v>
          </cell>
          <cell r="S871" t="str">
            <v>Belum TL</v>
          </cell>
          <cell r="T871" t="str">
            <v>00336949 - Mochammad Al Farabi</v>
          </cell>
          <cell r="U871" t="str">
            <v>"-"</v>
          </cell>
        </row>
        <row r="872">
          <cell r="A872">
            <v>46265</v>
          </cell>
          <cell r="B872" t="str">
            <v xml:space="preserve">INTEGRA CIPTA KREASI                    </v>
          </cell>
          <cell r="C872" t="str">
            <v>IEB4240</v>
          </cell>
          <cell r="D872">
            <v>141401000008303</v>
          </cell>
          <cell r="E872" t="str">
            <v>SEDANG</v>
          </cell>
          <cell r="F872" t="str">
            <v>Tidak</v>
          </cell>
          <cell r="G872" t="str">
            <v>Tidak</v>
          </cell>
          <cell r="H872" t="str">
            <v>Tidak</v>
          </cell>
          <cell r="I872" t="str">
            <v>Perpajakan</v>
          </cell>
          <cell r="J872">
            <v>48</v>
          </cell>
          <cell r="K872">
            <v>41</v>
          </cell>
          <cell r="L872" t="str">
            <v>Perpajakan</v>
          </cell>
          <cell r="M872" t="str">
            <v xml:space="preserve">KCP PLN JAKARTA                         </v>
          </cell>
          <cell r="N872" t="str">
            <v xml:space="preserve">KC Jakarta Kebayoran Baru               </v>
          </cell>
          <cell r="O872" t="str">
            <v xml:space="preserve">DKI2                                    </v>
          </cell>
          <cell r="R872" t="str">
            <v>Belum TL</v>
          </cell>
          <cell r="S872" t="str">
            <v>Belum TL</v>
          </cell>
          <cell r="T872" t="str">
            <v>90186790 - Muhammad Alfin Farha</v>
          </cell>
          <cell r="U872" t="str">
            <v>"-"</v>
          </cell>
        </row>
        <row r="873">
          <cell r="A873">
            <v>46265</v>
          </cell>
          <cell r="B873" t="str">
            <v xml:space="preserve">IRNA AYU PRATIWI                        </v>
          </cell>
          <cell r="C873" t="str">
            <v>IEG2579</v>
          </cell>
          <cell r="D873">
            <v>531201011526508</v>
          </cell>
          <cell r="E873" t="str">
            <v>TINGGI</v>
          </cell>
          <cell r="F873" t="str">
            <v>Tidak</v>
          </cell>
          <cell r="G873" t="str">
            <v>Tidak</v>
          </cell>
          <cell r="H873" t="str">
            <v>Tidak</v>
          </cell>
          <cell r="I873" t="str">
            <v>Bandar Judol Withdrawal</v>
          </cell>
          <cell r="J873">
            <v>70</v>
          </cell>
          <cell r="K873" t="str">
            <v>86,88,87</v>
          </cell>
          <cell r="L873" t="str">
            <v>Judi Online</v>
          </cell>
          <cell r="M873" t="str">
            <v xml:space="preserve">Kas Kanpus                              </v>
          </cell>
          <cell r="N873" t="str">
            <v xml:space="preserve">Kas Kanpus                              </v>
          </cell>
          <cell r="O873" t="str">
            <v xml:space="preserve">KAS KANPUS                              </v>
          </cell>
          <cell r="R873" t="str">
            <v>Belum TL</v>
          </cell>
          <cell r="S873" t="str">
            <v>Belum TL</v>
          </cell>
          <cell r="T873" t="str">
            <v>00394520 - Frida Akbar Rani</v>
          </cell>
          <cell r="U873" t="str">
            <v>"-"</v>
          </cell>
        </row>
        <row r="874">
          <cell r="A874">
            <v>46265</v>
          </cell>
          <cell r="B874" t="str">
            <v xml:space="preserve">INDOJAYA AGRINUSA                       </v>
          </cell>
          <cell r="C874" t="str">
            <v>IJA5664</v>
          </cell>
          <cell r="D874">
            <v>999101000046155</v>
          </cell>
          <cell r="E874" t="str">
            <v>SEDANG</v>
          </cell>
          <cell r="F874" t="str">
            <v>Tidak</v>
          </cell>
          <cell r="G874" t="str">
            <v>Tidak</v>
          </cell>
          <cell r="H874" t="str">
            <v>Tidak</v>
          </cell>
          <cell r="I874" t="str">
            <v>Korupsi - Loan View</v>
          </cell>
          <cell r="J874">
            <v>48</v>
          </cell>
          <cell r="K874">
            <v>15</v>
          </cell>
          <cell r="L874" t="str">
            <v>Korupsi</v>
          </cell>
          <cell r="M874" t="str">
            <v>Kas Kanpus</v>
          </cell>
          <cell r="N874" t="str">
            <v>Kas Kanpus</v>
          </cell>
          <cell r="O874" t="str">
            <v>KAS KANPUS</v>
          </cell>
          <cell r="R874" t="str">
            <v>Belum TL</v>
          </cell>
          <cell r="S874" t="str">
            <v>Belum TL</v>
          </cell>
          <cell r="T874" t="str">
            <v>00394520 - Frida Akbar Rani</v>
          </cell>
          <cell r="U874" t="str">
            <v>"-"</v>
          </cell>
        </row>
        <row r="875">
          <cell r="A875">
            <v>46265</v>
          </cell>
          <cell r="B875" t="str">
            <v xml:space="preserve">IRWAN ASKARA                            </v>
          </cell>
          <cell r="C875" t="str">
            <v>IJP3775</v>
          </cell>
          <cell r="D875">
            <v>32101501727155</v>
          </cell>
          <cell r="E875" t="str">
            <v>SEDANG</v>
          </cell>
          <cell r="F875" t="str">
            <v>Tidak</v>
          </cell>
          <cell r="G875" t="str">
            <v>Tidak</v>
          </cell>
          <cell r="H875" t="str">
            <v>Tidak</v>
          </cell>
          <cell r="I875" t="str">
            <v>Korupsi - Loan View</v>
          </cell>
          <cell r="J875">
            <v>48</v>
          </cell>
          <cell r="K875">
            <v>15</v>
          </cell>
          <cell r="L875" t="str">
            <v>Korupsi</v>
          </cell>
          <cell r="M875" t="str">
            <v>Kas Kanpus</v>
          </cell>
          <cell r="N875" t="str">
            <v>Kas Kanpus</v>
          </cell>
          <cell r="O875" t="str">
            <v>KAS KANPUS</v>
          </cell>
          <cell r="R875" t="str">
            <v>Belum TL</v>
          </cell>
          <cell r="S875" t="str">
            <v>Belum TL</v>
          </cell>
          <cell r="T875" t="str">
            <v>90171841 - Rifqi Aziz</v>
          </cell>
          <cell r="U875" t="str">
            <v>"-"</v>
          </cell>
        </row>
        <row r="876">
          <cell r="A876">
            <v>46265</v>
          </cell>
          <cell r="B876" t="str">
            <v xml:space="preserve">I WAYAN SUARSANA                        </v>
          </cell>
          <cell r="C876" t="str">
            <v>IKH1218</v>
          </cell>
          <cell r="D876">
            <v>462601009015533</v>
          </cell>
          <cell r="E876" t="str">
            <v>SEDANG</v>
          </cell>
          <cell r="F876" t="str">
            <v>Tidak</v>
          </cell>
          <cell r="G876" t="str">
            <v>Tidak</v>
          </cell>
          <cell r="H876" t="str">
            <v>Tidak</v>
          </cell>
          <cell r="I876" t="str">
            <v>Narkotika - Area Lapas</v>
          </cell>
          <cell r="J876">
            <v>48</v>
          </cell>
          <cell r="K876">
            <v>47</v>
          </cell>
          <cell r="L876" t="str">
            <v>Narkotika</v>
          </cell>
          <cell r="M876" t="str">
            <v>UNIT KAYUAMBA BANGLI</v>
          </cell>
          <cell r="N876" t="str">
            <v>KC Bangli</v>
          </cell>
          <cell r="O876" t="str">
            <v>Denpasar</v>
          </cell>
          <cell r="R876" t="str">
            <v>Belum TL</v>
          </cell>
          <cell r="S876" t="str">
            <v>Belum TL</v>
          </cell>
          <cell r="T876" t="str">
            <v>00336949 - Mochammad Al Farabi</v>
          </cell>
          <cell r="U876" t="str">
            <v>"-"</v>
          </cell>
        </row>
        <row r="877">
          <cell r="A877">
            <v>46265</v>
          </cell>
          <cell r="B877" t="str">
            <v xml:space="preserve">ISTINGANAH                              </v>
          </cell>
          <cell r="C877" t="str">
            <v>IKR3508</v>
          </cell>
          <cell r="D877">
            <v>628301016425531</v>
          </cell>
          <cell r="E877" t="str">
            <v>TINGGI</v>
          </cell>
          <cell r="F877" t="str">
            <v>Ya</v>
          </cell>
          <cell r="G877" t="str">
            <v>Tidak</v>
          </cell>
          <cell r="H877" t="str">
            <v>Tidak</v>
          </cell>
          <cell r="I877" t="str">
            <v>Korupsi - Payroll View</v>
          </cell>
          <cell r="J877">
            <v>68</v>
          </cell>
          <cell r="K877">
            <v>84</v>
          </cell>
          <cell r="L877" t="str">
            <v>Korupsi</v>
          </cell>
          <cell r="M877" t="str">
            <v>Kas Kanpus</v>
          </cell>
          <cell r="N877" t="str">
            <v>Kas Kanpus</v>
          </cell>
          <cell r="O877" t="str">
            <v>KAS KANPUS</v>
          </cell>
          <cell r="R877" t="str">
            <v>Belum TL</v>
          </cell>
          <cell r="S877" t="str">
            <v>Belum TL</v>
          </cell>
          <cell r="T877" t="str">
            <v>90185537 - Moh.Khoerul Fajar Ar</v>
          </cell>
          <cell r="U877" t="str">
            <v>"-"</v>
          </cell>
        </row>
        <row r="878">
          <cell r="A878">
            <v>46265</v>
          </cell>
          <cell r="B878" t="str">
            <v xml:space="preserve">IRFAN NURCAHAYA                         </v>
          </cell>
          <cell r="C878" t="str">
            <v>ILB2415</v>
          </cell>
          <cell r="D878">
            <v>115001026116500</v>
          </cell>
          <cell r="E878" t="str">
            <v>SEDANG</v>
          </cell>
          <cell r="F878" t="str">
            <v>Tidak</v>
          </cell>
          <cell r="G878" t="str">
            <v>Tidak</v>
          </cell>
          <cell r="H878" t="str">
            <v>Tidak</v>
          </cell>
          <cell r="I878" t="str">
            <v>Bandar Judol Withdrawal</v>
          </cell>
          <cell r="J878">
            <v>50</v>
          </cell>
          <cell r="K878" t="str">
            <v>86,88,87</v>
          </cell>
          <cell r="L878" t="str">
            <v>Judi Online</v>
          </cell>
          <cell r="M878" t="str">
            <v xml:space="preserve">Kas Kanpus                              </v>
          </cell>
          <cell r="N878" t="str">
            <v xml:space="preserve">Kas Kanpus                              </v>
          </cell>
          <cell r="O878" t="str">
            <v xml:space="preserve">KAS KANPUS                              </v>
          </cell>
          <cell r="R878" t="str">
            <v>Belum TL</v>
          </cell>
          <cell r="S878" t="str">
            <v>Belum TL</v>
          </cell>
          <cell r="T878" t="str">
            <v>00394521 - Muhammad Hibbanduta</v>
          </cell>
          <cell r="U878" t="str">
            <v>"-"</v>
          </cell>
        </row>
        <row r="879">
          <cell r="A879">
            <v>46261</v>
          </cell>
          <cell r="B879" t="str">
            <v xml:space="preserve">IMAM RIFA'I                             </v>
          </cell>
          <cell r="C879" t="str">
            <v>ILU4354</v>
          </cell>
          <cell r="D879">
            <v>599901025919531</v>
          </cell>
          <cell r="E879" t="str">
            <v>SEDANG</v>
          </cell>
          <cell r="F879" t="str">
            <v>Tidak</v>
          </cell>
          <cell r="G879" t="str">
            <v>Tidak</v>
          </cell>
          <cell r="I879" t="str">
            <v>Teroris - Remark</v>
          </cell>
          <cell r="J879">
            <v>168</v>
          </cell>
          <cell r="K879">
            <v>50</v>
          </cell>
          <cell r="L879" t="str">
            <v>Terorisme</v>
          </cell>
          <cell r="M879" t="str">
            <v xml:space="preserve">Kas Kanpus                              </v>
          </cell>
          <cell r="N879" t="str">
            <v xml:space="preserve">Kas Kanpus                              </v>
          </cell>
          <cell r="O879" t="str">
            <v xml:space="preserve">KAS KANPUS                              </v>
          </cell>
          <cell r="R879" t="str">
            <v>Belum TL</v>
          </cell>
          <cell r="S879" t="str">
            <v>Belum TL</v>
          </cell>
          <cell r="T879" t="str">
            <v>00394521 - Muhammad Hibbanduta</v>
          </cell>
          <cell r="U879" t="str">
            <v>"-"</v>
          </cell>
        </row>
        <row r="880">
          <cell r="A880">
            <v>46265</v>
          </cell>
          <cell r="B880" t="str">
            <v xml:space="preserve">INDRA WADI                              </v>
          </cell>
          <cell r="C880" t="str">
            <v>IMQ2459</v>
          </cell>
          <cell r="D880">
            <v>533601012159534</v>
          </cell>
          <cell r="E880" t="str">
            <v>SEDANG</v>
          </cell>
          <cell r="F880" t="str">
            <v>Tidak</v>
          </cell>
          <cell r="G880" t="str">
            <v>Tidak</v>
          </cell>
          <cell r="H880" t="str">
            <v>Tidak</v>
          </cell>
          <cell r="I880" t="str">
            <v>Narkotika - Area Lapas</v>
          </cell>
          <cell r="J880">
            <v>50</v>
          </cell>
          <cell r="K880">
            <v>46</v>
          </cell>
          <cell r="L880" t="str">
            <v>Narkotika</v>
          </cell>
          <cell r="M880" t="str">
            <v>UNIT MUARA SOMA PANYABUNGAN</v>
          </cell>
          <cell r="N880" t="str">
            <v>KC Panyabungan</v>
          </cell>
          <cell r="O880" t="str">
            <v>Medan</v>
          </cell>
          <cell r="R880" t="str">
            <v>Belum TL</v>
          </cell>
          <cell r="S880" t="str">
            <v>Belum TL</v>
          </cell>
          <cell r="T880" t="str">
            <v>90186790 - Muhammad Alfin Farha</v>
          </cell>
          <cell r="U880" t="str">
            <v>"-"</v>
          </cell>
        </row>
        <row r="881">
          <cell r="A881">
            <v>46265</v>
          </cell>
          <cell r="B881" t="str">
            <v xml:space="preserve">II HERI GINANJAR                        </v>
          </cell>
          <cell r="C881" t="str">
            <v>IN55743</v>
          </cell>
          <cell r="D881">
            <v>88401018682105</v>
          </cell>
          <cell r="E881" t="str">
            <v>SEDANG</v>
          </cell>
          <cell r="F881" t="str">
            <v>Tidak</v>
          </cell>
          <cell r="G881" t="str">
            <v>Tidak</v>
          </cell>
          <cell r="H881" t="str">
            <v>Tidak</v>
          </cell>
          <cell r="I881" t="str">
            <v>Korupsi - Loan View</v>
          </cell>
          <cell r="J881">
            <v>48</v>
          </cell>
          <cell r="K881">
            <v>15</v>
          </cell>
          <cell r="L881" t="str">
            <v>Korupsi</v>
          </cell>
          <cell r="M881" t="str">
            <v>Kas Kanpus</v>
          </cell>
          <cell r="N881" t="str">
            <v>Kas Kanpus</v>
          </cell>
          <cell r="O881" t="str">
            <v>KAS KANPUS</v>
          </cell>
          <cell r="R881" t="str">
            <v>Belum TL</v>
          </cell>
          <cell r="S881" t="str">
            <v>Belum TL</v>
          </cell>
          <cell r="T881" t="str">
            <v>00394520 - Frida Akbar Rani</v>
          </cell>
          <cell r="U881" t="str">
            <v>"-"</v>
          </cell>
        </row>
        <row r="882">
          <cell r="A882">
            <v>46265</v>
          </cell>
          <cell r="B882" t="str">
            <v xml:space="preserve">I KETUT TRISNA AGUSTIKA                 </v>
          </cell>
          <cell r="C882" t="str">
            <v>IJZ4550</v>
          </cell>
          <cell r="D882">
            <v>520101020093107</v>
          </cell>
          <cell r="E882" t="str">
            <v>RENDAH</v>
          </cell>
          <cell r="F882" t="str">
            <v>Tidak</v>
          </cell>
          <cell r="G882" t="str">
            <v>Tidak</v>
          </cell>
          <cell r="H882" t="str">
            <v>Tidak</v>
          </cell>
          <cell r="I882" t="str">
            <v>Korupsi - Loan View</v>
          </cell>
          <cell r="J882">
            <v>33</v>
          </cell>
          <cell r="K882">
            <v>15</v>
          </cell>
          <cell r="L882" t="str">
            <v>Korupsi</v>
          </cell>
          <cell r="M882" t="str">
            <v>Kas Kanpus</v>
          </cell>
          <cell r="N882" t="str">
            <v>Kas Kanpus</v>
          </cell>
          <cell r="O882" t="str">
            <v>KAS KANPUS</v>
          </cell>
          <cell r="R882" t="str">
            <v>Belum TL</v>
          </cell>
          <cell r="S882" t="str">
            <v>Belum TL</v>
          </cell>
          <cell r="T882" t="str">
            <v>00336949 - Mochammad Al Farabi</v>
          </cell>
          <cell r="U882" t="str">
            <v>"-"</v>
          </cell>
        </row>
        <row r="883">
          <cell r="A883">
            <v>46265</v>
          </cell>
          <cell r="B883" t="str">
            <v xml:space="preserve">ISWATUN KHASANAH                        </v>
          </cell>
          <cell r="C883" t="str">
            <v>INH0801</v>
          </cell>
          <cell r="D883">
            <v>95701006892503</v>
          </cell>
          <cell r="E883" t="str">
            <v>SEDANG</v>
          </cell>
          <cell r="F883" t="str">
            <v>Tidak</v>
          </cell>
          <cell r="G883" t="str">
            <v>Tidak</v>
          </cell>
          <cell r="H883" t="str">
            <v>Tidak</v>
          </cell>
          <cell r="I883" t="str">
            <v>Bandar Judol Withdrawal</v>
          </cell>
          <cell r="J883">
            <v>50</v>
          </cell>
          <cell r="K883" t="str">
            <v>86,88,87</v>
          </cell>
          <cell r="L883" t="str">
            <v>Judi Online</v>
          </cell>
          <cell r="M883" t="str">
            <v xml:space="preserve">Kas Kanpus                              </v>
          </cell>
          <cell r="N883" t="str">
            <v xml:space="preserve">Kas Kanpus                              </v>
          </cell>
          <cell r="O883" t="str">
            <v xml:space="preserve">KAS KANPUS                              </v>
          </cell>
          <cell r="R883" t="str">
            <v>Belum TL</v>
          </cell>
          <cell r="S883" t="str">
            <v>Belum TL</v>
          </cell>
          <cell r="T883" t="str">
            <v>00394521 - Muhammad Hibbanduta</v>
          </cell>
          <cell r="U883" t="str">
            <v>"-"</v>
          </cell>
        </row>
        <row r="884">
          <cell r="A884">
            <v>46265</v>
          </cell>
          <cell r="B884" t="str">
            <v xml:space="preserve">IVAN MAULANA ARFIANTO                   </v>
          </cell>
          <cell r="C884" t="str">
            <v>INI9833</v>
          </cell>
          <cell r="D884">
            <v>109201000781565</v>
          </cell>
          <cell r="E884" t="str">
            <v>SEDANG</v>
          </cell>
          <cell r="F884" t="str">
            <v>Tidak</v>
          </cell>
          <cell r="G884" t="str">
            <v>Tidak</v>
          </cell>
          <cell r="H884" t="str">
            <v>Tidak</v>
          </cell>
          <cell r="I884" t="str">
            <v>Bandar Judol Withdrawal</v>
          </cell>
          <cell r="J884">
            <v>50</v>
          </cell>
          <cell r="K884" t="str">
            <v>86,88,87</v>
          </cell>
          <cell r="L884" t="str">
            <v>Judi Online</v>
          </cell>
          <cell r="M884" t="str">
            <v xml:space="preserve">Kas Kanpus                              </v>
          </cell>
          <cell r="N884" t="str">
            <v xml:space="preserve">Kas Kanpus                              </v>
          </cell>
          <cell r="O884" t="str">
            <v xml:space="preserve">KAS KANPUS                              </v>
          </cell>
          <cell r="R884" t="str">
            <v>Belum TL</v>
          </cell>
          <cell r="S884" t="str">
            <v>Belum TL</v>
          </cell>
          <cell r="T884" t="str">
            <v>90185537 - Moh.Khoerul Fajar Ar</v>
          </cell>
          <cell r="U884" t="str">
            <v>"-"</v>
          </cell>
        </row>
        <row r="885">
          <cell r="A885">
            <v>46265</v>
          </cell>
          <cell r="B885" t="str">
            <v xml:space="preserve">IKE KURNIAWATI                          </v>
          </cell>
          <cell r="C885" t="str">
            <v>INL9519</v>
          </cell>
          <cell r="D885">
            <v>65301021792500</v>
          </cell>
          <cell r="F885" t="str">
            <v>Tidak</v>
          </cell>
          <cell r="G885" t="str">
            <v>Tidak</v>
          </cell>
          <cell r="I885" t="str">
            <v>Jual Beli Rekening - E channel Trx</v>
          </cell>
          <cell r="J885">
            <v>33</v>
          </cell>
          <cell r="K885">
            <v>113</v>
          </cell>
          <cell r="L885" t="str">
            <v>Narkotika/Judi Online/Penipuan</v>
          </cell>
          <cell r="M885" t="str">
            <v xml:space="preserve">KCP JEMBATAN LIMA                       </v>
          </cell>
          <cell r="N885" t="str">
            <v xml:space="preserve">KC Jakarta Hayam Wuruk                  </v>
          </cell>
          <cell r="O885" t="str">
            <v xml:space="preserve">KANWIL JAKARTA 3                        </v>
          </cell>
          <cell r="R885" t="str">
            <v>Belum TL</v>
          </cell>
          <cell r="S885" t="str">
            <v>Belum TL</v>
          </cell>
          <cell r="U885" t="str">
            <v>"-"</v>
          </cell>
        </row>
        <row r="886">
          <cell r="A886">
            <v>46265</v>
          </cell>
          <cell r="B886" t="str">
            <v xml:space="preserve">IMRON HARAHAP                           </v>
          </cell>
          <cell r="C886" t="str">
            <v>IO81279</v>
          </cell>
          <cell r="D886">
            <v>109701000432564</v>
          </cell>
          <cell r="E886" t="str">
            <v>TINGGI</v>
          </cell>
          <cell r="F886" t="str">
            <v>Tidak</v>
          </cell>
          <cell r="G886" t="str">
            <v>Tidak</v>
          </cell>
          <cell r="H886" t="str">
            <v>Tidak</v>
          </cell>
          <cell r="I886" t="str">
            <v>Perpajakan</v>
          </cell>
          <cell r="J886">
            <v>73</v>
          </cell>
          <cell r="K886">
            <v>1.33</v>
          </cell>
          <cell r="L886" t="str">
            <v>Perpajakan</v>
          </cell>
          <cell r="M886" t="str">
            <v xml:space="preserve">KC Sibuhuan                             </v>
          </cell>
          <cell r="N886" t="str">
            <v xml:space="preserve">KC Sibuhuan                             </v>
          </cell>
          <cell r="O886" t="str">
            <v xml:space="preserve">Medan                                   </v>
          </cell>
          <cell r="R886" t="str">
            <v>Belum TL</v>
          </cell>
          <cell r="S886" t="str">
            <v>Belum TL</v>
          </cell>
          <cell r="T886" t="str">
            <v>90185537 - Moh.Khoerul Fajar Ar</v>
          </cell>
          <cell r="U886" t="str">
            <v>"-"</v>
          </cell>
        </row>
        <row r="887">
          <cell r="A887">
            <v>46265</v>
          </cell>
          <cell r="B887" t="str">
            <v xml:space="preserve">IDA KHOTIJAH                            </v>
          </cell>
          <cell r="C887" t="str">
            <v>IP87186</v>
          </cell>
          <cell r="D887">
            <v>621601031386535</v>
          </cell>
          <cell r="E887" t="str">
            <v>SEDANG</v>
          </cell>
          <cell r="F887" t="str">
            <v>Tidak</v>
          </cell>
          <cell r="G887" t="str">
            <v>Tidak</v>
          </cell>
          <cell r="H887" t="str">
            <v>Tidak</v>
          </cell>
          <cell r="I887" t="str">
            <v>Bandar Judol Withdrawal</v>
          </cell>
          <cell r="J887">
            <v>50</v>
          </cell>
          <cell r="K887" t="str">
            <v>86,88,87</v>
          </cell>
          <cell r="L887" t="str">
            <v>Judi Online</v>
          </cell>
          <cell r="M887" t="str">
            <v xml:space="preserve">Kas Kanpus                              </v>
          </cell>
          <cell r="N887" t="str">
            <v xml:space="preserve">Kas Kanpus                              </v>
          </cell>
          <cell r="O887" t="str">
            <v xml:space="preserve">KAS KANPUS                              </v>
          </cell>
          <cell r="R887" t="str">
            <v>Belum TL</v>
          </cell>
          <cell r="S887" t="str">
            <v>Belum TL</v>
          </cell>
          <cell r="T887" t="str">
            <v>90185538 - Muhammad Fahikal Auz</v>
          </cell>
          <cell r="U887" t="str">
            <v>"-"</v>
          </cell>
        </row>
        <row r="888">
          <cell r="A888">
            <v>46265</v>
          </cell>
          <cell r="B888" t="str">
            <v xml:space="preserve">I DEWA MADE FRINGGA                     </v>
          </cell>
          <cell r="C888" t="str">
            <v>IPR3772</v>
          </cell>
          <cell r="D888">
            <v>344801034306104</v>
          </cell>
          <cell r="E888" t="str">
            <v>SEDANG</v>
          </cell>
          <cell r="F888" t="str">
            <v>Tidak</v>
          </cell>
          <cell r="G888" t="str">
            <v>Tidak</v>
          </cell>
          <cell r="H888" t="str">
            <v>Tidak</v>
          </cell>
          <cell r="I888" t="str">
            <v>Korupsi - Loan View</v>
          </cell>
          <cell r="J888">
            <v>48</v>
          </cell>
          <cell r="K888">
            <v>15</v>
          </cell>
          <cell r="L888" t="str">
            <v>Korupsi</v>
          </cell>
          <cell r="M888" t="str">
            <v>Kas Kanpus</v>
          </cell>
          <cell r="N888" t="str">
            <v>Kas Kanpus</v>
          </cell>
          <cell r="O888" t="str">
            <v>KAS KANPUS</v>
          </cell>
          <cell r="R888" t="str">
            <v>Belum TL</v>
          </cell>
          <cell r="S888" t="str">
            <v>Belum TL</v>
          </cell>
          <cell r="T888" t="str">
            <v>90185537 - Moh.Khoerul Fajar Ar</v>
          </cell>
          <cell r="U888" t="str">
            <v>"-"</v>
          </cell>
        </row>
        <row r="889">
          <cell r="A889">
            <v>46265</v>
          </cell>
          <cell r="B889" t="str">
            <v xml:space="preserve">IIM IMROAH                              </v>
          </cell>
          <cell r="C889" t="str">
            <v>IQ80358</v>
          </cell>
          <cell r="D889">
            <v>412301042068535</v>
          </cell>
          <cell r="E889" t="str">
            <v>SEDANG</v>
          </cell>
          <cell r="F889" t="str">
            <v>Ya</v>
          </cell>
          <cell r="G889" t="str">
            <v>Tidak</v>
          </cell>
          <cell r="H889" t="str">
            <v>Ya</v>
          </cell>
          <cell r="I889" t="str">
            <v>Narkotika - Area Lapas</v>
          </cell>
          <cell r="J889">
            <v>50</v>
          </cell>
          <cell r="K889">
            <v>46</v>
          </cell>
          <cell r="L889" t="str">
            <v>Narkotika</v>
          </cell>
          <cell r="M889" t="str">
            <v>UNIT ASTANAJAPURA CIREBON GUNU</v>
          </cell>
          <cell r="N889" t="str">
            <v>KC Cirebon Gunung Jati</v>
          </cell>
          <cell r="O889" t="str">
            <v>Bandung</v>
          </cell>
          <cell r="R889" t="str">
            <v>Belum TL</v>
          </cell>
          <cell r="S889" t="str">
            <v>Belum TL</v>
          </cell>
          <cell r="T889" t="str">
            <v>00394520 - Frida Akbar Rani</v>
          </cell>
          <cell r="U889" t="str">
            <v>"-"</v>
          </cell>
        </row>
        <row r="890">
          <cell r="A890">
            <v>46265</v>
          </cell>
          <cell r="B890" t="str">
            <v xml:space="preserve">IKSAN                                   </v>
          </cell>
          <cell r="C890" t="str">
            <v>IR09405</v>
          </cell>
          <cell r="D890">
            <v>19201502893152</v>
          </cell>
          <cell r="E890" t="str">
            <v>TINGGI</v>
          </cell>
          <cell r="F890" t="str">
            <v>Ya</v>
          </cell>
          <cell r="G890" t="str">
            <v>Tidak</v>
          </cell>
          <cell r="H890" t="str">
            <v>Tidak</v>
          </cell>
          <cell r="I890" t="str">
            <v>Korupsi - Loan View</v>
          </cell>
          <cell r="J890">
            <v>68</v>
          </cell>
          <cell r="K890">
            <v>15</v>
          </cell>
          <cell r="L890" t="str">
            <v>Korupsi</v>
          </cell>
          <cell r="M890" t="str">
            <v>Kas Kanpus</v>
          </cell>
          <cell r="N890" t="str">
            <v>Kas Kanpus</v>
          </cell>
          <cell r="O890" t="str">
            <v>KAS KANPUS</v>
          </cell>
          <cell r="R890" t="str">
            <v>Belum TL</v>
          </cell>
          <cell r="S890" t="str">
            <v>Belum TL</v>
          </cell>
          <cell r="T890" t="str">
            <v>00336949 - Mochammad Al Farabi</v>
          </cell>
          <cell r="U890" t="str">
            <v>"-"</v>
          </cell>
        </row>
        <row r="891">
          <cell r="A891">
            <v>46265</v>
          </cell>
          <cell r="B891" t="str">
            <v xml:space="preserve">ILHAM SETIADI                           </v>
          </cell>
          <cell r="C891" t="str">
            <v>IRP5172</v>
          </cell>
          <cell r="D891">
            <v>19201043627103</v>
          </cell>
          <cell r="E891" t="str">
            <v>SEDANG</v>
          </cell>
          <cell r="F891" t="str">
            <v>Ya</v>
          </cell>
          <cell r="G891" t="str">
            <v>Tidak</v>
          </cell>
          <cell r="H891" t="str">
            <v>Tidak</v>
          </cell>
          <cell r="I891" t="str">
            <v>Korupsi - Loan View</v>
          </cell>
          <cell r="J891">
            <v>48</v>
          </cell>
          <cell r="K891">
            <v>15</v>
          </cell>
          <cell r="L891" t="str">
            <v>Korupsi</v>
          </cell>
          <cell r="M891" t="str">
            <v>Kas Kanpus</v>
          </cell>
          <cell r="N891" t="str">
            <v>Kas Kanpus</v>
          </cell>
          <cell r="O891" t="str">
            <v>KAS KANPUS</v>
          </cell>
          <cell r="R891" t="str">
            <v>Belum TL</v>
          </cell>
          <cell r="S891" t="str">
            <v>Belum TL</v>
          </cell>
          <cell r="T891" t="str">
            <v>90185537 - Moh.Khoerul Fajar Ar</v>
          </cell>
          <cell r="U891" t="str">
            <v>"-"</v>
          </cell>
        </row>
        <row r="892">
          <cell r="A892">
            <v>46265</v>
          </cell>
          <cell r="B892" t="str">
            <v xml:space="preserve">ISAI YONGKI MAKAY                       </v>
          </cell>
          <cell r="C892" t="str">
            <v>IS49428</v>
          </cell>
          <cell r="D892">
            <v>491601011298102</v>
          </cell>
          <cell r="E892" t="str">
            <v>SEDANG</v>
          </cell>
          <cell r="F892" t="str">
            <v>Tidak</v>
          </cell>
          <cell r="G892" t="str">
            <v>Tidak</v>
          </cell>
          <cell r="H892" t="str">
            <v>Tidak</v>
          </cell>
          <cell r="I892" t="str">
            <v>Korupsi - Loan View</v>
          </cell>
          <cell r="J892">
            <v>48</v>
          </cell>
          <cell r="K892">
            <v>15</v>
          </cell>
          <cell r="L892" t="str">
            <v>Korupsi</v>
          </cell>
          <cell r="M892" t="str">
            <v>Kas Kanpus</v>
          </cell>
          <cell r="N892" t="str">
            <v>Kas Kanpus</v>
          </cell>
          <cell r="O892" t="str">
            <v>KAS KANPUS</v>
          </cell>
          <cell r="R892" t="str">
            <v>Belum TL</v>
          </cell>
          <cell r="S892" t="str">
            <v>Belum TL</v>
          </cell>
          <cell r="T892" t="str">
            <v>90185538 - Muhammad Fahikal Auz</v>
          </cell>
          <cell r="U892" t="str">
            <v>"-"</v>
          </cell>
        </row>
        <row r="893">
          <cell r="A893">
            <v>46265</v>
          </cell>
          <cell r="B893" t="str">
            <v xml:space="preserve">INDRA WARDANA                           </v>
          </cell>
          <cell r="C893" t="str">
            <v>IT76032</v>
          </cell>
          <cell r="D893">
            <v>507701017388106</v>
          </cell>
          <cell r="E893" t="str">
            <v>SEDANG</v>
          </cell>
          <cell r="F893" t="str">
            <v>Tidak</v>
          </cell>
          <cell r="G893" t="str">
            <v>Tidak</v>
          </cell>
          <cell r="H893" t="str">
            <v>Tidak</v>
          </cell>
          <cell r="I893" t="str">
            <v>Korupsi - Loan View</v>
          </cell>
          <cell r="J893">
            <v>48</v>
          </cell>
          <cell r="K893">
            <v>15</v>
          </cell>
          <cell r="L893" t="str">
            <v>Korupsi</v>
          </cell>
          <cell r="M893" t="str">
            <v>Kas Kanpus</v>
          </cell>
          <cell r="N893" t="str">
            <v>Kas Kanpus</v>
          </cell>
          <cell r="O893" t="str">
            <v>KAS KANPUS</v>
          </cell>
          <cell r="R893" t="str">
            <v>Belum TL</v>
          </cell>
          <cell r="S893" t="str">
            <v>Belum TL</v>
          </cell>
          <cell r="T893" t="str">
            <v>00394520 - Frida Akbar Rani</v>
          </cell>
          <cell r="U893" t="str">
            <v>"-"</v>
          </cell>
        </row>
        <row r="894">
          <cell r="A894">
            <v>46265</v>
          </cell>
          <cell r="B894" t="str">
            <v xml:space="preserve">INTER PHARMACY                          </v>
          </cell>
          <cell r="C894" t="str">
            <v>ITJ9854</v>
          </cell>
          <cell r="D894">
            <v>34501001394307</v>
          </cell>
          <cell r="E894" t="str">
            <v>SEDANG</v>
          </cell>
          <cell r="F894" t="str">
            <v>Tidak</v>
          </cell>
          <cell r="G894" t="str">
            <v>Tidak</v>
          </cell>
          <cell r="H894" t="str">
            <v>Tidak</v>
          </cell>
          <cell r="I894" t="str">
            <v>Korupsi - Cash &amp; Amount</v>
          </cell>
          <cell r="J894">
            <v>48</v>
          </cell>
          <cell r="K894" t="str">
            <v>1,2,20</v>
          </cell>
          <cell r="L894" t="str">
            <v>Korupsi</v>
          </cell>
          <cell r="M894" t="str">
            <v>Kas Kanpus</v>
          </cell>
          <cell r="N894" t="str">
            <v>Kas Kanpus</v>
          </cell>
          <cell r="O894" t="str">
            <v>KAS KANPUS</v>
          </cell>
          <cell r="R894" t="str">
            <v>Belum TL</v>
          </cell>
          <cell r="S894" t="str">
            <v>Belum TL</v>
          </cell>
          <cell r="T894" t="str">
            <v>00394521 - Muhammad Hibbanduta</v>
          </cell>
          <cell r="U894" t="str">
            <v>"-"</v>
          </cell>
        </row>
        <row r="895">
          <cell r="A895">
            <v>46265</v>
          </cell>
          <cell r="B895" t="str">
            <v xml:space="preserve">IWAN SANTOSO                            </v>
          </cell>
          <cell r="C895" t="str">
            <v>ITZ3493</v>
          </cell>
          <cell r="D895">
            <v>4359720236195900</v>
          </cell>
          <cell r="E895" t="str">
            <v>SEDANG</v>
          </cell>
          <cell r="F895" t="str">
            <v>Tidak</v>
          </cell>
          <cell r="G895" t="str">
            <v>Tidak</v>
          </cell>
          <cell r="H895" t="str">
            <v>Tidak</v>
          </cell>
          <cell r="I895" t="str">
            <v>Penghindaran Pajak (Transaksi Fiktif)/Penyuapan CC</v>
          </cell>
          <cell r="J895">
            <v>45</v>
          </cell>
          <cell r="K895">
            <v>118</v>
          </cell>
          <cell r="L895" t="str">
            <v>Penyuapan / Penghindaran Pajak CC View</v>
          </cell>
          <cell r="M895" t="str">
            <v xml:space="preserve">Kas Kanpus                              </v>
          </cell>
          <cell r="N895" t="str">
            <v xml:space="preserve">Kas Kanpus                              </v>
          </cell>
          <cell r="O895" t="str">
            <v xml:space="preserve">KAS KANPUS                              </v>
          </cell>
          <cell r="R895" t="str">
            <v>Belum TL</v>
          </cell>
          <cell r="S895" t="str">
            <v>Belum TL</v>
          </cell>
          <cell r="T895" t="str">
            <v>90185538 - Muhammad Fahikal Auz</v>
          </cell>
          <cell r="U895" t="str">
            <v>"-"</v>
          </cell>
        </row>
        <row r="896">
          <cell r="A896">
            <v>46265</v>
          </cell>
          <cell r="B896" t="str">
            <v xml:space="preserve">I KADEK EVA JONNY GUNAWAN               </v>
          </cell>
          <cell r="C896" t="str">
            <v>IUO5498</v>
          </cell>
          <cell r="D896">
            <v>518101026720106</v>
          </cell>
          <cell r="E896" t="str">
            <v>RENDAH</v>
          </cell>
          <cell r="F896" t="str">
            <v>Tidak</v>
          </cell>
          <cell r="G896" t="str">
            <v>Tidak</v>
          </cell>
          <cell r="H896" t="str">
            <v>Tidak</v>
          </cell>
          <cell r="I896" t="str">
            <v>Korupsi - Loan View</v>
          </cell>
          <cell r="J896">
            <v>33</v>
          </cell>
          <cell r="K896">
            <v>15</v>
          </cell>
          <cell r="L896" t="str">
            <v>Korupsi</v>
          </cell>
          <cell r="M896" t="str">
            <v>Kas Kanpus</v>
          </cell>
          <cell r="N896" t="str">
            <v>Kas Kanpus</v>
          </cell>
          <cell r="O896" t="str">
            <v>KAS KANPUS</v>
          </cell>
          <cell r="R896" t="str">
            <v>Belum TL</v>
          </cell>
          <cell r="S896" t="str">
            <v>Belum TL</v>
          </cell>
          <cell r="T896" t="str">
            <v>00394521 - Muhammad Hibbanduta</v>
          </cell>
          <cell r="U896" t="str">
            <v>"-"</v>
          </cell>
        </row>
        <row r="897">
          <cell r="A897">
            <v>46265</v>
          </cell>
          <cell r="B897" t="str">
            <v xml:space="preserve">ITMAMUL FADILAH                         </v>
          </cell>
          <cell r="C897" t="str">
            <v>IVJ0272</v>
          </cell>
          <cell r="D897">
            <v>4359720224933300</v>
          </cell>
          <cell r="E897" t="str">
            <v>SEDANG</v>
          </cell>
          <cell r="F897" t="str">
            <v>Tidak</v>
          </cell>
          <cell r="G897" t="str">
            <v>Tidak</v>
          </cell>
          <cell r="H897" t="str">
            <v>Tidak</v>
          </cell>
          <cell r="I897" t="str">
            <v>Penghindaran Pajak (Transaksi Fiktif)/Penyuapan CC</v>
          </cell>
          <cell r="J897">
            <v>45</v>
          </cell>
          <cell r="K897">
            <v>118</v>
          </cell>
          <cell r="L897" t="str">
            <v>Penyuapan / Penghindaran Pajak CC View</v>
          </cell>
          <cell r="M897" t="str">
            <v xml:space="preserve">Kas Kanpus                              </v>
          </cell>
          <cell r="N897" t="str">
            <v xml:space="preserve">Kas Kanpus                              </v>
          </cell>
          <cell r="O897" t="str">
            <v xml:space="preserve">KAS KANPUS                              </v>
          </cell>
          <cell r="R897" t="str">
            <v>Belum TL</v>
          </cell>
          <cell r="S897" t="str">
            <v>Belum TL</v>
          </cell>
          <cell r="T897" t="str">
            <v>90186796 - Devito Arya Wiradila</v>
          </cell>
          <cell r="U897" t="str">
            <v>"-"</v>
          </cell>
        </row>
        <row r="898">
          <cell r="A898">
            <v>46265</v>
          </cell>
          <cell r="B898" t="str">
            <v xml:space="preserve">IWAN SUNARYA                            </v>
          </cell>
          <cell r="C898" t="str">
            <v>IVM9159</v>
          </cell>
          <cell r="D898">
            <v>378101021175106</v>
          </cell>
          <cell r="E898" t="str">
            <v>SEDANG</v>
          </cell>
          <cell r="F898" t="str">
            <v>Tidak</v>
          </cell>
          <cell r="G898" t="str">
            <v>Tidak</v>
          </cell>
          <cell r="H898" t="str">
            <v>Tidak</v>
          </cell>
          <cell r="I898" t="str">
            <v>Korupsi - Loan View</v>
          </cell>
          <cell r="J898">
            <v>48</v>
          </cell>
          <cell r="K898">
            <v>15</v>
          </cell>
          <cell r="L898" t="str">
            <v>Korupsi</v>
          </cell>
          <cell r="M898" t="str">
            <v>Kas Kanpus</v>
          </cell>
          <cell r="N898" t="str">
            <v>Kas Kanpus</v>
          </cell>
          <cell r="O898" t="str">
            <v>KAS KANPUS</v>
          </cell>
          <cell r="R898" t="str">
            <v>Belum TL</v>
          </cell>
          <cell r="S898" t="str">
            <v>Belum TL</v>
          </cell>
          <cell r="T898" t="str">
            <v>90186796 - Devito Arya Wiradila</v>
          </cell>
          <cell r="U898" t="str">
            <v>"-"</v>
          </cell>
        </row>
        <row r="899">
          <cell r="A899">
            <v>46265</v>
          </cell>
          <cell r="B899" t="str">
            <v xml:space="preserve">I PUTU DEDDY SETIAWAN                   </v>
          </cell>
          <cell r="C899" t="str">
            <v>IVP4747</v>
          </cell>
          <cell r="D899">
            <v>26701014467103</v>
          </cell>
          <cell r="E899" t="str">
            <v>RENDAH</v>
          </cell>
          <cell r="F899" t="str">
            <v>Tidak</v>
          </cell>
          <cell r="G899" t="str">
            <v>Tidak</v>
          </cell>
          <cell r="H899" t="str">
            <v>Tidak</v>
          </cell>
          <cell r="I899" t="str">
            <v>Korupsi - Loan View</v>
          </cell>
          <cell r="J899">
            <v>33</v>
          </cell>
          <cell r="K899">
            <v>15</v>
          </cell>
          <cell r="L899" t="str">
            <v>Korupsi</v>
          </cell>
          <cell r="M899" t="str">
            <v>Kas Kanpus</v>
          </cell>
          <cell r="N899" t="str">
            <v>Kas Kanpus</v>
          </cell>
          <cell r="O899" t="str">
            <v>KAS KANPUS</v>
          </cell>
          <cell r="R899" t="str">
            <v>Belum TL</v>
          </cell>
          <cell r="S899" t="str">
            <v>Belum TL</v>
          </cell>
          <cell r="T899" t="str">
            <v>00336949 - Mochammad Al Farabi</v>
          </cell>
          <cell r="U899" t="str">
            <v>"-"</v>
          </cell>
        </row>
        <row r="900">
          <cell r="A900">
            <v>46265</v>
          </cell>
          <cell r="B900" t="str">
            <v xml:space="preserve">ISNATUN                                 </v>
          </cell>
          <cell r="C900" t="str">
            <v>IW78805</v>
          </cell>
          <cell r="D900">
            <v>14901031131533</v>
          </cell>
          <cell r="E900" t="str">
            <v>RENDAH</v>
          </cell>
          <cell r="F900" t="str">
            <v>Tidak</v>
          </cell>
          <cell r="G900" t="str">
            <v>Tidak</v>
          </cell>
          <cell r="H900" t="str">
            <v>Tidak</v>
          </cell>
          <cell r="I900" t="str">
            <v>Korupsi - Significant Trx View</v>
          </cell>
          <cell r="J900">
            <v>38</v>
          </cell>
          <cell r="K900">
            <v>1.19</v>
          </cell>
          <cell r="L900" t="str">
            <v>Korupsi</v>
          </cell>
          <cell r="M900" t="str">
            <v>Kas Kanpus</v>
          </cell>
          <cell r="N900" t="str">
            <v>Kas Kanpus</v>
          </cell>
          <cell r="O900" t="str">
            <v>KAS KANPUS</v>
          </cell>
          <cell r="R900" t="str">
            <v>Belum TL</v>
          </cell>
          <cell r="S900" t="str">
            <v>Belum TL</v>
          </cell>
          <cell r="T900" t="str">
            <v>00394520 - Frida Akbar Rani</v>
          </cell>
          <cell r="U900" t="str">
            <v>"-"</v>
          </cell>
        </row>
        <row r="901">
          <cell r="A901">
            <v>46265</v>
          </cell>
          <cell r="B901" t="str">
            <v xml:space="preserve">INDRIANI                                </v>
          </cell>
          <cell r="C901" t="str">
            <v>IWX4574</v>
          </cell>
          <cell r="D901">
            <v>470901080261533</v>
          </cell>
          <cell r="E901" t="str">
            <v>RENDAH</v>
          </cell>
          <cell r="F901" t="str">
            <v>Tidak</v>
          </cell>
          <cell r="G901" t="str">
            <v>Tidak</v>
          </cell>
          <cell r="H901" t="str">
            <v>Tidak</v>
          </cell>
          <cell r="I901" t="str">
            <v>Narkotika - Area Lapas</v>
          </cell>
          <cell r="J901">
            <v>35</v>
          </cell>
          <cell r="K901">
            <v>46</v>
          </cell>
          <cell r="L901" t="str">
            <v>Narkotika</v>
          </cell>
          <cell r="M901" t="str">
            <v>UNIT SENGKOL PRAYA</v>
          </cell>
          <cell r="N901" t="str">
            <v>KC Praya</v>
          </cell>
          <cell r="O901" t="str">
            <v>Denpasar</v>
          </cell>
          <cell r="R901" t="str">
            <v>Belum TL</v>
          </cell>
          <cell r="S901" t="str">
            <v>Belum TL</v>
          </cell>
          <cell r="T901" t="str">
            <v>00394521 - Muhammad Hibbanduta</v>
          </cell>
          <cell r="U901" t="str">
            <v>"-"</v>
          </cell>
        </row>
        <row r="902">
          <cell r="A902">
            <v>46265</v>
          </cell>
          <cell r="B902" t="str">
            <v xml:space="preserve">I KADEK SUWITRA                         </v>
          </cell>
          <cell r="C902" t="str">
            <v>IVA1987</v>
          </cell>
          <cell r="D902">
            <v>767701005368104</v>
          </cell>
          <cell r="E902" t="str">
            <v>RENDAH</v>
          </cell>
          <cell r="F902" t="str">
            <v>Tidak</v>
          </cell>
          <cell r="G902" t="str">
            <v>Tidak</v>
          </cell>
          <cell r="H902" t="str">
            <v>Tidak</v>
          </cell>
          <cell r="I902" t="str">
            <v>Korupsi - Loan View</v>
          </cell>
          <cell r="J902">
            <v>33</v>
          </cell>
          <cell r="K902">
            <v>15</v>
          </cell>
          <cell r="L902" t="str">
            <v>Korupsi</v>
          </cell>
          <cell r="M902" t="str">
            <v>Kas Kanpus</v>
          </cell>
          <cell r="N902" t="str">
            <v>Kas Kanpus</v>
          </cell>
          <cell r="O902" t="str">
            <v>KAS KANPUS</v>
          </cell>
          <cell r="R902" t="str">
            <v>Belum TL</v>
          </cell>
          <cell r="S902" t="str">
            <v>Belum TL</v>
          </cell>
          <cell r="T902" t="str">
            <v>00394521 - Muhammad Hibbanduta</v>
          </cell>
          <cell r="U902" t="str">
            <v>"-"</v>
          </cell>
        </row>
        <row r="903">
          <cell r="A903">
            <v>46265</v>
          </cell>
          <cell r="B903" t="str">
            <v xml:space="preserve">IRAWATI PONTOH                          </v>
          </cell>
          <cell r="C903" t="str">
            <v>IX49020</v>
          </cell>
          <cell r="D903">
            <v>523201033906538</v>
          </cell>
          <cell r="E903" t="str">
            <v>SEDANG</v>
          </cell>
          <cell r="F903" t="str">
            <v>Tidak</v>
          </cell>
          <cell r="G903" t="str">
            <v>Tidak</v>
          </cell>
          <cell r="H903" t="str">
            <v>Tidak</v>
          </cell>
          <cell r="I903" t="str">
            <v>Pencurian Rekening</v>
          </cell>
          <cell r="J903">
            <v>49</v>
          </cell>
          <cell r="K903">
            <v>58</v>
          </cell>
          <cell r="L903" t="str">
            <v>Perbankan</v>
          </cell>
          <cell r="M903" t="str">
            <v xml:space="preserve">KC BANDA ACEH CUT MEUTIA                </v>
          </cell>
          <cell r="N903" t="str">
            <v xml:space="preserve">KANWIL Medan                            </v>
          </cell>
          <cell r="O903" t="str">
            <v xml:space="preserve">Medan                                   </v>
          </cell>
          <cell r="R903" t="str">
            <v>Belum TL</v>
          </cell>
          <cell r="S903" t="str">
            <v>Belum TL</v>
          </cell>
          <cell r="T903" t="str">
            <v>90170665 - Mutiara Ayuningtyas</v>
          </cell>
          <cell r="U903" t="str">
            <v>"-"</v>
          </cell>
        </row>
        <row r="904">
          <cell r="A904">
            <v>46265</v>
          </cell>
          <cell r="B904" t="str">
            <v xml:space="preserve">ISKANDAR                                </v>
          </cell>
          <cell r="C904" t="str">
            <v>IX60390</v>
          </cell>
          <cell r="D904">
            <v>493201018223108</v>
          </cell>
          <cell r="E904" t="str">
            <v>SEDANG</v>
          </cell>
          <cell r="F904" t="str">
            <v>Tidak</v>
          </cell>
          <cell r="G904" t="str">
            <v>Tidak</v>
          </cell>
          <cell r="H904" t="str">
            <v>Tidak</v>
          </cell>
          <cell r="I904" t="str">
            <v>Korupsi - Loan View</v>
          </cell>
          <cell r="J904">
            <v>48</v>
          </cell>
          <cell r="K904">
            <v>15</v>
          </cell>
          <cell r="L904" t="str">
            <v>Korupsi</v>
          </cell>
          <cell r="M904" t="str">
            <v>Kas Kanpus</v>
          </cell>
          <cell r="N904" t="str">
            <v>Kas Kanpus</v>
          </cell>
          <cell r="O904" t="str">
            <v>KAS KANPUS</v>
          </cell>
          <cell r="R904" t="str">
            <v>Belum TL</v>
          </cell>
          <cell r="S904" t="str">
            <v>Belum TL</v>
          </cell>
          <cell r="T904" t="str">
            <v>90186796 - Devito Arya Wiradila</v>
          </cell>
          <cell r="U904" t="str">
            <v>"-"</v>
          </cell>
        </row>
        <row r="905">
          <cell r="A905">
            <v>46265</v>
          </cell>
          <cell r="B905" t="str">
            <v xml:space="preserve">IWAN KURNIAWAN                          </v>
          </cell>
          <cell r="C905" t="str">
            <v>IXL5290</v>
          </cell>
          <cell r="D905">
            <v>83301014356101</v>
          </cell>
          <cell r="E905" t="str">
            <v>SEDANG</v>
          </cell>
          <cell r="F905" t="str">
            <v>Tidak</v>
          </cell>
          <cell r="G905" t="str">
            <v>Tidak</v>
          </cell>
          <cell r="H905" t="str">
            <v>Tidak</v>
          </cell>
          <cell r="I905" t="str">
            <v>Korupsi - Loan View</v>
          </cell>
          <cell r="J905">
            <v>48</v>
          </cell>
          <cell r="K905">
            <v>15</v>
          </cell>
          <cell r="L905" t="str">
            <v>Korupsi</v>
          </cell>
          <cell r="M905" t="str">
            <v>Kas Kanpus</v>
          </cell>
          <cell r="N905" t="str">
            <v>Kas Kanpus</v>
          </cell>
          <cell r="O905" t="str">
            <v>KAS KANPUS</v>
          </cell>
          <cell r="R905" t="str">
            <v>Belum TL</v>
          </cell>
          <cell r="S905" t="str">
            <v>Belum TL</v>
          </cell>
          <cell r="T905" t="str">
            <v>00394521 - Muhammad Hibbanduta</v>
          </cell>
          <cell r="U905" t="str">
            <v>"-"</v>
          </cell>
        </row>
        <row r="906">
          <cell r="A906">
            <v>46247</v>
          </cell>
          <cell r="B906" t="str">
            <v xml:space="preserve">INDRIANA                                </v>
          </cell>
          <cell r="C906" t="str">
            <v>IY17092</v>
          </cell>
          <cell r="D906">
            <v>40301140913503</v>
          </cell>
          <cell r="E906" t="str">
            <v>SEDANG</v>
          </cell>
          <cell r="F906" t="str">
            <v>Tidak</v>
          </cell>
          <cell r="G906" t="str">
            <v>Tidak</v>
          </cell>
          <cell r="I906" t="str">
            <v>Teroris - Remark</v>
          </cell>
          <cell r="J906">
            <v>168</v>
          </cell>
          <cell r="K906">
            <v>50</v>
          </cell>
          <cell r="L906" t="str">
            <v>Terorisme</v>
          </cell>
          <cell r="M906" t="str">
            <v xml:space="preserve">Kas Kanpus                              </v>
          </cell>
          <cell r="N906" t="str">
            <v xml:space="preserve">Kas Kanpus                              </v>
          </cell>
          <cell r="O906" t="str">
            <v xml:space="preserve">KAS KANPUS                              </v>
          </cell>
          <cell r="R906" t="str">
            <v>Belum TL</v>
          </cell>
          <cell r="S906" t="str">
            <v>Belum TL</v>
          </cell>
          <cell r="T906" t="str">
            <v>00394520 - Frida Akbar Rani</v>
          </cell>
          <cell r="U906" t="str">
            <v>"-"</v>
          </cell>
        </row>
        <row r="907">
          <cell r="A907">
            <v>46265</v>
          </cell>
          <cell r="B907" t="str">
            <v xml:space="preserve">IMAM FAWUZI PUTRAJAB                    </v>
          </cell>
          <cell r="C907" t="str">
            <v>IY44649</v>
          </cell>
          <cell r="D907">
            <v>34301033367108</v>
          </cell>
          <cell r="E907" t="str">
            <v>TINGGI</v>
          </cell>
          <cell r="F907" t="str">
            <v>Tidak</v>
          </cell>
          <cell r="G907" t="str">
            <v>Tidak</v>
          </cell>
          <cell r="H907" t="str">
            <v>Tidak</v>
          </cell>
          <cell r="I907" t="str">
            <v>Korupsi - Loan View</v>
          </cell>
          <cell r="J907">
            <v>68</v>
          </cell>
          <cell r="K907">
            <v>15</v>
          </cell>
          <cell r="L907" t="str">
            <v>Korupsi</v>
          </cell>
          <cell r="M907" t="str">
            <v>Kas Kanpus</v>
          </cell>
          <cell r="N907" t="str">
            <v>Kas Kanpus</v>
          </cell>
          <cell r="O907" t="str">
            <v>KAS KANPUS</v>
          </cell>
          <cell r="R907" t="str">
            <v>Belum TL</v>
          </cell>
          <cell r="S907" t="str">
            <v>Belum TL</v>
          </cell>
          <cell r="T907" t="str">
            <v>90186796 - Devito Arya Wiradila</v>
          </cell>
          <cell r="U907" t="str">
            <v>"-"</v>
          </cell>
        </row>
        <row r="908">
          <cell r="A908">
            <v>46265</v>
          </cell>
          <cell r="B908" t="str">
            <v xml:space="preserve">IDUL AKBAR                              </v>
          </cell>
          <cell r="C908" t="str">
            <v>IZ65178</v>
          </cell>
          <cell r="D908">
            <v>4359720228142400</v>
          </cell>
          <cell r="E908" t="str">
            <v>RENDAH</v>
          </cell>
          <cell r="F908" t="str">
            <v>Tidak</v>
          </cell>
          <cell r="G908" t="str">
            <v>Tidak</v>
          </cell>
          <cell r="H908" t="str">
            <v>Tidak</v>
          </cell>
          <cell r="I908" t="str">
            <v>Anomali Transaksi Kartu Kredit</v>
          </cell>
          <cell r="J908">
            <v>30</v>
          </cell>
          <cell r="K908">
            <v>117</v>
          </cell>
          <cell r="L908" t="str">
            <v>Anomali Transaksi Kartu Kredit</v>
          </cell>
          <cell r="M908" t="str">
            <v xml:space="preserve">Kas Kanpus                              </v>
          </cell>
          <cell r="N908" t="str">
            <v xml:space="preserve">Kas Kanpus                              </v>
          </cell>
          <cell r="O908" t="str">
            <v xml:space="preserve">KAS KANPUS                              </v>
          </cell>
          <cell r="R908" t="str">
            <v>Belum TL</v>
          </cell>
          <cell r="S908" t="str">
            <v>Belum TL</v>
          </cell>
          <cell r="T908" t="str">
            <v>90171841 - Rifqi Aziz</v>
          </cell>
          <cell r="U908" t="str">
            <v>"-"</v>
          </cell>
        </row>
        <row r="909">
          <cell r="A909">
            <v>46265</v>
          </cell>
          <cell r="B909" t="str">
            <v xml:space="preserve">IDUL AKBAR                              </v>
          </cell>
          <cell r="C909" t="str">
            <v>IZ65178</v>
          </cell>
          <cell r="D909">
            <v>4359720228142400</v>
          </cell>
          <cell r="E909" t="str">
            <v>RENDAH</v>
          </cell>
          <cell r="F909" t="str">
            <v>Tidak</v>
          </cell>
          <cell r="G909" t="str">
            <v>Tidak</v>
          </cell>
          <cell r="H909" t="str">
            <v>Tidak</v>
          </cell>
          <cell r="I909" t="str">
            <v>Penghindaran Pajak (Transaksi Fiktif)/Penyuapan CC</v>
          </cell>
          <cell r="J909">
            <v>30</v>
          </cell>
          <cell r="K909">
            <v>118</v>
          </cell>
          <cell r="L909" t="str">
            <v>Penyuapan / Penghindaran Pajak CC View</v>
          </cell>
          <cell r="M909" t="str">
            <v xml:space="preserve">Kas Kanpus                              </v>
          </cell>
          <cell r="N909" t="str">
            <v xml:space="preserve">Kas Kanpus                              </v>
          </cell>
          <cell r="O909" t="str">
            <v xml:space="preserve">KAS KANPUS                              </v>
          </cell>
          <cell r="R909" t="str">
            <v>Belum TL</v>
          </cell>
          <cell r="S909" t="str">
            <v>Belum TL</v>
          </cell>
          <cell r="T909" t="str">
            <v>90186796 - Devito Arya Wiradila</v>
          </cell>
          <cell r="U909" t="str">
            <v>"-"</v>
          </cell>
        </row>
        <row r="910">
          <cell r="A910">
            <v>46265</v>
          </cell>
          <cell r="B910" t="str">
            <v xml:space="preserve">IKFINA NILNA ZULFA                      </v>
          </cell>
          <cell r="C910" t="str">
            <v>IZW9231</v>
          </cell>
          <cell r="D910">
            <v>365101038675530</v>
          </cell>
          <cell r="E910" t="str">
            <v>SEDANG</v>
          </cell>
          <cell r="F910" t="str">
            <v>Tidak</v>
          </cell>
          <cell r="G910" t="str">
            <v>Tidak</v>
          </cell>
          <cell r="H910" t="str">
            <v>Tidak</v>
          </cell>
          <cell r="I910" t="str">
            <v>Bandar Judol Depo</v>
          </cell>
          <cell r="J910">
            <v>50</v>
          </cell>
          <cell r="K910" t="str">
            <v>86,74,87</v>
          </cell>
          <cell r="L910" t="str">
            <v>Judi Online</v>
          </cell>
          <cell r="M910" t="str">
            <v xml:space="preserve">Kas Kanpus                              </v>
          </cell>
          <cell r="N910" t="str">
            <v xml:space="preserve">Kas Kanpus                              </v>
          </cell>
          <cell r="O910" t="str">
            <v xml:space="preserve">KAS KANPUS                              </v>
          </cell>
          <cell r="R910" t="str">
            <v>Belum TL</v>
          </cell>
          <cell r="S910" t="str">
            <v>Belum TL</v>
          </cell>
          <cell r="T910" t="str">
            <v>90185537 - Moh.Khoerul Fajar Ar</v>
          </cell>
          <cell r="U910" t="str">
            <v>"-"</v>
          </cell>
        </row>
        <row r="911">
          <cell r="A911">
            <v>46265</v>
          </cell>
          <cell r="B911" t="str">
            <v xml:space="preserve">PT JAPFA COMFEED INDONESIA              </v>
          </cell>
          <cell r="C911" t="str">
            <v>J104408</v>
          </cell>
          <cell r="D911">
            <v>999101000146109</v>
          </cell>
          <cell r="E911" t="str">
            <v>TINGGI</v>
          </cell>
          <cell r="F911" t="str">
            <v>Tidak</v>
          </cell>
          <cell r="G911" t="str">
            <v>Tidak</v>
          </cell>
          <cell r="H911" t="str">
            <v>Tidak</v>
          </cell>
          <cell r="I911" t="str">
            <v>Korupsi - Loan View</v>
          </cell>
          <cell r="J911">
            <v>63</v>
          </cell>
          <cell r="K911">
            <v>15</v>
          </cell>
          <cell r="L911" t="str">
            <v>Korupsi</v>
          </cell>
          <cell r="M911" t="str">
            <v>Kas Kanpus</v>
          </cell>
          <cell r="N911" t="str">
            <v>Kas Kanpus</v>
          </cell>
          <cell r="O911" t="str">
            <v>KAS KANPUS</v>
          </cell>
          <cell r="R911" t="str">
            <v>Belum TL</v>
          </cell>
          <cell r="S911" t="str">
            <v>Belum TL</v>
          </cell>
          <cell r="T911" t="str">
            <v>90171841 - Rifqi Aziz</v>
          </cell>
          <cell r="U911" t="str">
            <v>"-"</v>
          </cell>
        </row>
        <row r="912">
          <cell r="A912">
            <v>46265</v>
          </cell>
          <cell r="B912" t="str">
            <v xml:space="preserve">JUFRI SUMOLANG                          </v>
          </cell>
          <cell r="C912" t="str">
            <v>J237968</v>
          </cell>
          <cell r="D912">
            <v>517001020976100</v>
          </cell>
          <cell r="E912" t="str">
            <v>RENDAH</v>
          </cell>
          <cell r="F912" t="str">
            <v>Tidak</v>
          </cell>
          <cell r="G912" t="str">
            <v>Tidak</v>
          </cell>
          <cell r="H912" t="str">
            <v>Tidak</v>
          </cell>
          <cell r="I912" t="str">
            <v>Korupsi - Loan View</v>
          </cell>
          <cell r="J912">
            <v>33</v>
          </cell>
          <cell r="K912">
            <v>15</v>
          </cell>
          <cell r="L912" t="str">
            <v>Korupsi</v>
          </cell>
          <cell r="M912" t="str">
            <v>Kas Kanpus</v>
          </cell>
          <cell r="N912" t="str">
            <v>Kas Kanpus</v>
          </cell>
          <cell r="O912" t="str">
            <v>KAS KANPUS</v>
          </cell>
          <cell r="R912" t="str">
            <v>Belum TL</v>
          </cell>
          <cell r="S912" t="str">
            <v>Belum TL</v>
          </cell>
          <cell r="T912" t="str">
            <v>00394521 - Muhammad Hibbanduta</v>
          </cell>
          <cell r="U912" t="str">
            <v>"-"</v>
          </cell>
        </row>
        <row r="913">
          <cell r="A913">
            <v>46265</v>
          </cell>
          <cell r="B913" t="str">
            <v xml:space="preserve">JEFFRY JAKOB SESEM OIL                  </v>
          </cell>
          <cell r="C913" t="str">
            <v>J548772</v>
          </cell>
          <cell r="D913">
            <v>26701015020108</v>
          </cell>
          <cell r="E913" t="str">
            <v>SEDANG</v>
          </cell>
          <cell r="F913" t="str">
            <v>Tidak</v>
          </cell>
          <cell r="G913" t="str">
            <v>Tidak</v>
          </cell>
          <cell r="H913" t="str">
            <v>Tidak</v>
          </cell>
          <cell r="I913" t="str">
            <v>Korupsi - Loan View</v>
          </cell>
          <cell r="J913">
            <v>48</v>
          </cell>
          <cell r="K913">
            <v>15</v>
          </cell>
          <cell r="L913" t="str">
            <v>Korupsi</v>
          </cell>
          <cell r="M913" t="str">
            <v>Kas Kanpus</v>
          </cell>
          <cell r="N913" t="str">
            <v>Kas Kanpus</v>
          </cell>
          <cell r="O913" t="str">
            <v>KAS KANPUS</v>
          </cell>
          <cell r="R913" t="str">
            <v>Belum TL</v>
          </cell>
          <cell r="S913" t="str">
            <v>Belum TL</v>
          </cell>
          <cell r="T913" t="str">
            <v>90186790 - Muhammad Alfin Farha</v>
          </cell>
          <cell r="U913" t="str">
            <v>"-"</v>
          </cell>
        </row>
        <row r="914">
          <cell r="A914">
            <v>46265</v>
          </cell>
          <cell r="B914" t="str">
            <v xml:space="preserve">JOKO SUSILO SITORUS                     </v>
          </cell>
          <cell r="C914" t="str">
            <v>J641244</v>
          </cell>
          <cell r="D914">
            <v>63601001644561</v>
          </cell>
          <cell r="E914" t="str">
            <v>SEDANG</v>
          </cell>
          <cell r="F914" t="str">
            <v>Ya</v>
          </cell>
          <cell r="G914" t="str">
            <v>Tidak</v>
          </cell>
          <cell r="H914" t="str">
            <v>Tidak</v>
          </cell>
          <cell r="I914" t="str">
            <v>Narkotika - Area Lapas</v>
          </cell>
          <cell r="J914">
            <v>50</v>
          </cell>
          <cell r="K914">
            <v>46</v>
          </cell>
          <cell r="L914" t="str">
            <v>Narkotika</v>
          </cell>
          <cell r="M914" t="str">
            <v>KC Perdagangan</v>
          </cell>
          <cell r="N914" t="str">
            <v>KC Perdagangan</v>
          </cell>
          <cell r="O914" t="str">
            <v>Medan</v>
          </cell>
          <cell r="R914" t="str">
            <v>Belum TL</v>
          </cell>
          <cell r="S914" t="str">
            <v>Belum TL</v>
          </cell>
          <cell r="T914" t="str">
            <v>90150130 - Intan Aida Pratiwi</v>
          </cell>
          <cell r="U914" t="str">
            <v>"-"</v>
          </cell>
        </row>
        <row r="915">
          <cell r="A915">
            <v>46265</v>
          </cell>
          <cell r="B915" t="str">
            <v xml:space="preserve">JASA PRIMA LOGISTIK BULOG               </v>
          </cell>
          <cell r="C915" t="str">
            <v>JBK2470</v>
          </cell>
          <cell r="D915">
            <v>5901003537304</v>
          </cell>
          <cell r="E915" t="str">
            <v>SEDANG</v>
          </cell>
          <cell r="F915" t="str">
            <v>Tidak</v>
          </cell>
          <cell r="G915" t="str">
            <v>Tidak</v>
          </cell>
          <cell r="H915" t="str">
            <v>Tidak</v>
          </cell>
          <cell r="I915" t="str">
            <v>Korupsi - Cash &amp; Amount</v>
          </cell>
          <cell r="J915">
            <v>48</v>
          </cell>
          <cell r="K915" t="str">
            <v>1,2,20</v>
          </cell>
          <cell r="L915" t="str">
            <v>Korupsi</v>
          </cell>
          <cell r="M915" t="str">
            <v>Kas Kanpus</v>
          </cell>
          <cell r="N915" t="str">
            <v>Kas Kanpus</v>
          </cell>
          <cell r="O915" t="str">
            <v>KAS KANPUS</v>
          </cell>
          <cell r="R915" t="str">
            <v>Belum TL</v>
          </cell>
          <cell r="S915" t="str">
            <v>Belum TL</v>
          </cell>
          <cell r="T915" t="str">
            <v>90185538 - Muhammad Fahikal Auz</v>
          </cell>
          <cell r="U915" t="str">
            <v>"-"</v>
          </cell>
        </row>
        <row r="916">
          <cell r="A916">
            <v>46265</v>
          </cell>
          <cell r="B916" t="str">
            <v xml:space="preserve">JONY SUTEJA                             </v>
          </cell>
          <cell r="C916" t="str">
            <v>JBK2518</v>
          </cell>
          <cell r="D916">
            <v>15901001054560</v>
          </cell>
          <cell r="E916" t="str">
            <v>SEDANG</v>
          </cell>
          <cell r="F916" t="str">
            <v>Tidak</v>
          </cell>
          <cell r="G916" t="str">
            <v>Tidak</v>
          </cell>
          <cell r="H916" t="str">
            <v>Tidak</v>
          </cell>
          <cell r="I916" t="str">
            <v>Bandar Judol Withdrawal</v>
          </cell>
          <cell r="J916">
            <v>50</v>
          </cell>
          <cell r="K916" t="str">
            <v>86,88,87</v>
          </cell>
          <cell r="L916" t="str">
            <v>Judi Online</v>
          </cell>
          <cell r="M916" t="str">
            <v xml:space="preserve">Kas Kanpus                              </v>
          </cell>
          <cell r="N916" t="str">
            <v xml:space="preserve">Kas Kanpus                              </v>
          </cell>
          <cell r="O916" t="str">
            <v xml:space="preserve">KAS KANPUS                              </v>
          </cell>
          <cell r="R916" t="str">
            <v>Belum TL</v>
          </cell>
          <cell r="S916" t="str">
            <v>Belum TL</v>
          </cell>
          <cell r="T916" t="str">
            <v>00394520 - Frida Akbar Rani</v>
          </cell>
          <cell r="U916" t="str">
            <v>"-"</v>
          </cell>
        </row>
        <row r="917">
          <cell r="A917">
            <v>46265</v>
          </cell>
          <cell r="B917" t="str">
            <v xml:space="preserve">JUNOTO                                  </v>
          </cell>
          <cell r="C917" t="str">
            <v>JBZ4442</v>
          </cell>
          <cell r="D917">
            <v>557001008882107</v>
          </cell>
          <cell r="E917" t="str">
            <v>TINGGI</v>
          </cell>
          <cell r="F917" t="str">
            <v>Tidak</v>
          </cell>
          <cell r="G917" t="str">
            <v>Tidak</v>
          </cell>
          <cell r="H917" t="str">
            <v>Tidak</v>
          </cell>
          <cell r="I917" t="str">
            <v>Korupsi - Loan View</v>
          </cell>
          <cell r="J917">
            <v>73</v>
          </cell>
          <cell r="K917">
            <v>15</v>
          </cell>
          <cell r="L917" t="str">
            <v>Korupsi</v>
          </cell>
          <cell r="M917" t="str">
            <v>Kas Kanpus</v>
          </cell>
          <cell r="N917" t="str">
            <v>Kas Kanpus</v>
          </cell>
          <cell r="O917" t="str">
            <v>KAS KANPUS</v>
          </cell>
          <cell r="R917" t="str">
            <v>Belum TL</v>
          </cell>
          <cell r="S917" t="str">
            <v>Belum TL</v>
          </cell>
          <cell r="T917" t="str">
            <v>00336949 - Mochammad Al Farabi</v>
          </cell>
          <cell r="U917" t="str">
            <v>"-"</v>
          </cell>
        </row>
        <row r="918">
          <cell r="A918">
            <v>46265</v>
          </cell>
          <cell r="B918" t="str">
            <v xml:space="preserve">JUSMAN                                  </v>
          </cell>
          <cell r="C918" t="str">
            <v>JC37725</v>
          </cell>
          <cell r="D918">
            <v>493201026200102</v>
          </cell>
          <cell r="E918" t="str">
            <v>RENDAH</v>
          </cell>
          <cell r="F918" t="str">
            <v>Tidak</v>
          </cell>
          <cell r="G918" t="str">
            <v>Tidak</v>
          </cell>
          <cell r="H918" t="str">
            <v>Tidak</v>
          </cell>
          <cell r="I918" t="str">
            <v>Korupsi - Loan View</v>
          </cell>
          <cell r="J918">
            <v>33</v>
          </cell>
          <cell r="K918">
            <v>15</v>
          </cell>
          <cell r="L918" t="str">
            <v>Korupsi</v>
          </cell>
          <cell r="M918" t="str">
            <v>Kas Kanpus</v>
          </cell>
          <cell r="N918" t="str">
            <v>Kas Kanpus</v>
          </cell>
          <cell r="O918" t="str">
            <v>KAS KANPUS</v>
          </cell>
          <cell r="R918" t="str">
            <v>Belum TL</v>
          </cell>
          <cell r="S918" t="str">
            <v>Belum TL</v>
          </cell>
          <cell r="T918" t="str">
            <v>90185537 - Moh.Khoerul Fajar Ar</v>
          </cell>
          <cell r="U918" t="str">
            <v>"-"</v>
          </cell>
        </row>
        <row r="919">
          <cell r="A919">
            <v>46265</v>
          </cell>
          <cell r="B919" t="str">
            <v xml:space="preserve">JAYA RAYA MAKMUR ABADI                  </v>
          </cell>
          <cell r="C919" t="str">
            <v>JCE8684</v>
          </cell>
          <cell r="D919">
            <v>34401501880155</v>
          </cell>
          <cell r="E919" t="str">
            <v>SEDANG</v>
          </cell>
          <cell r="F919" t="str">
            <v>Tidak</v>
          </cell>
          <cell r="G919" t="str">
            <v>Tidak</v>
          </cell>
          <cell r="H919" t="str">
            <v>Tidak</v>
          </cell>
          <cell r="I919" t="str">
            <v>Korupsi - Loan View</v>
          </cell>
          <cell r="J919">
            <v>48</v>
          </cell>
          <cell r="K919">
            <v>15</v>
          </cell>
          <cell r="L919" t="str">
            <v>Korupsi</v>
          </cell>
          <cell r="M919" t="str">
            <v>Kas Kanpus</v>
          </cell>
          <cell r="N919" t="str">
            <v>Kas Kanpus</v>
          </cell>
          <cell r="O919" t="str">
            <v>KAS KANPUS</v>
          </cell>
          <cell r="R919" t="str">
            <v>Belum TL</v>
          </cell>
          <cell r="S919" t="str">
            <v>Belum TL</v>
          </cell>
          <cell r="T919" t="str">
            <v>90170665 - Mutiara Ayuningtyas</v>
          </cell>
          <cell r="U919" t="str">
            <v>"-"</v>
          </cell>
        </row>
        <row r="920">
          <cell r="A920">
            <v>46265</v>
          </cell>
          <cell r="B920" t="str">
            <v xml:space="preserve">JANUAR ARIUS NAORI                      </v>
          </cell>
          <cell r="C920" t="str">
            <v>JDG3026</v>
          </cell>
          <cell r="D920">
            <v>33201033237500</v>
          </cell>
          <cell r="E920" t="str">
            <v>TINGGI</v>
          </cell>
          <cell r="F920" t="str">
            <v>Tidak</v>
          </cell>
          <cell r="G920" t="str">
            <v>Tidak</v>
          </cell>
          <cell r="H920" t="str">
            <v>Tidak</v>
          </cell>
          <cell r="I920" t="str">
            <v>Pencurian Rekening</v>
          </cell>
          <cell r="J920">
            <v>64</v>
          </cell>
          <cell r="K920">
            <v>59</v>
          </cell>
          <cell r="L920" t="str">
            <v>Perbankan</v>
          </cell>
          <cell r="M920" t="str">
            <v xml:space="preserve">KC Jakarta Hayam Wuruk                  </v>
          </cell>
          <cell r="N920" t="str">
            <v xml:space="preserve">KC Jakarta Hayam Wuruk                  </v>
          </cell>
          <cell r="O920" t="str">
            <v xml:space="preserve">KANWIL JAKARTA 3                        </v>
          </cell>
          <cell r="R920" t="str">
            <v>Belum TL</v>
          </cell>
          <cell r="S920" t="str">
            <v>Belum TL</v>
          </cell>
          <cell r="T920" t="str">
            <v>90150130 - Intan Aida Pratiwi</v>
          </cell>
          <cell r="U920" t="str">
            <v>"-"</v>
          </cell>
        </row>
        <row r="921">
          <cell r="A921">
            <v>46265</v>
          </cell>
          <cell r="B921" t="str">
            <v xml:space="preserve">JEMI EDUART RUMATORA                    </v>
          </cell>
          <cell r="C921" t="str">
            <v>JDO7981</v>
          </cell>
          <cell r="D921">
            <v>522001026267104</v>
          </cell>
          <cell r="E921" t="str">
            <v>TINGGI</v>
          </cell>
          <cell r="F921" t="str">
            <v>Tidak</v>
          </cell>
          <cell r="G921" t="str">
            <v>Tidak</v>
          </cell>
          <cell r="H921" t="str">
            <v>Tidak</v>
          </cell>
          <cell r="I921" t="str">
            <v>Korupsi - Loan View</v>
          </cell>
          <cell r="J921">
            <v>68</v>
          </cell>
          <cell r="K921">
            <v>15</v>
          </cell>
          <cell r="L921" t="str">
            <v>Korupsi</v>
          </cell>
          <cell r="M921" t="str">
            <v>Kas Kanpus</v>
          </cell>
          <cell r="N921" t="str">
            <v>Kas Kanpus</v>
          </cell>
          <cell r="O921" t="str">
            <v>KAS KANPUS</v>
          </cell>
          <cell r="R921" t="str">
            <v>Belum TL</v>
          </cell>
          <cell r="S921" t="str">
            <v>Belum TL</v>
          </cell>
          <cell r="T921" t="str">
            <v>90186790 - Muhammad Alfin Farha</v>
          </cell>
          <cell r="U921" t="str">
            <v>"-"</v>
          </cell>
        </row>
        <row r="922">
          <cell r="A922">
            <v>46265</v>
          </cell>
          <cell r="B922" t="str">
            <v xml:space="preserve">JEKSON PELEALU                          </v>
          </cell>
          <cell r="C922" t="str">
            <v>JDR2000</v>
          </cell>
          <cell r="D922">
            <v>517001021331109</v>
          </cell>
          <cell r="E922" t="str">
            <v>RENDAH</v>
          </cell>
          <cell r="F922" t="str">
            <v>Tidak</v>
          </cell>
          <cell r="G922" t="str">
            <v>Tidak</v>
          </cell>
          <cell r="H922" t="str">
            <v>Tidak</v>
          </cell>
          <cell r="I922" t="str">
            <v>Korupsi - Loan View</v>
          </cell>
          <cell r="J922">
            <v>33</v>
          </cell>
          <cell r="K922">
            <v>15</v>
          </cell>
          <cell r="L922" t="str">
            <v>Korupsi</v>
          </cell>
          <cell r="M922" t="str">
            <v>Kas Kanpus</v>
          </cell>
          <cell r="N922" t="str">
            <v>Kas Kanpus</v>
          </cell>
          <cell r="O922" t="str">
            <v>KAS KANPUS</v>
          </cell>
          <cell r="R922" t="str">
            <v>Belum TL</v>
          </cell>
          <cell r="S922" t="str">
            <v>Belum TL</v>
          </cell>
          <cell r="T922" t="str">
            <v>90185538 - Muhammad Fahikal Auz</v>
          </cell>
          <cell r="U922" t="str">
            <v>"-"</v>
          </cell>
        </row>
        <row r="923">
          <cell r="A923">
            <v>46265</v>
          </cell>
          <cell r="B923" t="str">
            <v xml:space="preserve">JUNI M.                                 </v>
          </cell>
          <cell r="C923" t="str">
            <v>JE12198</v>
          </cell>
          <cell r="D923">
            <v>11101003727301</v>
          </cell>
          <cell r="E923" t="str">
            <v>TINGGI</v>
          </cell>
          <cell r="F923" t="str">
            <v>Ya</v>
          </cell>
          <cell r="G923" t="str">
            <v>Tidak</v>
          </cell>
          <cell r="H923" t="str">
            <v>Tidak</v>
          </cell>
          <cell r="I923" t="str">
            <v>Narkotika - Area Lapas</v>
          </cell>
          <cell r="J923">
            <v>65</v>
          </cell>
          <cell r="K923">
            <v>46</v>
          </cell>
          <cell r="L923" t="str">
            <v>Narkotika</v>
          </cell>
          <cell r="M923" t="str">
            <v>KC Watampone</v>
          </cell>
          <cell r="N923" t="str">
            <v>KC Watampone</v>
          </cell>
          <cell r="O923" t="str">
            <v>Makassar</v>
          </cell>
          <cell r="R923" t="str">
            <v>Belum TL</v>
          </cell>
          <cell r="S923" t="str">
            <v>Belum TL</v>
          </cell>
          <cell r="T923" t="str">
            <v>90186790 - Muhammad Alfin Farha</v>
          </cell>
          <cell r="U923" t="str">
            <v>"-"</v>
          </cell>
        </row>
        <row r="924">
          <cell r="A924">
            <v>46265</v>
          </cell>
          <cell r="B924" t="str">
            <v xml:space="preserve">JUANDA                                  </v>
          </cell>
          <cell r="C924" t="str">
            <v>JE60992</v>
          </cell>
          <cell r="D924">
            <v>558901010847100</v>
          </cell>
          <cell r="E924" t="str">
            <v>RENDAH</v>
          </cell>
          <cell r="F924" t="str">
            <v>Tidak</v>
          </cell>
          <cell r="G924" t="str">
            <v>Tidak</v>
          </cell>
          <cell r="H924" t="str">
            <v>Tidak</v>
          </cell>
          <cell r="I924" t="str">
            <v>Korupsi - Loan View</v>
          </cell>
          <cell r="J924">
            <v>33</v>
          </cell>
          <cell r="K924">
            <v>15</v>
          </cell>
          <cell r="L924" t="str">
            <v>Korupsi</v>
          </cell>
          <cell r="M924" t="str">
            <v>Kas Kanpus</v>
          </cell>
          <cell r="N924" t="str">
            <v>Kas Kanpus</v>
          </cell>
          <cell r="O924" t="str">
            <v>KAS KANPUS</v>
          </cell>
          <cell r="R924" t="str">
            <v>Belum TL</v>
          </cell>
          <cell r="S924" t="str">
            <v>Belum TL</v>
          </cell>
          <cell r="T924" t="str">
            <v>90185538 - Muhammad Fahikal Auz</v>
          </cell>
          <cell r="U924" t="str">
            <v>"-"</v>
          </cell>
        </row>
        <row r="925">
          <cell r="A925">
            <v>46265</v>
          </cell>
          <cell r="B925" t="str">
            <v xml:space="preserve">JUNAIDA                                 </v>
          </cell>
          <cell r="C925" t="str">
            <v>JE90518</v>
          </cell>
          <cell r="D925">
            <v>32301100165504</v>
          </cell>
          <cell r="E925" t="str">
            <v>SEDANG</v>
          </cell>
          <cell r="F925" t="str">
            <v>Tidak</v>
          </cell>
          <cell r="G925" t="str">
            <v>Tidak</v>
          </cell>
          <cell r="H925" t="str">
            <v>Tidak</v>
          </cell>
          <cell r="I925" t="str">
            <v>Bandar Judol Withdrawal</v>
          </cell>
          <cell r="J925">
            <v>50</v>
          </cell>
          <cell r="K925" t="str">
            <v>86,88,87</v>
          </cell>
          <cell r="L925" t="str">
            <v>Judi Online</v>
          </cell>
          <cell r="M925" t="str">
            <v xml:space="preserve">Kas Kanpus                              </v>
          </cell>
          <cell r="N925" t="str">
            <v xml:space="preserve">Kas Kanpus                              </v>
          </cell>
          <cell r="O925" t="str">
            <v xml:space="preserve">KAS KANPUS                              </v>
          </cell>
          <cell r="R925" t="str">
            <v>Belum TL</v>
          </cell>
          <cell r="S925" t="str">
            <v>Belum TL</v>
          </cell>
          <cell r="T925" t="str">
            <v>00394521 - Muhammad Hibbanduta</v>
          </cell>
          <cell r="U925" t="str">
            <v>"-"</v>
          </cell>
        </row>
        <row r="926">
          <cell r="A926">
            <v>46265</v>
          </cell>
          <cell r="B926" t="str">
            <v xml:space="preserve">JUSUF UMAR RADITYA                      </v>
          </cell>
          <cell r="C926" t="str">
            <v>JEG9617</v>
          </cell>
          <cell r="D926">
            <v>8101056540507</v>
          </cell>
          <cell r="E926" t="str">
            <v>TINGGI</v>
          </cell>
          <cell r="F926" t="str">
            <v>Tidak</v>
          </cell>
          <cell r="G926" t="str">
            <v>Tidak</v>
          </cell>
          <cell r="H926" t="str">
            <v>Tidak</v>
          </cell>
          <cell r="I926" t="str">
            <v>Terorisme - SIPENDAR</v>
          </cell>
          <cell r="J926">
            <v>188</v>
          </cell>
          <cell r="K926">
            <v>36</v>
          </cell>
          <cell r="L926" t="str">
            <v>Terorisme</v>
          </cell>
          <cell r="M926" t="str">
            <v xml:space="preserve">Kas Kanpus                              </v>
          </cell>
          <cell r="N926" t="str">
            <v xml:space="preserve">Kas Kanpus                              </v>
          </cell>
          <cell r="O926" t="str">
            <v xml:space="preserve">KAS KANPUS                              </v>
          </cell>
          <cell r="R926" t="str">
            <v>Belum TL</v>
          </cell>
          <cell r="S926" t="str">
            <v>Belum TL</v>
          </cell>
          <cell r="T926" t="str">
            <v>00336949 - Mochammad Al Farabi</v>
          </cell>
          <cell r="U926" t="str">
            <v>"-"</v>
          </cell>
        </row>
        <row r="927">
          <cell r="A927">
            <v>46265</v>
          </cell>
          <cell r="B927" t="str">
            <v xml:space="preserve">JULINDA NGAMA                           </v>
          </cell>
          <cell r="C927" t="str">
            <v>JEJ6178</v>
          </cell>
          <cell r="D927">
            <v>364601018183102</v>
          </cell>
          <cell r="E927" t="str">
            <v>SEDANG</v>
          </cell>
          <cell r="F927" t="str">
            <v>Tidak</v>
          </cell>
          <cell r="G927" t="str">
            <v>Tidak</v>
          </cell>
          <cell r="H927" t="str">
            <v>Tidak</v>
          </cell>
          <cell r="I927" t="str">
            <v>Korupsi - Loan View</v>
          </cell>
          <cell r="J927">
            <v>48</v>
          </cell>
          <cell r="K927">
            <v>15</v>
          </cell>
          <cell r="L927" t="str">
            <v>Korupsi</v>
          </cell>
          <cell r="M927" t="str">
            <v>Kas Kanpus</v>
          </cell>
          <cell r="N927" t="str">
            <v>Kas Kanpus</v>
          </cell>
          <cell r="O927" t="str">
            <v>KAS KANPUS</v>
          </cell>
          <cell r="R927" t="str">
            <v>Belum TL</v>
          </cell>
          <cell r="S927" t="str">
            <v>Belum TL</v>
          </cell>
          <cell r="T927" t="str">
            <v>90150130 - Intan Aida Pratiwi</v>
          </cell>
          <cell r="U927" t="str">
            <v>"-"</v>
          </cell>
        </row>
        <row r="928">
          <cell r="A928">
            <v>46265</v>
          </cell>
          <cell r="B928" t="str">
            <v xml:space="preserve">JHON FREDY PARINUSSA                    </v>
          </cell>
          <cell r="C928" t="str">
            <v>JCM1108</v>
          </cell>
          <cell r="D928">
            <v>497301009556104</v>
          </cell>
          <cell r="E928" t="str">
            <v>RENDAH</v>
          </cell>
          <cell r="F928" t="str">
            <v>Tidak</v>
          </cell>
          <cell r="G928" t="str">
            <v>Tidak</v>
          </cell>
          <cell r="H928" t="str">
            <v>Tidak</v>
          </cell>
          <cell r="I928" t="str">
            <v>Korupsi - Loan View</v>
          </cell>
          <cell r="J928">
            <v>33</v>
          </cell>
          <cell r="K928">
            <v>15</v>
          </cell>
          <cell r="L928" t="str">
            <v>Korupsi</v>
          </cell>
          <cell r="M928" t="str">
            <v>Kas Kanpus</v>
          </cell>
          <cell r="N928" t="str">
            <v>Kas Kanpus</v>
          </cell>
          <cell r="O928" t="str">
            <v>KAS KANPUS</v>
          </cell>
          <cell r="R928" t="str">
            <v>Belum TL</v>
          </cell>
          <cell r="S928" t="str">
            <v>Belum TL</v>
          </cell>
          <cell r="T928" t="str">
            <v>90186790 - Muhammad Alfin Farha</v>
          </cell>
          <cell r="U928" t="str">
            <v>"-"</v>
          </cell>
        </row>
        <row r="929">
          <cell r="A929">
            <v>46265</v>
          </cell>
          <cell r="B929" t="str">
            <v xml:space="preserve">JESIKA HERLINA PUTRI                    </v>
          </cell>
          <cell r="C929" t="str">
            <v>JEY3971</v>
          </cell>
          <cell r="D929">
            <v>225101000937561</v>
          </cell>
          <cell r="E929" t="str">
            <v>SEDANG</v>
          </cell>
          <cell r="F929" t="str">
            <v>Tidak</v>
          </cell>
          <cell r="G929" t="str">
            <v>Tidak</v>
          </cell>
          <cell r="H929" t="str">
            <v>Tidak</v>
          </cell>
          <cell r="I929" t="str">
            <v>Bandar Judol Depo</v>
          </cell>
          <cell r="J929">
            <v>50</v>
          </cell>
          <cell r="K929" t="str">
            <v>86,74,87</v>
          </cell>
          <cell r="L929" t="str">
            <v>Judi Online</v>
          </cell>
          <cell r="M929" t="str">
            <v xml:space="preserve">Kas Kanpus                              </v>
          </cell>
          <cell r="N929" t="str">
            <v xml:space="preserve">Kas Kanpus                              </v>
          </cell>
          <cell r="O929" t="str">
            <v xml:space="preserve">KAS KANPUS                              </v>
          </cell>
          <cell r="R929" t="str">
            <v>Belum TL</v>
          </cell>
          <cell r="S929" t="str">
            <v>Belum TL</v>
          </cell>
          <cell r="T929" t="str">
            <v>90170665 - Mutiara Ayuningtyas</v>
          </cell>
          <cell r="U929" t="str">
            <v>"-"</v>
          </cell>
        </row>
        <row r="930">
          <cell r="A930">
            <v>46265</v>
          </cell>
          <cell r="B930" t="str">
            <v xml:space="preserve">JULUNG WANGI                            </v>
          </cell>
          <cell r="C930" t="str">
            <v>JF54067</v>
          </cell>
          <cell r="D930">
            <v>52101000433152</v>
          </cell>
          <cell r="E930" t="str">
            <v>SEDANG</v>
          </cell>
          <cell r="F930" t="str">
            <v>Tidak</v>
          </cell>
          <cell r="G930" t="str">
            <v>Tidak</v>
          </cell>
          <cell r="H930" t="str">
            <v>Tidak</v>
          </cell>
          <cell r="I930" t="str">
            <v>Korupsi - Loan View</v>
          </cell>
          <cell r="J930">
            <v>48</v>
          </cell>
          <cell r="K930">
            <v>15</v>
          </cell>
          <cell r="L930" t="str">
            <v>Korupsi</v>
          </cell>
          <cell r="M930" t="str">
            <v>Kas Kanpus</v>
          </cell>
          <cell r="N930" t="str">
            <v>Kas Kanpus</v>
          </cell>
          <cell r="O930" t="str">
            <v>KAS KANPUS</v>
          </cell>
          <cell r="R930" t="str">
            <v>Belum TL</v>
          </cell>
          <cell r="S930" t="str">
            <v>Belum TL</v>
          </cell>
          <cell r="T930" t="str">
            <v>90171841 - Rifqi Aziz</v>
          </cell>
          <cell r="U930" t="str">
            <v>"-"</v>
          </cell>
        </row>
        <row r="931">
          <cell r="A931">
            <v>46265</v>
          </cell>
          <cell r="B931" t="str">
            <v xml:space="preserve">JEFRY R BOIKAWAY                        </v>
          </cell>
          <cell r="C931" t="str">
            <v>JG34129</v>
          </cell>
          <cell r="D931">
            <v>509501017856107</v>
          </cell>
          <cell r="E931" t="str">
            <v>SEDANG</v>
          </cell>
          <cell r="F931" t="str">
            <v>Tidak</v>
          </cell>
          <cell r="G931" t="str">
            <v>Tidak</v>
          </cell>
          <cell r="H931" t="str">
            <v>Tidak</v>
          </cell>
          <cell r="I931" t="str">
            <v>Korupsi - Loan View</v>
          </cell>
          <cell r="J931">
            <v>48</v>
          </cell>
          <cell r="K931">
            <v>15</v>
          </cell>
          <cell r="L931" t="str">
            <v>Korupsi</v>
          </cell>
          <cell r="M931" t="str">
            <v>Kas Kanpus</v>
          </cell>
          <cell r="N931" t="str">
            <v>Kas Kanpus</v>
          </cell>
          <cell r="O931" t="str">
            <v>KAS KANPUS</v>
          </cell>
          <cell r="R931" t="str">
            <v>Belum TL</v>
          </cell>
          <cell r="S931" t="str">
            <v>Belum TL</v>
          </cell>
          <cell r="T931" t="str">
            <v>00394520 - Frida Akbar Rani</v>
          </cell>
          <cell r="U931" t="str">
            <v>"-"</v>
          </cell>
        </row>
        <row r="932">
          <cell r="A932">
            <v>46265</v>
          </cell>
          <cell r="B932" t="str">
            <v xml:space="preserve">JUMBO JADE                              </v>
          </cell>
          <cell r="C932" t="str">
            <v>JGD4787</v>
          </cell>
          <cell r="D932">
            <v>107401000357300</v>
          </cell>
          <cell r="E932" t="str">
            <v>SEDANG</v>
          </cell>
          <cell r="F932" t="str">
            <v>Tidak</v>
          </cell>
          <cell r="G932" t="str">
            <v>Tidak</v>
          </cell>
          <cell r="H932" t="str">
            <v>Tidak</v>
          </cell>
          <cell r="I932" t="str">
            <v>Perpajakan</v>
          </cell>
          <cell r="J932">
            <v>48</v>
          </cell>
          <cell r="K932">
            <v>41</v>
          </cell>
          <cell r="L932" t="str">
            <v>Perpajakan</v>
          </cell>
          <cell r="M932" t="str">
            <v xml:space="preserve">KCP LATIMOJONG                          </v>
          </cell>
          <cell r="N932" t="str">
            <v xml:space="preserve">KC Makassar Ahmad Yani                  </v>
          </cell>
          <cell r="O932" t="str">
            <v xml:space="preserve">Makassar                                </v>
          </cell>
          <cell r="R932" t="str">
            <v>Belum TL</v>
          </cell>
          <cell r="S932" t="str">
            <v>Belum TL</v>
          </cell>
          <cell r="T932" t="str">
            <v>90170665 - Mutiara Ayuningtyas</v>
          </cell>
          <cell r="U932" t="str">
            <v>"-"</v>
          </cell>
        </row>
        <row r="933">
          <cell r="A933">
            <v>46265</v>
          </cell>
          <cell r="B933" t="str">
            <v xml:space="preserve">JUNANTI                                 </v>
          </cell>
          <cell r="C933" t="str">
            <v>JHO7929</v>
          </cell>
          <cell r="D933">
            <v>11801001610564</v>
          </cell>
          <cell r="E933" t="str">
            <v>SEDANG</v>
          </cell>
          <cell r="F933" t="str">
            <v>Tidak</v>
          </cell>
          <cell r="G933" t="str">
            <v>Tidak</v>
          </cell>
          <cell r="H933" t="str">
            <v>Tidak</v>
          </cell>
          <cell r="I933" t="str">
            <v>Bandar Judol Withdrawal</v>
          </cell>
          <cell r="J933">
            <v>50</v>
          </cell>
          <cell r="K933" t="str">
            <v>86,88,87</v>
          </cell>
          <cell r="L933" t="str">
            <v>Judi Online</v>
          </cell>
          <cell r="M933" t="str">
            <v xml:space="preserve">Kas Kanpus                              </v>
          </cell>
          <cell r="N933" t="str">
            <v xml:space="preserve">Kas Kanpus                              </v>
          </cell>
          <cell r="O933" t="str">
            <v xml:space="preserve">KAS KANPUS                              </v>
          </cell>
          <cell r="R933" t="str">
            <v>Belum TL</v>
          </cell>
          <cell r="S933" t="str">
            <v>Belum TL</v>
          </cell>
          <cell r="T933" t="str">
            <v>90185537 - Moh.Khoerul Fajar Ar</v>
          </cell>
          <cell r="U933" t="str">
            <v>"-"</v>
          </cell>
        </row>
        <row r="934">
          <cell r="A934">
            <v>46265</v>
          </cell>
          <cell r="B934" t="str">
            <v xml:space="preserve">JEJEN KAMALUDIN                         </v>
          </cell>
          <cell r="C934" t="str">
            <v>JIA0292</v>
          </cell>
          <cell r="D934">
            <v>4359720282424600</v>
          </cell>
          <cell r="E934" t="str">
            <v>SEDANG</v>
          </cell>
          <cell r="F934" t="str">
            <v>Tidak</v>
          </cell>
          <cell r="G934" t="str">
            <v>Tidak</v>
          </cell>
          <cell r="H934" t="str">
            <v>Tidak</v>
          </cell>
          <cell r="I934" t="str">
            <v>Penghindaran Pajak (Transaksi Fiktif)/Penyuapan CC</v>
          </cell>
          <cell r="J934">
            <v>45</v>
          </cell>
          <cell r="K934">
            <v>118</v>
          </cell>
          <cell r="L934" t="str">
            <v>Penyuapan / Penghindaran Pajak CC View</v>
          </cell>
          <cell r="M934" t="str">
            <v xml:space="preserve">Kas Kanpus                              </v>
          </cell>
          <cell r="N934" t="str">
            <v xml:space="preserve">Kas Kanpus                              </v>
          </cell>
          <cell r="O934" t="str">
            <v xml:space="preserve">KAS KANPUS                              </v>
          </cell>
          <cell r="R934" t="str">
            <v>Belum TL</v>
          </cell>
          <cell r="S934" t="str">
            <v>Belum TL</v>
          </cell>
          <cell r="T934" t="str">
            <v>00394520 - Frida Akbar Rani</v>
          </cell>
          <cell r="U934" t="str">
            <v>"-"</v>
          </cell>
        </row>
        <row r="935">
          <cell r="A935">
            <v>46265</v>
          </cell>
          <cell r="B935" t="str">
            <v xml:space="preserve">JULIANA                                 </v>
          </cell>
          <cell r="C935" t="str">
            <v>JGO8538</v>
          </cell>
          <cell r="D935">
            <v>791701024274532</v>
          </cell>
          <cell r="E935" t="str">
            <v>SEDANG</v>
          </cell>
          <cell r="F935" t="str">
            <v>Tidak</v>
          </cell>
          <cell r="G935" t="str">
            <v>Tidak</v>
          </cell>
          <cell r="H935" t="str">
            <v>Tidak</v>
          </cell>
          <cell r="I935" t="str">
            <v>Bandar Judol Withdrawal</v>
          </cell>
          <cell r="J935">
            <v>50</v>
          </cell>
          <cell r="K935" t="str">
            <v>86,88,87</v>
          </cell>
          <cell r="L935" t="str">
            <v>Judi Online</v>
          </cell>
          <cell r="M935" t="str">
            <v xml:space="preserve">Kas Kanpus                              </v>
          </cell>
          <cell r="N935" t="str">
            <v xml:space="preserve">Kas Kanpus                              </v>
          </cell>
          <cell r="O935" t="str">
            <v xml:space="preserve">KAS KANPUS                              </v>
          </cell>
          <cell r="R935" t="str">
            <v>Belum TL</v>
          </cell>
          <cell r="S935" t="str">
            <v>Belum TL</v>
          </cell>
          <cell r="T935" t="str">
            <v>90185537 - Moh.Khoerul Fajar Ar</v>
          </cell>
          <cell r="U935" t="str">
            <v>"-"</v>
          </cell>
        </row>
        <row r="936">
          <cell r="A936">
            <v>46265</v>
          </cell>
          <cell r="B936" t="str">
            <v xml:space="preserve">JEMS FRANKLIN TLAAN                     </v>
          </cell>
          <cell r="C936" t="str">
            <v>JJP7904</v>
          </cell>
          <cell r="D936">
            <v>467501012496101</v>
          </cell>
          <cell r="E936" t="str">
            <v>SEDANG</v>
          </cell>
          <cell r="F936" t="str">
            <v>Tidak</v>
          </cell>
          <cell r="G936" t="str">
            <v>Tidak</v>
          </cell>
          <cell r="H936" t="str">
            <v>Tidak</v>
          </cell>
          <cell r="I936" t="str">
            <v>Korupsi - Loan View</v>
          </cell>
          <cell r="J936">
            <v>48</v>
          </cell>
          <cell r="K936">
            <v>15</v>
          </cell>
          <cell r="L936" t="str">
            <v>Korupsi</v>
          </cell>
          <cell r="M936" t="str">
            <v>Kas Kanpus</v>
          </cell>
          <cell r="N936" t="str">
            <v>Kas Kanpus</v>
          </cell>
          <cell r="O936" t="str">
            <v>KAS KANPUS</v>
          </cell>
          <cell r="R936" t="str">
            <v>Belum TL</v>
          </cell>
          <cell r="S936" t="str">
            <v>Belum TL</v>
          </cell>
          <cell r="T936" t="str">
            <v>90170665 - Mutiara Ayuningtyas</v>
          </cell>
          <cell r="U936" t="str">
            <v>"-"</v>
          </cell>
        </row>
        <row r="937">
          <cell r="A937">
            <v>46265</v>
          </cell>
          <cell r="B937" t="str">
            <v xml:space="preserve">JONAR MANURUNG                          </v>
          </cell>
          <cell r="C937" t="str">
            <v>JJW7779</v>
          </cell>
          <cell r="D937">
            <v>26601023347532</v>
          </cell>
          <cell r="E937" t="str">
            <v>SEDANG</v>
          </cell>
          <cell r="F937" t="str">
            <v>Tidak</v>
          </cell>
          <cell r="G937" t="str">
            <v>Tidak</v>
          </cell>
          <cell r="H937" t="str">
            <v>Tidak</v>
          </cell>
          <cell r="I937" t="str">
            <v>Bandar Judol Withdrawal</v>
          </cell>
          <cell r="J937">
            <v>50</v>
          </cell>
          <cell r="K937" t="str">
            <v>86,88,87</v>
          </cell>
          <cell r="L937" t="str">
            <v>Judi Online</v>
          </cell>
          <cell r="M937" t="str">
            <v xml:space="preserve">Kas Kanpus                              </v>
          </cell>
          <cell r="N937" t="str">
            <v xml:space="preserve">Kas Kanpus                              </v>
          </cell>
          <cell r="O937" t="str">
            <v xml:space="preserve">KAS KANPUS                              </v>
          </cell>
          <cell r="R937" t="str">
            <v>Belum TL</v>
          </cell>
          <cell r="S937" t="str">
            <v>Belum TL</v>
          </cell>
          <cell r="T937" t="str">
            <v>00394521 - Muhammad Hibbanduta</v>
          </cell>
          <cell r="U937" t="str">
            <v>"-"</v>
          </cell>
        </row>
        <row r="938">
          <cell r="A938">
            <v>46265</v>
          </cell>
          <cell r="B938" t="str">
            <v xml:space="preserve">JESSINDO PRAKARSA                       </v>
          </cell>
          <cell r="C938" t="str">
            <v>JKU6322</v>
          </cell>
          <cell r="D938">
            <v>44201002095300</v>
          </cell>
          <cell r="E938" t="str">
            <v>SEDANG</v>
          </cell>
          <cell r="F938" t="str">
            <v>Tidak</v>
          </cell>
          <cell r="G938" t="str">
            <v>Tidak</v>
          </cell>
          <cell r="H938" t="str">
            <v>Tidak</v>
          </cell>
          <cell r="I938" t="str">
            <v>Perpajakan</v>
          </cell>
          <cell r="J938">
            <v>50</v>
          </cell>
          <cell r="K938">
            <v>1.33</v>
          </cell>
          <cell r="L938" t="str">
            <v>Perpajakan</v>
          </cell>
          <cell r="M938" t="str">
            <v xml:space="preserve">KC Jakarta Kramat Jati                  </v>
          </cell>
          <cell r="N938" t="str">
            <v xml:space="preserve">KC Jakarta Kramat Jati                  </v>
          </cell>
          <cell r="O938" t="str">
            <v xml:space="preserve">DKI                                     </v>
          </cell>
          <cell r="R938" t="str">
            <v>Belum TL</v>
          </cell>
          <cell r="S938" t="str">
            <v>Belum TL</v>
          </cell>
          <cell r="T938" t="str">
            <v>90186796 - Devito Arya Wiradila</v>
          </cell>
          <cell r="U938" t="str">
            <v>"-"</v>
          </cell>
        </row>
        <row r="939">
          <cell r="A939">
            <v>46265</v>
          </cell>
          <cell r="B939" t="str">
            <v xml:space="preserve">JUJU JUMARA                             </v>
          </cell>
          <cell r="C939" t="str">
            <v>JLC2890</v>
          </cell>
          <cell r="D939">
            <v>213601012929500</v>
          </cell>
          <cell r="E939" t="str">
            <v>SEDANG</v>
          </cell>
          <cell r="F939" t="str">
            <v>Tidak</v>
          </cell>
          <cell r="G939" t="str">
            <v>Tidak</v>
          </cell>
          <cell r="H939" t="str">
            <v>Tidak</v>
          </cell>
          <cell r="I939" t="str">
            <v>Bandar Judol Withdrawal</v>
          </cell>
          <cell r="J939">
            <v>50</v>
          </cell>
          <cell r="K939" t="str">
            <v>86,88,87</v>
          </cell>
          <cell r="L939" t="str">
            <v>Judi Online</v>
          </cell>
          <cell r="M939" t="str">
            <v xml:space="preserve">Kas Kanpus                              </v>
          </cell>
          <cell r="N939" t="str">
            <v xml:space="preserve">Kas Kanpus                              </v>
          </cell>
          <cell r="O939" t="str">
            <v xml:space="preserve">KAS KANPUS                              </v>
          </cell>
          <cell r="R939" t="str">
            <v>Belum TL</v>
          </cell>
          <cell r="S939" t="str">
            <v>Belum TL</v>
          </cell>
          <cell r="T939" t="str">
            <v>90185537 - Moh.Khoerul Fajar Ar</v>
          </cell>
          <cell r="U939" t="str">
            <v>"-"</v>
          </cell>
        </row>
        <row r="940">
          <cell r="A940">
            <v>46265</v>
          </cell>
          <cell r="B940" t="str">
            <v xml:space="preserve">JUHERI                                  </v>
          </cell>
          <cell r="C940" t="str">
            <v>JLV5681</v>
          </cell>
          <cell r="D940">
            <v>481701009137502</v>
          </cell>
          <cell r="E940" t="str">
            <v>SEDANG</v>
          </cell>
          <cell r="F940" t="str">
            <v>Tidak</v>
          </cell>
          <cell r="G940" t="str">
            <v>Tidak</v>
          </cell>
          <cell r="H940" t="str">
            <v>Tidak</v>
          </cell>
          <cell r="I940" t="str">
            <v>Bandar Judol Withdrawal</v>
          </cell>
          <cell r="J940">
            <v>50</v>
          </cell>
          <cell r="K940" t="str">
            <v>86,88,87</v>
          </cell>
          <cell r="L940" t="str">
            <v>Judi Online</v>
          </cell>
          <cell r="M940" t="str">
            <v xml:space="preserve">Kas Kanpus                              </v>
          </cell>
          <cell r="N940" t="str">
            <v xml:space="preserve">Kas Kanpus                              </v>
          </cell>
          <cell r="O940" t="str">
            <v xml:space="preserve">KAS KANPUS                              </v>
          </cell>
          <cell r="R940" t="str">
            <v>Belum TL</v>
          </cell>
          <cell r="S940" t="str">
            <v>Belum TL</v>
          </cell>
          <cell r="T940" t="str">
            <v>90171841 - Rifqi Aziz</v>
          </cell>
          <cell r="U940" t="str">
            <v>"-"</v>
          </cell>
        </row>
        <row r="941">
          <cell r="A941">
            <v>46265</v>
          </cell>
          <cell r="B941" t="str">
            <v xml:space="preserve">JOVANACHEL GANSUR                       </v>
          </cell>
          <cell r="C941" t="str">
            <v>JN83044</v>
          </cell>
          <cell r="D941">
            <v>63301000404152</v>
          </cell>
          <cell r="E941" t="str">
            <v>SEDANG</v>
          </cell>
          <cell r="F941" t="str">
            <v>Tidak</v>
          </cell>
          <cell r="G941" t="str">
            <v>Tidak</v>
          </cell>
          <cell r="H941" t="str">
            <v>Tidak</v>
          </cell>
          <cell r="I941" t="str">
            <v>Korupsi - Loan View</v>
          </cell>
          <cell r="J941">
            <v>48</v>
          </cell>
          <cell r="K941">
            <v>15</v>
          </cell>
          <cell r="L941" t="str">
            <v>Korupsi</v>
          </cell>
          <cell r="M941" t="str">
            <v>Kas Kanpus</v>
          </cell>
          <cell r="N941" t="str">
            <v>Kas Kanpus</v>
          </cell>
          <cell r="O941" t="str">
            <v>KAS KANPUS</v>
          </cell>
          <cell r="R941" t="str">
            <v>Belum TL</v>
          </cell>
          <cell r="S941" t="str">
            <v>Belum TL</v>
          </cell>
          <cell r="T941" t="str">
            <v>00394520 - Frida Akbar Rani</v>
          </cell>
          <cell r="U941" t="str">
            <v>"-"</v>
          </cell>
        </row>
        <row r="942">
          <cell r="A942">
            <v>46265</v>
          </cell>
          <cell r="B942" t="str">
            <v xml:space="preserve">JUNAIDI EFENDI S SI                     </v>
          </cell>
          <cell r="C942" t="str">
            <v>JN91263</v>
          </cell>
          <cell r="D942">
            <v>447501011800107</v>
          </cell>
          <cell r="E942" t="str">
            <v>SEDANG</v>
          </cell>
          <cell r="F942" t="str">
            <v>Tidak</v>
          </cell>
          <cell r="G942" t="str">
            <v>Tidak</v>
          </cell>
          <cell r="H942" t="str">
            <v>Tidak</v>
          </cell>
          <cell r="I942" t="str">
            <v>Korupsi - Loan View</v>
          </cell>
          <cell r="J942">
            <v>48</v>
          </cell>
          <cell r="K942">
            <v>15</v>
          </cell>
          <cell r="L942" t="str">
            <v>Korupsi</v>
          </cell>
          <cell r="M942" t="str">
            <v>Kas Kanpus</v>
          </cell>
          <cell r="N942" t="str">
            <v>Kas Kanpus</v>
          </cell>
          <cell r="O942" t="str">
            <v>KAS KANPUS</v>
          </cell>
          <cell r="R942" t="str">
            <v>Belum TL</v>
          </cell>
          <cell r="S942" t="str">
            <v>Belum TL</v>
          </cell>
          <cell r="T942" t="str">
            <v>00394520 - Frida Akbar Rani</v>
          </cell>
          <cell r="U942" t="str">
            <v>"-"</v>
          </cell>
        </row>
        <row r="943">
          <cell r="A943">
            <v>46265</v>
          </cell>
          <cell r="B943" t="str">
            <v xml:space="preserve">JUMIYANTO                               </v>
          </cell>
          <cell r="C943" t="str">
            <v>JN95248</v>
          </cell>
          <cell r="D943">
            <v>8301054945107</v>
          </cell>
          <cell r="E943" t="str">
            <v>SEDANG</v>
          </cell>
          <cell r="F943" t="str">
            <v>Tidak</v>
          </cell>
          <cell r="G943" t="str">
            <v>Tidak</v>
          </cell>
          <cell r="H943" t="str">
            <v>Tidak</v>
          </cell>
          <cell r="I943" t="str">
            <v>Korupsi - Loan View</v>
          </cell>
          <cell r="J943">
            <v>48</v>
          </cell>
          <cell r="K943">
            <v>15</v>
          </cell>
          <cell r="L943" t="str">
            <v>Korupsi</v>
          </cell>
          <cell r="M943" t="str">
            <v>Kas Kanpus</v>
          </cell>
          <cell r="N943" t="str">
            <v>Kas Kanpus</v>
          </cell>
          <cell r="O943" t="str">
            <v>KAS KANPUS</v>
          </cell>
          <cell r="R943" t="str">
            <v>Belum TL</v>
          </cell>
          <cell r="S943" t="str">
            <v>Belum TL</v>
          </cell>
          <cell r="T943" t="str">
            <v>90186796 - Devito Arya Wiradila</v>
          </cell>
          <cell r="U943" t="str">
            <v>"-"</v>
          </cell>
        </row>
        <row r="944">
          <cell r="A944">
            <v>46265</v>
          </cell>
          <cell r="B944" t="str">
            <v xml:space="preserve">JAYA BUMI SAWIT                         </v>
          </cell>
          <cell r="C944" t="str">
            <v>JNF6226</v>
          </cell>
          <cell r="D944">
            <v>23801502267151</v>
          </cell>
          <cell r="F944" t="str">
            <v>Tidak</v>
          </cell>
          <cell r="G944" t="str">
            <v>Tidak</v>
          </cell>
          <cell r="H944" t="str">
            <v>Tidak</v>
          </cell>
          <cell r="I944" t="str">
            <v>Korupsi - Loan View</v>
          </cell>
          <cell r="J944">
            <v>33</v>
          </cell>
          <cell r="K944">
            <v>15</v>
          </cell>
          <cell r="L944" t="str">
            <v>Korupsi</v>
          </cell>
          <cell r="M944" t="str">
            <v>Kas Kanpus</v>
          </cell>
          <cell r="N944" t="str">
            <v>Kas Kanpus</v>
          </cell>
          <cell r="O944" t="str">
            <v>KAS KANPUS</v>
          </cell>
          <cell r="R944" t="str">
            <v>Belum TL</v>
          </cell>
          <cell r="S944" t="str">
            <v>Belum TL</v>
          </cell>
          <cell r="T944" t="str">
            <v>90186790 - Muhammad Alfin Farha</v>
          </cell>
          <cell r="U944" t="str">
            <v>"-"</v>
          </cell>
        </row>
        <row r="945">
          <cell r="A945">
            <v>46265</v>
          </cell>
          <cell r="B945" t="str">
            <v xml:space="preserve">JOSSE                                   </v>
          </cell>
          <cell r="C945" t="str">
            <v>JNK9888</v>
          </cell>
          <cell r="D945">
            <v>59901031728507</v>
          </cell>
          <cell r="F945" t="str">
            <v>Tidak</v>
          </cell>
          <cell r="G945" t="str">
            <v>Tidak</v>
          </cell>
          <cell r="H945" t="str">
            <v>Tidak</v>
          </cell>
          <cell r="I945" t="str">
            <v>Bandar Judol Withdrawal</v>
          </cell>
          <cell r="J945">
            <v>35</v>
          </cell>
          <cell r="K945" t="str">
            <v>86,88,87</v>
          </cell>
          <cell r="L945" t="str">
            <v>Judi Online</v>
          </cell>
          <cell r="M945" t="str">
            <v xml:space="preserve">Kas Kanpus                              </v>
          </cell>
          <cell r="N945" t="str">
            <v xml:space="preserve">Kas Kanpus                              </v>
          </cell>
          <cell r="O945" t="str">
            <v xml:space="preserve">KAS KANPUS                              </v>
          </cell>
          <cell r="R945" t="str">
            <v>Belum TL</v>
          </cell>
          <cell r="S945" t="str">
            <v>Belum TL</v>
          </cell>
          <cell r="T945" t="str">
            <v>00394520 - Frida Akbar Rani</v>
          </cell>
          <cell r="U945" t="str">
            <v>"-"</v>
          </cell>
        </row>
        <row r="946">
          <cell r="A946">
            <v>46265</v>
          </cell>
          <cell r="B946" t="str">
            <v xml:space="preserve">JULIUS RONALD REYMOND OMBUH             </v>
          </cell>
          <cell r="C946" t="str">
            <v>JL30442</v>
          </cell>
          <cell r="D946">
            <v>517001021339107</v>
          </cell>
          <cell r="E946" t="str">
            <v>SEDANG</v>
          </cell>
          <cell r="F946" t="str">
            <v>Tidak</v>
          </cell>
          <cell r="G946" t="str">
            <v>Tidak</v>
          </cell>
          <cell r="H946" t="str">
            <v>Tidak</v>
          </cell>
          <cell r="I946" t="str">
            <v>Korupsi - Loan View</v>
          </cell>
          <cell r="J946">
            <v>48</v>
          </cell>
          <cell r="K946">
            <v>15</v>
          </cell>
          <cell r="L946" t="str">
            <v>Korupsi</v>
          </cell>
          <cell r="M946" t="str">
            <v>Kas Kanpus</v>
          </cell>
          <cell r="N946" t="str">
            <v>Kas Kanpus</v>
          </cell>
          <cell r="O946" t="str">
            <v>KAS KANPUS</v>
          </cell>
          <cell r="R946" t="str">
            <v>Belum TL</v>
          </cell>
          <cell r="S946" t="str">
            <v>Belum TL</v>
          </cell>
          <cell r="T946" t="str">
            <v>90185538 - Muhammad Fahikal Auz</v>
          </cell>
          <cell r="U946" t="str">
            <v>"-"</v>
          </cell>
        </row>
        <row r="947">
          <cell r="A947">
            <v>46265</v>
          </cell>
          <cell r="B947" t="str">
            <v xml:space="preserve">JAMHARI                                 </v>
          </cell>
          <cell r="C947" t="str">
            <v>JNM7242</v>
          </cell>
          <cell r="D947">
            <v>112901009734536</v>
          </cell>
          <cell r="F947" t="str">
            <v>Tidak</v>
          </cell>
          <cell r="G947" t="str">
            <v>Tidak</v>
          </cell>
          <cell r="H947" t="str">
            <v>Tidak</v>
          </cell>
          <cell r="I947" t="str">
            <v>Bandar Judol Withdrawal</v>
          </cell>
          <cell r="J947">
            <v>35</v>
          </cell>
          <cell r="K947" t="str">
            <v>86,88,87</v>
          </cell>
          <cell r="L947" t="str">
            <v>Judi Online</v>
          </cell>
          <cell r="M947" t="str">
            <v xml:space="preserve">Kas Kanpus                              </v>
          </cell>
          <cell r="N947" t="str">
            <v xml:space="preserve">Kas Kanpus                              </v>
          </cell>
          <cell r="O947" t="str">
            <v xml:space="preserve">KAS KANPUS                              </v>
          </cell>
          <cell r="R947" t="str">
            <v>Belum TL</v>
          </cell>
          <cell r="S947" t="str">
            <v>Belum TL</v>
          </cell>
          <cell r="T947" t="str">
            <v>00394520 - Frida Akbar Rani</v>
          </cell>
          <cell r="U947" t="str">
            <v>"-"</v>
          </cell>
        </row>
        <row r="948">
          <cell r="A948">
            <v>46265</v>
          </cell>
          <cell r="B948" t="str">
            <v xml:space="preserve">JIMMY FRANCISCUS SAMANTHA               </v>
          </cell>
          <cell r="C948" t="str">
            <v>JO76160</v>
          </cell>
          <cell r="D948">
            <v>35601092515507</v>
          </cell>
          <cell r="F948" t="str">
            <v>Tidak</v>
          </cell>
          <cell r="G948" t="str">
            <v>Tidak</v>
          </cell>
          <cell r="I948" t="str">
            <v>Jual Beli Rekening - E channel Trx</v>
          </cell>
          <cell r="J948">
            <v>33</v>
          </cell>
          <cell r="K948">
            <v>113</v>
          </cell>
          <cell r="L948" t="str">
            <v>Narkotika/Judi Online/Penipuan</v>
          </cell>
          <cell r="M948" t="str">
            <v xml:space="preserve">KC JAKARTA KEMAYORAN                    </v>
          </cell>
          <cell r="N948" t="str">
            <v xml:space="preserve">KC JAKARTA KEMAYORAN                    </v>
          </cell>
          <cell r="O948" t="str">
            <v xml:space="preserve">DKI                                     </v>
          </cell>
          <cell r="R948" t="str">
            <v>Belum TL</v>
          </cell>
          <cell r="S948" t="str">
            <v>Belum TL</v>
          </cell>
          <cell r="U948" t="str">
            <v>"-"</v>
          </cell>
        </row>
        <row r="949">
          <cell r="A949">
            <v>46265</v>
          </cell>
          <cell r="B949" t="str">
            <v xml:space="preserve">JOKO SUSILO                             </v>
          </cell>
          <cell r="C949" t="str">
            <v>JOA2439</v>
          </cell>
          <cell r="D949">
            <v>222701001357565</v>
          </cell>
          <cell r="F949" t="str">
            <v>Tidak</v>
          </cell>
          <cell r="G949" t="str">
            <v>Tidak</v>
          </cell>
          <cell r="H949" t="str">
            <v>Tidak</v>
          </cell>
          <cell r="I949" t="str">
            <v>Bandar Judol Withdrawal</v>
          </cell>
          <cell r="J949">
            <v>35</v>
          </cell>
          <cell r="K949" t="str">
            <v>86,88,87</v>
          </cell>
          <cell r="L949" t="str">
            <v>Judi Online</v>
          </cell>
          <cell r="M949" t="str">
            <v xml:space="preserve">Kas Kanpus                              </v>
          </cell>
          <cell r="N949" t="str">
            <v xml:space="preserve">Kas Kanpus                              </v>
          </cell>
          <cell r="O949" t="str">
            <v xml:space="preserve">KAS KANPUS                              </v>
          </cell>
          <cell r="R949" t="str">
            <v>Belum TL</v>
          </cell>
          <cell r="S949" t="str">
            <v>Belum TL</v>
          </cell>
          <cell r="T949" t="str">
            <v>90150130 - Intan Aida Pratiwi</v>
          </cell>
          <cell r="U949" t="str">
            <v>"-"</v>
          </cell>
        </row>
        <row r="950">
          <cell r="A950">
            <v>46265</v>
          </cell>
          <cell r="B950" t="str">
            <v xml:space="preserve">JOSUA KRISTIAN DEPARI                   </v>
          </cell>
          <cell r="C950" t="str">
            <v>JOO1471</v>
          </cell>
          <cell r="D950">
            <v>65801029349505</v>
          </cell>
          <cell r="F950" t="str">
            <v>Tidak</v>
          </cell>
          <cell r="G950" t="str">
            <v>Tidak</v>
          </cell>
          <cell r="H950" t="str">
            <v>Tidak</v>
          </cell>
          <cell r="I950" t="str">
            <v>Bandar Judol Withdrawal</v>
          </cell>
          <cell r="J950">
            <v>35</v>
          </cell>
          <cell r="K950" t="str">
            <v>86,88,87</v>
          </cell>
          <cell r="L950" t="str">
            <v>Judi Online</v>
          </cell>
          <cell r="M950" t="str">
            <v xml:space="preserve">Kas Kanpus                              </v>
          </cell>
          <cell r="N950" t="str">
            <v xml:space="preserve">Kas Kanpus                              </v>
          </cell>
          <cell r="O950" t="str">
            <v xml:space="preserve">KAS KANPUS                              </v>
          </cell>
          <cell r="R950" t="str">
            <v>Belum TL</v>
          </cell>
          <cell r="S950" t="str">
            <v>Belum TL</v>
          </cell>
          <cell r="T950" t="str">
            <v>00394520 - Frida Akbar Rani</v>
          </cell>
          <cell r="U950" t="str">
            <v>"-"</v>
          </cell>
        </row>
        <row r="951">
          <cell r="A951">
            <v>46265</v>
          </cell>
          <cell r="B951" t="str">
            <v xml:space="preserve">JAWA TENGAH LAHAN ANDALAN               </v>
          </cell>
          <cell r="C951" t="str">
            <v>JOQ4461</v>
          </cell>
          <cell r="D951">
            <v>1601504105151</v>
          </cell>
          <cell r="F951" t="str">
            <v>Tidak</v>
          </cell>
          <cell r="G951" t="str">
            <v>Tidak</v>
          </cell>
          <cell r="H951" t="str">
            <v>Tidak</v>
          </cell>
          <cell r="I951" t="str">
            <v>Korupsi - Loan View</v>
          </cell>
          <cell r="J951">
            <v>33</v>
          </cell>
          <cell r="K951">
            <v>15</v>
          </cell>
          <cell r="L951" t="str">
            <v>Korupsi</v>
          </cell>
          <cell r="M951" t="str">
            <v>Kas Kanpus</v>
          </cell>
          <cell r="N951" t="str">
            <v>Kas Kanpus</v>
          </cell>
          <cell r="O951" t="str">
            <v>KAS KANPUS</v>
          </cell>
          <cell r="R951" t="str">
            <v>Belum TL</v>
          </cell>
          <cell r="S951" t="str">
            <v>Belum TL</v>
          </cell>
          <cell r="T951" t="str">
            <v>90186790 - Muhammad Alfin Farha</v>
          </cell>
          <cell r="U951" t="str">
            <v>"-"</v>
          </cell>
        </row>
        <row r="952">
          <cell r="A952">
            <v>46265</v>
          </cell>
          <cell r="B952" t="str">
            <v xml:space="preserve">JULIANTO PURNOMO                        </v>
          </cell>
          <cell r="C952" t="str">
            <v>JOS6033</v>
          </cell>
          <cell r="D952">
            <v>41501043369503</v>
          </cell>
          <cell r="F952" t="str">
            <v>Tidak</v>
          </cell>
          <cell r="G952" t="str">
            <v>Tidak</v>
          </cell>
          <cell r="H952" t="str">
            <v>Tidak</v>
          </cell>
          <cell r="I952" t="str">
            <v>Bandar Judol Withdrawal</v>
          </cell>
          <cell r="J952">
            <v>35</v>
          </cell>
          <cell r="K952" t="str">
            <v>86,88,87</v>
          </cell>
          <cell r="L952" t="str">
            <v>Judi Online</v>
          </cell>
          <cell r="M952" t="str">
            <v xml:space="preserve">Kas Kanpus                              </v>
          </cell>
          <cell r="N952" t="str">
            <v xml:space="preserve">Kas Kanpus                              </v>
          </cell>
          <cell r="O952" t="str">
            <v xml:space="preserve">KAS KANPUS                              </v>
          </cell>
          <cell r="R952" t="str">
            <v>Belum TL</v>
          </cell>
          <cell r="S952" t="str">
            <v>Belum TL</v>
          </cell>
          <cell r="T952" t="str">
            <v>90186796 - Devito Arya Wiradila</v>
          </cell>
          <cell r="U952" t="str">
            <v>"-"</v>
          </cell>
        </row>
        <row r="953">
          <cell r="A953">
            <v>46265</v>
          </cell>
          <cell r="B953" t="str">
            <v xml:space="preserve">JACKY LESMANA                           </v>
          </cell>
          <cell r="C953" t="str">
            <v>JOX7792</v>
          </cell>
          <cell r="D953">
            <v>90001000015566</v>
          </cell>
          <cell r="F953" t="str">
            <v>Tidak</v>
          </cell>
          <cell r="G953" t="str">
            <v>Tidak</v>
          </cell>
          <cell r="H953" t="str">
            <v>Tidak</v>
          </cell>
          <cell r="I953" t="str">
            <v>Bandar Judol Withdrawal</v>
          </cell>
          <cell r="J953">
            <v>35</v>
          </cell>
          <cell r="K953" t="str">
            <v>86,88,87</v>
          </cell>
          <cell r="L953" t="str">
            <v>Judi Online</v>
          </cell>
          <cell r="M953" t="str">
            <v xml:space="preserve">Kas Kanpus                              </v>
          </cell>
          <cell r="N953" t="str">
            <v xml:space="preserve">Kas Kanpus                              </v>
          </cell>
          <cell r="O953" t="str">
            <v xml:space="preserve">KAS KANPUS                              </v>
          </cell>
          <cell r="R953" t="str">
            <v>Belum TL</v>
          </cell>
          <cell r="S953" t="str">
            <v>Belum TL</v>
          </cell>
          <cell r="T953" t="str">
            <v>00394521 - Muhammad Hibbanduta</v>
          </cell>
          <cell r="U953" t="str">
            <v>"-"</v>
          </cell>
        </row>
        <row r="954">
          <cell r="A954">
            <v>46265</v>
          </cell>
          <cell r="B954" t="str">
            <v xml:space="preserve">JARNI PRANATA PAKPAHAN                  </v>
          </cell>
          <cell r="C954" t="str">
            <v>JOX9513</v>
          </cell>
          <cell r="D954">
            <v>40701011707536</v>
          </cell>
          <cell r="F954" t="str">
            <v>Tidak</v>
          </cell>
          <cell r="G954" t="str">
            <v>Tidak</v>
          </cell>
          <cell r="I954" t="str">
            <v>Jual Beli Rekening - E channel Trx</v>
          </cell>
          <cell r="J954">
            <v>33</v>
          </cell>
          <cell r="K954">
            <v>113</v>
          </cell>
          <cell r="L954" t="str">
            <v>Narkotika/Judi Online/Penipuan</v>
          </cell>
          <cell r="M954" t="str">
            <v xml:space="preserve">KC Bandung Sukarno Hatta                </v>
          </cell>
          <cell r="N954" t="str">
            <v xml:space="preserve">KC Bandung Sukarno Hatta                </v>
          </cell>
          <cell r="O954" t="str">
            <v xml:space="preserve">Bandung                                 </v>
          </cell>
          <cell r="R954" t="str">
            <v>Belum TL</v>
          </cell>
          <cell r="S954" t="str">
            <v>Belum TL</v>
          </cell>
          <cell r="U954" t="str">
            <v>"-"</v>
          </cell>
        </row>
        <row r="955">
          <cell r="A955">
            <v>46265</v>
          </cell>
          <cell r="B955" t="str">
            <v xml:space="preserve">JUSTITIA JONARTHA SIPAHELUT             </v>
          </cell>
          <cell r="C955" t="str">
            <v>JOY3345</v>
          </cell>
          <cell r="D955">
            <v>497201028176107</v>
          </cell>
          <cell r="F955" t="str">
            <v>Tidak</v>
          </cell>
          <cell r="G955" t="str">
            <v>Tidak</v>
          </cell>
          <cell r="H955" t="str">
            <v>Tidak</v>
          </cell>
          <cell r="I955" t="str">
            <v>Korupsi - Loan View</v>
          </cell>
          <cell r="J955">
            <v>33</v>
          </cell>
          <cell r="K955">
            <v>15</v>
          </cell>
          <cell r="L955" t="str">
            <v>Korupsi</v>
          </cell>
          <cell r="M955" t="str">
            <v>Kas Kanpus</v>
          </cell>
          <cell r="N955" t="str">
            <v>Kas Kanpus</v>
          </cell>
          <cell r="O955" t="str">
            <v>KAS KANPUS</v>
          </cell>
          <cell r="R955" t="str">
            <v>Belum TL</v>
          </cell>
          <cell r="S955" t="str">
            <v>Belum TL</v>
          </cell>
          <cell r="T955" t="str">
            <v>90186790 - Muhammad Alfin Farha</v>
          </cell>
          <cell r="U955" t="str">
            <v>"-"</v>
          </cell>
        </row>
        <row r="956">
          <cell r="A956">
            <v>46265</v>
          </cell>
          <cell r="B956" t="str">
            <v xml:space="preserve">JOHANDRI                                </v>
          </cell>
          <cell r="C956" t="str">
            <v>JPK0953</v>
          </cell>
          <cell r="D956">
            <v>576601008622504</v>
          </cell>
          <cell r="F956" t="str">
            <v>Tidak</v>
          </cell>
          <cell r="G956" t="str">
            <v>Tidak</v>
          </cell>
          <cell r="I956" t="str">
            <v>Jual Beli Rekening - E channel Trx</v>
          </cell>
          <cell r="J956">
            <v>33</v>
          </cell>
          <cell r="K956">
            <v>113</v>
          </cell>
          <cell r="L956" t="str">
            <v>Narkotika/Judi Online/Penipuan</v>
          </cell>
          <cell r="M956" t="str">
            <v xml:space="preserve">UNIT PANGKAL PINANG III PANGKA          </v>
          </cell>
          <cell r="N956" t="str">
            <v xml:space="preserve">KC Pangkal Pinang                       </v>
          </cell>
          <cell r="O956" t="str">
            <v xml:space="preserve">Palembang                               </v>
          </cell>
          <cell r="R956" t="str">
            <v>Belum TL</v>
          </cell>
          <cell r="S956" t="str">
            <v>Belum TL</v>
          </cell>
          <cell r="U956" t="str">
            <v>"-"</v>
          </cell>
        </row>
        <row r="957">
          <cell r="A957">
            <v>46265</v>
          </cell>
          <cell r="B957" t="str">
            <v xml:space="preserve">JAKARIA                                 </v>
          </cell>
          <cell r="C957" t="str">
            <v>JPK1597</v>
          </cell>
          <cell r="D957">
            <v>714401044675533</v>
          </cell>
          <cell r="F957" t="str">
            <v>Tidak</v>
          </cell>
          <cell r="G957" t="str">
            <v>Tidak</v>
          </cell>
          <cell r="H957" t="str">
            <v>Tidak</v>
          </cell>
          <cell r="I957" t="str">
            <v>Bandar Judol Withdrawal</v>
          </cell>
          <cell r="J957">
            <v>35</v>
          </cell>
          <cell r="K957" t="str">
            <v>86,88,87</v>
          </cell>
          <cell r="L957" t="str">
            <v>Judi Online</v>
          </cell>
          <cell r="M957" t="str">
            <v xml:space="preserve">Kas Kanpus                              </v>
          </cell>
          <cell r="N957" t="str">
            <v xml:space="preserve">Kas Kanpus                              </v>
          </cell>
          <cell r="O957" t="str">
            <v xml:space="preserve">KAS KANPUS                              </v>
          </cell>
          <cell r="R957" t="str">
            <v>Belum TL</v>
          </cell>
          <cell r="S957" t="str">
            <v>Belum TL</v>
          </cell>
          <cell r="T957" t="str">
            <v>90186796 - Devito Arya Wiradila</v>
          </cell>
          <cell r="U957" t="str">
            <v>"-"</v>
          </cell>
        </row>
        <row r="958">
          <cell r="A958">
            <v>46265</v>
          </cell>
          <cell r="B958" t="str">
            <v xml:space="preserve">JUAN VALERIAN                           </v>
          </cell>
          <cell r="C958" t="str">
            <v>JPL1590</v>
          </cell>
          <cell r="D958">
            <v>86901018669509</v>
          </cell>
          <cell r="F958" t="str">
            <v>Tidak</v>
          </cell>
          <cell r="G958" t="str">
            <v>Tidak</v>
          </cell>
          <cell r="H958" t="str">
            <v>Tidak</v>
          </cell>
          <cell r="I958" t="str">
            <v>Bandar Judol Withdrawal</v>
          </cell>
          <cell r="J958">
            <v>35</v>
          </cell>
          <cell r="K958" t="str">
            <v>86,88,87</v>
          </cell>
          <cell r="L958" t="str">
            <v>Judi Online</v>
          </cell>
          <cell r="M958" t="str">
            <v xml:space="preserve">Kas Kanpus                              </v>
          </cell>
          <cell r="N958" t="str">
            <v xml:space="preserve">Kas Kanpus                              </v>
          </cell>
          <cell r="O958" t="str">
            <v xml:space="preserve">KAS KANPUS                              </v>
          </cell>
          <cell r="R958" t="str">
            <v>Belum TL</v>
          </cell>
          <cell r="S958" t="str">
            <v>Belum TL</v>
          </cell>
          <cell r="T958" t="str">
            <v>00336949 - Mochammad Al Farabi</v>
          </cell>
          <cell r="U958" t="str">
            <v>"-"</v>
          </cell>
        </row>
        <row r="959">
          <cell r="A959">
            <v>46265</v>
          </cell>
          <cell r="B959" t="str">
            <v xml:space="preserve">JEJEN JAENUDIN                          </v>
          </cell>
          <cell r="C959" t="str">
            <v>JPM0040</v>
          </cell>
          <cell r="D959">
            <v>65301021789507</v>
          </cell>
          <cell r="F959" t="str">
            <v>Tidak</v>
          </cell>
          <cell r="G959" t="str">
            <v>Tidak</v>
          </cell>
          <cell r="I959" t="str">
            <v>Jual Beli Rekening - E channel Trx</v>
          </cell>
          <cell r="J959">
            <v>33</v>
          </cell>
          <cell r="K959">
            <v>113</v>
          </cell>
          <cell r="L959" t="str">
            <v>Narkotika/Judi Online/Penipuan</v>
          </cell>
          <cell r="M959" t="str">
            <v xml:space="preserve">KCP JEMBATAN LIMA                       </v>
          </cell>
          <cell r="N959" t="str">
            <v xml:space="preserve">KC Jakarta Hayam Wuruk                  </v>
          </cell>
          <cell r="O959" t="str">
            <v xml:space="preserve">KANWIL JAKARTA 3                        </v>
          </cell>
          <cell r="R959" t="str">
            <v>Belum TL</v>
          </cell>
          <cell r="S959" t="str">
            <v>Belum TL</v>
          </cell>
          <cell r="U959" t="str">
            <v>"-"</v>
          </cell>
        </row>
        <row r="960">
          <cell r="A960">
            <v>46265</v>
          </cell>
          <cell r="B960" t="str">
            <v xml:space="preserve">JAEN TUNGKA                             </v>
          </cell>
          <cell r="C960" t="str">
            <v>JPM6530</v>
          </cell>
          <cell r="D960">
            <v>52001015859501</v>
          </cell>
          <cell r="F960" t="str">
            <v>Tidak</v>
          </cell>
          <cell r="G960" t="str">
            <v>Tidak</v>
          </cell>
          <cell r="H960" t="str">
            <v>Tidak</v>
          </cell>
          <cell r="I960" t="str">
            <v>Bandar Judol Depo</v>
          </cell>
          <cell r="J960">
            <v>35</v>
          </cell>
          <cell r="K960" t="str">
            <v>86,74,87</v>
          </cell>
          <cell r="L960" t="str">
            <v>Judi Online</v>
          </cell>
          <cell r="M960" t="str">
            <v xml:space="preserve">Kas Kanpus                              </v>
          </cell>
          <cell r="N960" t="str">
            <v xml:space="preserve">Kas Kanpus                              </v>
          </cell>
          <cell r="O960" t="str">
            <v xml:space="preserve">KAS KANPUS                              </v>
          </cell>
          <cell r="R960" t="str">
            <v>Belum TL</v>
          </cell>
          <cell r="S960" t="str">
            <v>Belum TL</v>
          </cell>
          <cell r="T960" t="str">
            <v>90170665 - Mutiara Ayuningtyas</v>
          </cell>
          <cell r="U960" t="str">
            <v>"-"</v>
          </cell>
        </row>
        <row r="961">
          <cell r="A961">
            <v>46265</v>
          </cell>
          <cell r="B961" t="str">
            <v xml:space="preserve">JENI SAFIRA                             </v>
          </cell>
          <cell r="C961" t="str">
            <v>JPO7468</v>
          </cell>
          <cell r="D961">
            <v>179801004327509</v>
          </cell>
          <cell r="F961" t="str">
            <v>Tidak</v>
          </cell>
          <cell r="G961" t="str">
            <v>Tidak</v>
          </cell>
          <cell r="H961" t="str">
            <v>Tidak</v>
          </cell>
          <cell r="I961" t="str">
            <v>Bandar Judol Withdrawal</v>
          </cell>
          <cell r="J961">
            <v>35</v>
          </cell>
          <cell r="K961" t="str">
            <v>86,88,87</v>
          </cell>
          <cell r="L961" t="str">
            <v>Judi Online</v>
          </cell>
          <cell r="M961" t="str">
            <v xml:space="preserve">Kas Kanpus                              </v>
          </cell>
          <cell r="N961" t="str">
            <v xml:space="preserve">Kas Kanpus                              </v>
          </cell>
          <cell r="O961" t="str">
            <v xml:space="preserve">KAS KANPUS                              </v>
          </cell>
          <cell r="R961" t="str">
            <v>Belum TL</v>
          </cell>
          <cell r="S961" t="str">
            <v>Belum TL</v>
          </cell>
          <cell r="T961" t="str">
            <v>90150130 - Intan Aida Pratiwi</v>
          </cell>
          <cell r="U961" t="str">
            <v>"-"</v>
          </cell>
        </row>
        <row r="962">
          <cell r="A962">
            <v>46265</v>
          </cell>
          <cell r="B962" t="str">
            <v xml:space="preserve">JON PAERUNAN                            </v>
          </cell>
          <cell r="C962" t="str">
            <v>JR47363</v>
          </cell>
          <cell r="D962">
            <v>18701068949105</v>
          </cell>
          <cell r="E962" t="str">
            <v>SEDANG</v>
          </cell>
          <cell r="F962" t="str">
            <v>Tidak</v>
          </cell>
          <cell r="G962" t="str">
            <v>Tidak</v>
          </cell>
          <cell r="H962" t="str">
            <v>Tidak</v>
          </cell>
          <cell r="I962" t="str">
            <v>Korupsi - Loan View</v>
          </cell>
          <cell r="J962">
            <v>53</v>
          </cell>
          <cell r="K962">
            <v>15</v>
          </cell>
          <cell r="L962" t="str">
            <v>Korupsi</v>
          </cell>
          <cell r="M962" t="str">
            <v>Kas Kanpus</v>
          </cell>
          <cell r="N962" t="str">
            <v>Kas Kanpus</v>
          </cell>
          <cell r="O962" t="str">
            <v>KAS KANPUS</v>
          </cell>
          <cell r="R962" t="str">
            <v>Belum TL</v>
          </cell>
          <cell r="S962" t="str">
            <v>Belum TL</v>
          </cell>
          <cell r="T962" t="str">
            <v>00394521 - Muhammad Hibbanduta</v>
          </cell>
          <cell r="U962" t="str">
            <v>"-"</v>
          </cell>
        </row>
        <row r="963">
          <cell r="A963">
            <v>46265</v>
          </cell>
          <cell r="B963" t="str">
            <v xml:space="preserve">JUNAIDI JAYA PUTRA                      </v>
          </cell>
          <cell r="C963" t="str">
            <v>JR82884</v>
          </cell>
          <cell r="D963">
            <v>8201044137100</v>
          </cell>
          <cell r="E963" t="str">
            <v>SEDANG</v>
          </cell>
          <cell r="F963" t="str">
            <v>Tidak</v>
          </cell>
          <cell r="G963" t="str">
            <v>Tidak</v>
          </cell>
          <cell r="H963" t="str">
            <v>Tidak</v>
          </cell>
          <cell r="I963" t="str">
            <v>Korupsi - Loan View</v>
          </cell>
          <cell r="J963">
            <v>48</v>
          </cell>
          <cell r="K963">
            <v>15</v>
          </cell>
          <cell r="L963" t="str">
            <v>Korupsi</v>
          </cell>
          <cell r="M963" t="str">
            <v>Kas Kanpus</v>
          </cell>
          <cell r="N963" t="str">
            <v>Kas Kanpus</v>
          </cell>
          <cell r="O963" t="str">
            <v>KAS KANPUS</v>
          </cell>
          <cell r="R963" t="str">
            <v>Belum TL</v>
          </cell>
          <cell r="S963" t="str">
            <v>Belum TL</v>
          </cell>
          <cell r="T963" t="str">
            <v>90185538 - Muhammad Fahikal Auz</v>
          </cell>
          <cell r="U963" t="str">
            <v>"-"</v>
          </cell>
        </row>
        <row r="964">
          <cell r="A964">
            <v>46265</v>
          </cell>
          <cell r="B964" t="str">
            <v xml:space="preserve">JOSUA PASKAH PARNINGOTAN SIREGAR        </v>
          </cell>
          <cell r="C964" t="str">
            <v>JOZ0921</v>
          </cell>
          <cell r="D964">
            <v>353101004935508</v>
          </cell>
          <cell r="F964" t="str">
            <v>Tidak</v>
          </cell>
          <cell r="G964" t="str">
            <v>Tidak</v>
          </cell>
          <cell r="H964" t="str">
            <v>Tidak</v>
          </cell>
          <cell r="I964" t="str">
            <v>Bandar Judol Withdrawal</v>
          </cell>
          <cell r="J964">
            <v>35</v>
          </cell>
          <cell r="K964" t="str">
            <v>86,88,87</v>
          </cell>
          <cell r="L964" t="str">
            <v>Judi Online</v>
          </cell>
          <cell r="M964" t="str">
            <v xml:space="preserve">Kas Kanpus                              </v>
          </cell>
          <cell r="N964" t="str">
            <v xml:space="preserve">Kas Kanpus                              </v>
          </cell>
          <cell r="O964" t="str">
            <v xml:space="preserve">KAS KANPUS                              </v>
          </cell>
          <cell r="R964" t="str">
            <v>Belum TL</v>
          </cell>
          <cell r="S964" t="str">
            <v>Belum TL</v>
          </cell>
          <cell r="T964" t="str">
            <v>90170665 - Mutiara Ayuningtyas</v>
          </cell>
          <cell r="U964" t="str">
            <v>"-"</v>
          </cell>
        </row>
        <row r="965">
          <cell r="A965">
            <v>46265</v>
          </cell>
          <cell r="B965" t="str">
            <v xml:space="preserve">JEFRI RAHMAN                            </v>
          </cell>
          <cell r="C965" t="str">
            <v>JP13683</v>
          </cell>
          <cell r="D965">
            <v>23101001463565</v>
          </cell>
          <cell r="E965" t="str">
            <v>SEDANG</v>
          </cell>
          <cell r="F965" t="str">
            <v>Tidak</v>
          </cell>
          <cell r="G965" t="str">
            <v>Tidak</v>
          </cell>
          <cell r="H965" t="str">
            <v>Tidak</v>
          </cell>
          <cell r="I965" t="str">
            <v>Bandar Judol Depo</v>
          </cell>
          <cell r="J965">
            <v>50</v>
          </cell>
          <cell r="K965" t="str">
            <v>86,74,87</v>
          </cell>
          <cell r="L965" t="str">
            <v>Judi Online</v>
          </cell>
          <cell r="M965" t="str">
            <v xml:space="preserve">Kas Kanpus                              </v>
          </cell>
          <cell r="N965" t="str">
            <v xml:space="preserve">Kas Kanpus                              </v>
          </cell>
          <cell r="O965" t="str">
            <v xml:space="preserve">KAS KANPUS                              </v>
          </cell>
          <cell r="R965" t="str">
            <v>Belum TL</v>
          </cell>
          <cell r="S965" t="str">
            <v>Belum TL</v>
          </cell>
          <cell r="T965" t="str">
            <v>90170665 - Mutiara Ayuningtyas</v>
          </cell>
          <cell r="U965" t="str">
            <v>"-"</v>
          </cell>
        </row>
        <row r="966">
          <cell r="A966">
            <v>46265</v>
          </cell>
          <cell r="B966" t="str">
            <v xml:space="preserve">JOHANDI SAPUTRA                         </v>
          </cell>
          <cell r="C966" t="str">
            <v>JPA6373</v>
          </cell>
          <cell r="D966">
            <v>322501006756501</v>
          </cell>
          <cell r="F966" t="str">
            <v>Tidak</v>
          </cell>
          <cell r="G966" t="str">
            <v>Tidak</v>
          </cell>
          <cell r="H966" t="str">
            <v>Tidak</v>
          </cell>
          <cell r="I966" t="str">
            <v>Bandar Judol Withdrawal</v>
          </cell>
          <cell r="J966">
            <v>35</v>
          </cell>
          <cell r="K966" t="str">
            <v>86,88,87</v>
          </cell>
          <cell r="L966" t="str">
            <v>Judi Online</v>
          </cell>
          <cell r="M966" t="str">
            <v xml:space="preserve">Kas Kanpus                              </v>
          </cell>
          <cell r="N966" t="str">
            <v xml:space="preserve">Kas Kanpus                              </v>
          </cell>
          <cell r="O966" t="str">
            <v xml:space="preserve">KAS KANPUS                              </v>
          </cell>
          <cell r="R966" t="str">
            <v>Belum TL</v>
          </cell>
          <cell r="S966" t="str">
            <v>Belum TL</v>
          </cell>
          <cell r="T966" t="str">
            <v>90171841 - Rifqi Aziz</v>
          </cell>
          <cell r="U966" t="str">
            <v>"-"</v>
          </cell>
        </row>
        <row r="967">
          <cell r="A967">
            <v>46265</v>
          </cell>
          <cell r="B967" t="str">
            <v xml:space="preserve">JAMALLUDIN                              </v>
          </cell>
          <cell r="C967" t="str">
            <v>JPB7407</v>
          </cell>
          <cell r="D967">
            <v>124301004707500</v>
          </cell>
          <cell r="F967" t="str">
            <v>Tidak</v>
          </cell>
          <cell r="G967" t="str">
            <v>Tidak</v>
          </cell>
          <cell r="H967" t="str">
            <v>Tidak</v>
          </cell>
          <cell r="I967" t="str">
            <v>Bandar Judol Withdrawal</v>
          </cell>
          <cell r="J967">
            <v>35</v>
          </cell>
          <cell r="K967" t="str">
            <v>86,88,87</v>
          </cell>
          <cell r="L967" t="str">
            <v>Judi Online</v>
          </cell>
          <cell r="M967" t="str">
            <v xml:space="preserve">Kas Kanpus                              </v>
          </cell>
          <cell r="N967" t="str">
            <v xml:space="preserve">Kas Kanpus                              </v>
          </cell>
          <cell r="O967" t="str">
            <v xml:space="preserve">KAS KANPUS                              </v>
          </cell>
          <cell r="R967" t="str">
            <v>Belum TL</v>
          </cell>
          <cell r="S967" t="str">
            <v>Belum TL</v>
          </cell>
          <cell r="T967" t="str">
            <v>90150130 - Intan Aida Pratiwi</v>
          </cell>
          <cell r="U967" t="str">
            <v>"-"</v>
          </cell>
        </row>
        <row r="968">
          <cell r="A968">
            <v>46265</v>
          </cell>
          <cell r="B968" t="str">
            <v xml:space="preserve">JODI HERGIAWAN                          </v>
          </cell>
          <cell r="C968" t="str">
            <v>JPB8781</v>
          </cell>
          <cell r="D968">
            <v>41501045196508</v>
          </cell>
          <cell r="F968" t="str">
            <v>Tidak</v>
          </cell>
          <cell r="G968" t="str">
            <v>Tidak</v>
          </cell>
          <cell r="H968" t="str">
            <v>Tidak</v>
          </cell>
          <cell r="I968" t="str">
            <v>Bandar Judol Withdrawal</v>
          </cell>
          <cell r="J968">
            <v>35</v>
          </cell>
          <cell r="K968" t="str">
            <v>86,88,87</v>
          </cell>
          <cell r="L968" t="str">
            <v>Judi Online</v>
          </cell>
          <cell r="M968" t="str">
            <v xml:space="preserve">Kas Kanpus                              </v>
          </cell>
          <cell r="N968" t="str">
            <v xml:space="preserve">Kas Kanpus                              </v>
          </cell>
          <cell r="O968" t="str">
            <v xml:space="preserve">KAS KANPUS                              </v>
          </cell>
          <cell r="R968" t="str">
            <v>Belum TL</v>
          </cell>
          <cell r="S968" t="str">
            <v>Belum TL</v>
          </cell>
          <cell r="T968" t="str">
            <v>90185538 - Muhammad Fahikal Auz</v>
          </cell>
          <cell r="U968" t="str">
            <v>"-"</v>
          </cell>
        </row>
        <row r="969">
          <cell r="A969">
            <v>46265</v>
          </cell>
          <cell r="B969" t="str">
            <v xml:space="preserve">JAKARTA CENTRE FOR LAW ENFORCEMENT      </v>
          </cell>
          <cell r="C969" t="str">
            <v>JV45457</v>
          </cell>
          <cell r="D969">
            <v>43501000666308</v>
          </cell>
          <cell r="E969" t="str">
            <v>SEDANG</v>
          </cell>
          <cell r="F969" t="str">
            <v>Tidak</v>
          </cell>
          <cell r="G969" t="str">
            <v>Tidak</v>
          </cell>
          <cell r="I969" t="str">
            <v>Terorisme - Organisasi Terorisme</v>
          </cell>
          <cell r="J969">
            <v>168</v>
          </cell>
          <cell r="K969">
            <v>44</v>
          </cell>
          <cell r="L969" t="str">
            <v>Terorisme</v>
          </cell>
          <cell r="M969" t="str">
            <v xml:space="preserve">Kas Kanpus                              </v>
          </cell>
          <cell r="N969" t="str">
            <v xml:space="preserve">Kas Kanpus                              </v>
          </cell>
          <cell r="O969" t="str">
            <v xml:space="preserve">KAS KANPUS                              </v>
          </cell>
          <cell r="R969" t="str">
            <v>Belum TL</v>
          </cell>
          <cell r="S969" t="str">
            <v>Belum TL</v>
          </cell>
          <cell r="T969" t="str">
            <v>90186796 - Devito Arya Wiradila</v>
          </cell>
          <cell r="U969" t="str">
            <v>"-"</v>
          </cell>
        </row>
        <row r="970">
          <cell r="A970">
            <v>46265</v>
          </cell>
          <cell r="B970" t="str">
            <v xml:space="preserve">JUNITA DEVIANA                          </v>
          </cell>
          <cell r="C970" t="str">
            <v>JV63755</v>
          </cell>
          <cell r="D970">
            <v>377601018279536</v>
          </cell>
          <cell r="E970" t="str">
            <v>SEDANG</v>
          </cell>
          <cell r="F970" t="str">
            <v>Tidak</v>
          </cell>
          <cell r="G970" t="str">
            <v>Tidak</v>
          </cell>
          <cell r="H970" t="str">
            <v>Tidak</v>
          </cell>
          <cell r="I970" t="str">
            <v>Prostitusi</v>
          </cell>
          <cell r="J970">
            <v>47</v>
          </cell>
          <cell r="K970">
            <v>104</v>
          </cell>
          <cell r="L970" t="str">
            <v>Prostitusi</v>
          </cell>
          <cell r="M970" t="str">
            <v xml:space="preserve">UNIT BUNIHAYU SUBANG                    </v>
          </cell>
          <cell r="N970" t="str">
            <v xml:space="preserve">KC Subang                               </v>
          </cell>
          <cell r="O970" t="str">
            <v xml:space="preserve">Bandung                                 </v>
          </cell>
          <cell r="R970" t="str">
            <v>Belum TL</v>
          </cell>
          <cell r="S970" t="str">
            <v>Belum TL</v>
          </cell>
          <cell r="T970" t="str">
            <v>90185538 - Muhammad Fahikal Auz</v>
          </cell>
          <cell r="U970" t="str">
            <v>"-"</v>
          </cell>
        </row>
        <row r="971">
          <cell r="A971">
            <v>46265</v>
          </cell>
          <cell r="B971" t="str">
            <v xml:space="preserve">KENCANA SAKTI NUSANTARA,PT              </v>
          </cell>
          <cell r="C971" t="str">
            <v>K515807</v>
          </cell>
          <cell r="D971">
            <v>27401501210157</v>
          </cell>
          <cell r="E971" t="str">
            <v>SEDANG</v>
          </cell>
          <cell r="F971" t="str">
            <v>Tidak</v>
          </cell>
          <cell r="G971" t="str">
            <v>Tidak</v>
          </cell>
          <cell r="H971" t="str">
            <v>Tidak</v>
          </cell>
          <cell r="I971" t="str">
            <v>Korupsi - Loan View</v>
          </cell>
          <cell r="J971">
            <v>48</v>
          </cell>
          <cell r="K971">
            <v>15</v>
          </cell>
          <cell r="L971" t="str">
            <v>Korupsi</v>
          </cell>
          <cell r="M971" t="str">
            <v>Kas Kanpus</v>
          </cell>
          <cell r="N971" t="str">
            <v>Kas Kanpus</v>
          </cell>
          <cell r="O971" t="str">
            <v>KAS KANPUS</v>
          </cell>
          <cell r="R971" t="str">
            <v>Belum TL</v>
          </cell>
          <cell r="S971" t="str">
            <v>Belum TL</v>
          </cell>
          <cell r="T971" t="str">
            <v>90186790 - Muhammad Alfin Farha</v>
          </cell>
          <cell r="U971" t="str">
            <v>"-"</v>
          </cell>
        </row>
        <row r="972">
          <cell r="A972">
            <v>46265</v>
          </cell>
          <cell r="B972" t="str">
            <v xml:space="preserve">KARYA HALIM SAMPOERNA                   </v>
          </cell>
          <cell r="C972" t="str">
            <v>K608701</v>
          </cell>
          <cell r="D972">
            <v>24301000571308</v>
          </cell>
          <cell r="E972" t="str">
            <v>SEDANG</v>
          </cell>
          <cell r="F972" t="str">
            <v>Tidak</v>
          </cell>
          <cell r="G972" t="str">
            <v>Tidak</v>
          </cell>
          <cell r="H972" t="str">
            <v>Tidak</v>
          </cell>
          <cell r="I972" t="str">
            <v>Korupsi - Cash &amp; Amount</v>
          </cell>
          <cell r="J972">
            <v>48</v>
          </cell>
          <cell r="K972" t="str">
            <v>1,2,20</v>
          </cell>
          <cell r="L972" t="str">
            <v>Korupsi</v>
          </cell>
          <cell r="M972" t="str">
            <v>Kas Kanpus</v>
          </cell>
          <cell r="N972" t="str">
            <v>Kas Kanpus</v>
          </cell>
          <cell r="O972" t="str">
            <v>KAS KANPUS</v>
          </cell>
          <cell r="R972" t="str">
            <v>Belum TL</v>
          </cell>
          <cell r="S972" t="str">
            <v>Belum TL</v>
          </cell>
          <cell r="T972" t="str">
            <v>90170665 - Mutiara Ayuningtyas</v>
          </cell>
          <cell r="U972" t="str">
            <v>"-"</v>
          </cell>
        </row>
        <row r="973">
          <cell r="A973">
            <v>46265</v>
          </cell>
          <cell r="B973" t="str">
            <v xml:space="preserve">KAMARUDDIN                              </v>
          </cell>
          <cell r="C973" t="str">
            <v>K803316</v>
          </cell>
          <cell r="D973">
            <v>337901094751530</v>
          </cell>
          <cell r="E973" t="str">
            <v>SEDANG</v>
          </cell>
          <cell r="F973" t="str">
            <v>Tidak</v>
          </cell>
          <cell r="G973" t="str">
            <v>Tidak</v>
          </cell>
          <cell r="H973" t="str">
            <v>Tidak</v>
          </cell>
          <cell r="I973" t="str">
            <v>Bandar Judol Withdrawal</v>
          </cell>
          <cell r="J973">
            <v>50</v>
          </cell>
          <cell r="K973" t="str">
            <v>86,88,87</v>
          </cell>
          <cell r="L973" t="str">
            <v>Judi Online</v>
          </cell>
          <cell r="M973" t="str">
            <v xml:space="preserve">Kas Kanpus                              </v>
          </cell>
          <cell r="N973" t="str">
            <v xml:space="preserve">Kas Kanpus                              </v>
          </cell>
          <cell r="O973" t="str">
            <v xml:space="preserve">KAS KANPUS                              </v>
          </cell>
          <cell r="R973" t="str">
            <v>Belum TL</v>
          </cell>
          <cell r="S973" t="str">
            <v>Belum TL</v>
          </cell>
          <cell r="T973" t="str">
            <v>90185538 - Muhammad Fahikal Auz</v>
          </cell>
          <cell r="U973" t="str">
            <v>"-"</v>
          </cell>
        </row>
        <row r="974">
          <cell r="A974">
            <v>46265</v>
          </cell>
          <cell r="B974" t="str">
            <v xml:space="preserve">JAVI MAULANA JAMIL                      </v>
          </cell>
          <cell r="C974" t="str">
            <v>JPD0009</v>
          </cell>
          <cell r="D974">
            <v>731101004116508</v>
          </cell>
          <cell r="F974" t="str">
            <v>Tidak</v>
          </cell>
          <cell r="G974" t="str">
            <v>Tidak</v>
          </cell>
          <cell r="H974" t="str">
            <v>Tidak</v>
          </cell>
          <cell r="I974" t="str">
            <v>Bandar Judol Withdrawal</v>
          </cell>
          <cell r="J974">
            <v>35</v>
          </cell>
          <cell r="K974" t="str">
            <v>86,88,87</v>
          </cell>
          <cell r="L974" t="str">
            <v>Judi Online</v>
          </cell>
          <cell r="M974" t="str">
            <v xml:space="preserve">Kas Kanpus                              </v>
          </cell>
          <cell r="N974" t="str">
            <v xml:space="preserve">Kas Kanpus                              </v>
          </cell>
          <cell r="O974" t="str">
            <v xml:space="preserve">KAS KANPUS                              </v>
          </cell>
          <cell r="R974" t="str">
            <v>Belum TL</v>
          </cell>
          <cell r="S974" t="str">
            <v>Belum TL</v>
          </cell>
          <cell r="T974" t="str">
            <v>90170665 - Mutiara Ayuningtyas</v>
          </cell>
          <cell r="U974" t="str">
            <v>"-"</v>
          </cell>
        </row>
        <row r="975">
          <cell r="A975">
            <v>46265</v>
          </cell>
          <cell r="B975" t="str">
            <v xml:space="preserve">KHOIRUL ANAM                            </v>
          </cell>
          <cell r="C975" t="str">
            <v>KAAS697</v>
          </cell>
          <cell r="D975">
            <v>322401000038561</v>
          </cell>
          <cell r="F975" t="str">
            <v>Tidak</v>
          </cell>
          <cell r="G975" t="str">
            <v>Tidak</v>
          </cell>
          <cell r="H975" t="str">
            <v>Tidak</v>
          </cell>
          <cell r="I975" t="str">
            <v>Bandar Judol Withdrawal</v>
          </cell>
          <cell r="J975">
            <v>35</v>
          </cell>
          <cell r="K975" t="str">
            <v>86,88,87</v>
          </cell>
          <cell r="L975" t="str">
            <v>Judi Online</v>
          </cell>
          <cell r="M975" t="str">
            <v xml:space="preserve">Kas Kanpus                              </v>
          </cell>
          <cell r="N975" t="str">
            <v xml:space="preserve">Kas Kanpus                              </v>
          </cell>
          <cell r="O975" t="str">
            <v xml:space="preserve">KAS KANPUS                              </v>
          </cell>
          <cell r="R975" t="str">
            <v>Belum TL</v>
          </cell>
          <cell r="S975" t="str">
            <v>Belum TL</v>
          </cell>
          <cell r="T975" t="str">
            <v>90185538 - Muhammad Fahikal Auz</v>
          </cell>
          <cell r="U975" t="str">
            <v>"-"</v>
          </cell>
        </row>
        <row r="976">
          <cell r="A976">
            <v>46265</v>
          </cell>
          <cell r="B976" t="str">
            <v xml:space="preserve">KANTI DWI HASTUTI                       </v>
          </cell>
          <cell r="C976" t="str">
            <v>KAE3216</v>
          </cell>
          <cell r="D976">
            <v>12201046880107</v>
          </cell>
          <cell r="E976" t="str">
            <v>TINGGI</v>
          </cell>
          <cell r="F976" t="str">
            <v>Tidak</v>
          </cell>
          <cell r="G976" t="str">
            <v>Tidak</v>
          </cell>
          <cell r="H976" t="str">
            <v>Tidak</v>
          </cell>
          <cell r="I976" t="str">
            <v>Korupsi - Loan View</v>
          </cell>
          <cell r="J976">
            <v>73</v>
          </cell>
          <cell r="K976">
            <v>15</v>
          </cell>
          <cell r="L976" t="str">
            <v>Korupsi</v>
          </cell>
          <cell r="M976" t="str">
            <v>Kas Kanpus</v>
          </cell>
          <cell r="N976" t="str">
            <v>Kas Kanpus</v>
          </cell>
          <cell r="O976" t="str">
            <v>KAS KANPUS</v>
          </cell>
          <cell r="R976" t="str">
            <v>Belum TL</v>
          </cell>
          <cell r="S976" t="str">
            <v>Belum TL</v>
          </cell>
          <cell r="T976" t="str">
            <v>90170665 - Mutiara Ayuningtyas</v>
          </cell>
          <cell r="U976" t="str">
            <v>"-"</v>
          </cell>
        </row>
        <row r="977">
          <cell r="A977">
            <v>46265</v>
          </cell>
          <cell r="B977" t="str">
            <v xml:space="preserve">KRISMAN PONTOH MAPARIPE                 </v>
          </cell>
          <cell r="C977" t="str">
            <v>KAHS173</v>
          </cell>
          <cell r="D977">
            <v>702601016531109</v>
          </cell>
          <cell r="F977" t="str">
            <v>Tidak</v>
          </cell>
          <cell r="G977" t="str">
            <v>Tidak</v>
          </cell>
          <cell r="H977" t="str">
            <v>Tidak</v>
          </cell>
          <cell r="I977" t="str">
            <v>Korupsi - Loan View</v>
          </cell>
          <cell r="J977">
            <v>33</v>
          </cell>
          <cell r="K977">
            <v>15</v>
          </cell>
          <cell r="L977" t="str">
            <v>Korupsi</v>
          </cell>
          <cell r="M977" t="str">
            <v>Kas Kanpus</v>
          </cell>
          <cell r="N977" t="str">
            <v>Kas Kanpus</v>
          </cell>
          <cell r="O977" t="str">
            <v>KAS KANPUS</v>
          </cell>
          <cell r="R977" t="str">
            <v>Belum TL</v>
          </cell>
          <cell r="S977" t="str">
            <v>Belum TL</v>
          </cell>
          <cell r="T977" t="str">
            <v>90186796 - Devito Arya Wiradila</v>
          </cell>
          <cell r="U977" t="str">
            <v>"-"</v>
          </cell>
        </row>
        <row r="978">
          <cell r="A978">
            <v>46265</v>
          </cell>
          <cell r="B978" t="str">
            <v xml:space="preserve">KEVIN MAULANA LUBIS                     </v>
          </cell>
          <cell r="C978" t="str">
            <v>KAJX111</v>
          </cell>
          <cell r="D978">
            <v>721101025595509</v>
          </cell>
          <cell r="F978" t="str">
            <v>Tidak</v>
          </cell>
          <cell r="G978" t="str">
            <v>Tidak</v>
          </cell>
          <cell r="H978" t="str">
            <v>Tidak</v>
          </cell>
          <cell r="I978" t="str">
            <v>Bandar Judol Withdrawal</v>
          </cell>
          <cell r="J978">
            <v>35</v>
          </cell>
          <cell r="K978" t="str">
            <v>86,88,87</v>
          </cell>
          <cell r="L978" t="str">
            <v>Judi Online</v>
          </cell>
          <cell r="M978" t="str">
            <v xml:space="preserve">Kas Kanpus                              </v>
          </cell>
          <cell r="N978" t="str">
            <v xml:space="preserve">Kas Kanpus                              </v>
          </cell>
          <cell r="O978" t="str">
            <v xml:space="preserve">KAS KANPUS                              </v>
          </cell>
          <cell r="R978" t="str">
            <v>Belum TL</v>
          </cell>
          <cell r="S978" t="str">
            <v>Belum TL</v>
          </cell>
          <cell r="T978" t="str">
            <v>90150130 - Intan Aida Pratiwi</v>
          </cell>
          <cell r="U978" t="str">
            <v>"-"</v>
          </cell>
        </row>
        <row r="979">
          <cell r="A979">
            <v>46265</v>
          </cell>
          <cell r="B979" t="str">
            <v xml:space="preserve">KAMAL GUNAWAN                           </v>
          </cell>
          <cell r="C979" t="str">
            <v>KAJX209</v>
          </cell>
          <cell r="D979">
            <v>418401029384506</v>
          </cell>
          <cell r="F979" t="str">
            <v>Tidak</v>
          </cell>
          <cell r="G979" t="str">
            <v>Tidak</v>
          </cell>
          <cell r="H979" t="str">
            <v>Tidak</v>
          </cell>
          <cell r="I979" t="str">
            <v>Judi Online</v>
          </cell>
          <cell r="J979">
            <v>35</v>
          </cell>
          <cell r="K979" t="str">
            <v>73,76,34,74,6</v>
          </cell>
          <cell r="L979" t="str">
            <v>Judi Online</v>
          </cell>
          <cell r="M979" t="str">
            <v xml:space="preserve">Kas Kanpus                              </v>
          </cell>
          <cell r="N979" t="str">
            <v xml:space="preserve">Kas Kanpus                              </v>
          </cell>
          <cell r="O979" t="str">
            <v xml:space="preserve">KAS KANPUS                              </v>
          </cell>
          <cell r="R979" t="str">
            <v>Belum TL</v>
          </cell>
          <cell r="S979" t="str">
            <v>Belum TL</v>
          </cell>
          <cell r="T979" t="str">
            <v>90186790 - Muhammad Alfin Farha</v>
          </cell>
          <cell r="U979" t="str">
            <v>"-"</v>
          </cell>
        </row>
        <row r="980">
          <cell r="A980">
            <v>46265</v>
          </cell>
          <cell r="B980" t="str">
            <v xml:space="preserve">KOPERASI KONSUMEN PANGAN MUPANGATI      </v>
          </cell>
          <cell r="C980" t="str">
            <v>KAMF617</v>
          </cell>
          <cell r="D980">
            <v>52001000510560</v>
          </cell>
          <cell r="F980" t="str">
            <v>Tidak</v>
          </cell>
          <cell r="G980" t="str">
            <v>Tidak</v>
          </cell>
          <cell r="I980" t="str">
            <v>Jual Beli Rekening - E channel Trx</v>
          </cell>
          <cell r="J980">
            <v>33</v>
          </cell>
          <cell r="K980">
            <v>113</v>
          </cell>
          <cell r="L980" t="str">
            <v>Narkotika/Judi Online/Penipuan</v>
          </cell>
          <cell r="M980" t="str">
            <v xml:space="preserve">KCP SUNRISE GARDEN                      </v>
          </cell>
          <cell r="N980" t="str">
            <v xml:space="preserve">KC Jakarta Daan Mogot                   </v>
          </cell>
          <cell r="O980" t="str">
            <v xml:space="preserve">KANWIL JAKARTA 3                        </v>
          </cell>
          <cell r="R980" t="str">
            <v>Belum TL</v>
          </cell>
          <cell r="S980" t="str">
            <v>Belum TL</v>
          </cell>
          <cell r="U980" t="str">
            <v>"-"</v>
          </cell>
        </row>
        <row r="981">
          <cell r="A981">
            <v>46265</v>
          </cell>
          <cell r="B981" t="str">
            <v xml:space="preserve">KAMALUDIN                               </v>
          </cell>
          <cell r="C981" t="str">
            <v>KAML136</v>
          </cell>
          <cell r="D981">
            <v>418401029600504</v>
          </cell>
          <cell r="F981" t="str">
            <v>Tidak</v>
          </cell>
          <cell r="G981" t="str">
            <v>Tidak</v>
          </cell>
          <cell r="H981" t="str">
            <v>Tidak</v>
          </cell>
          <cell r="I981" t="str">
            <v>Bandar Judol Withdrawal</v>
          </cell>
          <cell r="J981">
            <v>35</v>
          </cell>
          <cell r="K981" t="str">
            <v>86,88,87</v>
          </cell>
          <cell r="L981" t="str">
            <v>Judi Online</v>
          </cell>
          <cell r="M981" t="str">
            <v xml:space="preserve">Kas Kanpus                              </v>
          </cell>
          <cell r="N981" t="str">
            <v xml:space="preserve">Kas Kanpus                              </v>
          </cell>
          <cell r="O981" t="str">
            <v xml:space="preserve">KAS KANPUS                              </v>
          </cell>
          <cell r="R981" t="str">
            <v>Belum TL</v>
          </cell>
          <cell r="S981" t="str">
            <v>Belum TL</v>
          </cell>
          <cell r="T981" t="str">
            <v>00394520 - Frida Akbar Rani</v>
          </cell>
          <cell r="U981" t="str">
            <v>"-"</v>
          </cell>
        </row>
        <row r="982">
          <cell r="A982">
            <v>46265</v>
          </cell>
          <cell r="B982" t="str">
            <v xml:space="preserve">KOPERASI GAPOKTAN BUDI LUHUR            </v>
          </cell>
          <cell r="C982" t="str">
            <v>KANZ210</v>
          </cell>
          <cell r="D982">
            <v>66101001396565</v>
          </cell>
          <cell r="F982" t="str">
            <v>Tidak</v>
          </cell>
          <cell r="G982" t="str">
            <v>Tidak</v>
          </cell>
          <cell r="H982" t="str">
            <v>Tidak</v>
          </cell>
          <cell r="I982" t="str">
            <v>Perpajakan</v>
          </cell>
          <cell r="J982">
            <v>34</v>
          </cell>
          <cell r="K982">
            <v>41</v>
          </cell>
          <cell r="L982" t="str">
            <v>Perpajakan</v>
          </cell>
          <cell r="M982" t="str">
            <v xml:space="preserve">KC Slawi                                </v>
          </cell>
          <cell r="N982" t="str">
            <v xml:space="preserve">KC Slawi                                </v>
          </cell>
          <cell r="O982" t="str">
            <v xml:space="preserve">Semarang                                </v>
          </cell>
          <cell r="R982" t="str">
            <v>Belum TL</v>
          </cell>
          <cell r="S982" t="str">
            <v>Belum TL</v>
          </cell>
          <cell r="T982" t="str">
            <v>00394520 - Frida Akbar Rani</v>
          </cell>
          <cell r="U982" t="str">
            <v>"-"</v>
          </cell>
        </row>
        <row r="983">
          <cell r="A983">
            <v>46265</v>
          </cell>
          <cell r="B983" t="str">
            <v xml:space="preserve">KEVIN PHASYAH TIBE                      </v>
          </cell>
          <cell r="C983" t="str">
            <v>KAVX814</v>
          </cell>
          <cell r="D983">
            <v>345001000038560</v>
          </cell>
          <cell r="F983" t="str">
            <v>Tidak</v>
          </cell>
          <cell r="G983" t="str">
            <v>Tidak</v>
          </cell>
          <cell r="H983" t="str">
            <v>Tidak</v>
          </cell>
          <cell r="I983" t="str">
            <v>Korupsi - Payroll View</v>
          </cell>
          <cell r="J983">
            <v>44</v>
          </cell>
          <cell r="K983">
            <v>84</v>
          </cell>
          <cell r="L983" t="str">
            <v>Korupsi</v>
          </cell>
          <cell r="M983" t="str">
            <v>Kas Kanpus</v>
          </cell>
          <cell r="N983" t="str">
            <v>Kas Kanpus</v>
          </cell>
          <cell r="O983" t="str">
            <v>KAS KANPUS</v>
          </cell>
          <cell r="R983" t="str">
            <v>Belum TL</v>
          </cell>
          <cell r="S983" t="str">
            <v>Belum TL</v>
          </cell>
          <cell r="T983" t="str">
            <v>00336949 - Mochammad Al Farabi</v>
          </cell>
          <cell r="U983" t="str">
            <v>"-"</v>
          </cell>
        </row>
        <row r="984">
          <cell r="A984">
            <v>46265</v>
          </cell>
          <cell r="B984" t="str">
            <v xml:space="preserve">KINTA AGUSTINA                          </v>
          </cell>
          <cell r="C984" t="str">
            <v>KAXO254</v>
          </cell>
          <cell r="D984">
            <v>215201013145507</v>
          </cell>
          <cell r="F984" t="str">
            <v>Tidak</v>
          </cell>
          <cell r="G984" t="str">
            <v>Tidak</v>
          </cell>
          <cell r="H984" t="str">
            <v>Tidak</v>
          </cell>
          <cell r="I984" t="str">
            <v>Bandar Judol Withdrawal</v>
          </cell>
          <cell r="J984">
            <v>35</v>
          </cell>
          <cell r="K984" t="str">
            <v>86,88,87</v>
          </cell>
          <cell r="L984" t="str">
            <v>Judi Online</v>
          </cell>
          <cell r="M984" t="str">
            <v xml:space="preserve">Kas Kanpus                              </v>
          </cell>
          <cell r="N984" t="str">
            <v xml:space="preserve">Kas Kanpus                              </v>
          </cell>
          <cell r="O984" t="str">
            <v xml:space="preserve">KAS KANPUS                              </v>
          </cell>
          <cell r="R984" t="str">
            <v>Belum TL</v>
          </cell>
          <cell r="S984" t="str">
            <v>Belum TL</v>
          </cell>
          <cell r="T984" t="str">
            <v>90150130 - Intan Aida Pratiwi</v>
          </cell>
          <cell r="U984" t="str">
            <v>"-"</v>
          </cell>
        </row>
        <row r="985">
          <cell r="A985">
            <v>46265</v>
          </cell>
          <cell r="B985" t="str">
            <v xml:space="preserve">KUSUMANDARU                             </v>
          </cell>
          <cell r="C985" t="str">
            <v>KB88688</v>
          </cell>
          <cell r="D985">
            <v>20601027653505</v>
          </cell>
          <cell r="E985" t="str">
            <v>SEDANG</v>
          </cell>
          <cell r="F985" t="str">
            <v>Tidak</v>
          </cell>
          <cell r="G985" t="str">
            <v>Tidak</v>
          </cell>
          <cell r="H985" t="str">
            <v>Tidak</v>
          </cell>
          <cell r="I985" t="str">
            <v>Korupsi - Significant Trx View</v>
          </cell>
          <cell r="J985">
            <v>58</v>
          </cell>
          <cell r="K985">
            <v>1.19</v>
          </cell>
          <cell r="L985" t="str">
            <v>Korupsi</v>
          </cell>
          <cell r="M985" t="str">
            <v>Kas Kanpus</v>
          </cell>
          <cell r="N985" t="str">
            <v>Kas Kanpus</v>
          </cell>
          <cell r="O985" t="str">
            <v>KAS KANPUS</v>
          </cell>
          <cell r="R985" t="str">
            <v>Belum TL</v>
          </cell>
          <cell r="S985" t="str">
            <v>Belum TL</v>
          </cell>
          <cell r="T985" t="str">
            <v>00336949 - Mochammad Al Farabi</v>
          </cell>
          <cell r="U985" t="str">
            <v>"-"</v>
          </cell>
        </row>
        <row r="986">
          <cell r="A986">
            <v>46265</v>
          </cell>
          <cell r="B986" t="str">
            <v xml:space="preserve">KUSUMANDARU                             </v>
          </cell>
          <cell r="C986" t="str">
            <v>KB88688</v>
          </cell>
          <cell r="D986">
            <v>5326590002342130</v>
          </cell>
          <cell r="E986" t="str">
            <v>SEDANG</v>
          </cell>
          <cell r="F986" t="str">
            <v>Tidak</v>
          </cell>
          <cell r="G986" t="str">
            <v>Tidak</v>
          </cell>
          <cell r="H986" t="str">
            <v>Tidak</v>
          </cell>
          <cell r="I986" t="str">
            <v>Private or Priority Customer Investment</v>
          </cell>
          <cell r="J986">
            <v>58</v>
          </cell>
          <cell r="K986">
            <v>93</v>
          </cell>
          <cell r="L986" t="str">
            <v>Pasar Modal</v>
          </cell>
          <cell r="M986" t="str">
            <v xml:space="preserve">Jkt KCK                                 </v>
          </cell>
          <cell r="N986" t="str">
            <v xml:space="preserve">Jkt KCK                                 </v>
          </cell>
          <cell r="O986" t="str">
            <v xml:space="preserve">DKI                                     </v>
          </cell>
          <cell r="R986" t="str">
            <v>Belum TL</v>
          </cell>
          <cell r="S986" t="str">
            <v>Belum TL</v>
          </cell>
          <cell r="T986" t="str">
            <v>90171841 - Rifqi Aziz</v>
          </cell>
          <cell r="U986" t="str">
            <v>"-"</v>
          </cell>
        </row>
        <row r="987">
          <cell r="A987">
            <v>46265</v>
          </cell>
          <cell r="B987" t="str">
            <v xml:space="preserve">KODIM 1303 / BM                         </v>
          </cell>
          <cell r="C987" t="str">
            <v>KB90054</v>
          </cell>
          <cell r="D987">
            <v>3601000315307</v>
          </cell>
          <cell r="E987" t="str">
            <v>SEDANG</v>
          </cell>
          <cell r="F987" t="str">
            <v>Tidak</v>
          </cell>
          <cell r="G987" t="str">
            <v>Tidak</v>
          </cell>
          <cell r="H987" t="str">
            <v>Tidak</v>
          </cell>
          <cell r="I987" t="str">
            <v>Perpajakan</v>
          </cell>
          <cell r="J987">
            <v>48</v>
          </cell>
          <cell r="K987">
            <v>41</v>
          </cell>
          <cell r="L987" t="str">
            <v>Perpajakan</v>
          </cell>
          <cell r="M987" t="str">
            <v xml:space="preserve">KC Kotamobagu                           </v>
          </cell>
          <cell r="N987" t="str">
            <v xml:space="preserve">KC Kotamobagu                           </v>
          </cell>
          <cell r="O987" t="str">
            <v xml:space="preserve">Manado                                  </v>
          </cell>
          <cell r="R987" t="str">
            <v>Belum TL</v>
          </cell>
          <cell r="S987" t="str">
            <v>Belum TL</v>
          </cell>
          <cell r="T987" t="str">
            <v>00336949 - Mochammad Al Farabi</v>
          </cell>
          <cell r="U987" t="str">
            <v>"-"</v>
          </cell>
        </row>
        <row r="988">
          <cell r="A988">
            <v>46265</v>
          </cell>
          <cell r="B988" t="str">
            <v xml:space="preserve">KOKOM KOMARIAH                          </v>
          </cell>
          <cell r="C988" t="str">
            <v>KBAD397</v>
          </cell>
          <cell r="D988">
            <v>176701017949509</v>
          </cell>
          <cell r="F988" t="str">
            <v>Tidak</v>
          </cell>
          <cell r="G988" t="str">
            <v>Tidak</v>
          </cell>
          <cell r="H988" t="str">
            <v>Tidak</v>
          </cell>
          <cell r="I988" t="str">
            <v>Bandar Judol Withdrawal</v>
          </cell>
          <cell r="J988">
            <v>35</v>
          </cell>
          <cell r="K988" t="str">
            <v>86,88,87</v>
          </cell>
          <cell r="L988" t="str">
            <v>Judi Online</v>
          </cell>
          <cell r="M988" t="str">
            <v xml:space="preserve">Kas Kanpus                              </v>
          </cell>
          <cell r="N988" t="str">
            <v xml:space="preserve">Kas Kanpus                              </v>
          </cell>
          <cell r="O988" t="str">
            <v xml:space="preserve">KAS KANPUS                              </v>
          </cell>
          <cell r="R988" t="str">
            <v>Belum TL</v>
          </cell>
          <cell r="S988" t="str">
            <v>Belum TL</v>
          </cell>
          <cell r="T988" t="str">
            <v>90170665 - Mutiara Ayuningtyas</v>
          </cell>
          <cell r="U988" t="str">
            <v>"-"</v>
          </cell>
        </row>
        <row r="989">
          <cell r="A989">
            <v>46265</v>
          </cell>
          <cell r="B989" t="str">
            <v xml:space="preserve">KEVIN FIRLANT                           </v>
          </cell>
          <cell r="C989" t="str">
            <v>KAUA119</v>
          </cell>
          <cell r="D989">
            <v>1901197551501</v>
          </cell>
          <cell r="F989" t="str">
            <v>Tidak</v>
          </cell>
          <cell r="G989" t="str">
            <v>Tidak</v>
          </cell>
          <cell r="H989" t="str">
            <v>Tidak</v>
          </cell>
          <cell r="I989" t="str">
            <v>Bandar Judol Withdrawal</v>
          </cell>
          <cell r="J989">
            <v>35</v>
          </cell>
          <cell r="K989" t="str">
            <v>86,88,87</v>
          </cell>
          <cell r="L989" t="str">
            <v>Judi Online</v>
          </cell>
          <cell r="M989" t="str">
            <v xml:space="preserve">Kas Kanpus                              </v>
          </cell>
          <cell r="N989" t="str">
            <v xml:space="preserve">Kas Kanpus                              </v>
          </cell>
          <cell r="O989" t="str">
            <v xml:space="preserve">KAS KANPUS                              </v>
          </cell>
          <cell r="R989" t="str">
            <v>Belum TL</v>
          </cell>
          <cell r="S989" t="str">
            <v>Belum TL</v>
          </cell>
          <cell r="T989" t="str">
            <v>90186796 - Devito Arya Wiradila</v>
          </cell>
          <cell r="U989" t="str">
            <v>"-"</v>
          </cell>
        </row>
        <row r="990">
          <cell r="A990">
            <v>46265</v>
          </cell>
          <cell r="B990" t="str">
            <v xml:space="preserve">KODIM 1601 SUMBA TIMUR                  </v>
          </cell>
          <cell r="C990" t="str">
            <v>KAVQ814</v>
          </cell>
          <cell r="D990">
            <v>14101001009560</v>
          </cell>
          <cell r="F990" t="str">
            <v>Tidak</v>
          </cell>
          <cell r="G990" t="str">
            <v>Tidak</v>
          </cell>
          <cell r="H990" t="str">
            <v>Tidak</v>
          </cell>
          <cell r="I990" t="str">
            <v>Korupsi - Cash &amp; Amount</v>
          </cell>
          <cell r="J990">
            <v>33</v>
          </cell>
          <cell r="K990" t="str">
            <v>1,2,20</v>
          </cell>
          <cell r="L990" t="str">
            <v>Korupsi</v>
          </cell>
          <cell r="M990" t="str">
            <v>Kas Kanpus</v>
          </cell>
          <cell r="N990" t="str">
            <v>Kas Kanpus</v>
          </cell>
          <cell r="O990" t="str">
            <v>KAS KANPUS</v>
          </cell>
          <cell r="R990" t="str">
            <v>Belum TL</v>
          </cell>
          <cell r="S990" t="str">
            <v>Belum TL</v>
          </cell>
          <cell r="T990" t="str">
            <v>90185538 - Muhammad Fahikal Auz</v>
          </cell>
          <cell r="U990" t="str">
            <v>"-"</v>
          </cell>
        </row>
        <row r="991">
          <cell r="A991">
            <v>46265</v>
          </cell>
          <cell r="B991" t="str">
            <v xml:space="preserve">KHAIRUR RAZIKIN                         </v>
          </cell>
          <cell r="C991" t="str">
            <v>KBEI881</v>
          </cell>
          <cell r="D991">
            <v>90701008622501</v>
          </cell>
          <cell r="F991" t="str">
            <v>Tidak</v>
          </cell>
          <cell r="G991" t="str">
            <v>Tidak</v>
          </cell>
          <cell r="H991" t="str">
            <v>Tidak</v>
          </cell>
          <cell r="I991" t="str">
            <v>Bandar Judol Withdrawal</v>
          </cell>
          <cell r="J991">
            <v>35</v>
          </cell>
          <cell r="K991" t="str">
            <v>86,88,87</v>
          </cell>
          <cell r="L991" t="str">
            <v>Judi Online</v>
          </cell>
          <cell r="M991" t="str">
            <v xml:space="preserve">Kas Kanpus                              </v>
          </cell>
          <cell r="N991" t="str">
            <v xml:space="preserve">Kas Kanpus                              </v>
          </cell>
          <cell r="O991" t="str">
            <v xml:space="preserve">KAS KANPUS                              </v>
          </cell>
          <cell r="R991" t="str">
            <v>Belum TL</v>
          </cell>
          <cell r="S991" t="str">
            <v>Belum TL</v>
          </cell>
          <cell r="T991" t="str">
            <v>90186796 - Devito Arya Wiradila</v>
          </cell>
          <cell r="U991" t="str">
            <v>"-"</v>
          </cell>
        </row>
        <row r="992">
          <cell r="A992">
            <v>46265</v>
          </cell>
          <cell r="B992" t="str">
            <v xml:space="preserve">KENATA ZEBULAN RAMADAN                  </v>
          </cell>
          <cell r="C992" t="str">
            <v>KBEK603</v>
          </cell>
          <cell r="D992">
            <v>92701011827502</v>
          </cell>
          <cell r="F992" t="str">
            <v>Tidak</v>
          </cell>
          <cell r="G992" t="str">
            <v>Tidak</v>
          </cell>
          <cell r="H992" t="str">
            <v>Tidak</v>
          </cell>
          <cell r="I992" t="str">
            <v>Bandar Judol Withdrawal</v>
          </cell>
          <cell r="J992">
            <v>35</v>
          </cell>
          <cell r="K992" t="str">
            <v>86,88,87</v>
          </cell>
          <cell r="L992" t="str">
            <v>Judi Online</v>
          </cell>
          <cell r="M992" t="str">
            <v xml:space="preserve">Kas Kanpus                              </v>
          </cell>
          <cell r="N992" t="str">
            <v xml:space="preserve">Kas Kanpus                              </v>
          </cell>
          <cell r="O992" t="str">
            <v xml:space="preserve">KAS KANPUS                              </v>
          </cell>
          <cell r="R992" t="str">
            <v>Belum TL</v>
          </cell>
          <cell r="S992" t="str">
            <v>Belum TL</v>
          </cell>
          <cell r="T992" t="str">
            <v>90171841 - Rifqi Aziz</v>
          </cell>
          <cell r="U992" t="str">
            <v>"-"</v>
          </cell>
        </row>
        <row r="993">
          <cell r="A993">
            <v>46265</v>
          </cell>
          <cell r="B993" t="str">
            <v xml:space="preserve">KASIH PUTRI SUSANTO                     </v>
          </cell>
          <cell r="C993" t="str">
            <v>KBEX384</v>
          </cell>
          <cell r="D993">
            <v>95901014764506</v>
          </cell>
          <cell r="F993" t="str">
            <v>Tidak</v>
          </cell>
          <cell r="G993" t="str">
            <v>Tidak</v>
          </cell>
          <cell r="H993" t="str">
            <v>Tidak</v>
          </cell>
          <cell r="I993" t="str">
            <v>Bandar Judol Withdrawal</v>
          </cell>
          <cell r="J993">
            <v>35</v>
          </cell>
          <cell r="K993" t="str">
            <v>86,88,87</v>
          </cell>
          <cell r="L993" t="str">
            <v>Judi Online</v>
          </cell>
          <cell r="M993" t="str">
            <v xml:space="preserve">Kas Kanpus                              </v>
          </cell>
          <cell r="N993" t="str">
            <v xml:space="preserve">Kas Kanpus                              </v>
          </cell>
          <cell r="O993" t="str">
            <v xml:space="preserve">KAS KANPUS                              </v>
          </cell>
          <cell r="R993" t="str">
            <v>Belum TL</v>
          </cell>
          <cell r="S993" t="str">
            <v>Belum TL</v>
          </cell>
          <cell r="T993" t="str">
            <v>90170665 - Mutiara Ayuningtyas</v>
          </cell>
          <cell r="U993" t="str">
            <v>"-"</v>
          </cell>
        </row>
        <row r="994">
          <cell r="A994">
            <v>46265</v>
          </cell>
          <cell r="B994" t="str">
            <v xml:space="preserve">KOPERASI YUFA JAYA ABADI                </v>
          </cell>
          <cell r="C994" t="str">
            <v>KBFC696</v>
          </cell>
          <cell r="D994">
            <v>406301051047538</v>
          </cell>
          <cell r="F994" t="str">
            <v>Tidak</v>
          </cell>
          <cell r="G994" t="str">
            <v>Tidak</v>
          </cell>
          <cell r="I994" t="str">
            <v>Jual Beli Rekening - E channel Trx</v>
          </cell>
          <cell r="J994">
            <v>33</v>
          </cell>
          <cell r="K994">
            <v>113</v>
          </cell>
          <cell r="L994" t="str">
            <v>Narkotika/Judi Online/Penipuan</v>
          </cell>
          <cell r="M994" t="str">
            <v xml:space="preserve">UNIT BOJONGPICUNG CIANJUR               </v>
          </cell>
          <cell r="N994" t="str">
            <v xml:space="preserve">KC Cianjur                              </v>
          </cell>
          <cell r="O994" t="str">
            <v xml:space="preserve">Bandung                                 </v>
          </cell>
          <cell r="R994" t="str">
            <v>Belum TL</v>
          </cell>
          <cell r="S994" t="str">
            <v>Belum TL</v>
          </cell>
          <cell r="U994" t="str">
            <v>"-"</v>
          </cell>
        </row>
        <row r="995">
          <cell r="A995">
            <v>46265</v>
          </cell>
          <cell r="B995" t="str">
            <v xml:space="preserve">KODIN NASARUDIN                         </v>
          </cell>
          <cell r="C995" t="str">
            <v>KBGB987</v>
          </cell>
          <cell r="D995">
            <v>33801069135500</v>
          </cell>
          <cell r="F995" t="str">
            <v>Tidak</v>
          </cell>
          <cell r="G995" t="str">
            <v>Tidak</v>
          </cell>
          <cell r="I995" t="str">
            <v>Jual Beli Rekening - E channel Trx</v>
          </cell>
          <cell r="J995">
            <v>33</v>
          </cell>
          <cell r="K995">
            <v>113</v>
          </cell>
          <cell r="L995" t="str">
            <v>Narkotika/Judi Online/Penipuan</v>
          </cell>
          <cell r="M995" t="str">
            <v xml:space="preserve">KC JAKARTA ROXI                         </v>
          </cell>
          <cell r="N995" t="str">
            <v xml:space="preserve">KC JAKARTA ROXI                         </v>
          </cell>
          <cell r="O995" t="str">
            <v xml:space="preserve">DKI                                     </v>
          </cell>
          <cell r="R995" t="str">
            <v>Belum TL</v>
          </cell>
          <cell r="S995" t="str">
            <v>Belum TL</v>
          </cell>
          <cell r="U995" t="str">
            <v>"-"</v>
          </cell>
        </row>
        <row r="996">
          <cell r="A996">
            <v>46265</v>
          </cell>
          <cell r="B996" t="str">
            <v xml:space="preserve">KODIM 1303/BM                           </v>
          </cell>
          <cell r="C996" t="str">
            <v>KBGD869</v>
          </cell>
          <cell r="D996">
            <v>3601130303563</v>
          </cell>
          <cell r="F996" t="str">
            <v>Tidak</v>
          </cell>
          <cell r="G996" t="str">
            <v>Tidak</v>
          </cell>
          <cell r="H996" t="str">
            <v>Tidak</v>
          </cell>
          <cell r="I996" t="str">
            <v>Perpajakan</v>
          </cell>
          <cell r="J996">
            <v>35</v>
          </cell>
          <cell r="K996">
            <v>41</v>
          </cell>
          <cell r="L996" t="str">
            <v>Perpajakan</v>
          </cell>
          <cell r="M996" t="str">
            <v xml:space="preserve">KC Kotamobagu                           </v>
          </cell>
          <cell r="N996" t="str">
            <v xml:space="preserve">KC Kotamobagu                           </v>
          </cell>
          <cell r="O996" t="str">
            <v xml:space="preserve">Manado                                  </v>
          </cell>
          <cell r="R996" t="str">
            <v>Belum TL</v>
          </cell>
          <cell r="S996" t="str">
            <v>Belum TL</v>
          </cell>
          <cell r="T996" t="str">
            <v>90186796 - Devito Arya Wiradila</v>
          </cell>
          <cell r="U996" t="str">
            <v>"-"</v>
          </cell>
        </row>
        <row r="997">
          <cell r="A997">
            <v>46265</v>
          </cell>
          <cell r="B997" t="str">
            <v xml:space="preserve">KUD MAKARTI                             </v>
          </cell>
          <cell r="C997" t="str">
            <v>KBX1712</v>
          </cell>
          <cell r="D997">
            <v>710501013037536</v>
          </cell>
          <cell r="E997" t="str">
            <v>SEDANG</v>
          </cell>
          <cell r="F997" t="str">
            <v>Ya</v>
          </cell>
          <cell r="G997" t="str">
            <v>Tidak</v>
          </cell>
          <cell r="H997" t="str">
            <v>Tidak</v>
          </cell>
          <cell r="I997" t="str">
            <v>Narkotika - Area Lapas</v>
          </cell>
          <cell r="J997">
            <v>48</v>
          </cell>
          <cell r="K997">
            <v>46</v>
          </cell>
          <cell r="L997" t="str">
            <v>Narkotika</v>
          </cell>
          <cell r="M997" t="str">
            <v>UNIT PETALING ABUNJANI SP</v>
          </cell>
          <cell r="N997" t="str">
            <v>KC Abunjani Sipin</v>
          </cell>
          <cell r="O997" t="str">
            <v>Palembang</v>
          </cell>
          <cell r="R997" t="str">
            <v>Belum TL</v>
          </cell>
          <cell r="S997" t="str">
            <v>Belum TL</v>
          </cell>
          <cell r="T997" t="str">
            <v>00336949 - Mochammad Al Farabi</v>
          </cell>
          <cell r="U997" t="str">
            <v>"-"</v>
          </cell>
        </row>
        <row r="998">
          <cell r="A998">
            <v>46265</v>
          </cell>
          <cell r="B998" t="str">
            <v xml:space="preserve">KEVIN GOPRIS                            </v>
          </cell>
          <cell r="C998" t="str">
            <v>KDF5381</v>
          </cell>
          <cell r="D998">
            <v>4359720283425960</v>
          </cell>
          <cell r="E998" t="str">
            <v>SEDANG</v>
          </cell>
          <cell r="F998" t="str">
            <v>Tidak</v>
          </cell>
          <cell r="G998" t="str">
            <v>Tidak</v>
          </cell>
          <cell r="H998" t="str">
            <v>Tidak</v>
          </cell>
          <cell r="I998" t="str">
            <v>Anomali Transaksi Kartu Kredit</v>
          </cell>
          <cell r="J998">
            <v>45</v>
          </cell>
          <cell r="K998">
            <v>117</v>
          </cell>
          <cell r="L998" t="str">
            <v>Anomali Transaksi Kartu Kredit</v>
          </cell>
          <cell r="M998" t="str">
            <v xml:space="preserve">Kas Kanpus                              </v>
          </cell>
          <cell r="N998" t="str">
            <v xml:space="preserve">Kas Kanpus                              </v>
          </cell>
          <cell r="O998" t="str">
            <v xml:space="preserve">KAS KANPUS                              </v>
          </cell>
          <cell r="R998" t="str">
            <v>Belum TL</v>
          </cell>
          <cell r="S998" t="str">
            <v>Belum TL</v>
          </cell>
          <cell r="T998" t="str">
            <v>90185538 - Muhammad Fahikal Auz</v>
          </cell>
          <cell r="U998" t="str">
            <v>"-"</v>
          </cell>
        </row>
        <row r="999">
          <cell r="A999">
            <v>46265</v>
          </cell>
          <cell r="B999" t="str">
            <v xml:space="preserve">KEVIN GOPRIS                            </v>
          </cell>
          <cell r="C999" t="str">
            <v>KDF5381</v>
          </cell>
          <cell r="D999">
            <v>4359720283425960</v>
          </cell>
          <cell r="E999" t="str">
            <v>SEDANG</v>
          </cell>
          <cell r="F999" t="str">
            <v>Tidak</v>
          </cell>
          <cell r="G999" t="str">
            <v>Tidak</v>
          </cell>
          <cell r="H999" t="str">
            <v>Tidak</v>
          </cell>
          <cell r="I999" t="str">
            <v>Penghindaran Pajak (Transaksi Fiktif)/Penyuapan CC</v>
          </cell>
          <cell r="J999">
            <v>45</v>
          </cell>
          <cell r="K999">
            <v>118</v>
          </cell>
          <cell r="L999" t="str">
            <v>Penyuapan / Penghindaran Pajak CC View</v>
          </cell>
          <cell r="M999" t="str">
            <v xml:space="preserve">Kas Kanpus                              </v>
          </cell>
          <cell r="N999" t="str">
            <v xml:space="preserve">Kas Kanpus                              </v>
          </cell>
          <cell r="O999" t="str">
            <v xml:space="preserve">KAS KANPUS                              </v>
          </cell>
          <cell r="R999" t="str">
            <v>Belum TL</v>
          </cell>
          <cell r="S999" t="str">
            <v>Belum TL</v>
          </cell>
          <cell r="T999" t="str">
            <v>00394521 - Muhammad Hibbanduta</v>
          </cell>
          <cell r="U999" t="str">
            <v>"-"</v>
          </cell>
        </row>
        <row r="1000">
          <cell r="A1000">
            <v>46265</v>
          </cell>
          <cell r="B1000" t="str">
            <v xml:space="preserve">KARYA JAYA TEHNIK                       </v>
          </cell>
          <cell r="C1000" t="str">
            <v>KDK9871</v>
          </cell>
          <cell r="D1000">
            <v>40601001562154</v>
          </cell>
          <cell r="E1000" t="str">
            <v>SEDANG</v>
          </cell>
          <cell r="F1000" t="str">
            <v>Tidak</v>
          </cell>
          <cell r="G1000" t="str">
            <v>Tidak</v>
          </cell>
          <cell r="H1000" t="str">
            <v>Tidak</v>
          </cell>
          <cell r="I1000" t="str">
            <v>Korupsi - Loan View</v>
          </cell>
          <cell r="J1000">
            <v>48</v>
          </cell>
          <cell r="K1000">
            <v>15</v>
          </cell>
          <cell r="L1000" t="str">
            <v>Korupsi</v>
          </cell>
          <cell r="M1000" t="str">
            <v>Kas Kanpus</v>
          </cell>
          <cell r="N1000" t="str">
            <v>Kas Kanpus</v>
          </cell>
          <cell r="O1000" t="str">
            <v>KAS KANPUS</v>
          </cell>
          <cell r="R1000" t="str">
            <v>Belum TL</v>
          </cell>
          <cell r="S1000" t="str">
            <v>Belum TL</v>
          </cell>
          <cell r="T1000" t="str">
            <v>90185537 - Moh.Khoerul Fajar Ar</v>
          </cell>
          <cell r="U1000" t="str">
            <v>"-"</v>
          </cell>
        </row>
        <row r="1001">
          <cell r="A1001">
            <v>46265</v>
          </cell>
          <cell r="B1001" t="str">
            <v xml:space="preserve">KSU KARYA NUGRAHA                       </v>
          </cell>
          <cell r="C1001" t="str">
            <v>KDM0313</v>
          </cell>
          <cell r="D1001">
            <v>13301002285300</v>
          </cell>
          <cell r="E1001" t="str">
            <v>SEDANG</v>
          </cell>
          <cell r="F1001" t="str">
            <v>Tidak</v>
          </cell>
          <cell r="G1001" t="str">
            <v>Tidak</v>
          </cell>
          <cell r="H1001" t="str">
            <v>Tidak</v>
          </cell>
          <cell r="I1001" t="str">
            <v>Korupsi - Cash &amp; Amount</v>
          </cell>
          <cell r="J1001">
            <v>48</v>
          </cell>
          <cell r="K1001" t="str">
            <v>1,2,20</v>
          </cell>
          <cell r="L1001" t="str">
            <v>Korupsi</v>
          </cell>
          <cell r="M1001" t="str">
            <v>Kas Kanpus</v>
          </cell>
          <cell r="N1001" t="str">
            <v>Kas Kanpus</v>
          </cell>
          <cell r="O1001" t="str">
            <v>KAS KANPUS</v>
          </cell>
          <cell r="R1001" t="str">
            <v>Belum TL</v>
          </cell>
          <cell r="S1001" t="str">
            <v>Belum TL</v>
          </cell>
          <cell r="T1001" t="str">
            <v>90186796 - Devito Arya Wiradila</v>
          </cell>
          <cell r="U1001" t="str">
            <v>"-"</v>
          </cell>
        </row>
        <row r="1002">
          <cell r="A1002">
            <v>46265</v>
          </cell>
          <cell r="B1002" t="str">
            <v xml:space="preserve">KASMAD S. MBIRONGI                      </v>
          </cell>
          <cell r="C1002" t="str">
            <v>KDZ3251</v>
          </cell>
          <cell r="D1002">
            <v>522701019171108</v>
          </cell>
          <cell r="E1002" t="str">
            <v>RENDAH</v>
          </cell>
          <cell r="F1002" t="str">
            <v>Tidak</v>
          </cell>
          <cell r="G1002" t="str">
            <v>Tidak</v>
          </cell>
          <cell r="H1002" t="str">
            <v>Tidak</v>
          </cell>
          <cell r="I1002" t="str">
            <v>Korupsi - Loan View</v>
          </cell>
          <cell r="J1002">
            <v>33</v>
          </cell>
          <cell r="K1002">
            <v>15</v>
          </cell>
          <cell r="L1002" t="str">
            <v>Korupsi</v>
          </cell>
          <cell r="M1002" t="str">
            <v>Kas Kanpus</v>
          </cell>
          <cell r="N1002" t="str">
            <v>Kas Kanpus</v>
          </cell>
          <cell r="O1002" t="str">
            <v>KAS KANPUS</v>
          </cell>
          <cell r="R1002" t="str">
            <v>Belum TL</v>
          </cell>
          <cell r="S1002" t="str">
            <v>Belum TL</v>
          </cell>
          <cell r="T1002" t="str">
            <v>90186790 - Muhammad Alfin Farha</v>
          </cell>
          <cell r="U1002" t="str">
            <v>"-"</v>
          </cell>
        </row>
        <row r="1003">
          <cell r="A1003">
            <v>46265</v>
          </cell>
          <cell r="B1003" t="str">
            <v xml:space="preserve">KOPESAT BEA DAN CUKAI                   </v>
          </cell>
          <cell r="C1003" t="str">
            <v>KE29820</v>
          </cell>
          <cell r="D1003">
            <v>125601000004303</v>
          </cell>
          <cell r="E1003" t="str">
            <v>SEDANG</v>
          </cell>
          <cell r="F1003" t="str">
            <v>Tidak</v>
          </cell>
          <cell r="G1003" t="str">
            <v>Tidak</v>
          </cell>
          <cell r="H1003" t="str">
            <v>Tidak</v>
          </cell>
          <cell r="I1003" t="str">
            <v>Korupsi - Significant Trx View</v>
          </cell>
          <cell r="J1003">
            <v>50</v>
          </cell>
          <cell r="K1003">
            <v>1.19</v>
          </cell>
          <cell r="L1003" t="str">
            <v>Korupsi</v>
          </cell>
          <cell r="M1003" t="str">
            <v>Kas Kanpus</v>
          </cell>
          <cell r="N1003" t="str">
            <v>Kas Kanpus</v>
          </cell>
          <cell r="O1003" t="str">
            <v>KAS KANPUS</v>
          </cell>
          <cell r="R1003" t="str">
            <v>Belum TL</v>
          </cell>
          <cell r="S1003" t="str">
            <v>Belum TL</v>
          </cell>
          <cell r="T1003" t="str">
            <v>90150130 - Intan Aida Pratiwi</v>
          </cell>
          <cell r="U1003" t="str">
            <v>"-"</v>
          </cell>
        </row>
        <row r="1004">
          <cell r="A1004">
            <v>46265</v>
          </cell>
          <cell r="B1004" t="str">
            <v xml:space="preserve">KELVIN HUANG                            </v>
          </cell>
          <cell r="C1004" t="str">
            <v>KED9353</v>
          </cell>
          <cell r="D1004">
            <v>4359720200276900</v>
          </cell>
          <cell r="E1004" t="str">
            <v>SEDANG</v>
          </cell>
          <cell r="F1004" t="str">
            <v>Tidak</v>
          </cell>
          <cell r="G1004" t="str">
            <v>Tidak</v>
          </cell>
          <cell r="H1004" t="str">
            <v>Tidak</v>
          </cell>
          <cell r="I1004" t="str">
            <v>Penghindaran Pajak (Transaksi Fiktif)/Penyuapan CC</v>
          </cell>
          <cell r="J1004">
            <v>45</v>
          </cell>
          <cell r="K1004">
            <v>118</v>
          </cell>
          <cell r="L1004" t="str">
            <v>Penyuapan / Penghindaran Pajak CC View</v>
          </cell>
          <cell r="M1004" t="str">
            <v xml:space="preserve">Kas Kanpus                              </v>
          </cell>
          <cell r="N1004" t="str">
            <v xml:space="preserve">Kas Kanpus                              </v>
          </cell>
          <cell r="O1004" t="str">
            <v xml:space="preserve">KAS KANPUS                              </v>
          </cell>
          <cell r="R1004" t="str">
            <v>Belum TL</v>
          </cell>
          <cell r="S1004" t="str">
            <v>Belum TL</v>
          </cell>
          <cell r="T1004" t="str">
            <v>00336949 - Mochammad Al Farabi</v>
          </cell>
          <cell r="U1004" t="str">
            <v>"-"</v>
          </cell>
        </row>
        <row r="1005">
          <cell r="A1005">
            <v>46265</v>
          </cell>
          <cell r="B1005" t="str">
            <v xml:space="preserve">KSPPS BINA USAHA SYARI'AH               </v>
          </cell>
          <cell r="C1005" t="str">
            <v>KFA5281</v>
          </cell>
          <cell r="D1005">
            <v>6601505030150</v>
          </cell>
          <cell r="E1005" t="str">
            <v>SEDANG</v>
          </cell>
          <cell r="F1005" t="str">
            <v>Tidak</v>
          </cell>
          <cell r="G1005" t="str">
            <v>Tidak</v>
          </cell>
          <cell r="H1005" t="str">
            <v>Tidak</v>
          </cell>
          <cell r="I1005" t="str">
            <v>Korupsi - Loan View</v>
          </cell>
          <cell r="J1005">
            <v>48</v>
          </cell>
          <cell r="K1005">
            <v>15</v>
          </cell>
          <cell r="L1005" t="str">
            <v>Korupsi</v>
          </cell>
          <cell r="M1005" t="str">
            <v>Kas Kanpus</v>
          </cell>
          <cell r="N1005" t="str">
            <v>Kas Kanpus</v>
          </cell>
          <cell r="O1005" t="str">
            <v>KAS KANPUS</v>
          </cell>
          <cell r="R1005" t="str">
            <v>Belum TL</v>
          </cell>
          <cell r="S1005" t="str">
            <v>Belum TL</v>
          </cell>
          <cell r="T1005" t="str">
            <v>90185537 - Moh.Khoerul Fajar Ar</v>
          </cell>
          <cell r="U1005" t="str">
            <v>"-"</v>
          </cell>
        </row>
        <row r="1006">
          <cell r="A1006">
            <v>46265</v>
          </cell>
          <cell r="B1006" t="str">
            <v xml:space="preserve">KARYA WIDA PERKASA                      </v>
          </cell>
          <cell r="C1006" t="str">
            <v>KGG9092</v>
          </cell>
          <cell r="D1006">
            <v>17201501700156</v>
          </cell>
          <cell r="E1006" t="str">
            <v>SEDANG</v>
          </cell>
          <cell r="F1006" t="str">
            <v>Tidak</v>
          </cell>
          <cell r="G1006" t="str">
            <v>Tidak</v>
          </cell>
          <cell r="H1006" t="str">
            <v>Tidak</v>
          </cell>
          <cell r="I1006" t="str">
            <v>Korupsi - Loan View</v>
          </cell>
          <cell r="J1006">
            <v>48</v>
          </cell>
          <cell r="K1006">
            <v>15</v>
          </cell>
          <cell r="L1006" t="str">
            <v>Korupsi</v>
          </cell>
          <cell r="M1006" t="str">
            <v>Kas Kanpus</v>
          </cell>
          <cell r="N1006" t="str">
            <v>Kas Kanpus</v>
          </cell>
          <cell r="O1006" t="str">
            <v>KAS KANPUS</v>
          </cell>
          <cell r="R1006" t="str">
            <v>Belum TL</v>
          </cell>
          <cell r="S1006" t="str">
            <v>Belum TL</v>
          </cell>
          <cell r="T1006" t="str">
            <v>90170665 - Mutiara Ayuningtyas</v>
          </cell>
          <cell r="U1006" t="str">
            <v>"-"</v>
          </cell>
        </row>
        <row r="1007">
          <cell r="A1007">
            <v>46265</v>
          </cell>
          <cell r="B1007" t="str">
            <v xml:space="preserve">KHAIRUL AMRI SAMOSIR                    </v>
          </cell>
          <cell r="C1007" t="str">
            <v>KHV3364</v>
          </cell>
          <cell r="D1007">
            <v>528301072597531</v>
          </cell>
          <cell r="E1007" t="str">
            <v>SEDANG</v>
          </cell>
          <cell r="F1007" t="str">
            <v>Tidak</v>
          </cell>
          <cell r="G1007" t="str">
            <v>Tidak</v>
          </cell>
          <cell r="H1007" t="str">
            <v>Tidak</v>
          </cell>
          <cell r="I1007" t="str">
            <v>Bandar Judol Withdrawal</v>
          </cell>
          <cell r="J1007">
            <v>50</v>
          </cell>
          <cell r="K1007" t="str">
            <v>86,88,87</v>
          </cell>
          <cell r="L1007" t="str">
            <v>Judi Online</v>
          </cell>
          <cell r="M1007" t="str">
            <v xml:space="preserve">Kas Kanpus                              </v>
          </cell>
          <cell r="N1007" t="str">
            <v xml:space="preserve">Kas Kanpus                              </v>
          </cell>
          <cell r="O1007" t="str">
            <v xml:space="preserve">KAS KANPUS                              </v>
          </cell>
          <cell r="R1007" t="str">
            <v>Belum TL</v>
          </cell>
          <cell r="S1007" t="str">
            <v>Belum TL</v>
          </cell>
          <cell r="T1007" t="str">
            <v>90186796 - Devito Arya Wiradila</v>
          </cell>
          <cell r="U1007" t="str">
            <v>"-"</v>
          </cell>
        </row>
        <row r="1008">
          <cell r="A1008">
            <v>46265</v>
          </cell>
          <cell r="B1008" t="str">
            <v xml:space="preserve">KARTINI SUKSES MAKMUR                   </v>
          </cell>
          <cell r="C1008" t="str">
            <v>KHY9859</v>
          </cell>
          <cell r="D1008">
            <v>38701000921305</v>
          </cell>
          <cell r="E1008" t="str">
            <v>TINGGI</v>
          </cell>
          <cell r="F1008" t="str">
            <v>Tidak</v>
          </cell>
          <cell r="G1008" t="str">
            <v>Tidak</v>
          </cell>
          <cell r="H1008" t="str">
            <v>Tidak</v>
          </cell>
          <cell r="I1008" t="str">
            <v>Perpajakan</v>
          </cell>
          <cell r="J1008">
            <v>65</v>
          </cell>
          <cell r="K1008">
            <v>1.33</v>
          </cell>
          <cell r="L1008" t="str">
            <v>Perpajakan</v>
          </cell>
          <cell r="M1008" t="str">
            <v xml:space="preserve">KC Bogor Pajajaran                      </v>
          </cell>
          <cell r="N1008" t="str">
            <v xml:space="preserve">KC Bogor Pajajaran                      </v>
          </cell>
          <cell r="O1008" t="str">
            <v xml:space="preserve">DKI2                                    </v>
          </cell>
          <cell r="R1008" t="str">
            <v>Belum TL</v>
          </cell>
          <cell r="S1008" t="str">
            <v>Belum TL</v>
          </cell>
          <cell r="T1008" t="str">
            <v>00394521 - Muhammad Hibbanduta</v>
          </cell>
          <cell r="U1008" t="str">
            <v>"-"</v>
          </cell>
        </row>
        <row r="1009">
          <cell r="A1009">
            <v>46265</v>
          </cell>
          <cell r="B1009" t="str">
            <v xml:space="preserve">KIMIA FARMA APOTEK                      </v>
          </cell>
          <cell r="C1009" t="str">
            <v>KIT7044</v>
          </cell>
          <cell r="D1009">
            <v>32901005484308</v>
          </cell>
          <cell r="E1009" t="str">
            <v>SEDANG</v>
          </cell>
          <cell r="F1009" t="str">
            <v>Tidak</v>
          </cell>
          <cell r="G1009" t="str">
            <v>Tidak</v>
          </cell>
          <cell r="H1009" t="str">
            <v>Tidak</v>
          </cell>
          <cell r="I1009" t="str">
            <v>Perpajakan</v>
          </cell>
          <cell r="J1009">
            <v>48</v>
          </cell>
          <cell r="K1009">
            <v>1.33</v>
          </cell>
          <cell r="L1009" t="str">
            <v>Perpajakan</v>
          </cell>
          <cell r="M1009" t="str">
            <v xml:space="preserve">KC Jakarta Veteran                      </v>
          </cell>
          <cell r="N1009" t="str">
            <v xml:space="preserve">KC Jakarta Veteran                      </v>
          </cell>
          <cell r="O1009" t="str">
            <v xml:space="preserve">DKI                                     </v>
          </cell>
          <cell r="R1009" t="str">
            <v>Belum TL</v>
          </cell>
          <cell r="S1009" t="str">
            <v>Belum TL</v>
          </cell>
          <cell r="T1009" t="str">
            <v>00336949 - Mochammad Al Farabi</v>
          </cell>
          <cell r="U1009" t="str">
            <v>"-"</v>
          </cell>
        </row>
        <row r="1010">
          <cell r="A1010">
            <v>46265</v>
          </cell>
          <cell r="B1010" t="str">
            <v xml:space="preserve">KUMALASARI NUGRAHANING WIDHI            </v>
          </cell>
          <cell r="C1010" t="str">
            <v>KJU3750</v>
          </cell>
          <cell r="D1010">
            <v>40801003295109</v>
          </cell>
          <cell r="E1010" t="str">
            <v>SEDANG</v>
          </cell>
          <cell r="F1010" t="str">
            <v>Tidak</v>
          </cell>
          <cell r="G1010" t="str">
            <v>Tidak</v>
          </cell>
          <cell r="H1010" t="str">
            <v>Tidak</v>
          </cell>
          <cell r="I1010" t="str">
            <v>Korupsi - Loan View</v>
          </cell>
          <cell r="J1010">
            <v>48</v>
          </cell>
          <cell r="K1010">
            <v>15</v>
          </cell>
          <cell r="L1010" t="str">
            <v>Korupsi</v>
          </cell>
          <cell r="M1010" t="str">
            <v>Kas Kanpus</v>
          </cell>
          <cell r="N1010" t="str">
            <v>Kas Kanpus</v>
          </cell>
          <cell r="O1010" t="str">
            <v>KAS KANPUS</v>
          </cell>
          <cell r="R1010" t="str">
            <v>Belum TL</v>
          </cell>
          <cell r="S1010" t="str">
            <v>Belum TL</v>
          </cell>
          <cell r="T1010" t="str">
            <v>90185537 - Moh.Khoerul Fajar Ar</v>
          </cell>
          <cell r="U1010" t="str">
            <v>"-"</v>
          </cell>
        </row>
        <row r="1011">
          <cell r="A1011">
            <v>46265</v>
          </cell>
          <cell r="B1011" t="str">
            <v xml:space="preserve">KALIMANTAN LESTARI PENAJAM              </v>
          </cell>
          <cell r="C1011" t="str">
            <v>KJY2074</v>
          </cell>
          <cell r="D1011">
            <v>111301000468157</v>
          </cell>
          <cell r="E1011" t="str">
            <v>SEDANG</v>
          </cell>
          <cell r="F1011" t="str">
            <v>Tidak</v>
          </cell>
          <cell r="G1011" t="str">
            <v>Tidak</v>
          </cell>
          <cell r="H1011" t="str">
            <v>Tidak</v>
          </cell>
          <cell r="I1011" t="str">
            <v>Korupsi - Loan View</v>
          </cell>
          <cell r="J1011">
            <v>48</v>
          </cell>
          <cell r="K1011">
            <v>15</v>
          </cell>
          <cell r="L1011" t="str">
            <v>Korupsi</v>
          </cell>
          <cell r="M1011" t="str">
            <v>Kas Kanpus</v>
          </cell>
          <cell r="N1011" t="str">
            <v>Kas Kanpus</v>
          </cell>
          <cell r="O1011" t="str">
            <v>KAS KANPUS</v>
          </cell>
          <cell r="R1011" t="str">
            <v>Belum TL</v>
          </cell>
          <cell r="S1011" t="str">
            <v>Belum TL</v>
          </cell>
          <cell r="T1011" t="str">
            <v>00336949 - Mochammad Al Farabi</v>
          </cell>
          <cell r="U1011" t="str">
            <v>"-"</v>
          </cell>
        </row>
        <row r="1012">
          <cell r="A1012">
            <v>46265</v>
          </cell>
          <cell r="B1012" t="str">
            <v xml:space="preserve">KRESANSIANO DWIMNUPUTRO                 </v>
          </cell>
          <cell r="C1012" t="str">
            <v>KJZ4742</v>
          </cell>
          <cell r="D1012">
            <v>27301018496101</v>
          </cell>
          <cell r="E1012" t="str">
            <v>SEDANG</v>
          </cell>
          <cell r="F1012" t="str">
            <v>Tidak</v>
          </cell>
          <cell r="G1012" t="str">
            <v>Tidak</v>
          </cell>
          <cell r="H1012" t="str">
            <v>Tidak</v>
          </cell>
          <cell r="I1012" t="str">
            <v>Korupsi - Loan View</v>
          </cell>
          <cell r="J1012">
            <v>48</v>
          </cell>
          <cell r="K1012">
            <v>15</v>
          </cell>
          <cell r="L1012" t="str">
            <v>Korupsi</v>
          </cell>
          <cell r="M1012" t="str">
            <v>Kas Kanpus</v>
          </cell>
          <cell r="N1012" t="str">
            <v>Kas Kanpus</v>
          </cell>
          <cell r="O1012" t="str">
            <v>KAS KANPUS</v>
          </cell>
          <cell r="R1012" t="str">
            <v>Belum TL</v>
          </cell>
          <cell r="S1012" t="str">
            <v>Belum TL</v>
          </cell>
          <cell r="T1012" t="str">
            <v>90170665 - Mutiara Ayuningtyas</v>
          </cell>
          <cell r="U1012" t="str">
            <v>"-"</v>
          </cell>
        </row>
        <row r="1013">
          <cell r="A1013">
            <v>46265</v>
          </cell>
          <cell r="B1013" t="str">
            <v xml:space="preserve">KUD GAJAH MADA                          </v>
          </cell>
          <cell r="C1013" t="str">
            <v>KK03990</v>
          </cell>
          <cell r="D1013">
            <v>12601015268100</v>
          </cell>
          <cell r="E1013" t="str">
            <v>SEDANG</v>
          </cell>
          <cell r="F1013" t="str">
            <v>Ya</v>
          </cell>
          <cell r="G1013" t="str">
            <v>Tidak</v>
          </cell>
          <cell r="H1013" t="str">
            <v>Tidak</v>
          </cell>
          <cell r="I1013" t="str">
            <v>Korupsi - Loan View</v>
          </cell>
          <cell r="J1013">
            <v>48</v>
          </cell>
          <cell r="K1013">
            <v>15</v>
          </cell>
          <cell r="L1013" t="str">
            <v>Korupsi</v>
          </cell>
          <cell r="M1013" t="str">
            <v>Kas Kanpus</v>
          </cell>
          <cell r="N1013" t="str">
            <v>Kas Kanpus</v>
          </cell>
          <cell r="O1013" t="str">
            <v>KAS KANPUS</v>
          </cell>
          <cell r="R1013" t="str">
            <v>Belum TL</v>
          </cell>
          <cell r="S1013" t="str">
            <v>Belum TL</v>
          </cell>
          <cell r="T1013" t="str">
            <v>90186796 - Devito Arya Wiradila</v>
          </cell>
          <cell r="U1013" t="str">
            <v>"-"</v>
          </cell>
        </row>
        <row r="1014">
          <cell r="A1014">
            <v>46265</v>
          </cell>
          <cell r="B1014" t="str">
            <v xml:space="preserve">KSPPS NU GRAHA JATENG                   </v>
          </cell>
          <cell r="C1014" t="str">
            <v>KKD7388</v>
          </cell>
          <cell r="D1014">
            <v>19001501728152</v>
          </cell>
          <cell r="E1014" t="str">
            <v>SEDANG</v>
          </cell>
          <cell r="F1014" t="str">
            <v>Tidak</v>
          </cell>
          <cell r="G1014" t="str">
            <v>Tidak</v>
          </cell>
          <cell r="H1014" t="str">
            <v>Tidak</v>
          </cell>
          <cell r="I1014" t="str">
            <v>Korupsi - Loan View</v>
          </cell>
          <cell r="J1014">
            <v>48</v>
          </cell>
          <cell r="K1014">
            <v>15</v>
          </cell>
          <cell r="L1014" t="str">
            <v>Korupsi</v>
          </cell>
          <cell r="M1014" t="str">
            <v>Kas Kanpus</v>
          </cell>
          <cell r="N1014" t="str">
            <v>Kas Kanpus</v>
          </cell>
          <cell r="O1014" t="str">
            <v>KAS KANPUS</v>
          </cell>
          <cell r="R1014" t="str">
            <v>Belum TL</v>
          </cell>
          <cell r="S1014" t="str">
            <v>Belum TL</v>
          </cell>
          <cell r="T1014" t="str">
            <v>00336949 - Mochammad Al Farabi</v>
          </cell>
          <cell r="U1014" t="str">
            <v>"-"</v>
          </cell>
        </row>
        <row r="1015">
          <cell r="A1015">
            <v>46265</v>
          </cell>
          <cell r="B1015" t="str">
            <v xml:space="preserve">KARTOYO                                 </v>
          </cell>
          <cell r="C1015" t="str">
            <v>KL38048</v>
          </cell>
          <cell r="D1015">
            <v>24201501592154</v>
          </cell>
          <cell r="E1015" t="str">
            <v>SEDANG</v>
          </cell>
          <cell r="F1015" t="str">
            <v>Tidak</v>
          </cell>
          <cell r="G1015" t="str">
            <v>Tidak</v>
          </cell>
          <cell r="H1015" t="str">
            <v>Tidak</v>
          </cell>
          <cell r="I1015" t="str">
            <v>Korupsi - Loan View</v>
          </cell>
          <cell r="J1015">
            <v>58</v>
          </cell>
          <cell r="K1015">
            <v>15</v>
          </cell>
          <cell r="L1015" t="str">
            <v>Korupsi</v>
          </cell>
          <cell r="M1015" t="str">
            <v>Kas Kanpus</v>
          </cell>
          <cell r="N1015" t="str">
            <v>Kas Kanpus</v>
          </cell>
          <cell r="O1015" t="str">
            <v>KAS KANPUS</v>
          </cell>
          <cell r="R1015" t="str">
            <v>Belum TL</v>
          </cell>
          <cell r="S1015" t="str">
            <v>Belum TL</v>
          </cell>
          <cell r="T1015" t="str">
            <v>00394520 - Frida Akbar Rani</v>
          </cell>
          <cell r="U1015" t="str">
            <v>"-"</v>
          </cell>
        </row>
        <row r="1016">
          <cell r="A1016">
            <v>46265</v>
          </cell>
          <cell r="B1016" t="str">
            <v xml:space="preserve">KURNIADI PERDANA GRAHA                  </v>
          </cell>
          <cell r="C1016" t="str">
            <v>KLN7802</v>
          </cell>
          <cell r="D1016">
            <v>32901500681154</v>
          </cell>
          <cell r="E1016" t="str">
            <v>SEDANG</v>
          </cell>
          <cell r="F1016" t="str">
            <v>Tidak</v>
          </cell>
          <cell r="G1016" t="str">
            <v>Tidak</v>
          </cell>
          <cell r="H1016" t="str">
            <v>Tidak</v>
          </cell>
          <cell r="I1016" t="str">
            <v>Korupsi - Loan View</v>
          </cell>
          <cell r="J1016">
            <v>48</v>
          </cell>
          <cell r="K1016">
            <v>15</v>
          </cell>
          <cell r="L1016" t="str">
            <v>Korupsi</v>
          </cell>
          <cell r="M1016" t="str">
            <v>Kas Kanpus</v>
          </cell>
          <cell r="N1016" t="str">
            <v>Kas Kanpus</v>
          </cell>
          <cell r="O1016" t="str">
            <v>KAS KANPUS</v>
          </cell>
          <cell r="R1016" t="str">
            <v>Belum TL</v>
          </cell>
          <cell r="S1016" t="str">
            <v>Belum TL</v>
          </cell>
          <cell r="T1016" t="str">
            <v>00394520 - Frida Akbar Rani</v>
          </cell>
          <cell r="U1016" t="str">
            <v>"-"</v>
          </cell>
        </row>
        <row r="1017">
          <cell r="A1017">
            <v>46265</v>
          </cell>
          <cell r="B1017" t="str">
            <v xml:space="preserve">KOPERASI UNIT DESA GAJAH MADA           </v>
          </cell>
          <cell r="C1017" t="str">
            <v>KLO4591</v>
          </cell>
          <cell r="D1017">
            <v>12601016517104</v>
          </cell>
          <cell r="E1017" t="str">
            <v>SEDANG</v>
          </cell>
          <cell r="F1017" t="str">
            <v>Tidak</v>
          </cell>
          <cell r="G1017" t="str">
            <v>Tidak</v>
          </cell>
          <cell r="H1017" t="str">
            <v>Tidak</v>
          </cell>
          <cell r="I1017" t="str">
            <v>Korupsi - Loan View</v>
          </cell>
          <cell r="J1017">
            <v>48</v>
          </cell>
          <cell r="K1017">
            <v>15</v>
          </cell>
          <cell r="L1017" t="str">
            <v>Korupsi</v>
          </cell>
          <cell r="M1017" t="str">
            <v>Kas Kanpus</v>
          </cell>
          <cell r="N1017" t="str">
            <v>Kas Kanpus</v>
          </cell>
          <cell r="O1017" t="str">
            <v>KAS KANPUS</v>
          </cell>
          <cell r="R1017" t="str">
            <v>Belum TL</v>
          </cell>
          <cell r="S1017" t="str">
            <v>Belum TL</v>
          </cell>
          <cell r="T1017" t="str">
            <v>00394520 - Frida Akbar Rani</v>
          </cell>
          <cell r="U1017" t="str">
            <v>"-"</v>
          </cell>
        </row>
        <row r="1018">
          <cell r="A1018">
            <v>46265</v>
          </cell>
          <cell r="B1018" t="str">
            <v xml:space="preserve">KOPERASI UNIT DESA GAJAH MADA           </v>
          </cell>
          <cell r="C1018" t="str">
            <v>KLO4591</v>
          </cell>
          <cell r="D1018">
            <v>23001005252302</v>
          </cell>
          <cell r="E1018" t="str">
            <v>SEDANG</v>
          </cell>
          <cell r="F1018" t="str">
            <v>Tidak</v>
          </cell>
          <cell r="G1018" t="str">
            <v>Tidak</v>
          </cell>
          <cell r="H1018" t="str">
            <v>Tidak</v>
          </cell>
          <cell r="I1018" t="str">
            <v>Korupsi - Cash &amp; Amount</v>
          </cell>
          <cell r="J1018">
            <v>48</v>
          </cell>
          <cell r="K1018" t="str">
            <v>1,2,20</v>
          </cell>
          <cell r="L1018" t="str">
            <v>Korupsi</v>
          </cell>
          <cell r="M1018" t="str">
            <v>Kas Kanpus</v>
          </cell>
          <cell r="N1018" t="str">
            <v>Kas Kanpus</v>
          </cell>
          <cell r="O1018" t="str">
            <v>KAS KANPUS</v>
          </cell>
          <cell r="R1018" t="str">
            <v>Belum TL</v>
          </cell>
          <cell r="S1018" t="str">
            <v>Belum TL</v>
          </cell>
          <cell r="T1018" t="str">
            <v>90150130 - Intan Aida Pratiwi</v>
          </cell>
          <cell r="U1018" t="str">
            <v>"-"</v>
          </cell>
        </row>
        <row r="1019">
          <cell r="A1019">
            <v>46265</v>
          </cell>
          <cell r="B1019" t="str">
            <v xml:space="preserve">KOPERASI UNIT DESA GAJAH MADA           </v>
          </cell>
          <cell r="C1019" t="str">
            <v>KLO4591</v>
          </cell>
          <cell r="D1019">
            <v>23001005624305</v>
          </cell>
          <cell r="E1019" t="str">
            <v>SEDANG</v>
          </cell>
          <cell r="F1019" t="str">
            <v>Tidak</v>
          </cell>
          <cell r="G1019" t="str">
            <v>Tidak</v>
          </cell>
          <cell r="H1019" t="str">
            <v>Tidak</v>
          </cell>
          <cell r="I1019" t="str">
            <v>Korupsi - Cash &amp; Amount</v>
          </cell>
          <cell r="J1019">
            <v>48</v>
          </cell>
          <cell r="K1019" t="str">
            <v>1,2,20</v>
          </cell>
          <cell r="L1019" t="str">
            <v>Korupsi</v>
          </cell>
          <cell r="M1019" t="str">
            <v>Kas Kanpus</v>
          </cell>
          <cell r="N1019" t="str">
            <v>Kas Kanpus</v>
          </cell>
          <cell r="O1019" t="str">
            <v>KAS KANPUS</v>
          </cell>
          <cell r="R1019" t="str">
            <v>Belum TL</v>
          </cell>
          <cell r="S1019" t="str">
            <v>Belum TL</v>
          </cell>
          <cell r="T1019" t="str">
            <v>00336949 - Mochammad Al Farabi</v>
          </cell>
          <cell r="U1019" t="str">
            <v>"-"</v>
          </cell>
        </row>
        <row r="1020">
          <cell r="A1020">
            <v>46265</v>
          </cell>
          <cell r="B1020" t="str">
            <v xml:space="preserve">KARTIKA                                 </v>
          </cell>
          <cell r="C1020" t="str">
            <v>KMP8984</v>
          </cell>
          <cell r="D1020">
            <v>20601004863561</v>
          </cell>
          <cell r="E1020" t="str">
            <v>TINGGI</v>
          </cell>
          <cell r="F1020" t="str">
            <v>Tidak</v>
          </cell>
          <cell r="G1020" t="str">
            <v>Tidak</v>
          </cell>
          <cell r="H1020" t="str">
            <v>Tidak</v>
          </cell>
          <cell r="I1020" t="str">
            <v>Korupsi - Significant Trx View</v>
          </cell>
          <cell r="J1020">
            <v>83</v>
          </cell>
          <cell r="K1020">
            <v>1.19</v>
          </cell>
          <cell r="L1020" t="str">
            <v>Korupsi</v>
          </cell>
          <cell r="M1020" t="str">
            <v>Kas Kanpus</v>
          </cell>
          <cell r="N1020" t="str">
            <v>Kas Kanpus</v>
          </cell>
          <cell r="O1020" t="str">
            <v>KAS KANPUS</v>
          </cell>
          <cell r="R1020" t="str">
            <v>Belum TL</v>
          </cell>
          <cell r="S1020" t="str">
            <v>Belum TL</v>
          </cell>
          <cell r="T1020" t="str">
            <v>90186790 - Muhammad Alfin Farha</v>
          </cell>
          <cell r="U1020" t="str">
            <v>"-"</v>
          </cell>
        </row>
        <row r="1021">
          <cell r="A1021">
            <v>46265</v>
          </cell>
          <cell r="B1021" t="str">
            <v xml:space="preserve">KSP MARGI RIZKI                         </v>
          </cell>
          <cell r="C1021" t="str">
            <v>KN17861</v>
          </cell>
          <cell r="D1021">
            <v>1601502407159</v>
          </cell>
          <cell r="E1021" t="str">
            <v>SEDANG</v>
          </cell>
          <cell r="F1021" t="str">
            <v>Tidak</v>
          </cell>
          <cell r="G1021" t="str">
            <v>Tidak</v>
          </cell>
          <cell r="H1021" t="str">
            <v>Tidak</v>
          </cell>
          <cell r="I1021" t="str">
            <v>Korupsi - Loan View</v>
          </cell>
          <cell r="J1021">
            <v>48</v>
          </cell>
          <cell r="K1021">
            <v>15</v>
          </cell>
          <cell r="L1021" t="str">
            <v>Korupsi</v>
          </cell>
          <cell r="M1021" t="str">
            <v>Kas Kanpus</v>
          </cell>
          <cell r="N1021" t="str">
            <v>Kas Kanpus</v>
          </cell>
          <cell r="O1021" t="str">
            <v>KAS KANPUS</v>
          </cell>
          <cell r="R1021" t="str">
            <v>Belum TL</v>
          </cell>
          <cell r="S1021" t="str">
            <v>Belum TL</v>
          </cell>
          <cell r="T1021" t="str">
            <v>00336949 - Mochammad Al Farabi</v>
          </cell>
          <cell r="U1021" t="str">
            <v>"-"</v>
          </cell>
        </row>
        <row r="1022">
          <cell r="A1022">
            <v>46265</v>
          </cell>
          <cell r="B1022" t="str">
            <v xml:space="preserve">KC TANJUNG PINANG                       </v>
          </cell>
          <cell r="C1022" t="str">
            <v>KO94465</v>
          </cell>
          <cell r="D1022">
            <v>17401002581304</v>
          </cell>
          <cell r="E1022" t="str">
            <v>RENDAH</v>
          </cell>
          <cell r="F1022" t="str">
            <v>Tidak</v>
          </cell>
          <cell r="G1022" t="str">
            <v>Tidak</v>
          </cell>
          <cell r="H1022" t="str">
            <v>Tidak</v>
          </cell>
          <cell r="I1022" t="str">
            <v>Korupsi - Significant Trx View</v>
          </cell>
          <cell r="J1022">
            <v>35</v>
          </cell>
          <cell r="K1022">
            <v>1.19</v>
          </cell>
          <cell r="L1022" t="str">
            <v>Korupsi</v>
          </cell>
          <cell r="M1022" t="str">
            <v>Kas Kanpus</v>
          </cell>
          <cell r="N1022" t="str">
            <v>Kas Kanpus</v>
          </cell>
          <cell r="O1022" t="str">
            <v>KAS KANPUS</v>
          </cell>
          <cell r="R1022" t="str">
            <v>Belum TL</v>
          </cell>
          <cell r="S1022" t="str">
            <v>Belum TL</v>
          </cell>
          <cell r="T1022" t="str">
            <v>00394521 - Muhammad Hibbanduta</v>
          </cell>
          <cell r="U1022" t="str">
            <v>"-"</v>
          </cell>
        </row>
        <row r="1023">
          <cell r="A1023">
            <v>46265</v>
          </cell>
          <cell r="B1023" t="str">
            <v xml:space="preserve">KURNIA ABADI JAYA                       </v>
          </cell>
          <cell r="C1023" t="str">
            <v>KOB0540</v>
          </cell>
          <cell r="D1023">
            <v>9801503976153</v>
          </cell>
          <cell r="E1023" t="str">
            <v>SEDANG</v>
          </cell>
          <cell r="F1023" t="str">
            <v>Tidak</v>
          </cell>
          <cell r="G1023" t="str">
            <v>Tidak</v>
          </cell>
          <cell r="H1023" t="str">
            <v>Tidak</v>
          </cell>
          <cell r="I1023" t="str">
            <v>Korupsi - Loan View</v>
          </cell>
          <cell r="J1023">
            <v>48</v>
          </cell>
          <cell r="K1023">
            <v>15</v>
          </cell>
          <cell r="L1023" t="str">
            <v>Korupsi</v>
          </cell>
          <cell r="M1023" t="str">
            <v>Kas Kanpus</v>
          </cell>
          <cell r="N1023" t="str">
            <v>Kas Kanpus</v>
          </cell>
          <cell r="O1023" t="str">
            <v>KAS KANPUS</v>
          </cell>
          <cell r="R1023" t="str">
            <v>Belum TL</v>
          </cell>
          <cell r="S1023" t="str">
            <v>Belum TL</v>
          </cell>
          <cell r="T1023" t="str">
            <v>00394520 - Frida Akbar Rani</v>
          </cell>
          <cell r="U1023" t="str">
            <v>"-"</v>
          </cell>
        </row>
        <row r="1024">
          <cell r="A1024">
            <v>46265</v>
          </cell>
          <cell r="B1024" t="str">
            <v xml:space="preserve">KOMANG RASIKUN                          </v>
          </cell>
          <cell r="C1024" t="str">
            <v>KP36437</v>
          </cell>
          <cell r="D1024">
            <v>16701024628505</v>
          </cell>
          <cell r="E1024" t="str">
            <v>SEDANG</v>
          </cell>
          <cell r="F1024" t="str">
            <v>Tidak</v>
          </cell>
          <cell r="G1024" t="str">
            <v>Tidak</v>
          </cell>
          <cell r="H1024" t="str">
            <v>Tidak</v>
          </cell>
          <cell r="I1024" t="str">
            <v>Narkotika - Area Lapas</v>
          </cell>
          <cell r="J1024">
            <v>53</v>
          </cell>
          <cell r="K1024">
            <v>48</v>
          </cell>
          <cell r="L1024" t="str">
            <v>Narkotika</v>
          </cell>
          <cell r="M1024" t="str">
            <v>KC Luwuk</v>
          </cell>
          <cell r="N1024" t="str">
            <v>KC Luwuk</v>
          </cell>
          <cell r="O1024" t="str">
            <v>Manado</v>
          </cell>
          <cell r="R1024" t="str">
            <v>Belum TL</v>
          </cell>
          <cell r="S1024" t="str">
            <v>Belum TL</v>
          </cell>
          <cell r="T1024" t="str">
            <v>90171841 - Rifqi Aziz</v>
          </cell>
          <cell r="U1024" t="str">
            <v>"-"</v>
          </cell>
        </row>
        <row r="1025">
          <cell r="A1025">
            <v>46265</v>
          </cell>
          <cell r="B1025" t="str">
            <v xml:space="preserve">KUSWATI                                 </v>
          </cell>
          <cell r="C1025" t="str">
            <v>KPE9165</v>
          </cell>
          <cell r="D1025">
            <v>34601056054508</v>
          </cell>
          <cell r="E1025" t="str">
            <v>RENDAH</v>
          </cell>
          <cell r="F1025" t="str">
            <v>Tidak</v>
          </cell>
          <cell r="G1025" t="str">
            <v>Tidak</v>
          </cell>
          <cell r="H1025" t="str">
            <v>Tidak</v>
          </cell>
          <cell r="I1025" t="str">
            <v>Bandar Judol Withdrawal</v>
          </cell>
          <cell r="J1025">
            <v>35</v>
          </cell>
          <cell r="K1025" t="str">
            <v>86,88,87</v>
          </cell>
          <cell r="L1025" t="str">
            <v>Judi Online</v>
          </cell>
          <cell r="M1025" t="str">
            <v xml:space="preserve">Kas Kanpus                              </v>
          </cell>
          <cell r="N1025" t="str">
            <v xml:space="preserve">Kas Kanpus                              </v>
          </cell>
          <cell r="O1025" t="str">
            <v xml:space="preserve">KAS KANPUS                              </v>
          </cell>
          <cell r="R1025" t="str">
            <v>Belum TL</v>
          </cell>
          <cell r="S1025" t="str">
            <v>Belum TL</v>
          </cell>
          <cell r="T1025" t="str">
            <v>00394521 - Muhammad Hibbanduta</v>
          </cell>
          <cell r="U1025" t="str">
            <v>"-"</v>
          </cell>
        </row>
        <row r="1026">
          <cell r="A1026">
            <v>46265</v>
          </cell>
          <cell r="B1026" t="str">
            <v xml:space="preserve">KASPUL WATAN                            </v>
          </cell>
          <cell r="C1026" t="str">
            <v>KQ85633</v>
          </cell>
          <cell r="D1026">
            <v>61601001460563</v>
          </cell>
          <cell r="E1026" t="str">
            <v>TINGGI</v>
          </cell>
          <cell r="F1026" t="str">
            <v>Ya</v>
          </cell>
          <cell r="G1026" t="str">
            <v>Tidak</v>
          </cell>
          <cell r="H1026" t="str">
            <v>Tidak</v>
          </cell>
          <cell r="I1026" t="str">
            <v>Korupsi - Cash &amp; Amount</v>
          </cell>
          <cell r="J1026">
            <v>83</v>
          </cell>
          <cell r="K1026" t="str">
            <v>1,2,20</v>
          </cell>
          <cell r="L1026" t="str">
            <v>Korupsi</v>
          </cell>
          <cell r="M1026" t="str">
            <v>Kas Kanpus</v>
          </cell>
          <cell r="N1026" t="str">
            <v>Kas Kanpus</v>
          </cell>
          <cell r="O1026" t="str">
            <v>KAS KANPUS</v>
          </cell>
          <cell r="R1026" t="str">
            <v>Belum TL</v>
          </cell>
          <cell r="S1026" t="str">
            <v>Belum TL</v>
          </cell>
          <cell r="T1026" t="str">
            <v>90150130 - Intan Aida Pratiwi</v>
          </cell>
          <cell r="U1026" t="str">
            <v>"-"</v>
          </cell>
        </row>
        <row r="1027">
          <cell r="A1027">
            <v>46265</v>
          </cell>
          <cell r="B1027" t="str">
            <v xml:space="preserve">KARTYANA WIDYARSO WARDOYO PUTRA         </v>
          </cell>
          <cell r="C1027" t="str">
            <v>KQH6966</v>
          </cell>
          <cell r="D1027">
            <v>370101007232100</v>
          </cell>
          <cell r="E1027" t="str">
            <v>SEDANG</v>
          </cell>
          <cell r="F1027" t="str">
            <v>Tidak</v>
          </cell>
          <cell r="G1027" t="str">
            <v>Tidak</v>
          </cell>
          <cell r="H1027" t="str">
            <v>Tidak</v>
          </cell>
          <cell r="I1027" t="str">
            <v>Korupsi - Loan View</v>
          </cell>
          <cell r="J1027">
            <v>48</v>
          </cell>
          <cell r="K1027">
            <v>15</v>
          </cell>
          <cell r="L1027" t="str">
            <v>Korupsi</v>
          </cell>
          <cell r="M1027" t="str">
            <v>Kas Kanpus</v>
          </cell>
          <cell r="N1027" t="str">
            <v>Kas Kanpus</v>
          </cell>
          <cell r="O1027" t="str">
            <v>KAS KANPUS</v>
          </cell>
          <cell r="R1027" t="str">
            <v>Belum TL</v>
          </cell>
          <cell r="S1027" t="str">
            <v>Belum TL</v>
          </cell>
          <cell r="T1027" t="str">
            <v>00394521 - Muhammad Hibbanduta</v>
          </cell>
          <cell r="U1027" t="str">
            <v>"-"</v>
          </cell>
        </row>
        <row r="1028">
          <cell r="A1028">
            <v>46265</v>
          </cell>
          <cell r="B1028" t="str">
            <v xml:space="preserve">KPRI SEHAT                              </v>
          </cell>
          <cell r="C1028" t="str">
            <v>KRC6715</v>
          </cell>
          <cell r="D1028">
            <v>7701502324159</v>
          </cell>
          <cell r="E1028" t="str">
            <v>SEDANG</v>
          </cell>
          <cell r="F1028" t="str">
            <v>Tidak</v>
          </cell>
          <cell r="G1028" t="str">
            <v>Tidak</v>
          </cell>
          <cell r="H1028" t="str">
            <v>Tidak</v>
          </cell>
          <cell r="I1028" t="str">
            <v>Korupsi - Loan View</v>
          </cell>
          <cell r="J1028">
            <v>48</v>
          </cell>
          <cell r="K1028">
            <v>15</v>
          </cell>
          <cell r="L1028" t="str">
            <v>Korupsi</v>
          </cell>
          <cell r="M1028" t="str">
            <v>Kas Kanpus</v>
          </cell>
          <cell r="N1028" t="str">
            <v>Kas Kanpus</v>
          </cell>
          <cell r="O1028" t="str">
            <v>KAS KANPUS</v>
          </cell>
          <cell r="R1028" t="str">
            <v>Belum TL</v>
          </cell>
          <cell r="S1028" t="str">
            <v>Belum TL</v>
          </cell>
          <cell r="T1028" t="str">
            <v>90170665 - Mutiara Ayuningtyas</v>
          </cell>
          <cell r="U1028" t="str">
            <v>"-"</v>
          </cell>
        </row>
        <row r="1029">
          <cell r="A1029">
            <v>46265</v>
          </cell>
          <cell r="B1029" t="str">
            <v xml:space="preserve">KOBUL BUDIYONO                          </v>
          </cell>
          <cell r="C1029" t="str">
            <v>KRU2249</v>
          </cell>
          <cell r="D1029">
            <v>4359720232110700</v>
          </cell>
          <cell r="E1029" t="str">
            <v>RENDAH</v>
          </cell>
          <cell r="F1029" t="str">
            <v>Tidak</v>
          </cell>
          <cell r="G1029" t="str">
            <v>Tidak</v>
          </cell>
          <cell r="H1029" t="str">
            <v>Tidak</v>
          </cell>
          <cell r="I1029" t="str">
            <v>Penyuapan - CC View</v>
          </cell>
          <cell r="J1029">
            <v>30</v>
          </cell>
          <cell r="K1029">
            <v>16.170000000000002</v>
          </cell>
          <cell r="L1029" t="str">
            <v>Penyuapan</v>
          </cell>
          <cell r="M1029" t="str">
            <v xml:space="preserve">Kas Kanpus                              </v>
          </cell>
          <cell r="N1029" t="str">
            <v xml:space="preserve">Kas Kanpus                              </v>
          </cell>
          <cell r="O1029" t="str">
            <v xml:space="preserve">KAS KANPUS                              </v>
          </cell>
          <cell r="R1029" t="str">
            <v>Belum TL</v>
          </cell>
          <cell r="S1029" t="str">
            <v>Belum TL</v>
          </cell>
          <cell r="T1029" t="str">
            <v>00336949 - Mochammad Al Farabi</v>
          </cell>
          <cell r="U1029" t="str">
            <v>"-"</v>
          </cell>
        </row>
        <row r="1030">
          <cell r="A1030">
            <v>46265</v>
          </cell>
          <cell r="B1030" t="str">
            <v xml:space="preserve">KOBUL BUDIYONO                          </v>
          </cell>
          <cell r="C1030" t="str">
            <v>KRU2249</v>
          </cell>
          <cell r="D1030">
            <v>4359720232110700</v>
          </cell>
          <cell r="E1030" t="str">
            <v>RENDAH</v>
          </cell>
          <cell r="F1030" t="str">
            <v>Tidak</v>
          </cell>
          <cell r="G1030" t="str">
            <v>Tidak</v>
          </cell>
          <cell r="H1030" t="str">
            <v>Tidak</v>
          </cell>
          <cell r="I1030" t="str">
            <v>Penghindaran Pajak (Transaksi Fiktif)/Penyuapan CC</v>
          </cell>
          <cell r="J1030">
            <v>30</v>
          </cell>
          <cell r="K1030">
            <v>118</v>
          </cell>
          <cell r="L1030" t="str">
            <v>Penyuapan / Penghindaran Pajak CC View</v>
          </cell>
          <cell r="M1030" t="str">
            <v xml:space="preserve">Kas Kanpus                              </v>
          </cell>
          <cell r="N1030" t="str">
            <v xml:space="preserve">Kas Kanpus                              </v>
          </cell>
          <cell r="O1030" t="str">
            <v xml:space="preserve">KAS KANPUS                              </v>
          </cell>
          <cell r="R1030" t="str">
            <v>Belum TL</v>
          </cell>
          <cell r="S1030" t="str">
            <v>Belum TL</v>
          </cell>
          <cell r="T1030" t="str">
            <v>00394521 - Muhammad Hibbanduta</v>
          </cell>
          <cell r="U1030" t="str">
            <v>"-"</v>
          </cell>
        </row>
        <row r="1031">
          <cell r="A1031">
            <v>46265</v>
          </cell>
          <cell r="B1031" t="str">
            <v xml:space="preserve">PENERIMAAN DAERAH KAB. MAROS            </v>
          </cell>
          <cell r="C1031" t="str">
            <v>KS16284</v>
          </cell>
          <cell r="D1031">
            <v>22401000783301</v>
          </cell>
          <cell r="E1031" t="str">
            <v>SEDANG</v>
          </cell>
          <cell r="F1031" t="str">
            <v>Tidak</v>
          </cell>
          <cell r="G1031" t="str">
            <v>Tidak</v>
          </cell>
          <cell r="H1031" t="str">
            <v>Tidak</v>
          </cell>
          <cell r="I1031" t="str">
            <v>Korupsi - Significant Trx View</v>
          </cell>
          <cell r="J1031">
            <v>50</v>
          </cell>
          <cell r="K1031">
            <v>1.19</v>
          </cell>
          <cell r="L1031" t="str">
            <v>Korupsi</v>
          </cell>
          <cell r="M1031" t="str">
            <v>Kas Kanpus</v>
          </cell>
          <cell r="N1031" t="str">
            <v>Kas Kanpus</v>
          </cell>
          <cell r="O1031" t="str">
            <v>KAS KANPUS</v>
          </cell>
          <cell r="R1031" t="str">
            <v>Belum TL</v>
          </cell>
          <cell r="S1031" t="str">
            <v>Belum TL</v>
          </cell>
          <cell r="T1031" t="str">
            <v>90185538 - Muhammad Fahikal Auz</v>
          </cell>
          <cell r="U1031" t="str">
            <v>"-"</v>
          </cell>
        </row>
        <row r="1032">
          <cell r="A1032">
            <v>46265</v>
          </cell>
          <cell r="B1032" t="str">
            <v xml:space="preserve">KRISTIANI MARGA JONIWATI HOO            </v>
          </cell>
          <cell r="C1032" t="str">
            <v>KS17492</v>
          </cell>
          <cell r="D1032">
            <v>4365020284978200</v>
          </cell>
          <cell r="E1032" t="str">
            <v>SEDANG</v>
          </cell>
          <cell r="F1032" t="str">
            <v>Ya</v>
          </cell>
          <cell r="G1032" t="str">
            <v>Tidak</v>
          </cell>
          <cell r="H1032" t="str">
            <v>Tidak</v>
          </cell>
          <cell r="I1032" t="str">
            <v>Penghindaran Pajak (Transaksi Fiktif)/Penyuapan CC</v>
          </cell>
          <cell r="J1032">
            <v>45</v>
          </cell>
          <cell r="K1032">
            <v>118</v>
          </cell>
          <cell r="L1032" t="str">
            <v>Penyuapan / Penghindaran Pajak CC View</v>
          </cell>
          <cell r="M1032" t="str">
            <v xml:space="preserve">Kas Kanpus                              </v>
          </cell>
          <cell r="N1032" t="str">
            <v xml:space="preserve">Kas Kanpus                              </v>
          </cell>
          <cell r="O1032" t="str">
            <v xml:space="preserve">KAS KANPUS                              </v>
          </cell>
          <cell r="R1032" t="str">
            <v>Belum TL</v>
          </cell>
          <cell r="S1032" t="str">
            <v>Belum TL</v>
          </cell>
          <cell r="T1032" t="str">
            <v>90150130 - Intan Aida Pratiwi</v>
          </cell>
          <cell r="U1032" t="str">
            <v>"-"</v>
          </cell>
        </row>
        <row r="1033">
          <cell r="A1033">
            <v>46265</v>
          </cell>
          <cell r="B1033" t="str">
            <v xml:space="preserve">KUSMIATI                                </v>
          </cell>
          <cell r="C1033" t="str">
            <v>KSJ9222</v>
          </cell>
          <cell r="D1033">
            <v>331801018030532</v>
          </cell>
          <cell r="E1033" t="str">
            <v>SEDANG</v>
          </cell>
          <cell r="F1033" t="str">
            <v>Tidak</v>
          </cell>
          <cell r="G1033" t="str">
            <v>Tidak</v>
          </cell>
          <cell r="H1033" t="str">
            <v>Tidak</v>
          </cell>
          <cell r="I1033" t="str">
            <v>Bandar Judol Withdrawal</v>
          </cell>
          <cell r="J1033">
            <v>50</v>
          </cell>
          <cell r="K1033" t="str">
            <v>86,88,87</v>
          </cell>
          <cell r="L1033" t="str">
            <v>Judi Online</v>
          </cell>
          <cell r="M1033" t="str">
            <v xml:space="preserve">Kas Kanpus                              </v>
          </cell>
          <cell r="N1033" t="str">
            <v xml:space="preserve">Kas Kanpus                              </v>
          </cell>
          <cell r="O1033" t="str">
            <v xml:space="preserve">KAS KANPUS                              </v>
          </cell>
          <cell r="R1033" t="str">
            <v>Belum TL</v>
          </cell>
          <cell r="S1033" t="str">
            <v>Belum TL</v>
          </cell>
          <cell r="T1033" t="str">
            <v>90150130 - Intan Aida Pratiwi</v>
          </cell>
          <cell r="U1033" t="str">
            <v>"-"</v>
          </cell>
        </row>
        <row r="1034">
          <cell r="A1034">
            <v>46265</v>
          </cell>
          <cell r="B1034" t="str">
            <v xml:space="preserve">KALINDO PRIMA TARA                      </v>
          </cell>
          <cell r="C1034" t="str">
            <v>KSV1963</v>
          </cell>
          <cell r="D1034">
            <v>24901501243151</v>
          </cell>
          <cell r="E1034" t="str">
            <v>SEDANG</v>
          </cell>
          <cell r="F1034" t="str">
            <v>Tidak</v>
          </cell>
          <cell r="G1034" t="str">
            <v>Tidak</v>
          </cell>
          <cell r="H1034" t="str">
            <v>Tidak</v>
          </cell>
          <cell r="I1034" t="str">
            <v>Korupsi - Loan View</v>
          </cell>
          <cell r="J1034">
            <v>48</v>
          </cell>
          <cell r="K1034">
            <v>15</v>
          </cell>
          <cell r="L1034" t="str">
            <v>Korupsi</v>
          </cell>
          <cell r="M1034" t="str">
            <v>Kas Kanpus</v>
          </cell>
          <cell r="N1034" t="str">
            <v>Kas Kanpus</v>
          </cell>
          <cell r="O1034" t="str">
            <v>KAS KANPUS</v>
          </cell>
          <cell r="R1034" t="str">
            <v>Belum TL</v>
          </cell>
          <cell r="S1034" t="str">
            <v>Belum TL</v>
          </cell>
          <cell r="T1034" t="str">
            <v>90186796 - Devito Arya Wiradila</v>
          </cell>
          <cell r="U1034" t="str">
            <v>"-"</v>
          </cell>
        </row>
        <row r="1035">
          <cell r="A1035">
            <v>46265</v>
          </cell>
          <cell r="B1035" t="str">
            <v xml:space="preserve">KUKAR SEJAHTERA DAMBAAN ETAM            </v>
          </cell>
          <cell r="C1035" t="str">
            <v>KSY1843</v>
          </cell>
          <cell r="D1035">
            <v>21201502003159</v>
          </cell>
          <cell r="E1035" t="str">
            <v>SEDANG</v>
          </cell>
          <cell r="F1035" t="str">
            <v>Tidak</v>
          </cell>
          <cell r="G1035" t="str">
            <v>Tidak</v>
          </cell>
          <cell r="H1035" t="str">
            <v>Tidak</v>
          </cell>
          <cell r="I1035" t="str">
            <v>Korupsi - Loan View</v>
          </cell>
          <cell r="J1035">
            <v>48</v>
          </cell>
          <cell r="K1035">
            <v>15</v>
          </cell>
          <cell r="L1035" t="str">
            <v>Korupsi</v>
          </cell>
          <cell r="M1035" t="str">
            <v>Kas Kanpus</v>
          </cell>
          <cell r="N1035" t="str">
            <v>Kas Kanpus</v>
          </cell>
          <cell r="O1035" t="str">
            <v>KAS KANPUS</v>
          </cell>
          <cell r="R1035" t="str">
            <v>Belum TL</v>
          </cell>
          <cell r="S1035" t="str">
            <v>Belum TL</v>
          </cell>
          <cell r="T1035" t="str">
            <v>90171841 - Rifqi Aziz</v>
          </cell>
          <cell r="U1035" t="str">
            <v>"-"</v>
          </cell>
        </row>
        <row r="1036">
          <cell r="A1036">
            <v>46265</v>
          </cell>
          <cell r="B1036" t="str">
            <v xml:space="preserve">KARTINI                                 </v>
          </cell>
          <cell r="C1036" t="str">
            <v>KSZ6477</v>
          </cell>
          <cell r="D1036">
            <v>33201174300509</v>
          </cell>
          <cell r="E1036" t="str">
            <v>SEDANG</v>
          </cell>
          <cell r="F1036" t="str">
            <v>Tidak</v>
          </cell>
          <cell r="G1036" t="str">
            <v>Tidak</v>
          </cell>
          <cell r="H1036" t="str">
            <v>Tidak</v>
          </cell>
          <cell r="I1036" t="str">
            <v>Bandar Judol Withdrawal</v>
          </cell>
          <cell r="J1036">
            <v>50</v>
          </cell>
          <cell r="K1036" t="str">
            <v>86,88,87</v>
          </cell>
          <cell r="L1036" t="str">
            <v>Judi Online</v>
          </cell>
          <cell r="M1036" t="str">
            <v xml:space="preserve">Kas Kanpus                              </v>
          </cell>
          <cell r="N1036" t="str">
            <v xml:space="preserve">Kas Kanpus                              </v>
          </cell>
          <cell r="O1036" t="str">
            <v xml:space="preserve">KAS KANPUS                              </v>
          </cell>
          <cell r="R1036" t="str">
            <v>Belum TL</v>
          </cell>
          <cell r="S1036" t="str">
            <v>Belum TL</v>
          </cell>
          <cell r="T1036" t="str">
            <v>90170665 - Mutiara Ayuningtyas</v>
          </cell>
          <cell r="U1036" t="str">
            <v>"-"</v>
          </cell>
        </row>
        <row r="1037">
          <cell r="A1037">
            <v>46265</v>
          </cell>
          <cell r="B1037" t="str">
            <v xml:space="preserve">KC BRI TELUKBETUNG                      </v>
          </cell>
          <cell r="C1037" t="str">
            <v>KT49170</v>
          </cell>
          <cell r="D1037">
            <v>28501001544304</v>
          </cell>
          <cell r="E1037" t="str">
            <v>SEDANG</v>
          </cell>
          <cell r="F1037" t="str">
            <v>Tidak</v>
          </cell>
          <cell r="G1037" t="str">
            <v>Tidak</v>
          </cell>
          <cell r="H1037" t="str">
            <v>Tidak</v>
          </cell>
          <cell r="I1037" t="str">
            <v>Korupsi - Significant Trx View</v>
          </cell>
          <cell r="J1037">
            <v>48</v>
          </cell>
          <cell r="K1037">
            <v>1.19</v>
          </cell>
          <cell r="L1037" t="str">
            <v>Korupsi</v>
          </cell>
          <cell r="M1037" t="str">
            <v>Kas Kanpus</v>
          </cell>
          <cell r="N1037" t="str">
            <v>Kas Kanpus</v>
          </cell>
          <cell r="O1037" t="str">
            <v>KAS KANPUS</v>
          </cell>
          <cell r="R1037" t="str">
            <v>Belum TL</v>
          </cell>
          <cell r="S1037" t="str">
            <v>Belum TL</v>
          </cell>
          <cell r="T1037" t="str">
            <v>90185538 - Muhammad Fahikal Auz</v>
          </cell>
          <cell r="U1037" t="str">
            <v>"-"</v>
          </cell>
        </row>
        <row r="1038">
          <cell r="A1038">
            <v>46265</v>
          </cell>
          <cell r="B1038" t="str">
            <v xml:space="preserve">KARUNIA PANGAN NUSANTARA                </v>
          </cell>
          <cell r="C1038" t="str">
            <v>KTB8643</v>
          </cell>
          <cell r="D1038">
            <v>20601502007156</v>
          </cell>
          <cell r="E1038" t="str">
            <v>TINGGI</v>
          </cell>
          <cell r="F1038" t="str">
            <v>Tidak</v>
          </cell>
          <cell r="G1038" t="str">
            <v>Tidak</v>
          </cell>
          <cell r="H1038" t="str">
            <v>Tidak</v>
          </cell>
          <cell r="I1038" t="str">
            <v>Korupsi - Loan View</v>
          </cell>
          <cell r="J1038">
            <v>63</v>
          </cell>
          <cell r="K1038">
            <v>15</v>
          </cell>
          <cell r="L1038" t="str">
            <v>Korupsi</v>
          </cell>
          <cell r="M1038" t="str">
            <v>Kas Kanpus</v>
          </cell>
          <cell r="N1038" t="str">
            <v>Kas Kanpus</v>
          </cell>
          <cell r="O1038" t="str">
            <v>KAS KANPUS</v>
          </cell>
          <cell r="R1038" t="str">
            <v>Belum TL</v>
          </cell>
          <cell r="S1038" t="str">
            <v>Belum TL</v>
          </cell>
          <cell r="T1038" t="str">
            <v>00336949 - Mochammad Al Farabi</v>
          </cell>
          <cell r="U1038" t="str">
            <v>"-"</v>
          </cell>
        </row>
        <row r="1039">
          <cell r="A1039">
            <v>46265</v>
          </cell>
          <cell r="B1039" t="str">
            <v xml:space="preserve">KSP AIRO JAYA BERSAMA                   </v>
          </cell>
          <cell r="C1039" t="str">
            <v>KU32363</v>
          </cell>
          <cell r="D1039">
            <v>42801000037150</v>
          </cell>
          <cell r="E1039" t="str">
            <v>SEDANG</v>
          </cell>
          <cell r="F1039" t="str">
            <v>Tidak</v>
          </cell>
          <cell r="G1039" t="str">
            <v>Tidak</v>
          </cell>
          <cell r="H1039" t="str">
            <v>Tidak</v>
          </cell>
          <cell r="I1039" t="str">
            <v>Korupsi - Loan View</v>
          </cell>
          <cell r="J1039">
            <v>48</v>
          </cell>
          <cell r="K1039">
            <v>15</v>
          </cell>
          <cell r="L1039" t="str">
            <v>Korupsi</v>
          </cell>
          <cell r="M1039" t="str">
            <v>Kas Kanpus</v>
          </cell>
          <cell r="N1039" t="str">
            <v>Kas Kanpus</v>
          </cell>
          <cell r="O1039" t="str">
            <v>KAS KANPUS</v>
          </cell>
          <cell r="R1039" t="str">
            <v>Belum TL</v>
          </cell>
          <cell r="S1039" t="str">
            <v>Belum TL</v>
          </cell>
          <cell r="T1039" t="str">
            <v>90185537 - Moh.Khoerul Fajar Ar</v>
          </cell>
          <cell r="U1039" t="str">
            <v>"-"</v>
          </cell>
        </row>
        <row r="1040">
          <cell r="A1040">
            <v>46265</v>
          </cell>
          <cell r="B1040" t="str">
            <v xml:space="preserve">KARYA TEKNIK                            </v>
          </cell>
          <cell r="C1040" t="str">
            <v>KUI3972</v>
          </cell>
          <cell r="D1040">
            <v>15801502865151</v>
          </cell>
          <cell r="E1040" t="str">
            <v>SEDANG</v>
          </cell>
          <cell r="F1040" t="str">
            <v>Tidak</v>
          </cell>
          <cell r="G1040" t="str">
            <v>Tidak</v>
          </cell>
          <cell r="H1040" t="str">
            <v>Tidak</v>
          </cell>
          <cell r="I1040" t="str">
            <v>Korupsi - Loan View</v>
          </cell>
          <cell r="J1040">
            <v>48</v>
          </cell>
          <cell r="K1040">
            <v>15</v>
          </cell>
          <cell r="L1040" t="str">
            <v>Korupsi</v>
          </cell>
          <cell r="M1040" t="str">
            <v>Kas Kanpus</v>
          </cell>
          <cell r="N1040" t="str">
            <v>Kas Kanpus</v>
          </cell>
          <cell r="O1040" t="str">
            <v>KAS KANPUS</v>
          </cell>
          <cell r="R1040" t="str">
            <v>Belum TL</v>
          </cell>
          <cell r="S1040" t="str">
            <v>Belum TL</v>
          </cell>
          <cell r="T1040" t="str">
            <v>90185538 - Muhammad Fahikal Auz</v>
          </cell>
          <cell r="U1040" t="str">
            <v>"-"</v>
          </cell>
        </row>
        <row r="1041">
          <cell r="A1041">
            <v>46265</v>
          </cell>
          <cell r="B1041" t="str">
            <v xml:space="preserve">KRISTIAN DORANGGI                       </v>
          </cell>
          <cell r="C1041" t="str">
            <v>KUT4773</v>
          </cell>
          <cell r="D1041">
            <v>513001014458104</v>
          </cell>
          <cell r="E1041" t="str">
            <v>RENDAH</v>
          </cell>
          <cell r="F1041" t="str">
            <v>Tidak</v>
          </cell>
          <cell r="G1041" t="str">
            <v>Tidak</v>
          </cell>
          <cell r="H1041" t="str">
            <v>Tidak</v>
          </cell>
          <cell r="I1041" t="str">
            <v>Korupsi - Loan View</v>
          </cell>
          <cell r="J1041">
            <v>33</v>
          </cell>
          <cell r="K1041">
            <v>15</v>
          </cell>
          <cell r="L1041" t="str">
            <v>Korupsi</v>
          </cell>
          <cell r="M1041" t="str">
            <v>Kas Kanpus</v>
          </cell>
          <cell r="N1041" t="str">
            <v>Kas Kanpus</v>
          </cell>
          <cell r="O1041" t="str">
            <v>KAS KANPUS</v>
          </cell>
          <cell r="R1041" t="str">
            <v>Belum TL</v>
          </cell>
          <cell r="S1041" t="str">
            <v>Belum TL</v>
          </cell>
          <cell r="T1041" t="str">
            <v>90171841 - Rifqi Aziz</v>
          </cell>
          <cell r="U1041" t="str">
            <v>"-"</v>
          </cell>
        </row>
        <row r="1042">
          <cell r="A1042">
            <v>46265</v>
          </cell>
          <cell r="B1042" t="str">
            <v xml:space="preserve">KODIM 1306 KP                           </v>
          </cell>
          <cell r="C1042" t="str">
            <v>KUX9531</v>
          </cell>
          <cell r="D1042">
            <v>129101008687539</v>
          </cell>
          <cell r="E1042" t="str">
            <v>RENDAH</v>
          </cell>
          <cell r="F1042" t="str">
            <v>Tidak</v>
          </cell>
          <cell r="G1042" t="str">
            <v>Tidak</v>
          </cell>
          <cell r="H1042" t="str">
            <v>Tidak</v>
          </cell>
          <cell r="I1042" t="str">
            <v>Korupsi - Significant Trx View</v>
          </cell>
          <cell r="J1042">
            <v>33</v>
          </cell>
          <cell r="K1042">
            <v>1.19</v>
          </cell>
          <cell r="L1042" t="str">
            <v>Korupsi</v>
          </cell>
          <cell r="M1042" t="str">
            <v>Kas Kanpus</v>
          </cell>
          <cell r="N1042" t="str">
            <v>Kas Kanpus</v>
          </cell>
          <cell r="O1042" t="str">
            <v>KAS KANPUS</v>
          </cell>
          <cell r="R1042" t="str">
            <v>Belum TL</v>
          </cell>
          <cell r="S1042" t="str">
            <v>Belum TL</v>
          </cell>
          <cell r="T1042" t="str">
            <v>90150130 - Intan Aida Pratiwi</v>
          </cell>
          <cell r="U1042" t="str">
            <v>"-"</v>
          </cell>
        </row>
        <row r="1043">
          <cell r="A1043">
            <v>46265</v>
          </cell>
          <cell r="B1043" t="str">
            <v xml:space="preserve">KHALIFAH                                </v>
          </cell>
          <cell r="C1043" t="str">
            <v>KVZ2449</v>
          </cell>
          <cell r="D1043">
            <v>213701000281156</v>
          </cell>
          <cell r="E1043" t="str">
            <v>SEDANG</v>
          </cell>
          <cell r="F1043" t="str">
            <v>Tidak</v>
          </cell>
          <cell r="G1043" t="str">
            <v>Tidak</v>
          </cell>
          <cell r="H1043" t="str">
            <v>Tidak</v>
          </cell>
          <cell r="I1043" t="str">
            <v>Korupsi - Loan View</v>
          </cell>
          <cell r="J1043">
            <v>48</v>
          </cell>
          <cell r="K1043">
            <v>15</v>
          </cell>
          <cell r="L1043" t="str">
            <v>Korupsi</v>
          </cell>
          <cell r="M1043" t="str">
            <v>Kas Kanpus</v>
          </cell>
          <cell r="N1043" t="str">
            <v>Kas Kanpus</v>
          </cell>
          <cell r="O1043" t="str">
            <v>KAS KANPUS</v>
          </cell>
          <cell r="R1043" t="str">
            <v>Belum TL</v>
          </cell>
          <cell r="S1043" t="str">
            <v>Belum TL</v>
          </cell>
          <cell r="T1043" t="str">
            <v>90150130 - Intan Aida Pratiwi</v>
          </cell>
          <cell r="U1043" t="str">
            <v>"-"</v>
          </cell>
        </row>
        <row r="1044">
          <cell r="A1044">
            <v>46265</v>
          </cell>
          <cell r="B1044" t="str">
            <v xml:space="preserve">KHAERUNNISA                             </v>
          </cell>
          <cell r="C1044" t="str">
            <v>KW49243</v>
          </cell>
          <cell r="D1044">
            <v>64201009001104</v>
          </cell>
          <cell r="E1044" t="str">
            <v>SEDANG</v>
          </cell>
          <cell r="F1044" t="str">
            <v>Tidak</v>
          </cell>
          <cell r="G1044" t="str">
            <v>Tidak</v>
          </cell>
          <cell r="H1044" t="str">
            <v>Tidak</v>
          </cell>
          <cell r="I1044" t="str">
            <v>Korupsi - Loan View</v>
          </cell>
          <cell r="J1044">
            <v>48</v>
          </cell>
          <cell r="K1044">
            <v>15</v>
          </cell>
          <cell r="L1044" t="str">
            <v>Korupsi</v>
          </cell>
          <cell r="M1044" t="str">
            <v>Kas Kanpus</v>
          </cell>
          <cell r="N1044" t="str">
            <v>Kas Kanpus</v>
          </cell>
          <cell r="O1044" t="str">
            <v>KAS KANPUS</v>
          </cell>
          <cell r="R1044" t="str">
            <v>Belum TL</v>
          </cell>
          <cell r="S1044" t="str">
            <v>Belum TL</v>
          </cell>
          <cell r="T1044" t="str">
            <v>90185537 - Moh.Khoerul Fajar Ar</v>
          </cell>
          <cell r="U1044" t="str">
            <v>"-"</v>
          </cell>
        </row>
        <row r="1045">
          <cell r="A1045">
            <v>46265</v>
          </cell>
          <cell r="B1045" t="str">
            <v xml:space="preserve">KODIM 0622 KAB SMI                      </v>
          </cell>
          <cell r="C1045" t="str">
            <v>KWW3302</v>
          </cell>
          <cell r="D1045">
            <v>54301001162300</v>
          </cell>
          <cell r="E1045" t="str">
            <v>SEDANG</v>
          </cell>
          <cell r="F1045" t="str">
            <v>Tidak</v>
          </cell>
          <cell r="G1045" t="str">
            <v>Tidak</v>
          </cell>
          <cell r="H1045" t="str">
            <v>Tidak</v>
          </cell>
          <cell r="I1045" t="str">
            <v>Korupsi - Cash &amp; Amount</v>
          </cell>
          <cell r="J1045">
            <v>48</v>
          </cell>
          <cell r="K1045" t="str">
            <v>1,2,20</v>
          </cell>
          <cell r="L1045" t="str">
            <v>Korupsi</v>
          </cell>
          <cell r="M1045" t="str">
            <v>Kas Kanpus</v>
          </cell>
          <cell r="N1045" t="str">
            <v>Kas Kanpus</v>
          </cell>
          <cell r="O1045" t="str">
            <v>KAS KANPUS</v>
          </cell>
          <cell r="R1045" t="str">
            <v>Belum TL</v>
          </cell>
          <cell r="S1045" t="str">
            <v>Belum TL</v>
          </cell>
          <cell r="T1045" t="str">
            <v>90170665 - Mutiara Ayuningtyas</v>
          </cell>
          <cell r="U1045" t="str">
            <v>"-"</v>
          </cell>
        </row>
        <row r="1046">
          <cell r="A1046">
            <v>46265</v>
          </cell>
          <cell r="B1046" t="str">
            <v xml:space="preserve">KRISNA ANDIKA                           </v>
          </cell>
          <cell r="C1046" t="str">
            <v>KXZ6864</v>
          </cell>
          <cell r="D1046">
            <v>353101041936531</v>
          </cell>
          <cell r="E1046" t="str">
            <v>SEDANG</v>
          </cell>
          <cell r="F1046" t="str">
            <v>Tidak</v>
          </cell>
          <cell r="G1046" t="str">
            <v>Tidak</v>
          </cell>
          <cell r="H1046" t="str">
            <v>Tidak</v>
          </cell>
          <cell r="I1046" t="str">
            <v>Bandar Judol Withdrawal</v>
          </cell>
          <cell r="J1046">
            <v>50</v>
          </cell>
          <cell r="K1046" t="str">
            <v>86,88,87</v>
          </cell>
          <cell r="L1046" t="str">
            <v>Judi Online</v>
          </cell>
          <cell r="M1046" t="str">
            <v xml:space="preserve">Kas Kanpus                              </v>
          </cell>
          <cell r="N1046" t="str">
            <v xml:space="preserve">Kas Kanpus                              </v>
          </cell>
          <cell r="O1046" t="str">
            <v xml:space="preserve">KAS KANPUS                              </v>
          </cell>
          <cell r="R1046" t="str">
            <v>Belum TL</v>
          </cell>
          <cell r="S1046" t="str">
            <v>Belum TL</v>
          </cell>
          <cell r="T1046" t="str">
            <v>90186790 - Muhammad Alfin Farha</v>
          </cell>
          <cell r="U1046" t="str">
            <v>"-"</v>
          </cell>
        </row>
        <row r="1047">
          <cell r="A1047">
            <v>46265</v>
          </cell>
          <cell r="B1047" t="str">
            <v xml:space="preserve">KRISTANTO ARIBOWO                       </v>
          </cell>
          <cell r="C1047" t="str">
            <v>KY62947</v>
          </cell>
          <cell r="D1047">
            <v>674901009271537</v>
          </cell>
          <cell r="E1047" t="str">
            <v>SEDANG</v>
          </cell>
          <cell r="F1047" t="str">
            <v>Tidak</v>
          </cell>
          <cell r="G1047" t="str">
            <v>Tidak</v>
          </cell>
          <cell r="H1047" t="str">
            <v>Tidak</v>
          </cell>
          <cell r="I1047" t="str">
            <v>Bandar Judol Depo</v>
          </cell>
          <cell r="J1047">
            <v>50</v>
          </cell>
          <cell r="K1047" t="str">
            <v>86,74,87</v>
          </cell>
          <cell r="L1047" t="str">
            <v>Judi Online</v>
          </cell>
          <cell r="M1047" t="str">
            <v xml:space="preserve">Kas Kanpus                              </v>
          </cell>
          <cell r="N1047" t="str">
            <v xml:space="preserve">Kas Kanpus                              </v>
          </cell>
          <cell r="O1047" t="str">
            <v xml:space="preserve">KAS KANPUS                              </v>
          </cell>
          <cell r="R1047" t="str">
            <v>Belum TL</v>
          </cell>
          <cell r="S1047" t="str">
            <v>Belum TL</v>
          </cell>
          <cell r="T1047" t="str">
            <v>90150130 - Intan Aida Pratiwi</v>
          </cell>
          <cell r="U1047" t="str">
            <v>"-"</v>
          </cell>
        </row>
        <row r="1048">
          <cell r="A1048">
            <v>46265</v>
          </cell>
          <cell r="B1048" t="str">
            <v xml:space="preserve">KOPERASI KRIDA SEJAHTERA MANDIRI        </v>
          </cell>
          <cell r="C1048" t="str">
            <v>KY74432</v>
          </cell>
          <cell r="D1048">
            <v>23001005293308</v>
          </cell>
          <cell r="E1048" t="str">
            <v>SEDANG</v>
          </cell>
          <cell r="F1048" t="str">
            <v>Tidak</v>
          </cell>
          <cell r="G1048" t="str">
            <v>Tidak</v>
          </cell>
          <cell r="H1048" t="str">
            <v>Tidak</v>
          </cell>
          <cell r="I1048" t="str">
            <v>Korupsi - Cash &amp; Amount</v>
          </cell>
          <cell r="J1048">
            <v>48</v>
          </cell>
          <cell r="K1048" t="str">
            <v>1,2,20</v>
          </cell>
          <cell r="L1048" t="str">
            <v>Korupsi</v>
          </cell>
          <cell r="M1048" t="str">
            <v>Kas Kanpus</v>
          </cell>
          <cell r="N1048" t="str">
            <v>Kas Kanpus</v>
          </cell>
          <cell r="O1048" t="str">
            <v>KAS KANPUS</v>
          </cell>
          <cell r="R1048" t="str">
            <v>Belum TL</v>
          </cell>
          <cell r="S1048" t="str">
            <v>Belum TL</v>
          </cell>
          <cell r="T1048" t="str">
            <v>90170665 - Mutiara Ayuningtyas</v>
          </cell>
          <cell r="U1048" t="str">
            <v>"-"</v>
          </cell>
        </row>
        <row r="1049">
          <cell r="A1049">
            <v>46265</v>
          </cell>
          <cell r="B1049" t="str">
            <v xml:space="preserve">KUSPRIAMBODO                            </v>
          </cell>
          <cell r="C1049" t="str">
            <v>KSP5939</v>
          </cell>
          <cell r="D1049">
            <v>386401003213500</v>
          </cell>
          <cell r="E1049" t="str">
            <v>SEDANG</v>
          </cell>
          <cell r="F1049" t="str">
            <v>Tidak</v>
          </cell>
          <cell r="G1049" t="str">
            <v>Tidak</v>
          </cell>
          <cell r="H1049" t="str">
            <v>Tidak</v>
          </cell>
          <cell r="I1049" t="str">
            <v>Bandar Judol Withdrawal</v>
          </cell>
          <cell r="J1049">
            <v>50</v>
          </cell>
          <cell r="K1049" t="str">
            <v>86,88,87</v>
          </cell>
          <cell r="L1049" t="str">
            <v>Judi Online</v>
          </cell>
          <cell r="M1049" t="str">
            <v xml:space="preserve">Kas Kanpus                              </v>
          </cell>
          <cell r="N1049" t="str">
            <v xml:space="preserve">Kas Kanpus                              </v>
          </cell>
          <cell r="O1049" t="str">
            <v xml:space="preserve">KAS KANPUS                              </v>
          </cell>
          <cell r="R1049" t="str">
            <v>Belum TL</v>
          </cell>
          <cell r="S1049" t="str">
            <v>Belum TL</v>
          </cell>
          <cell r="T1049" t="str">
            <v>00336949 - Mochammad Al Farabi</v>
          </cell>
          <cell r="U1049" t="str">
            <v>"-"</v>
          </cell>
        </row>
        <row r="1050">
          <cell r="A1050">
            <v>46265</v>
          </cell>
          <cell r="B1050" t="str">
            <v xml:space="preserve">KENCANA JAYA BANGUNAN                   </v>
          </cell>
          <cell r="C1050" t="str">
            <v>KYK5816</v>
          </cell>
          <cell r="D1050">
            <v>41901002210307</v>
          </cell>
          <cell r="E1050" t="str">
            <v>SEDANG</v>
          </cell>
          <cell r="F1050" t="str">
            <v>Tidak</v>
          </cell>
          <cell r="G1050" t="str">
            <v>Tidak</v>
          </cell>
          <cell r="H1050" t="str">
            <v>Tidak</v>
          </cell>
          <cell r="I1050" t="str">
            <v>Perpajakan</v>
          </cell>
          <cell r="J1050">
            <v>48</v>
          </cell>
          <cell r="K1050">
            <v>41</v>
          </cell>
          <cell r="L1050" t="str">
            <v>Perpajakan</v>
          </cell>
          <cell r="M1050" t="str">
            <v xml:space="preserve">KC JAKARTA KALIMALANG                   </v>
          </cell>
          <cell r="N1050" t="str">
            <v xml:space="preserve">KC JAKARTA KALIMALANG                   </v>
          </cell>
          <cell r="O1050" t="str">
            <v xml:space="preserve">DKI                                     </v>
          </cell>
          <cell r="R1050" t="str">
            <v>Belum TL</v>
          </cell>
          <cell r="S1050" t="str">
            <v>Belum TL</v>
          </cell>
          <cell r="T1050" t="str">
            <v>90171841 - Rifqi Aziz</v>
          </cell>
          <cell r="U1050" t="str">
            <v>"-"</v>
          </cell>
        </row>
        <row r="1051">
          <cell r="A1051">
            <v>46265</v>
          </cell>
          <cell r="B1051" t="str">
            <v xml:space="preserve">KUKUH BAYU ANDIKA                       </v>
          </cell>
          <cell r="C1051" t="str">
            <v>KYS6359</v>
          </cell>
          <cell r="D1051">
            <v>2301139904507</v>
          </cell>
          <cell r="E1051" t="str">
            <v>SEDANG</v>
          </cell>
          <cell r="F1051" t="str">
            <v>Tidak</v>
          </cell>
          <cell r="G1051" t="str">
            <v>Tidak</v>
          </cell>
          <cell r="H1051" t="str">
            <v>Tidak</v>
          </cell>
          <cell r="I1051" t="str">
            <v>Bandar Judol Withdrawal</v>
          </cell>
          <cell r="J1051">
            <v>50</v>
          </cell>
          <cell r="K1051" t="str">
            <v>86,88,87</v>
          </cell>
          <cell r="L1051" t="str">
            <v>Judi Online</v>
          </cell>
          <cell r="M1051" t="str">
            <v xml:space="preserve">Kas Kanpus                              </v>
          </cell>
          <cell r="N1051" t="str">
            <v xml:space="preserve">Kas Kanpus                              </v>
          </cell>
          <cell r="O1051" t="str">
            <v xml:space="preserve">KAS KANPUS                              </v>
          </cell>
          <cell r="R1051" t="str">
            <v>Belum TL</v>
          </cell>
          <cell r="S1051" t="str">
            <v>Belum TL</v>
          </cell>
          <cell r="T1051" t="str">
            <v>90185538 - Muhammad Fahikal Auz</v>
          </cell>
          <cell r="U1051" t="str">
            <v>"-"</v>
          </cell>
        </row>
        <row r="1052">
          <cell r="A1052">
            <v>46265</v>
          </cell>
          <cell r="B1052" t="str">
            <v xml:space="preserve">KSO CIPUTRA YASMIN                      </v>
          </cell>
          <cell r="C1052" t="str">
            <v>KZA7888</v>
          </cell>
          <cell r="D1052">
            <v>64201003685308</v>
          </cell>
          <cell r="E1052" t="str">
            <v>SEDANG</v>
          </cell>
          <cell r="F1052" t="str">
            <v>Tidak</v>
          </cell>
          <cell r="G1052" t="str">
            <v>Tidak</v>
          </cell>
          <cell r="H1052" t="str">
            <v>Tidak</v>
          </cell>
          <cell r="I1052" t="str">
            <v>Korupsi - Cash &amp; Amount</v>
          </cell>
          <cell r="J1052">
            <v>48</v>
          </cell>
          <cell r="K1052" t="str">
            <v>1,2,20</v>
          </cell>
          <cell r="L1052" t="str">
            <v>Korupsi</v>
          </cell>
          <cell r="M1052" t="str">
            <v>Kas Kanpus</v>
          </cell>
          <cell r="N1052" t="str">
            <v>Kas Kanpus</v>
          </cell>
          <cell r="O1052" t="str">
            <v>KAS KANPUS</v>
          </cell>
          <cell r="R1052" t="str">
            <v>Belum TL</v>
          </cell>
          <cell r="S1052" t="str">
            <v>Belum TL</v>
          </cell>
          <cell r="T1052" t="str">
            <v>90170665 - Mutiara Ayuningtyas</v>
          </cell>
          <cell r="U1052" t="str">
            <v>"-"</v>
          </cell>
        </row>
        <row r="1053">
          <cell r="A1053">
            <v>46265</v>
          </cell>
          <cell r="B1053" t="str">
            <v xml:space="preserve">KOPEGTEL KANTOR DIVRE III               </v>
          </cell>
          <cell r="C1053" t="str">
            <v>KZK2192</v>
          </cell>
          <cell r="D1053">
            <v>207901000201302</v>
          </cell>
          <cell r="F1053" t="str">
            <v>Tidak</v>
          </cell>
          <cell r="G1053" t="str">
            <v>Tidak</v>
          </cell>
          <cell r="H1053" t="str">
            <v>Tidak</v>
          </cell>
          <cell r="I1053" t="str">
            <v>Perpajakan</v>
          </cell>
          <cell r="J1053">
            <v>33</v>
          </cell>
          <cell r="K1053">
            <v>41</v>
          </cell>
          <cell r="L1053" t="str">
            <v>Perpajakan</v>
          </cell>
          <cell r="M1053" t="str">
            <v xml:space="preserve">KCP TASPEN                              </v>
          </cell>
          <cell r="N1053" t="str">
            <v xml:space="preserve">KC Jakarta Veteran                      </v>
          </cell>
          <cell r="O1053" t="str">
            <v xml:space="preserve">DKI                                     </v>
          </cell>
          <cell r="R1053" t="str">
            <v>Belum TL</v>
          </cell>
          <cell r="S1053" t="str">
            <v>Belum TL</v>
          </cell>
          <cell r="T1053" t="str">
            <v>00394521 - Muhammad Hibbanduta</v>
          </cell>
          <cell r="U1053" t="str">
            <v>"-"</v>
          </cell>
        </row>
        <row r="1054">
          <cell r="A1054">
            <v>46265</v>
          </cell>
          <cell r="B1054" t="str">
            <v xml:space="preserve">KSP KOPDIT PINTU AIR                    </v>
          </cell>
          <cell r="C1054" t="str">
            <v>KZW6920</v>
          </cell>
          <cell r="D1054">
            <v>11901002372309</v>
          </cell>
          <cell r="F1054" t="str">
            <v>Tidak</v>
          </cell>
          <cell r="G1054" t="str">
            <v>Tidak</v>
          </cell>
          <cell r="H1054" t="str">
            <v>Tidak</v>
          </cell>
          <cell r="I1054" t="str">
            <v>Korupsi - Cash &amp; Amount</v>
          </cell>
          <cell r="J1054">
            <v>33</v>
          </cell>
          <cell r="K1054" t="str">
            <v>1,2,20</v>
          </cell>
          <cell r="L1054" t="str">
            <v>Korupsi</v>
          </cell>
          <cell r="M1054" t="str">
            <v>Kas Kanpus</v>
          </cell>
          <cell r="N1054" t="str">
            <v>Kas Kanpus</v>
          </cell>
          <cell r="O1054" t="str">
            <v>KAS KANPUS</v>
          </cell>
          <cell r="R1054" t="str">
            <v>Belum TL</v>
          </cell>
          <cell r="S1054" t="str">
            <v>Belum TL</v>
          </cell>
          <cell r="T1054" t="str">
            <v>00394520 - Frida Akbar Rani</v>
          </cell>
          <cell r="U1054" t="str">
            <v>"-"</v>
          </cell>
        </row>
        <row r="1055">
          <cell r="A1055">
            <v>46265</v>
          </cell>
          <cell r="B1055" t="str">
            <v xml:space="preserve">LILIANA WINOTO                          </v>
          </cell>
          <cell r="C1055" t="str">
            <v>L353117</v>
          </cell>
          <cell r="D1055">
            <v>3301024333505</v>
          </cell>
          <cell r="E1055" t="str">
            <v>SEDANG</v>
          </cell>
          <cell r="F1055" t="str">
            <v>Tidak</v>
          </cell>
          <cell r="G1055" t="str">
            <v>Tidak</v>
          </cell>
          <cell r="H1055" t="str">
            <v>Tidak</v>
          </cell>
          <cell r="I1055" t="str">
            <v>Perpajakan</v>
          </cell>
          <cell r="J1055">
            <v>59</v>
          </cell>
          <cell r="K1055">
            <v>1.33</v>
          </cell>
          <cell r="L1055" t="str">
            <v>Perpajakan</v>
          </cell>
          <cell r="M1055" t="str">
            <v xml:space="preserve">KC Kediri                               </v>
          </cell>
          <cell r="N1055" t="str">
            <v xml:space="preserve">KC Kediri                               </v>
          </cell>
          <cell r="O1055" t="str">
            <v xml:space="preserve">KANWIL MALANG                           </v>
          </cell>
          <cell r="R1055" t="str">
            <v>Belum TL</v>
          </cell>
          <cell r="S1055" t="str">
            <v>Belum TL</v>
          </cell>
          <cell r="T1055" t="str">
            <v>90185538 - Muhammad Fahikal Auz</v>
          </cell>
          <cell r="U1055" t="str">
            <v>"-"</v>
          </cell>
        </row>
        <row r="1056">
          <cell r="A1056">
            <v>46265</v>
          </cell>
          <cell r="B1056" t="str">
            <v xml:space="preserve">LILIANA YETTA PANDI                     </v>
          </cell>
          <cell r="C1056" t="str">
            <v>L964690</v>
          </cell>
          <cell r="D1056">
            <v>53101000580562</v>
          </cell>
          <cell r="E1056" t="str">
            <v>SEDANG</v>
          </cell>
          <cell r="F1056" t="str">
            <v>Tidak</v>
          </cell>
          <cell r="G1056" t="str">
            <v>Tidak</v>
          </cell>
          <cell r="H1056" t="str">
            <v>Tidak</v>
          </cell>
          <cell r="I1056" t="str">
            <v>Korupsi - Significant Trx View</v>
          </cell>
          <cell r="J1056">
            <v>48</v>
          </cell>
          <cell r="K1056">
            <v>1.19</v>
          </cell>
          <cell r="L1056" t="str">
            <v>Korupsi</v>
          </cell>
          <cell r="M1056" t="str">
            <v>Kas Kanpus</v>
          </cell>
          <cell r="N1056" t="str">
            <v>Kas Kanpus</v>
          </cell>
          <cell r="O1056" t="str">
            <v>KAS KANPUS</v>
          </cell>
          <cell r="R1056" t="str">
            <v>Belum TL</v>
          </cell>
          <cell r="S1056" t="str">
            <v>Belum TL</v>
          </cell>
          <cell r="T1056" t="str">
            <v>90171841 - Rifqi Aziz</v>
          </cell>
          <cell r="U1056" t="str">
            <v>"-"</v>
          </cell>
        </row>
        <row r="1057">
          <cell r="A1057">
            <v>46265</v>
          </cell>
          <cell r="B1057" t="str">
            <v xml:space="preserve">LIA PUSPITA SARI                        </v>
          </cell>
          <cell r="C1057" t="str">
            <v>LAX2574</v>
          </cell>
          <cell r="D1057">
            <v>531401025325536</v>
          </cell>
          <cell r="E1057" t="str">
            <v>SEDANG</v>
          </cell>
          <cell r="F1057" t="str">
            <v>Tidak</v>
          </cell>
          <cell r="G1057" t="str">
            <v>Tidak</v>
          </cell>
          <cell r="H1057" t="str">
            <v>Tidak</v>
          </cell>
          <cell r="I1057" t="str">
            <v>Bandar Judol Withdrawal</v>
          </cell>
          <cell r="J1057">
            <v>50</v>
          </cell>
          <cell r="K1057" t="str">
            <v>86,88,87</v>
          </cell>
          <cell r="L1057" t="str">
            <v>Judi Online</v>
          </cell>
          <cell r="M1057" t="str">
            <v xml:space="preserve">Kas Kanpus                              </v>
          </cell>
          <cell r="N1057" t="str">
            <v xml:space="preserve">Kas Kanpus                              </v>
          </cell>
          <cell r="O1057" t="str">
            <v xml:space="preserve">KAS KANPUS                              </v>
          </cell>
          <cell r="R1057" t="str">
            <v>Belum TL</v>
          </cell>
          <cell r="S1057" t="str">
            <v>Belum TL</v>
          </cell>
          <cell r="T1057" t="str">
            <v>90186790 - Muhammad Alfin Farha</v>
          </cell>
          <cell r="U1057" t="str">
            <v>"-"</v>
          </cell>
        </row>
        <row r="1058">
          <cell r="A1058">
            <v>46265</v>
          </cell>
          <cell r="B1058" t="str">
            <v xml:space="preserve">LEA SALHUTERU                           </v>
          </cell>
          <cell r="C1058" t="str">
            <v>LAZ6769</v>
          </cell>
          <cell r="D1058">
            <v>486501018102101</v>
          </cell>
          <cell r="E1058" t="str">
            <v>RENDAH</v>
          </cell>
          <cell r="F1058" t="str">
            <v>Tidak</v>
          </cell>
          <cell r="G1058" t="str">
            <v>Tidak</v>
          </cell>
          <cell r="H1058" t="str">
            <v>Tidak</v>
          </cell>
          <cell r="I1058" t="str">
            <v>Korupsi - Loan View</v>
          </cell>
          <cell r="J1058">
            <v>33</v>
          </cell>
          <cell r="K1058">
            <v>15</v>
          </cell>
          <cell r="L1058" t="str">
            <v>Korupsi</v>
          </cell>
          <cell r="M1058" t="str">
            <v>Kas Kanpus</v>
          </cell>
          <cell r="N1058" t="str">
            <v>Kas Kanpus</v>
          </cell>
          <cell r="O1058" t="str">
            <v>KAS KANPUS</v>
          </cell>
          <cell r="R1058" t="str">
            <v>Belum TL</v>
          </cell>
          <cell r="S1058" t="str">
            <v>Belum TL</v>
          </cell>
          <cell r="T1058" t="str">
            <v>00394520 - Frida Akbar Rani</v>
          </cell>
          <cell r="U1058" t="str">
            <v>"-"</v>
          </cell>
        </row>
        <row r="1059">
          <cell r="A1059">
            <v>46265</v>
          </cell>
          <cell r="B1059" t="str">
            <v xml:space="preserve">LIE PHEI FANG                           </v>
          </cell>
          <cell r="C1059" t="str">
            <v>LBA0107</v>
          </cell>
          <cell r="D1059">
            <v>13801502346151</v>
          </cell>
          <cell r="E1059" t="str">
            <v>TINGGI</v>
          </cell>
          <cell r="F1059" t="str">
            <v>Tidak</v>
          </cell>
          <cell r="G1059" t="str">
            <v>Tidak</v>
          </cell>
          <cell r="H1059" t="str">
            <v>Tidak</v>
          </cell>
          <cell r="I1059" t="str">
            <v>Korupsi - Loan View</v>
          </cell>
          <cell r="J1059">
            <v>68</v>
          </cell>
          <cell r="K1059">
            <v>15</v>
          </cell>
          <cell r="L1059" t="str">
            <v>Korupsi</v>
          </cell>
          <cell r="M1059" t="str">
            <v>Kas Kanpus</v>
          </cell>
          <cell r="N1059" t="str">
            <v>Kas Kanpus</v>
          </cell>
          <cell r="O1059" t="str">
            <v>KAS KANPUS</v>
          </cell>
          <cell r="R1059" t="str">
            <v>Belum TL</v>
          </cell>
          <cell r="S1059" t="str">
            <v>Belum TL</v>
          </cell>
          <cell r="T1059" t="str">
            <v>90186796 - Devito Arya Wiradila</v>
          </cell>
          <cell r="U1059" t="str">
            <v>"-"</v>
          </cell>
        </row>
        <row r="1060">
          <cell r="A1060">
            <v>46265</v>
          </cell>
          <cell r="B1060" t="str">
            <v xml:space="preserve">LALU JAKA SAPUTRA PRATAMA               </v>
          </cell>
          <cell r="C1060" t="str">
            <v>LEP2995</v>
          </cell>
          <cell r="D1060">
            <v>349401022326109</v>
          </cell>
          <cell r="E1060" t="str">
            <v>RENDAH</v>
          </cell>
          <cell r="F1060" t="str">
            <v>Tidak</v>
          </cell>
          <cell r="G1060" t="str">
            <v>Tidak</v>
          </cell>
          <cell r="H1060" t="str">
            <v>Tidak</v>
          </cell>
          <cell r="I1060" t="str">
            <v>Korupsi - Loan View</v>
          </cell>
          <cell r="J1060">
            <v>33</v>
          </cell>
          <cell r="K1060">
            <v>15</v>
          </cell>
          <cell r="L1060" t="str">
            <v>Korupsi</v>
          </cell>
          <cell r="M1060" t="str">
            <v>Kas Kanpus</v>
          </cell>
          <cell r="N1060" t="str">
            <v>Kas Kanpus</v>
          </cell>
          <cell r="O1060" t="str">
            <v>KAS KANPUS</v>
          </cell>
          <cell r="R1060" t="str">
            <v>Belum TL</v>
          </cell>
          <cell r="S1060" t="str">
            <v>Belum TL</v>
          </cell>
          <cell r="T1060" t="str">
            <v>90186796 - Devito Arya Wiradila</v>
          </cell>
          <cell r="U1060" t="str">
            <v>"-"</v>
          </cell>
        </row>
        <row r="1061">
          <cell r="A1061">
            <v>46265</v>
          </cell>
          <cell r="B1061" t="str">
            <v xml:space="preserve">LAILA ISNAINI FARIDAH                   </v>
          </cell>
          <cell r="C1061" t="str">
            <v>LEQ2004</v>
          </cell>
          <cell r="D1061">
            <v>4359720216229000</v>
          </cell>
          <cell r="E1061" t="str">
            <v>SEDANG</v>
          </cell>
          <cell r="F1061" t="str">
            <v>Tidak</v>
          </cell>
          <cell r="G1061" t="str">
            <v>Tidak</v>
          </cell>
          <cell r="H1061" t="str">
            <v>Tidak</v>
          </cell>
          <cell r="I1061" t="str">
            <v>Penghindaran Pajak (Transaksi Fiktif)/Penyuapan CC</v>
          </cell>
          <cell r="J1061">
            <v>45</v>
          </cell>
          <cell r="K1061">
            <v>118</v>
          </cell>
          <cell r="L1061" t="str">
            <v>Penyuapan / Penghindaran Pajak CC View</v>
          </cell>
          <cell r="M1061" t="str">
            <v xml:space="preserve">Kas Kanpus                              </v>
          </cell>
          <cell r="N1061" t="str">
            <v xml:space="preserve">Kas Kanpus                              </v>
          </cell>
          <cell r="O1061" t="str">
            <v xml:space="preserve">KAS KANPUS                              </v>
          </cell>
          <cell r="R1061" t="str">
            <v>Belum TL</v>
          </cell>
          <cell r="S1061" t="str">
            <v>Belum TL</v>
          </cell>
          <cell r="T1061" t="str">
            <v>90171841 - Rifqi Aziz</v>
          </cell>
          <cell r="U1061" t="str">
            <v>"-"</v>
          </cell>
        </row>
        <row r="1062">
          <cell r="A1062">
            <v>46265</v>
          </cell>
          <cell r="B1062" t="str">
            <v xml:space="preserve">LEXI RONDONUWU                          </v>
          </cell>
          <cell r="C1062" t="str">
            <v>LF94146</v>
          </cell>
          <cell r="D1062">
            <v>513001016619104</v>
          </cell>
          <cell r="E1062" t="str">
            <v>SEDANG</v>
          </cell>
          <cell r="F1062" t="str">
            <v>Tidak</v>
          </cell>
          <cell r="G1062" t="str">
            <v>Tidak</v>
          </cell>
          <cell r="H1062" t="str">
            <v>Tidak</v>
          </cell>
          <cell r="I1062" t="str">
            <v>Korupsi - Loan View</v>
          </cell>
          <cell r="J1062">
            <v>48</v>
          </cell>
          <cell r="K1062">
            <v>15</v>
          </cell>
          <cell r="L1062" t="str">
            <v>Korupsi</v>
          </cell>
          <cell r="M1062" t="str">
            <v>Kas Kanpus</v>
          </cell>
          <cell r="N1062" t="str">
            <v>Kas Kanpus</v>
          </cell>
          <cell r="O1062" t="str">
            <v>KAS KANPUS</v>
          </cell>
          <cell r="R1062" t="str">
            <v>Belum TL</v>
          </cell>
          <cell r="S1062" t="str">
            <v>Belum TL</v>
          </cell>
          <cell r="T1062" t="str">
            <v>90170665 - Mutiara Ayuningtyas</v>
          </cell>
          <cell r="U1062" t="str">
            <v>"-"</v>
          </cell>
        </row>
        <row r="1063">
          <cell r="A1063">
            <v>46265</v>
          </cell>
          <cell r="B1063" t="str">
            <v xml:space="preserve">LAELA RAMADANI                          </v>
          </cell>
          <cell r="C1063" t="str">
            <v>LFS4344</v>
          </cell>
          <cell r="D1063">
            <v>41601001992564</v>
          </cell>
          <cell r="E1063" t="str">
            <v>SEDANG</v>
          </cell>
          <cell r="F1063" t="str">
            <v>Tidak</v>
          </cell>
          <cell r="G1063" t="str">
            <v>Tidak</v>
          </cell>
          <cell r="H1063" t="str">
            <v>Tidak</v>
          </cell>
          <cell r="I1063" t="str">
            <v>Bandar Judol Depo</v>
          </cell>
          <cell r="J1063">
            <v>50</v>
          </cell>
          <cell r="K1063" t="str">
            <v>86,74,87</v>
          </cell>
          <cell r="L1063" t="str">
            <v>Judi Online</v>
          </cell>
          <cell r="M1063" t="str">
            <v xml:space="preserve">Kas Kanpus                              </v>
          </cell>
          <cell r="N1063" t="str">
            <v xml:space="preserve">Kas Kanpus                              </v>
          </cell>
          <cell r="O1063" t="str">
            <v xml:space="preserve">KAS KANPUS                              </v>
          </cell>
          <cell r="R1063" t="str">
            <v>Belum TL</v>
          </cell>
          <cell r="S1063" t="str">
            <v>Belum TL</v>
          </cell>
          <cell r="T1063" t="str">
            <v>00394520 - Frida Akbar Rani</v>
          </cell>
          <cell r="U1063" t="str">
            <v>"-"</v>
          </cell>
        </row>
        <row r="1064">
          <cell r="A1064">
            <v>46265</v>
          </cell>
          <cell r="B1064" t="str">
            <v xml:space="preserve">LUSIANAH                                </v>
          </cell>
          <cell r="C1064" t="str">
            <v>LFS4999</v>
          </cell>
          <cell r="D1064">
            <v>119101023123504</v>
          </cell>
          <cell r="E1064" t="str">
            <v>SEDANG</v>
          </cell>
          <cell r="F1064" t="str">
            <v>Tidak</v>
          </cell>
          <cell r="G1064" t="str">
            <v>Tidak</v>
          </cell>
          <cell r="H1064" t="str">
            <v>Tidak</v>
          </cell>
          <cell r="I1064" t="str">
            <v>Bandar Judol Withdrawal</v>
          </cell>
          <cell r="J1064">
            <v>50</v>
          </cell>
          <cell r="K1064" t="str">
            <v>86,88,87</v>
          </cell>
          <cell r="L1064" t="str">
            <v>Judi Online</v>
          </cell>
          <cell r="M1064" t="str">
            <v xml:space="preserve">Kas Kanpus                              </v>
          </cell>
          <cell r="N1064" t="str">
            <v xml:space="preserve">Kas Kanpus                              </v>
          </cell>
          <cell r="O1064" t="str">
            <v xml:space="preserve">KAS KANPUS                              </v>
          </cell>
          <cell r="R1064" t="str">
            <v>Belum TL</v>
          </cell>
          <cell r="S1064" t="str">
            <v>Belum TL</v>
          </cell>
          <cell r="T1064" t="str">
            <v>00336949 - Mochammad Al Farabi</v>
          </cell>
          <cell r="U1064" t="str">
            <v>"-"</v>
          </cell>
        </row>
        <row r="1065">
          <cell r="A1065">
            <v>46265</v>
          </cell>
          <cell r="B1065" t="str">
            <v xml:space="preserve">LAMTERANG JAYA                          </v>
          </cell>
          <cell r="C1065" t="str">
            <v>LFY3918</v>
          </cell>
          <cell r="D1065">
            <v>32301501758154</v>
          </cell>
          <cell r="E1065" t="str">
            <v>SEDANG</v>
          </cell>
          <cell r="F1065" t="str">
            <v>Tidak</v>
          </cell>
          <cell r="G1065" t="str">
            <v>Tidak</v>
          </cell>
          <cell r="H1065" t="str">
            <v>Tidak</v>
          </cell>
          <cell r="I1065" t="str">
            <v>Korupsi - Loan View</v>
          </cell>
          <cell r="J1065">
            <v>48</v>
          </cell>
          <cell r="K1065">
            <v>15</v>
          </cell>
          <cell r="L1065" t="str">
            <v>Korupsi</v>
          </cell>
          <cell r="M1065" t="str">
            <v>Kas Kanpus</v>
          </cell>
          <cell r="N1065" t="str">
            <v>Kas Kanpus</v>
          </cell>
          <cell r="O1065" t="str">
            <v>KAS KANPUS</v>
          </cell>
          <cell r="R1065" t="str">
            <v>Belum TL</v>
          </cell>
          <cell r="S1065" t="str">
            <v>Belum TL</v>
          </cell>
          <cell r="T1065" t="str">
            <v>90150130 - Intan Aida Pratiwi</v>
          </cell>
          <cell r="U1065" t="str">
            <v>"-"</v>
          </cell>
        </row>
        <row r="1066">
          <cell r="A1066">
            <v>46265</v>
          </cell>
          <cell r="B1066" t="str">
            <v xml:space="preserve">LYARDY REINOLD SUMINTORO                </v>
          </cell>
          <cell r="C1066" t="str">
            <v>LBU1217</v>
          </cell>
          <cell r="D1066">
            <v>356501020374109</v>
          </cell>
          <cell r="E1066" t="str">
            <v>SEDANG</v>
          </cell>
          <cell r="F1066" t="str">
            <v>Ya</v>
          </cell>
          <cell r="G1066" t="str">
            <v>Tidak</v>
          </cell>
          <cell r="H1066" t="str">
            <v>Tidak</v>
          </cell>
          <cell r="I1066" t="str">
            <v>Korupsi - Loan View</v>
          </cell>
          <cell r="J1066">
            <v>48</v>
          </cell>
          <cell r="K1066">
            <v>15</v>
          </cell>
          <cell r="L1066" t="str">
            <v>Korupsi</v>
          </cell>
          <cell r="M1066" t="str">
            <v>Kas Kanpus</v>
          </cell>
          <cell r="N1066" t="str">
            <v>Kas Kanpus</v>
          </cell>
          <cell r="O1066" t="str">
            <v>KAS KANPUS</v>
          </cell>
          <cell r="R1066" t="str">
            <v>Belum TL</v>
          </cell>
          <cell r="S1066" t="str">
            <v>Belum TL</v>
          </cell>
          <cell r="T1066" t="str">
            <v>00336949 - Mochammad Al Farabi</v>
          </cell>
          <cell r="U1066" t="str">
            <v>"-"</v>
          </cell>
        </row>
        <row r="1067">
          <cell r="A1067">
            <v>46265</v>
          </cell>
          <cell r="B1067" t="str">
            <v xml:space="preserve">LITERATUR KRISTEN INDONESIA (YLLKI)     </v>
          </cell>
          <cell r="C1067" t="str">
            <v>LBZ6005</v>
          </cell>
          <cell r="D1067">
            <v>13701000997567</v>
          </cell>
          <cell r="E1067" t="str">
            <v>SEDANG</v>
          </cell>
          <cell r="F1067" t="str">
            <v>Tidak</v>
          </cell>
          <cell r="G1067" t="str">
            <v>Tidak</v>
          </cell>
          <cell r="I1067" t="str">
            <v>Terorisme - Organisasi Terorisme</v>
          </cell>
          <cell r="J1067">
            <v>168</v>
          </cell>
          <cell r="K1067">
            <v>44</v>
          </cell>
          <cell r="L1067" t="str">
            <v>Terorisme</v>
          </cell>
          <cell r="M1067" t="str">
            <v xml:space="preserve">Kas Kanpus                              </v>
          </cell>
          <cell r="N1067" t="str">
            <v xml:space="preserve">Kas Kanpus                              </v>
          </cell>
          <cell r="O1067" t="str">
            <v xml:space="preserve">KAS KANPUS                              </v>
          </cell>
          <cell r="R1067" t="str">
            <v>Belum TL</v>
          </cell>
          <cell r="S1067" t="str">
            <v>Belum TL</v>
          </cell>
          <cell r="T1067" t="str">
            <v>00336949 - Mochammad Al Farabi</v>
          </cell>
          <cell r="U1067" t="str">
            <v>"-"</v>
          </cell>
        </row>
        <row r="1068">
          <cell r="A1068">
            <v>46265</v>
          </cell>
          <cell r="B1068" t="str">
            <v xml:space="preserve">LINCE LANI                              </v>
          </cell>
          <cell r="C1068" t="str">
            <v>LE92624</v>
          </cell>
          <cell r="D1068">
            <v>509501014748101</v>
          </cell>
          <cell r="E1068" t="str">
            <v>SEDANG</v>
          </cell>
          <cell r="F1068" t="str">
            <v>Tidak</v>
          </cell>
          <cell r="G1068" t="str">
            <v>Tidak</v>
          </cell>
          <cell r="H1068" t="str">
            <v>Tidak</v>
          </cell>
          <cell r="I1068" t="str">
            <v>Korupsi - Loan View</v>
          </cell>
          <cell r="J1068">
            <v>48</v>
          </cell>
          <cell r="K1068">
            <v>15</v>
          </cell>
          <cell r="L1068" t="str">
            <v>Korupsi</v>
          </cell>
          <cell r="M1068" t="str">
            <v>Kas Kanpus</v>
          </cell>
          <cell r="N1068" t="str">
            <v>Kas Kanpus</v>
          </cell>
          <cell r="O1068" t="str">
            <v>KAS KANPUS</v>
          </cell>
          <cell r="R1068" t="str">
            <v>Belum TL</v>
          </cell>
          <cell r="S1068" t="str">
            <v>Belum TL</v>
          </cell>
          <cell r="T1068" t="str">
            <v>90185537 - Moh.Khoerul Fajar Ar</v>
          </cell>
          <cell r="U1068" t="str">
            <v>"-"</v>
          </cell>
        </row>
        <row r="1069">
          <cell r="A1069">
            <v>46265</v>
          </cell>
          <cell r="B1069" t="str">
            <v xml:space="preserve">LISTRI ANDRIANI                         </v>
          </cell>
          <cell r="C1069" t="str">
            <v>LEA0952</v>
          </cell>
          <cell r="D1069">
            <v>530501026373533</v>
          </cell>
          <cell r="E1069" t="str">
            <v>SEDANG</v>
          </cell>
          <cell r="F1069" t="str">
            <v>Tidak</v>
          </cell>
          <cell r="G1069" t="str">
            <v>Tidak</v>
          </cell>
          <cell r="H1069" t="str">
            <v>Tidak</v>
          </cell>
          <cell r="I1069" t="str">
            <v>Bandar Judol Withdrawal</v>
          </cell>
          <cell r="J1069">
            <v>50</v>
          </cell>
          <cell r="K1069" t="str">
            <v>86,88,87</v>
          </cell>
          <cell r="L1069" t="str">
            <v>Judi Online</v>
          </cell>
          <cell r="M1069" t="str">
            <v xml:space="preserve">Kas Kanpus                              </v>
          </cell>
          <cell r="N1069" t="str">
            <v xml:space="preserve">Kas Kanpus                              </v>
          </cell>
          <cell r="O1069" t="str">
            <v xml:space="preserve">KAS KANPUS                              </v>
          </cell>
          <cell r="R1069" t="str">
            <v>Belum TL</v>
          </cell>
          <cell r="S1069" t="str">
            <v>Belum TL</v>
          </cell>
          <cell r="T1069" t="str">
            <v>90185538 - Muhammad Fahikal Auz</v>
          </cell>
          <cell r="U1069" t="str">
            <v>"-"</v>
          </cell>
        </row>
        <row r="1070">
          <cell r="A1070">
            <v>46265</v>
          </cell>
          <cell r="B1070" t="str">
            <v xml:space="preserve">LILIANI                                 </v>
          </cell>
          <cell r="C1070" t="str">
            <v>LGG4540</v>
          </cell>
          <cell r="D1070">
            <v>804201040988537</v>
          </cell>
          <cell r="F1070" t="str">
            <v>Tidak</v>
          </cell>
          <cell r="G1070" t="str">
            <v>Tidak</v>
          </cell>
          <cell r="I1070" t="str">
            <v>Jual Beli Rekening - E channel Trx</v>
          </cell>
          <cell r="J1070">
            <v>33</v>
          </cell>
          <cell r="K1070">
            <v>113</v>
          </cell>
          <cell r="L1070" t="str">
            <v>Narkotika/Judi Online/Penipuan</v>
          </cell>
          <cell r="M1070" t="str">
            <v xml:space="preserve">UNIT CINTA RAKYAT THAMRIN               </v>
          </cell>
          <cell r="N1070" t="str">
            <v xml:space="preserve">KC Medan Thamrin                        </v>
          </cell>
          <cell r="O1070" t="str">
            <v xml:space="preserve">Medan                                   </v>
          </cell>
          <cell r="R1070" t="str">
            <v>Belum TL</v>
          </cell>
          <cell r="S1070" t="str">
            <v>Belum TL</v>
          </cell>
          <cell r="U1070" t="str">
            <v>"-"</v>
          </cell>
        </row>
        <row r="1071">
          <cell r="A1071">
            <v>46265</v>
          </cell>
          <cell r="B1071" t="str">
            <v xml:space="preserve">LANGGENG YULIANTO                       </v>
          </cell>
          <cell r="C1071" t="str">
            <v>LGR9079</v>
          </cell>
          <cell r="D1071">
            <v>5475820112615300</v>
          </cell>
          <cell r="E1071" t="str">
            <v>SEDANG</v>
          </cell>
          <cell r="F1071" t="str">
            <v>Tidak</v>
          </cell>
          <cell r="G1071" t="str">
            <v>Tidak</v>
          </cell>
          <cell r="H1071" t="str">
            <v>Tidak</v>
          </cell>
          <cell r="I1071" t="str">
            <v>Penghindaran Pajak (Transaksi Fiktif)/Penyuapan CC</v>
          </cell>
          <cell r="J1071">
            <v>45</v>
          </cell>
          <cell r="K1071">
            <v>118</v>
          </cell>
          <cell r="L1071" t="str">
            <v>Penyuapan / Penghindaran Pajak CC View</v>
          </cell>
          <cell r="M1071" t="str">
            <v xml:space="preserve">Kas Kanpus                              </v>
          </cell>
          <cell r="N1071" t="str">
            <v xml:space="preserve">Kas Kanpus                              </v>
          </cell>
          <cell r="O1071" t="str">
            <v xml:space="preserve">KAS KANPUS                              </v>
          </cell>
          <cell r="R1071" t="str">
            <v>Belum TL</v>
          </cell>
          <cell r="S1071" t="str">
            <v>Belum TL</v>
          </cell>
          <cell r="T1071" t="str">
            <v>00394520 - Frida Akbar Rani</v>
          </cell>
          <cell r="U1071" t="str">
            <v>"-"</v>
          </cell>
        </row>
        <row r="1072">
          <cell r="A1072">
            <v>46265</v>
          </cell>
          <cell r="B1072" t="str">
            <v xml:space="preserve">LENNY NOPITA FRISKA SINAGA              </v>
          </cell>
          <cell r="C1072" t="str">
            <v>LH02905</v>
          </cell>
          <cell r="D1072">
            <v>338801034112533</v>
          </cell>
          <cell r="E1072" t="str">
            <v>TINGGI</v>
          </cell>
          <cell r="F1072" t="str">
            <v>Ya</v>
          </cell>
          <cell r="G1072" t="str">
            <v>Tidak</v>
          </cell>
          <cell r="H1072" t="str">
            <v>Tidak</v>
          </cell>
          <cell r="I1072" t="str">
            <v>Korupsi - Significant Trx View</v>
          </cell>
          <cell r="J1072">
            <v>65</v>
          </cell>
          <cell r="K1072">
            <v>1.19</v>
          </cell>
          <cell r="L1072" t="str">
            <v>Korupsi</v>
          </cell>
          <cell r="M1072" t="str">
            <v>Kas Kanpus</v>
          </cell>
          <cell r="N1072" t="str">
            <v>Kas Kanpus</v>
          </cell>
          <cell r="O1072" t="str">
            <v>KAS KANPUS</v>
          </cell>
          <cell r="R1072" t="str">
            <v>Belum TL</v>
          </cell>
          <cell r="S1072" t="str">
            <v>Belum TL</v>
          </cell>
          <cell r="T1072" t="str">
            <v>90150130 - Intan Aida Pratiwi</v>
          </cell>
          <cell r="U1072" t="str">
            <v>"-"</v>
          </cell>
        </row>
        <row r="1073">
          <cell r="A1073">
            <v>46265</v>
          </cell>
          <cell r="B1073" t="str">
            <v xml:space="preserve">LA ODE RAMADANI                         </v>
          </cell>
          <cell r="C1073" t="str">
            <v>LHG5489</v>
          </cell>
          <cell r="D1073">
            <v>41801022557507</v>
          </cell>
          <cell r="E1073" t="str">
            <v>SEDANG</v>
          </cell>
          <cell r="F1073" t="str">
            <v>Tidak</v>
          </cell>
          <cell r="G1073" t="str">
            <v>Tidak</v>
          </cell>
          <cell r="H1073" t="str">
            <v>Tidak</v>
          </cell>
          <cell r="I1073" t="str">
            <v>Bandar Judol Withdrawal</v>
          </cell>
          <cell r="J1073">
            <v>50</v>
          </cell>
          <cell r="K1073" t="str">
            <v>86,88,87</v>
          </cell>
          <cell r="L1073" t="str">
            <v>Judi Online</v>
          </cell>
          <cell r="M1073" t="str">
            <v xml:space="preserve">Kas Kanpus                              </v>
          </cell>
          <cell r="N1073" t="str">
            <v xml:space="preserve">Kas Kanpus                              </v>
          </cell>
          <cell r="O1073" t="str">
            <v xml:space="preserve">KAS KANPUS                              </v>
          </cell>
          <cell r="R1073" t="str">
            <v>Belum TL</v>
          </cell>
          <cell r="S1073" t="str">
            <v>Belum TL</v>
          </cell>
          <cell r="T1073" t="str">
            <v>00394521 - Muhammad Hibbanduta</v>
          </cell>
          <cell r="U1073" t="str">
            <v>"-"</v>
          </cell>
        </row>
        <row r="1074">
          <cell r="A1074">
            <v>46265</v>
          </cell>
          <cell r="B1074" t="str">
            <v xml:space="preserve">LUMBUNG PANGAN REJEKI AULIA             </v>
          </cell>
          <cell r="C1074" t="str">
            <v>LHM1155</v>
          </cell>
          <cell r="D1074">
            <v>35901002519307</v>
          </cell>
          <cell r="E1074" t="str">
            <v>SEDANG</v>
          </cell>
          <cell r="F1074" t="str">
            <v>Tidak</v>
          </cell>
          <cell r="G1074" t="str">
            <v>Tidak</v>
          </cell>
          <cell r="H1074" t="str">
            <v>Tidak</v>
          </cell>
          <cell r="I1074" t="str">
            <v>Perpajakan</v>
          </cell>
          <cell r="J1074">
            <v>48</v>
          </cell>
          <cell r="K1074">
            <v>41</v>
          </cell>
          <cell r="L1074" t="str">
            <v>Perpajakan</v>
          </cell>
          <cell r="M1074" t="str">
            <v xml:space="preserve">KC Jakarta Gatot Subroto                </v>
          </cell>
          <cell r="N1074" t="str">
            <v xml:space="preserve">KC Jakarta Gatot Subroto                </v>
          </cell>
          <cell r="O1074" t="str">
            <v xml:space="preserve">DKI2                                    </v>
          </cell>
          <cell r="R1074" t="str">
            <v>Belum TL</v>
          </cell>
          <cell r="S1074" t="str">
            <v>Belum TL</v>
          </cell>
          <cell r="T1074" t="str">
            <v>90186796 - Devito Arya Wiradila</v>
          </cell>
          <cell r="U1074" t="str">
            <v>"-"</v>
          </cell>
        </row>
        <row r="1075">
          <cell r="A1075">
            <v>46265</v>
          </cell>
          <cell r="B1075" t="str">
            <v xml:space="preserve">LAUW SAMUEL LAWRENCE                    </v>
          </cell>
          <cell r="C1075" t="str">
            <v>LHQ3102</v>
          </cell>
          <cell r="D1075">
            <v>4359720213205600</v>
          </cell>
          <cell r="E1075" t="str">
            <v>TINGGI</v>
          </cell>
          <cell r="F1075" t="str">
            <v>Tidak</v>
          </cell>
          <cell r="G1075" t="str">
            <v>Tidak</v>
          </cell>
          <cell r="H1075" t="str">
            <v>Tidak</v>
          </cell>
          <cell r="I1075" t="str">
            <v>Penghindaran Pajak (Transaksi Fiktif)/Penyuapan CC</v>
          </cell>
          <cell r="J1075">
            <v>60</v>
          </cell>
          <cell r="K1075">
            <v>118</v>
          </cell>
          <cell r="L1075" t="str">
            <v>Penyuapan / Penghindaran Pajak CC View</v>
          </cell>
          <cell r="M1075" t="str">
            <v xml:space="preserve">Kas Kanpus                              </v>
          </cell>
          <cell r="N1075" t="str">
            <v xml:space="preserve">Kas Kanpus                              </v>
          </cell>
          <cell r="O1075" t="str">
            <v xml:space="preserve">KAS KANPUS                              </v>
          </cell>
          <cell r="R1075" t="str">
            <v>Belum TL</v>
          </cell>
          <cell r="S1075" t="str">
            <v>Belum TL</v>
          </cell>
          <cell r="T1075" t="str">
            <v>90150130 - Intan Aida Pratiwi</v>
          </cell>
          <cell r="U1075" t="str">
            <v>"-"</v>
          </cell>
        </row>
        <row r="1076">
          <cell r="A1076">
            <v>46265</v>
          </cell>
          <cell r="B1076" t="str">
            <v xml:space="preserve">LILIS                                   </v>
          </cell>
          <cell r="C1076" t="str">
            <v>LHX1976</v>
          </cell>
          <cell r="D1076">
            <v>760301016086536</v>
          </cell>
          <cell r="E1076" t="str">
            <v>SEDANG</v>
          </cell>
          <cell r="F1076" t="str">
            <v>Tidak</v>
          </cell>
          <cell r="G1076" t="str">
            <v>Tidak</v>
          </cell>
          <cell r="H1076" t="str">
            <v>Tidak</v>
          </cell>
          <cell r="I1076" t="str">
            <v>Narkotika - Area Lapas</v>
          </cell>
          <cell r="J1076">
            <v>50</v>
          </cell>
          <cell r="K1076">
            <v>46</v>
          </cell>
          <cell r="L1076" t="str">
            <v>Narkotika</v>
          </cell>
          <cell r="M1076" t="str">
            <v>UNIT TANA TIDUNG TANJUNG SELOR</v>
          </cell>
          <cell r="N1076" t="str">
            <v>KC Tanjung Selor</v>
          </cell>
          <cell r="O1076" t="str">
            <v>Banjarmasin</v>
          </cell>
          <cell r="R1076" t="str">
            <v>Belum TL</v>
          </cell>
          <cell r="S1076" t="str">
            <v>Belum TL</v>
          </cell>
          <cell r="T1076" t="str">
            <v>90185538 - Muhammad Fahikal Auz</v>
          </cell>
          <cell r="U1076" t="str">
            <v>"-"</v>
          </cell>
        </row>
        <row r="1077">
          <cell r="A1077">
            <v>46265</v>
          </cell>
          <cell r="B1077" t="str">
            <v xml:space="preserve">LINTAS VIRTUAL GLOBALINDO               </v>
          </cell>
          <cell r="C1077" t="str">
            <v>LI15049</v>
          </cell>
          <cell r="D1077">
            <v>36201501025151</v>
          </cell>
          <cell r="E1077" t="str">
            <v>SEDANG</v>
          </cell>
          <cell r="F1077" t="str">
            <v>Tidak</v>
          </cell>
          <cell r="G1077" t="str">
            <v>Tidak</v>
          </cell>
          <cell r="H1077" t="str">
            <v>Tidak</v>
          </cell>
          <cell r="I1077" t="str">
            <v>Korupsi - Loan View</v>
          </cell>
          <cell r="J1077">
            <v>48</v>
          </cell>
          <cell r="K1077">
            <v>15</v>
          </cell>
          <cell r="L1077" t="str">
            <v>Korupsi</v>
          </cell>
          <cell r="M1077" t="str">
            <v>Kas Kanpus</v>
          </cell>
          <cell r="N1077" t="str">
            <v>Kas Kanpus</v>
          </cell>
          <cell r="O1077" t="str">
            <v>KAS KANPUS</v>
          </cell>
          <cell r="R1077" t="str">
            <v>Belum TL</v>
          </cell>
          <cell r="S1077" t="str">
            <v>Belum TL</v>
          </cell>
          <cell r="T1077" t="str">
            <v>90150130 - Intan Aida Pratiwi</v>
          </cell>
          <cell r="U1077" t="str">
            <v>"-"</v>
          </cell>
        </row>
        <row r="1078">
          <cell r="A1078">
            <v>46265</v>
          </cell>
          <cell r="B1078" t="str">
            <v xml:space="preserve">LELY SOEBAGIO                           </v>
          </cell>
          <cell r="C1078" t="str">
            <v>LJ51336</v>
          </cell>
          <cell r="D1078">
            <v>4687400201897600</v>
          </cell>
          <cell r="E1078" t="str">
            <v>TINGGI</v>
          </cell>
          <cell r="F1078" t="str">
            <v>Tidak</v>
          </cell>
          <cell r="G1078" t="str">
            <v>Tidak</v>
          </cell>
          <cell r="H1078" t="str">
            <v>Tidak</v>
          </cell>
          <cell r="I1078" t="str">
            <v>Anomali Transaksi Kartu Kredit</v>
          </cell>
          <cell r="J1078">
            <v>70</v>
          </cell>
          <cell r="K1078">
            <v>117</v>
          </cell>
          <cell r="L1078" t="str">
            <v>Anomali Transaksi Kartu Kredit</v>
          </cell>
          <cell r="M1078" t="str">
            <v xml:space="preserve">Kas Kanpus                              </v>
          </cell>
          <cell r="N1078" t="str">
            <v xml:space="preserve">Kas Kanpus                              </v>
          </cell>
          <cell r="O1078" t="str">
            <v xml:space="preserve">KAS KANPUS                              </v>
          </cell>
          <cell r="R1078" t="str">
            <v>Belum TL</v>
          </cell>
          <cell r="S1078" t="str">
            <v>Belum TL</v>
          </cell>
          <cell r="T1078" t="str">
            <v>00394521 - Muhammad Hibbanduta</v>
          </cell>
          <cell r="U1078" t="str">
            <v>"-"</v>
          </cell>
        </row>
        <row r="1079">
          <cell r="A1079">
            <v>46265</v>
          </cell>
          <cell r="B1079" t="str">
            <v xml:space="preserve">LENY AFRIANI                            </v>
          </cell>
          <cell r="C1079" t="str">
            <v>LJP9158</v>
          </cell>
          <cell r="D1079">
            <v>480901038701535</v>
          </cell>
          <cell r="F1079" t="str">
            <v>Tidak</v>
          </cell>
          <cell r="G1079" t="str">
            <v>Tidak</v>
          </cell>
          <cell r="H1079" t="str">
            <v>Tidak</v>
          </cell>
          <cell r="I1079" t="str">
            <v>Narkotika/Psikotropika- Remark</v>
          </cell>
          <cell r="J1079">
            <v>35</v>
          </cell>
          <cell r="K1079">
            <v>9</v>
          </cell>
          <cell r="L1079" t="str">
            <v>Narkotika/Psikotropika</v>
          </cell>
          <cell r="M1079" t="str">
            <v xml:space="preserve">UNIT BENUA KAYONG                       </v>
          </cell>
          <cell r="N1079" t="str">
            <v xml:space="preserve">KC Ketapang                             </v>
          </cell>
          <cell r="O1079" t="str">
            <v xml:space="preserve">Banjarmasin                             </v>
          </cell>
          <cell r="R1079" t="str">
            <v>Belum TL</v>
          </cell>
          <cell r="S1079" t="str">
            <v>Belum TL</v>
          </cell>
          <cell r="T1079" t="str">
            <v>90185537 - Moh.Khoerul Fajar Ar</v>
          </cell>
          <cell r="U1079" t="str">
            <v>"-"</v>
          </cell>
        </row>
        <row r="1080">
          <cell r="A1080">
            <v>46265</v>
          </cell>
          <cell r="B1080" t="str">
            <v xml:space="preserve">LILIS ANGGRAINI                         </v>
          </cell>
          <cell r="C1080" t="str">
            <v>LJB2877</v>
          </cell>
          <cell r="D1080">
            <v>222701014403509</v>
          </cell>
          <cell r="E1080" t="str">
            <v>SEDANG</v>
          </cell>
          <cell r="F1080" t="str">
            <v>Tidak</v>
          </cell>
          <cell r="G1080" t="str">
            <v>Tidak</v>
          </cell>
          <cell r="H1080" t="str">
            <v>Tidak</v>
          </cell>
          <cell r="I1080" t="str">
            <v>Bandar Judol Depo</v>
          </cell>
          <cell r="J1080">
            <v>50</v>
          </cell>
          <cell r="K1080" t="str">
            <v>86,74,87</v>
          </cell>
          <cell r="L1080" t="str">
            <v>Judi Online</v>
          </cell>
          <cell r="M1080" t="str">
            <v xml:space="preserve">Kas Kanpus                              </v>
          </cell>
          <cell r="N1080" t="str">
            <v xml:space="preserve">Kas Kanpus                              </v>
          </cell>
          <cell r="O1080" t="str">
            <v xml:space="preserve">KAS KANPUS                              </v>
          </cell>
          <cell r="R1080" t="str">
            <v>Belum TL</v>
          </cell>
          <cell r="S1080" t="str">
            <v>Belum TL</v>
          </cell>
          <cell r="T1080" t="str">
            <v>00336949 - Mochammad Al Farabi</v>
          </cell>
          <cell r="U1080" t="str">
            <v>"-"</v>
          </cell>
        </row>
        <row r="1081">
          <cell r="A1081">
            <v>46265</v>
          </cell>
          <cell r="B1081" t="str">
            <v xml:space="preserve">LEONARDO WICAKSONO                      </v>
          </cell>
          <cell r="C1081" t="str">
            <v>LJV7661</v>
          </cell>
          <cell r="D1081">
            <v>33801065154502</v>
          </cell>
          <cell r="F1081" t="str">
            <v>Tidak</v>
          </cell>
          <cell r="G1081" t="str">
            <v>Tidak</v>
          </cell>
          <cell r="H1081" t="str">
            <v>Tidak</v>
          </cell>
          <cell r="I1081" t="str">
            <v>Bandar Judol Depo</v>
          </cell>
          <cell r="J1081">
            <v>35</v>
          </cell>
          <cell r="K1081" t="str">
            <v>86,74,87</v>
          </cell>
          <cell r="L1081" t="str">
            <v>Judi Online</v>
          </cell>
          <cell r="M1081" t="str">
            <v xml:space="preserve">Kas Kanpus                              </v>
          </cell>
          <cell r="N1081" t="str">
            <v xml:space="preserve">Kas Kanpus                              </v>
          </cell>
          <cell r="O1081" t="str">
            <v xml:space="preserve">KAS KANPUS                              </v>
          </cell>
          <cell r="R1081" t="str">
            <v>Belum TL</v>
          </cell>
          <cell r="S1081" t="str">
            <v>Belum TL</v>
          </cell>
          <cell r="T1081" t="str">
            <v>00394520 - Frida Akbar Rani</v>
          </cell>
          <cell r="U1081" t="str">
            <v>"-"</v>
          </cell>
        </row>
        <row r="1082">
          <cell r="A1082">
            <v>46265</v>
          </cell>
          <cell r="B1082" t="str">
            <v xml:space="preserve">LARAS WATI                              </v>
          </cell>
          <cell r="C1082" t="str">
            <v>LKJ3846</v>
          </cell>
          <cell r="D1082">
            <v>40401020963533</v>
          </cell>
          <cell r="F1082" t="str">
            <v>Tidak</v>
          </cell>
          <cell r="G1082" t="str">
            <v>Tidak</v>
          </cell>
          <cell r="H1082" t="str">
            <v>Tidak</v>
          </cell>
          <cell r="I1082" t="str">
            <v>Bandar Judol Withdrawal</v>
          </cell>
          <cell r="J1082">
            <v>35</v>
          </cell>
          <cell r="K1082" t="str">
            <v>86,88,87</v>
          </cell>
          <cell r="L1082" t="str">
            <v>Judi Online</v>
          </cell>
          <cell r="M1082" t="str">
            <v xml:space="preserve">Kas Kanpus                              </v>
          </cell>
          <cell r="N1082" t="str">
            <v xml:space="preserve">Kas Kanpus                              </v>
          </cell>
          <cell r="O1082" t="str">
            <v xml:space="preserve">KAS KANPUS                              </v>
          </cell>
          <cell r="R1082" t="str">
            <v>Belum TL</v>
          </cell>
          <cell r="S1082" t="str">
            <v>Belum TL</v>
          </cell>
          <cell r="T1082" t="str">
            <v>90186796 - Devito Arya Wiradila</v>
          </cell>
          <cell r="U1082" t="str">
            <v>"-"</v>
          </cell>
        </row>
        <row r="1083">
          <cell r="A1083">
            <v>46265</v>
          </cell>
          <cell r="B1083" t="str">
            <v xml:space="preserve">LAISATA RIPAMOLE                        </v>
          </cell>
          <cell r="C1083" t="str">
            <v>LKW0071</v>
          </cell>
          <cell r="D1083">
            <v>33901142198502</v>
          </cell>
          <cell r="F1083" t="str">
            <v>Tidak</v>
          </cell>
          <cell r="G1083" t="str">
            <v>Tidak</v>
          </cell>
          <cell r="H1083" t="str">
            <v>Tidak</v>
          </cell>
          <cell r="I1083" t="str">
            <v>Bandar Judol Withdrawal</v>
          </cell>
          <cell r="J1083">
            <v>35</v>
          </cell>
          <cell r="K1083" t="str">
            <v>86,88,87</v>
          </cell>
          <cell r="L1083" t="str">
            <v>Judi Online</v>
          </cell>
          <cell r="M1083" t="str">
            <v xml:space="preserve">Kas Kanpus                              </v>
          </cell>
          <cell r="N1083" t="str">
            <v xml:space="preserve">Kas Kanpus                              </v>
          </cell>
          <cell r="O1083" t="str">
            <v xml:space="preserve">KAS KANPUS                              </v>
          </cell>
          <cell r="R1083" t="str">
            <v>Belum TL</v>
          </cell>
          <cell r="S1083" t="str">
            <v>Belum TL</v>
          </cell>
          <cell r="T1083" t="str">
            <v>90186790 - Muhammad Alfin Farha</v>
          </cell>
          <cell r="U1083" t="str">
            <v>"-"</v>
          </cell>
        </row>
        <row r="1084">
          <cell r="A1084">
            <v>46265</v>
          </cell>
          <cell r="B1084" t="str">
            <v xml:space="preserve">LUTFI INDRA KURNIAWAN                   </v>
          </cell>
          <cell r="C1084" t="str">
            <v>LKZ5754</v>
          </cell>
          <cell r="D1084">
            <v>206501017934507</v>
          </cell>
          <cell r="F1084" t="str">
            <v>Tidak</v>
          </cell>
          <cell r="G1084" t="str">
            <v>Tidak</v>
          </cell>
          <cell r="H1084" t="str">
            <v>Tidak</v>
          </cell>
          <cell r="I1084" t="str">
            <v>Bandar Judol Depo</v>
          </cell>
          <cell r="J1084">
            <v>43</v>
          </cell>
          <cell r="K1084" t="str">
            <v>86,74,87</v>
          </cell>
          <cell r="L1084" t="str">
            <v>Judi Online</v>
          </cell>
          <cell r="M1084" t="str">
            <v xml:space="preserve">Kas Kanpus                              </v>
          </cell>
          <cell r="N1084" t="str">
            <v xml:space="preserve">Kas Kanpus                              </v>
          </cell>
          <cell r="O1084" t="str">
            <v xml:space="preserve">KAS KANPUS                              </v>
          </cell>
          <cell r="R1084" t="str">
            <v>Belum TL</v>
          </cell>
          <cell r="S1084" t="str">
            <v>Belum TL</v>
          </cell>
          <cell r="T1084" t="str">
            <v>90170665 - Mutiara Ayuningtyas</v>
          </cell>
          <cell r="U1084" t="str">
            <v>"-"</v>
          </cell>
        </row>
        <row r="1085">
          <cell r="A1085">
            <v>46265</v>
          </cell>
          <cell r="B1085" t="str">
            <v xml:space="preserve">LUTFI SYUKRI AZIZ                       </v>
          </cell>
          <cell r="C1085" t="str">
            <v>LL13230</v>
          </cell>
          <cell r="D1085">
            <v>4359720283418070</v>
          </cell>
          <cell r="E1085" t="str">
            <v>SEDANG</v>
          </cell>
          <cell r="F1085" t="str">
            <v>Ya</v>
          </cell>
          <cell r="G1085" t="str">
            <v>Tidak</v>
          </cell>
          <cell r="H1085" t="str">
            <v>Tidak</v>
          </cell>
          <cell r="I1085" t="str">
            <v>Penghindaran Pajak (Transaksi Fiktif)/Penyuapan CC</v>
          </cell>
          <cell r="J1085">
            <v>45</v>
          </cell>
          <cell r="K1085">
            <v>118</v>
          </cell>
          <cell r="L1085" t="str">
            <v>Penyuapan / Penghindaran Pajak CC View</v>
          </cell>
          <cell r="M1085" t="str">
            <v xml:space="preserve">Kas Kanpus                              </v>
          </cell>
          <cell r="N1085" t="str">
            <v xml:space="preserve">Kas Kanpus                              </v>
          </cell>
          <cell r="O1085" t="str">
            <v xml:space="preserve">KAS KANPUS                              </v>
          </cell>
          <cell r="R1085" t="str">
            <v>Belum TL</v>
          </cell>
          <cell r="S1085" t="str">
            <v>Belum TL</v>
          </cell>
          <cell r="T1085" t="str">
            <v>00394520 - Frida Akbar Rani</v>
          </cell>
          <cell r="U1085" t="str">
            <v>"-"</v>
          </cell>
        </row>
        <row r="1086">
          <cell r="A1086">
            <v>46265</v>
          </cell>
          <cell r="B1086" t="str">
            <v xml:space="preserve">LHARASARI PRATHIWI                      </v>
          </cell>
          <cell r="C1086" t="str">
            <v>LL32578</v>
          </cell>
          <cell r="D1086">
            <v>34301034967105</v>
          </cell>
          <cell r="E1086" t="str">
            <v>RENDAH</v>
          </cell>
          <cell r="F1086" t="str">
            <v>Tidak</v>
          </cell>
          <cell r="G1086" t="str">
            <v>Tidak</v>
          </cell>
          <cell r="H1086" t="str">
            <v>Tidak</v>
          </cell>
          <cell r="I1086" t="str">
            <v>Korupsi - Loan View</v>
          </cell>
          <cell r="J1086">
            <v>33</v>
          </cell>
          <cell r="K1086">
            <v>15</v>
          </cell>
          <cell r="L1086" t="str">
            <v>Korupsi</v>
          </cell>
          <cell r="M1086" t="str">
            <v>Kas Kanpus</v>
          </cell>
          <cell r="N1086" t="str">
            <v>Kas Kanpus</v>
          </cell>
          <cell r="O1086" t="str">
            <v>KAS KANPUS</v>
          </cell>
          <cell r="R1086" t="str">
            <v>Belum TL</v>
          </cell>
          <cell r="S1086" t="str">
            <v>Belum TL</v>
          </cell>
          <cell r="T1086" t="str">
            <v>90185538 - Muhammad Fahikal Auz</v>
          </cell>
          <cell r="U1086" t="str">
            <v>"-"</v>
          </cell>
        </row>
        <row r="1087">
          <cell r="A1087">
            <v>46265</v>
          </cell>
          <cell r="B1087" t="str">
            <v xml:space="preserve">LAILA MAILANI                           </v>
          </cell>
          <cell r="C1087" t="str">
            <v>LO18548</v>
          </cell>
          <cell r="D1087">
            <v>109101043020500</v>
          </cell>
          <cell r="E1087" t="str">
            <v>SEDANG</v>
          </cell>
          <cell r="F1087" t="str">
            <v>Tidak</v>
          </cell>
          <cell r="G1087" t="str">
            <v>Tidak</v>
          </cell>
          <cell r="H1087" t="str">
            <v>Tidak</v>
          </cell>
          <cell r="I1087" t="str">
            <v>Bandar Judol Withdrawal</v>
          </cell>
          <cell r="J1087">
            <v>50</v>
          </cell>
          <cell r="K1087" t="str">
            <v>86,88,87</v>
          </cell>
          <cell r="L1087" t="str">
            <v>Judi Online</v>
          </cell>
          <cell r="M1087" t="str">
            <v xml:space="preserve">Kas Kanpus                              </v>
          </cell>
          <cell r="N1087" t="str">
            <v xml:space="preserve">Kas Kanpus                              </v>
          </cell>
          <cell r="O1087" t="str">
            <v xml:space="preserve">KAS KANPUS                              </v>
          </cell>
          <cell r="R1087" t="str">
            <v>Belum TL</v>
          </cell>
          <cell r="S1087" t="str">
            <v>Belum TL</v>
          </cell>
          <cell r="T1087" t="str">
            <v>90185537 - Moh.Khoerul Fajar Ar</v>
          </cell>
          <cell r="U1087" t="str">
            <v>"-"</v>
          </cell>
        </row>
        <row r="1088">
          <cell r="A1088">
            <v>46265</v>
          </cell>
          <cell r="B1088" t="str">
            <v xml:space="preserve">LUCKY FEBRIANTO                         </v>
          </cell>
          <cell r="C1088" t="str">
            <v>LQ83554</v>
          </cell>
          <cell r="D1088">
            <v>36701133040501</v>
          </cell>
          <cell r="E1088" t="str">
            <v>SEDANG</v>
          </cell>
          <cell r="F1088" t="str">
            <v>Tidak</v>
          </cell>
          <cell r="G1088" t="str">
            <v>Tidak</v>
          </cell>
          <cell r="H1088" t="str">
            <v>Tidak</v>
          </cell>
          <cell r="I1088" t="str">
            <v>Money Mules</v>
          </cell>
          <cell r="J1088">
            <v>45</v>
          </cell>
          <cell r="K1088">
            <v>77</v>
          </cell>
          <cell r="L1088" t="str">
            <v>Narkotika/Judi Online</v>
          </cell>
          <cell r="M1088" t="str">
            <v xml:space="preserve">Kas Kanpus                              </v>
          </cell>
          <cell r="N1088" t="str">
            <v xml:space="preserve">Kas Kanpus                              </v>
          </cell>
          <cell r="O1088" t="str">
            <v xml:space="preserve">KAS KANPUS                              </v>
          </cell>
          <cell r="R1088" t="str">
            <v>Belum TL</v>
          </cell>
          <cell r="S1088" t="str">
            <v>Belum TL</v>
          </cell>
          <cell r="T1088" t="str">
            <v>90170665 - Mutiara Ayuningtyas</v>
          </cell>
          <cell r="U1088" t="str">
            <v>"-"</v>
          </cell>
        </row>
        <row r="1089">
          <cell r="A1089">
            <v>46265</v>
          </cell>
          <cell r="B1089" t="str">
            <v xml:space="preserve">MULTI FABRINDO GEMILANG PT              </v>
          </cell>
          <cell r="C1089" t="str">
            <v>M794610</v>
          </cell>
          <cell r="D1089">
            <v>20601500682154</v>
          </cell>
          <cell r="E1089" t="str">
            <v>SEDANG</v>
          </cell>
          <cell r="F1089" t="str">
            <v>Tidak</v>
          </cell>
          <cell r="G1089" t="str">
            <v>Tidak</v>
          </cell>
          <cell r="H1089" t="str">
            <v>Tidak</v>
          </cell>
          <cell r="I1089" t="str">
            <v>Korupsi - Loan View</v>
          </cell>
          <cell r="J1089">
            <v>48</v>
          </cell>
          <cell r="K1089">
            <v>15</v>
          </cell>
          <cell r="L1089" t="str">
            <v>Korupsi</v>
          </cell>
          <cell r="M1089" t="str">
            <v>Kas Kanpus</v>
          </cell>
          <cell r="N1089" t="str">
            <v>Kas Kanpus</v>
          </cell>
          <cell r="O1089" t="str">
            <v>KAS KANPUS</v>
          </cell>
          <cell r="R1089" t="str">
            <v>Belum TL</v>
          </cell>
          <cell r="S1089" t="str">
            <v>Belum TL</v>
          </cell>
          <cell r="T1089" t="str">
            <v>00394521 - Muhammad Hibbanduta</v>
          </cell>
          <cell r="U1089" t="str">
            <v>"-"</v>
          </cell>
        </row>
        <row r="1090">
          <cell r="A1090">
            <v>46265</v>
          </cell>
          <cell r="B1090" t="str">
            <v xml:space="preserve">MADE LINA                               </v>
          </cell>
          <cell r="C1090" t="str">
            <v>M830251</v>
          </cell>
          <cell r="D1090">
            <v>58001000384569</v>
          </cell>
          <cell r="E1090" t="str">
            <v>SEDANG</v>
          </cell>
          <cell r="F1090" t="str">
            <v>Tidak</v>
          </cell>
          <cell r="G1090" t="str">
            <v>Tidak</v>
          </cell>
          <cell r="H1090" t="str">
            <v>Tidak</v>
          </cell>
          <cell r="I1090" t="str">
            <v>Korupsi - Significant Trx View</v>
          </cell>
          <cell r="J1090">
            <v>58</v>
          </cell>
          <cell r="K1090">
            <v>1.19</v>
          </cell>
          <cell r="L1090" t="str">
            <v>Korupsi</v>
          </cell>
          <cell r="M1090" t="str">
            <v>Kas Kanpus</v>
          </cell>
          <cell r="N1090" t="str">
            <v>Kas Kanpus</v>
          </cell>
          <cell r="O1090" t="str">
            <v>KAS KANPUS</v>
          </cell>
          <cell r="R1090" t="str">
            <v>Belum TL</v>
          </cell>
          <cell r="S1090" t="str">
            <v>Belum TL</v>
          </cell>
          <cell r="T1090" t="str">
            <v>00394520 - Frida Akbar Rani</v>
          </cell>
          <cell r="U1090" t="str">
            <v>"-"</v>
          </cell>
        </row>
        <row r="1091">
          <cell r="A1091">
            <v>46265</v>
          </cell>
          <cell r="B1091" t="str">
            <v xml:space="preserve">MIRNAWATI                               </v>
          </cell>
          <cell r="C1091" t="str">
            <v>MAAJ538</v>
          </cell>
          <cell r="D1091">
            <v>508201013141539</v>
          </cell>
          <cell r="E1091" t="str">
            <v>SEDANG</v>
          </cell>
          <cell r="F1091" t="str">
            <v>Tidak</v>
          </cell>
          <cell r="G1091" t="str">
            <v>Tidak</v>
          </cell>
          <cell r="H1091" t="str">
            <v>Tidak</v>
          </cell>
          <cell r="I1091" t="str">
            <v>Bandar Judol Depo</v>
          </cell>
          <cell r="J1091">
            <v>50</v>
          </cell>
          <cell r="K1091" t="str">
            <v>86,74,87</v>
          </cell>
          <cell r="L1091" t="str">
            <v>Judi Online</v>
          </cell>
          <cell r="M1091" t="str">
            <v xml:space="preserve">Kas Kanpus                              </v>
          </cell>
          <cell r="N1091" t="str">
            <v xml:space="preserve">Kas Kanpus                              </v>
          </cell>
          <cell r="O1091" t="str">
            <v xml:space="preserve">KAS KANPUS                              </v>
          </cell>
          <cell r="R1091" t="str">
            <v>Belum TL</v>
          </cell>
          <cell r="S1091" t="str">
            <v>Belum TL</v>
          </cell>
          <cell r="T1091" t="str">
            <v>00394520 - Frida Akbar Rani</v>
          </cell>
          <cell r="U1091" t="str">
            <v>"-"</v>
          </cell>
        </row>
        <row r="1092">
          <cell r="A1092">
            <v>46265</v>
          </cell>
          <cell r="B1092" t="str">
            <v xml:space="preserve">LIANITA CHAROLIN                        </v>
          </cell>
          <cell r="C1092" t="str">
            <v>LKR6287</v>
          </cell>
          <cell r="D1092">
            <v>338201006037503</v>
          </cell>
          <cell r="F1092" t="str">
            <v>Tidak</v>
          </cell>
          <cell r="G1092" t="str">
            <v>Tidak</v>
          </cell>
          <cell r="H1092" t="str">
            <v>Tidak</v>
          </cell>
          <cell r="I1092" t="str">
            <v>Bandar Judol Withdrawal</v>
          </cell>
          <cell r="J1092">
            <v>35</v>
          </cell>
          <cell r="K1092" t="str">
            <v>86,88,87</v>
          </cell>
          <cell r="L1092" t="str">
            <v>Judi Online</v>
          </cell>
          <cell r="M1092" t="str">
            <v xml:space="preserve">Kas Kanpus                              </v>
          </cell>
          <cell r="N1092" t="str">
            <v xml:space="preserve">Kas Kanpus                              </v>
          </cell>
          <cell r="O1092" t="str">
            <v xml:space="preserve">KAS KANPUS                              </v>
          </cell>
          <cell r="R1092" t="str">
            <v>Belum TL</v>
          </cell>
          <cell r="S1092" t="str">
            <v>Belum TL</v>
          </cell>
          <cell r="T1092" t="str">
            <v>90150130 - Intan Aida Pratiwi</v>
          </cell>
          <cell r="U1092" t="str">
            <v>"-"</v>
          </cell>
        </row>
        <row r="1093">
          <cell r="A1093">
            <v>46265</v>
          </cell>
          <cell r="B1093" t="str">
            <v xml:space="preserve">LITNA SAEI BR TARIGAN                   </v>
          </cell>
          <cell r="C1093" t="str">
            <v>LKU1432</v>
          </cell>
          <cell r="D1093">
            <v>4359720236135400</v>
          </cell>
          <cell r="F1093" t="str">
            <v>Tidak</v>
          </cell>
          <cell r="G1093" t="str">
            <v>Tidak</v>
          </cell>
          <cell r="H1093" t="str">
            <v>Tidak</v>
          </cell>
          <cell r="I1093" t="str">
            <v>Penghindaran Pajak (Transaksi Fiktif)/Penyuapan CC</v>
          </cell>
          <cell r="J1093">
            <v>30</v>
          </cell>
          <cell r="K1093">
            <v>118</v>
          </cell>
          <cell r="L1093" t="str">
            <v>Penyuapan / Penghindaran Pajak CC View</v>
          </cell>
          <cell r="M1093" t="str">
            <v xml:space="preserve">Kas Kanpus                              </v>
          </cell>
          <cell r="N1093" t="str">
            <v xml:space="preserve">Kas Kanpus                              </v>
          </cell>
          <cell r="O1093" t="str">
            <v xml:space="preserve">KAS KANPUS                              </v>
          </cell>
          <cell r="R1093" t="str">
            <v>Belum TL</v>
          </cell>
          <cell r="S1093" t="str">
            <v>Belum TL</v>
          </cell>
          <cell r="T1093" t="str">
            <v>90186796 - Devito Arya Wiradila</v>
          </cell>
          <cell r="U1093" t="str">
            <v>"-"</v>
          </cell>
        </row>
        <row r="1094">
          <cell r="A1094">
            <v>46265</v>
          </cell>
          <cell r="B1094" t="str">
            <v xml:space="preserve">MUHAMMAD ARMAN                          </v>
          </cell>
          <cell r="C1094" t="str">
            <v>MADS603</v>
          </cell>
          <cell r="D1094">
            <v>360701014204102</v>
          </cell>
          <cell r="E1094" t="str">
            <v>SEDANG</v>
          </cell>
          <cell r="F1094" t="str">
            <v>Tidak</v>
          </cell>
          <cell r="G1094" t="str">
            <v>Tidak</v>
          </cell>
          <cell r="H1094" t="str">
            <v>Tidak</v>
          </cell>
          <cell r="I1094" t="str">
            <v>Korupsi - Loan View</v>
          </cell>
          <cell r="J1094">
            <v>48</v>
          </cell>
          <cell r="K1094">
            <v>15</v>
          </cell>
          <cell r="L1094" t="str">
            <v>Korupsi</v>
          </cell>
          <cell r="M1094" t="str">
            <v>Kas Kanpus</v>
          </cell>
          <cell r="N1094" t="str">
            <v>Kas Kanpus</v>
          </cell>
          <cell r="O1094" t="str">
            <v>KAS KANPUS</v>
          </cell>
          <cell r="R1094" t="str">
            <v>Belum TL</v>
          </cell>
          <cell r="S1094" t="str">
            <v>Belum TL</v>
          </cell>
          <cell r="T1094" t="str">
            <v>00394520 - Frida Akbar Rani</v>
          </cell>
          <cell r="U1094" t="str">
            <v>"-"</v>
          </cell>
        </row>
        <row r="1095">
          <cell r="A1095">
            <v>46265</v>
          </cell>
          <cell r="B1095" t="str">
            <v xml:space="preserve">MUHTAR KUSUMA ATMAJA                    </v>
          </cell>
          <cell r="C1095" t="str">
            <v>MAETR73</v>
          </cell>
          <cell r="D1095">
            <v>468401026705101</v>
          </cell>
          <cell r="E1095" t="str">
            <v>RENDAH</v>
          </cell>
          <cell r="F1095" t="str">
            <v>Tidak</v>
          </cell>
          <cell r="G1095" t="str">
            <v>Tidak</v>
          </cell>
          <cell r="H1095" t="str">
            <v>Tidak</v>
          </cell>
          <cell r="I1095" t="str">
            <v>Korupsi - Loan View</v>
          </cell>
          <cell r="J1095">
            <v>33</v>
          </cell>
          <cell r="K1095">
            <v>15</v>
          </cell>
          <cell r="L1095" t="str">
            <v>Korupsi</v>
          </cell>
          <cell r="M1095" t="str">
            <v>Kas Kanpus</v>
          </cell>
          <cell r="N1095" t="str">
            <v>Kas Kanpus</v>
          </cell>
          <cell r="O1095" t="str">
            <v>KAS KANPUS</v>
          </cell>
          <cell r="R1095" t="str">
            <v>Belum TL</v>
          </cell>
          <cell r="S1095" t="str">
            <v>Belum TL</v>
          </cell>
          <cell r="T1095" t="str">
            <v>00336949 - Mochammad Al Farabi</v>
          </cell>
          <cell r="U1095" t="str">
            <v>"-"</v>
          </cell>
        </row>
        <row r="1096">
          <cell r="A1096">
            <v>46265</v>
          </cell>
          <cell r="B1096" t="str">
            <v xml:space="preserve">MULYADI Z                               </v>
          </cell>
          <cell r="C1096" t="str">
            <v>MAEYK52</v>
          </cell>
          <cell r="D1096">
            <v>520101020067106</v>
          </cell>
          <cell r="E1096" t="str">
            <v>RENDAH</v>
          </cell>
          <cell r="F1096" t="str">
            <v>Tidak</v>
          </cell>
          <cell r="G1096" t="str">
            <v>Tidak</v>
          </cell>
          <cell r="H1096" t="str">
            <v>Tidak</v>
          </cell>
          <cell r="I1096" t="str">
            <v>Korupsi - Loan View</v>
          </cell>
          <cell r="J1096">
            <v>33</v>
          </cell>
          <cell r="K1096">
            <v>15</v>
          </cell>
          <cell r="L1096" t="str">
            <v>Korupsi</v>
          </cell>
          <cell r="M1096" t="str">
            <v>Kas Kanpus</v>
          </cell>
          <cell r="N1096" t="str">
            <v>Kas Kanpus</v>
          </cell>
          <cell r="O1096" t="str">
            <v>KAS KANPUS</v>
          </cell>
          <cell r="R1096" t="str">
            <v>Belum TL</v>
          </cell>
          <cell r="S1096" t="str">
            <v>Belum TL</v>
          </cell>
          <cell r="T1096" t="str">
            <v>90170665 - Mutiara Ayuningtyas</v>
          </cell>
          <cell r="U1096" t="str">
            <v>"-"</v>
          </cell>
        </row>
        <row r="1097">
          <cell r="A1097">
            <v>46265</v>
          </cell>
          <cell r="B1097" t="str">
            <v xml:space="preserve">M.G. IIN MAYASARI                       </v>
          </cell>
          <cell r="C1097" t="str">
            <v>MAEZ749</v>
          </cell>
          <cell r="D1097">
            <v>36701001777567</v>
          </cell>
          <cell r="E1097" t="str">
            <v>TINGGI</v>
          </cell>
          <cell r="F1097" t="str">
            <v>Tidak</v>
          </cell>
          <cell r="G1097" t="str">
            <v>Tidak</v>
          </cell>
          <cell r="H1097" t="str">
            <v>Tidak</v>
          </cell>
          <cell r="I1097" t="str">
            <v>Korupsi - Significant Trx View</v>
          </cell>
          <cell r="J1097">
            <v>73</v>
          </cell>
          <cell r="K1097">
            <v>1.19</v>
          </cell>
          <cell r="L1097" t="str">
            <v>Korupsi</v>
          </cell>
          <cell r="M1097" t="str">
            <v>Kas Kanpus</v>
          </cell>
          <cell r="N1097" t="str">
            <v>Kas Kanpus</v>
          </cell>
          <cell r="O1097" t="str">
            <v>KAS KANPUS</v>
          </cell>
          <cell r="R1097" t="str">
            <v>Belum TL</v>
          </cell>
          <cell r="S1097" t="str">
            <v>Belum TL</v>
          </cell>
          <cell r="T1097" t="str">
            <v>00394521 - Muhammad Hibbanduta</v>
          </cell>
          <cell r="U1097" t="str">
            <v>"-"</v>
          </cell>
        </row>
        <row r="1098">
          <cell r="A1098">
            <v>46259</v>
          </cell>
          <cell r="B1098" t="str">
            <v xml:space="preserve">M SYAIFUL SARAGIH                       </v>
          </cell>
          <cell r="C1098" t="str">
            <v>MAFLP62</v>
          </cell>
          <cell r="D1098">
            <v>28301072914500</v>
          </cell>
          <cell r="E1098" t="str">
            <v>SEDANG</v>
          </cell>
          <cell r="F1098" t="str">
            <v>Tidak</v>
          </cell>
          <cell r="G1098" t="str">
            <v>Tidak</v>
          </cell>
          <cell r="I1098" t="str">
            <v>Teroris - Remark</v>
          </cell>
          <cell r="J1098">
            <v>168</v>
          </cell>
          <cell r="K1098">
            <v>50</v>
          </cell>
          <cell r="L1098" t="str">
            <v>Terorisme</v>
          </cell>
          <cell r="M1098" t="str">
            <v xml:space="preserve">Kas Kanpus                              </v>
          </cell>
          <cell r="N1098" t="str">
            <v xml:space="preserve">Kas Kanpus                              </v>
          </cell>
          <cell r="O1098" t="str">
            <v xml:space="preserve">KAS KANPUS                              </v>
          </cell>
          <cell r="R1098" t="str">
            <v>Belum TL</v>
          </cell>
          <cell r="S1098" t="str">
            <v>Belum TL</v>
          </cell>
          <cell r="T1098" t="str">
            <v>00394520 - Frida Akbar Rani</v>
          </cell>
          <cell r="U1098" t="str">
            <v>"-"</v>
          </cell>
        </row>
        <row r="1099">
          <cell r="A1099">
            <v>46265</v>
          </cell>
          <cell r="B1099" t="str">
            <v xml:space="preserve">MUFRIZAL                                </v>
          </cell>
          <cell r="C1099" t="str">
            <v>MAFVD18</v>
          </cell>
          <cell r="D1099">
            <v>568801017638108</v>
          </cell>
          <cell r="E1099" t="str">
            <v>SEDANG</v>
          </cell>
          <cell r="F1099" t="str">
            <v>Tidak</v>
          </cell>
          <cell r="G1099" t="str">
            <v>Tidak</v>
          </cell>
          <cell r="H1099" t="str">
            <v>Tidak</v>
          </cell>
          <cell r="I1099" t="str">
            <v>Korupsi - Loan View</v>
          </cell>
          <cell r="J1099">
            <v>48</v>
          </cell>
          <cell r="K1099">
            <v>15</v>
          </cell>
          <cell r="L1099" t="str">
            <v>Korupsi</v>
          </cell>
          <cell r="M1099" t="str">
            <v>Kas Kanpus</v>
          </cell>
          <cell r="N1099" t="str">
            <v>Kas Kanpus</v>
          </cell>
          <cell r="O1099" t="str">
            <v>KAS KANPUS</v>
          </cell>
          <cell r="R1099" t="str">
            <v>Belum TL</v>
          </cell>
          <cell r="S1099" t="str">
            <v>Belum TL</v>
          </cell>
          <cell r="T1099" t="str">
            <v>90170665 - Mutiara Ayuningtyas</v>
          </cell>
          <cell r="U1099" t="str">
            <v>"-"</v>
          </cell>
        </row>
        <row r="1100">
          <cell r="A1100">
            <v>46265</v>
          </cell>
          <cell r="B1100" t="str">
            <v xml:space="preserve">Miftahul Ainiyah                        </v>
          </cell>
          <cell r="C1100" t="str">
            <v>MAHG817</v>
          </cell>
          <cell r="D1100">
            <v>4359720232367800</v>
          </cell>
          <cell r="E1100" t="str">
            <v>RENDAH</v>
          </cell>
          <cell r="F1100" t="str">
            <v>Tidak</v>
          </cell>
          <cell r="G1100" t="str">
            <v>Tidak</v>
          </cell>
          <cell r="H1100" t="str">
            <v>Tidak</v>
          </cell>
          <cell r="I1100" t="str">
            <v>Penghindaran Pajak (Transaksi Fiktif)/Penyuapan CC</v>
          </cell>
          <cell r="J1100">
            <v>30</v>
          </cell>
          <cell r="K1100">
            <v>118</v>
          </cell>
          <cell r="L1100" t="str">
            <v>Penyuapan / Penghindaran Pajak CC View</v>
          </cell>
          <cell r="M1100" t="str">
            <v xml:space="preserve">Kas Kanpus                              </v>
          </cell>
          <cell r="N1100" t="str">
            <v xml:space="preserve">Kas Kanpus                              </v>
          </cell>
          <cell r="O1100" t="str">
            <v xml:space="preserve">KAS KANPUS                              </v>
          </cell>
          <cell r="R1100" t="str">
            <v>Belum TL</v>
          </cell>
          <cell r="S1100" t="str">
            <v>Belum TL</v>
          </cell>
          <cell r="T1100" t="str">
            <v>90150130 - Intan Aida Pratiwi</v>
          </cell>
          <cell r="U1100" t="str">
            <v>"-"</v>
          </cell>
        </row>
        <row r="1101">
          <cell r="A1101">
            <v>46265</v>
          </cell>
          <cell r="B1101" t="str">
            <v xml:space="preserve">MARITO PAREIRA                          </v>
          </cell>
          <cell r="C1101" t="str">
            <v>MAK1263</v>
          </cell>
          <cell r="D1101">
            <v>348801011911100</v>
          </cell>
          <cell r="E1101" t="str">
            <v>SEDANG</v>
          </cell>
          <cell r="F1101" t="str">
            <v>Tidak</v>
          </cell>
          <cell r="G1101" t="str">
            <v>Tidak</v>
          </cell>
          <cell r="H1101" t="str">
            <v>Tidak</v>
          </cell>
          <cell r="I1101" t="str">
            <v>Korupsi - Loan View</v>
          </cell>
          <cell r="J1101">
            <v>48</v>
          </cell>
          <cell r="K1101">
            <v>15</v>
          </cell>
          <cell r="L1101" t="str">
            <v>Korupsi</v>
          </cell>
          <cell r="M1101" t="str">
            <v>Kas Kanpus</v>
          </cell>
          <cell r="N1101" t="str">
            <v>Kas Kanpus</v>
          </cell>
          <cell r="O1101" t="str">
            <v>KAS KANPUS</v>
          </cell>
          <cell r="R1101" t="str">
            <v>Belum TL</v>
          </cell>
          <cell r="S1101" t="str">
            <v>Belum TL</v>
          </cell>
          <cell r="T1101" t="str">
            <v>90150130 - Intan Aida Pratiwi</v>
          </cell>
          <cell r="U1101" t="str">
            <v>"-"</v>
          </cell>
        </row>
        <row r="1102">
          <cell r="A1102">
            <v>46265</v>
          </cell>
          <cell r="B1102" t="str">
            <v xml:space="preserve">MANDIRI AGRO SAMBAS                     </v>
          </cell>
          <cell r="C1102" t="str">
            <v>MANAJ51</v>
          </cell>
          <cell r="D1102">
            <v>38901000566153</v>
          </cell>
          <cell r="E1102" t="str">
            <v>SEDANG</v>
          </cell>
          <cell r="F1102" t="str">
            <v>Tidak</v>
          </cell>
          <cell r="G1102" t="str">
            <v>Tidak</v>
          </cell>
          <cell r="H1102" t="str">
            <v>Tidak</v>
          </cell>
          <cell r="I1102" t="str">
            <v>Korupsi - Loan View</v>
          </cell>
          <cell r="J1102">
            <v>48</v>
          </cell>
          <cell r="K1102">
            <v>15</v>
          </cell>
          <cell r="L1102" t="str">
            <v>Korupsi</v>
          </cell>
          <cell r="M1102" t="str">
            <v>Kas Kanpus</v>
          </cell>
          <cell r="N1102" t="str">
            <v>Kas Kanpus</v>
          </cell>
          <cell r="O1102" t="str">
            <v>KAS KANPUS</v>
          </cell>
          <cell r="R1102" t="str">
            <v>Belum TL</v>
          </cell>
          <cell r="S1102" t="str">
            <v>Belum TL</v>
          </cell>
          <cell r="T1102" t="str">
            <v>90170665 - Mutiara Ayuningtyas</v>
          </cell>
          <cell r="U1102" t="str">
            <v>"-"</v>
          </cell>
        </row>
        <row r="1103">
          <cell r="A1103">
            <v>46265</v>
          </cell>
          <cell r="B1103" t="str">
            <v xml:space="preserve">MUHAMMAD FAISAL SIREGAR                 </v>
          </cell>
          <cell r="C1103" t="str">
            <v>MANTX31</v>
          </cell>
          <cell r="D1103">
            <v>69501013481505</v>
          </cell>
          <cell r="E1103" t="str">
            <v>SEDANG</v>
          </cell>
          <cell r="F1103" t="str">
            <v>Tidak</v>
          </cell>
          <cell r="G1103" t="str">
            <v>Tidak</v>
          </cell>
          <cell r="H1103" t="str">
            <v>Tidak</v>
          </cell>
          <cell r="I1103" t="str">
            <v>Bandar Judol Withdrawal</v>
          </cell>
          <cell r="J1103">
            <v>50</v>
          </cell>
          <cell r="K1103" t="str">
            <v>86,88,87</v>
          </cell>
          <cell r="L1103" t="str">
            <v>Judi Online</v>
          </cell>
          <cell r="M1103" t="str">
            <v xml:space="preserve">Kas Kanpus                              </v>
          </cell>
          <cell r="N1103" t="str">
            <v xml:space="preserve">Kas Kanpus                              </v>
          </cell>
          <cell r="O1103" t="str">
            <v xml:space="preserve">KAS KANPUS                              </v>
          </cell>
          <cell r="R1103" t="str">
            <v>Belum TL</v>
          </cell>
          <cell r="S1103" t="str">
            <v>Belum TL</v>
          </cell>
          <cell r="T1103" t="str">
            <v>90171841 - Rifqi Aziz</v>
          </cell>
          <cell r="U1103" t="str">
            <v>"-"</v>
          </cell>
        </row>
        <row r="1104">
          <cell r="A1104">
            <v>46265</v>
          </cell>
          <cell r="B1104" t="str">
            <v xml:space="preserve">M ERIK DIVIANTO                         </v>
          </cell>
          <cell r="C1104" t="str">
            <v>MAODZ20</v>
          </cell>
          <cell r="D1104">
            <v>4359720230654200</v>
          </cell>
          <cell r="E1104" t="str">
            <v>SEDANG</v>
          </cell>
          <cell r="F1104" t="str">
            <v>Tidak</v>
          </cell>
          <cell r="G1104" t="str">
            <v>Tidak</v>
          </cell>
          <cell r="H1104" t="str">
            <v>Tidak</v>
          </cell>
          <cell r="I1104" t="str">
            <v>Penghindaran Pajak (Transaksi Fiktif)/Penyuapan CC</v>
          </cell>
          <cell r="J1104">
            <v>45</v>
          </cell>
          <cell r="K1104">
            <v>118</v>
          </cell>
          <cell r="L1104" t="str">
            <v>Penyuapan / Penghindaran Pajak CC View</v>
          </cell>
          <cell r="M1104" t="str">
            <v xml:space="preserve">Kas Kanpus                              </v>
          </cell>
          <cell r="N1104" t="str">
            <v xml:space="preserve">Kas Kanpus                              </v>
          </cell>
          <cell r="O1104" t="str">
            <v xml:space="preserve">KAS KANPUS                              </v>
          </cell>
          <cell r="R1104" t="str">
            <v>Belum TL</v>
          </cell>
          <cell r="S1104" t="str">
            <v>Belum TL</v>
          </cell>
          <cell r="T1104" t="str">
            <v>90170665 - Mutiara Ayuningtyas</v>
          </cell>
          <cell r="U1104" t="str">
            <v>"-"</v>
          </cell>
        </row>
        <row r="1105">
          <cell r="A1105">
            <v>46265</v>
          </cell>
          <cell r="B1105" t="str">
            <v xml:space="preserve">MUHAMMAD WASEHUDIN                      </v>
          </cell>
          <cell r="C1105" t="str">
            <v>MAQHR74</v>
          </cell>
          <cell r="D1105">
            <v>4359720214968300</v>
          </cell>
          <cell r="E1105" t="str">
            <v>SEDANG</v>
          </cell>
          <cell r="F1105" t="str">
            <v>Tidak</v>
          </cell>
          <cell r="G1105" t="str">
            <v>Tidak</v>
          </cell>
          <cell r="H1105" t="str">
            <v>Tidak</v>
          </cell>
          <cell r="I1105" t="str">
            <v>Penghindaran Pajak (Transaksi Fiktif)/Penyuapan CC</v>
          </cell>
          <cell r="J1105">
            <v>45</v>
          </cell>
          <cell r="K1105">
            <v>118</v>
          </cell>
          <cell r="L1105" t="str">
            <v>Penyuapan / Penghindaran Pajak CC View</v>
          </cell>
          <cell r="M1105" t="str">
            <v xml:space="preserve">Kas Kanpus                              </v>
          </cell>
          <cell r="N1105" t="str">
            <v xml:space="preserve">Kas Kanpus                              </v>
          </cell>
          <cell r="O1105" t="str">
            <v xml:space="preserve">KAS KANPUS                              </v>
          </cell>
          <cell r="R1105" t="str">
            <v>Belum TL</v>
          </cell>
          <cell r="S1105" t="str">
            <v>Belum TL</v>
          </cell>
          <cell r="T1105" t="str">
            <v>90170665 - Mutiara Ayuningtyas</v>
          </cell>
          <cell r="U1105" t="str">
            <v>"-"</v>
          </cell>
        </row>
        <row r="1106">
          <cell r="A1106">
            <v>46265</v>
          </cell>
          <cell r="B1106" t="str">
            <v xml:space="preserve">MURDIANTO                               </v>
          </cell>
          <cell r="C1106" t="str">
            <v>MAVN078</v>
          </cell>
          <cell r="D1106">
            <v>318101013820531</v>
          </cell>
          <cell r="E1106" t="str">
            <v>SEDANG</v>
          </cell>
          <cell r="F1106" t="str">
            <v>Tidak</v>
          </cell>
          <cell r="G1106" t="str">
            <v>Tidak</v>
          </cell>
          <cell r="H1106" t="str">
            <v>Tidak</v>
          </cell>
          <cell r="I1106" t="str">
            <v>Bandar Judol Depo</v>
          </cell>
          <cell r="J1106">
            <v>50</v>
          </cell>
          <cell r="K1106" t="str">
            <v>86,74,87</v>
          </cell>
          <cell r="L1106" t="str">
            <v>Judi Online</v>
          </cell>
          <cell r="M1106" t="str">
            <v xml:space="preserve">Kas Kanpus                              </v>
          </cell>
          <cell r="N1106" t="str">
            <v xml:space="preserve">Kas Kanpus                              </v>
          </cell>
          <cell r="O1106" t="str">
            <v xml:space="preserve">KAS KANPUS                              </v>
          </cell>
          <cell r="R1106" t="str">
            <v>Belum TL</v>
          </cell>
          <cell r="S1106" t="str">
            <v>Belum TL</v>
          </cell>
          <cell r="T1106" t="str">
            <v>90186796 - Devito Arya Wiradila</v>
          </cell>
          <cell r="U1106" t="str">
            <v>"-"</v>
          </cell>
        </row>
        <row r="1107">
          <cell r="A1107">
            <v>46265</v>
          </cell>
          <cell r="B1107" t="str">
            <v xml:space="preserve">MUHAMMAD SULTONI TARIGAN                </v>
          </cell>
          <cell r="C1107" t="str">
            <v>MAWAU69</v>
          </cell>
          <cell r="D1107">
            <v>36701114253509</v>
          </cell>
          <cell r="E1107" t="str">
            <v>SEDANG</v>
          </cell>
          <cell r="F1107" t="str">
            <v>Tidak</v>
          </cell>
          <cell r="G1107" t="str">
            <v>Tidak</v>
          </cell>
          <cell r="H1107" t="str">
            <v>Tidak</v>
          </cell>
          <cell r="I1107" t="str">
            <v>Bandar Judol Withdrawal</v>
          </cell>
          <cell r="J1107">
            <v>50</v>
          </cell>
          <cell r="K1107" t="str">
            <v>86,88,87</v>
          </cell>
          <cell r="L1107" t="str">
            <v>Judi Online</v>
          </cell>
          <cell r="M1107" t="str">
            <v xml:space="preserve">Kas Kanpus                              </v>
          </cell>
          <cell r="N1107" t="str">
            <v xml:space="preserve">Kas Kanpus                              </v>
          </cell>
          <cell r="O1107" t="str">
            <v xml:space="preserve">KAS KANPUS                              </v>
          </cell>
          <cell r="R1107" t="str">
            <v>Belum TL</v>
          </cell>
          <cell r="S1107" t="str">
            <v>Belum TL</v>
          </cell>
          <cell r="T1107" t="str">
            <v>90185538 - Muhammad Fahikal Auz</v>
          </cell>
          <cell r="U1107" t="str">
            <v>"-"</v>
          </cell>
        </row>
        <row r="1108">
          <cell r="A1108">
            <v>46265</v>
          </cell>
          <cell r="B1108" t="str">
            <v xml:space="preserve">MELLA NURWANDA                          </v>
          </cell>
          <cell r="C1108" t="str">
            <v>MAWIE86</v>
          </cell>
          <cell r="D1108">
            <v>63501000921568</v>
          </cell>
          <cell r="E1108" t="str">
            <v>SEDANG</v>
          </cell>
          <cell r="F1108" t="str">
            <v>Tidak</v>
          </cell>
          <cell r="G1108" t="str">
            <v>Tidak</v>
          </cell>
          <cell r="H1108" t="str">
            <v>Tidak</v>
          </cell>
          <cell r="I1108" t="str">
            <v>Bandar Judol Withdrawal</v>
          </cell>
          <cell r="J1108">
            <v>50</v>
          </cell>
          <cell r="K1108" t="str">
            <v>86,88,87</v>
          </cell>
          <cell r="L1108" t="str">
            <v>Judi Online</v>
          </cell>
          <cell r="M1108" t="str">
            <v xml:space="preserve">Kas Kanpus                              </v>
          </cell>
          <cell r="N1108" t="str">
            <v xml:space="preserve">Kas Kanpus                              </v>
          </cell>
          <cell r="O1108" t="str">
            <v xml:space="preserve">KAS KANPUS                              </v>
          </cell>
          <cell r="R1108" t="str">
            <v>Belum TL</v>
          </cell>
          <cell r="S1108" t="str">
            <v>Belum TL</v>
          </cell>
          <cell r="T1108" t="str">
            <v>90150130 - Intan Aida Pratiwi</v>
          </cell>
          <cell r="U1108" t="str">
            <v>"-"</v>
          </cell>
        </row>
        <row r="1109">
          <cell r="A1109">
            <v>46265</v>
          </cell>
          <cell r="B1109" t="str">
            <v xml:space="preserve">MUSRIFAH                                </v>
          </cell>
          <cell r="C1109" t="str">
            <v>MBBS345</v>
          </cell>
          <cell r="D1109">
            <v>758901000036569</v>
          </cell>
          <cell r="E1109" t="str">
            <v>SEDANG</v>
          </cell>
          <cell r="F1109" t="str">
            <v>Tidak</v>
          </cell>
          <cell r="G1109" t="str">
            <v>Ya</v>
          </cell>
          <cell r="H1109" t="str">
            <v>Tidak</v>
          </cell>
          <cell r="I1109" t="str">
            <v>Korupsi - Significant Trx View</v>
          </cell>
          <cell r="J1109">
            <v>58</v>
          </cell>
          <cell r="K1109">
            <v>1.19</v>
          </cell>
          <cell r="L1109" t="str">
            <v>Korupsi</v>
          </cell>
          <cell r="M1109" t="str">
            <v>Kas Kanpus</v>
          </cell>
          <cell r="N1109" t="str">
            <v>Kas Kanpus</v>
          </cell>
          <cell r="O1109" t="str">
            <v>KAS KANPUS</v>
          </cell>
          <cell r="R1109" t="str">
            <v>Belum TL</v>
          </cell>
          <cell r="S1109" t="str">
            <v>Belum TL</v>
          </cell>
          <cell r="T1109" t="str">
            <v>00336949 - Mochammad Al Farabi</v>
          </cell>
          <cell r="U1109" t="str">
            <v>"-"</v>
          </cell>
        </row>
        <row r="1110">
          <cell r="A1110">
            <v>46265</v>
          </cell>
          <cell r="B1110" t="str">
            <v xml:space="preserve">MUHAMMAD REVIS HABIBY                   </v>
          </cell>
          <cell r="C1110" t="str">
            <v>MBEJ548</v>
          </cell>
          <cell r="D1110">
            <v>6001207428508</v>
          </cell>
          <cell r="E1110" t="str">
            <v>TINGGI</v>
          </cell>
          <cell r="F1110" t="str">
            <v>Tidak</v>
          </cell>
          <cell r="G1110" t="str">
            <v>Tidak</v>
          </cell>
          <cell r="H1110" t="str">
            <v>Tidak</v>
          </cell>
          <cell r="I1110" t="str">
            <v>Terorisme - SIPENDAR</v>
          </cell>
          <cell r="J1110">
            <v>183</v>
          </cell>
          <cell r="K1110">
            <v>36</v>
          </cell>
          <cell r="L1110" t="str">
            <v>Terorisme</v>
          </cell>
          <cell r="M1110" t="str">
            <v xml:space="preserve">Kas Kanpus                              </v>
          </cell>
          <cell r="N1110" t="str">
            <v xml:space="preserve">Kas Kanpus                              </v>
          </cell>
          <cell r="O1110" t="str">
            <v xml:space="preserve">KAS KANPUS                              </v>
          </cell>
          <cell r="R1110" t="str">
            <v>Belum TL</v>
          </cell>
          <cell r="S1110" t="str">
            <v>Belum TL</v>
          </cell>
          <cell r="T1110" t="str">
            <v>90185537 - Moh.Khoerul Fajar Ar</v>
          </cell>
          <cell r="U1110" t="str">
            <v>"-"</v>
          </cell>
        </row>
        <row r="1111">
          <cell r="A1111">
            <v>46265</v>
          </cell>
          <cell r="B1111" t="str">
            <v xml:space="preserve">MSN INTERNASIONAL                       </v>
          </cell>
          <cell r="C1111" t="str">
            <v>MBHBH47</v>
          </cell>
          <cell r="D1111">
            <v>62101003450567</v>
          </cell>
          <cell r="E1111" t="str">
            <v>SEDANG</v>
          </cell>
          <cell r="F1111" t="str">
            <v>Tidak</v>
          </cell>
          <cell r="G1111" t="str">
            <v>Tidak</v>
          </cell>
          <cell r="H1111" t="str">
            <v>Tidak</v>
          </cell>
          <cell r="I1111" t="str">
            <v>Korupsi - Cash &amp; Amount</v>
          </cell>
          <cell r="J1111">
            <v>48</v>
          </cell>
          <cell r="K1111" t="str">
            <v>1,2,20</v>
          </cell>
          <cell r="L1111" t="str">
            <v>Korupsi</v>
          </cell>
          <cell r="M1111" t="str">
            <v>Kas Kanpus</v>
          </cell>
          <cell r="N1111" t="str">
            <v>Kas Kanpus</v>
          </cell>
          <cell r="O1111" t="str">
            <v>KAS KANPUS</v>
          </cell>
          <cell r="R1111" t="str">
            <v>Belum TL</v>
          </cell>
          <cell r="S1111" t="str">
            <v>Belum TL</v>
          </cell>
          <cell r="T1111" t="str">
            <v>90171841 - Rifqi Aziz</v>
          </cell>
          <cell r="U1111" t="str">
            <v>"-"</v>
          </cell>
        </row>
        <row r="1112">
          <cell r="A1112">
            <v>46265</v>
          </cell>
          <cell r="B1112" t="str">
            <v xml:space="preserve">MARIA TRIANA                            </v>
          </cell>
          <cell r="C1112" t="str">
            <v>MBHC350</v>
          </cell>
          <cell r="D1112">
            <v>100701013859504</v>
          </cell>
          <cell r="E1112" t="str">
            <v>SEDANG</v>
          </cell>
          <cell r="F1112" t="str">
            <v>Tidak</v>
          </cell>
          <cell r="G1112" t="str">
            <v>Tidak</v>
          </cell>
          <cell r="H1112" t="str">
            <v>Tidak</v>
          </cell>
          <cell r="I1112" t="str">
            <v>Bandar Judol Withdrawal</v>
          </cell>
          <cell r="J1112">
            <v>50</v>
          </cell>
          <cell r="K1112" t="str">
            <v>86,88,87</v>
          </cell>
          <cell r="L1112" t="str">
            <v>Judi Online</v>
          </cell>
          <cell r="M1112" t="str">
            <v xml:space="preserve">Kas Kanpus                              </v>
          </cell>
          <cell r="N1112" t="str">
            <v xml:space="preserve">Kas Kanpus                              </v>
          </cell>
          <cell r="O1112" t="str">
            <v xml:space="preserve">KAS KANPUS                              </v>
          </cell>
          <cell r="R1112" t="str">
            <v>Belum TL</v>
          </cell>
          <cell r="S1112" t="str">
            <v>Belum TL</v>
          </cell>
          <cell r="T1112" t="str">
            <v>90185537 - Moh.Khoerul Fajar Ar</v>
          </cell>
          <cell r="U1112" t="str">
            <v>"-"</v>
          </cell>
        </row>
        <row r="1113">
          <cell r="A1113">
            <v>46265</v>
          </cell>
          <cell r="B1113" t="str">
            <v xml:space="preserve">MARIO SAPUTRO                           </v>
          </cell>
          <cell r="C1113" t="str">
            <v>MBIDO66</v>
          </cell>
          <cell r="D1113">
            <v>33201162749505</v>
          </cell>
          <cell r="E1113" t="str">
            <v>TINGGI</v>
          </cell>
          <cell r="F1113" t="str">
            <v>Tidak</v>
          </cell>
          <cell r="G1113" t="str">
            <v>Tidak</v>
          </cell>
          <cell r="H1113" t="str">
            <v>Tidak</v>
          </cell>
          <cell r="I1113" t="str">
            <v>Bandar Judol Withdrawal</v>
          </cell>
          <cell r="J1113">
            <v>65</v>
          </cell>
          <cell r="K1113" t="str">
            <v>86,88,87</v>
          </cell>
          <cell r="L1113" t="str">
            <v>Judi Online</v>
          </cell>
          <cell r="M1113" t="str">
            <v xml:space="preserve">Kas Kanpus                              </v>
          </cell>
          <cell r="N1113" t="str">
            <v xml:space="preserve">Kas Kanpus                              </v>
          </cell>
          <cell r="O1113" t="str">
            <v xml:space="preserve">KAS KANPUS                              </v>
          </cell>
          <cell r="R1113" t="str">
            <v>Belum TL</v>
          </cell>
          <cell r="S1113" t="str">
            <v>Belum TL</v>
          </cell>
          <cell r="T1113" t="str">
            <v>00394520 - Frida Akbar Rani</v>
          </cell>
          <cell r="U1113" t="str">
            <v>"-"</v>
          </cell>
        </row>
        <row r="1114">
          <cell r="A1114">
            <v>46265</v>
          </cell>
          <cell r="B1114" t="str">
            <v xml:space="preserve">MIMI                                    </v>
          </cell>
          <cell r="C1114" t="str">
            <v>MBIU990</v>
          </cell>
          <cell r="D1114">
            <v>222701001384562</v>
          </cell>
          <cell r="E1114" t="str">
            <v>SEDANG</v>
          </cell>
          <cell r="F1114" t="str">
            <v>Tidak</v>
          </cell>
          <cell r="G1114" t="str">
            <v>Tidak</v>
          </cell>
          <cell r="H1114" t="str">
            <v>Tidak</v>
          </cell>
          <cell r="I1114" t="str">
            <v>Bandar Judol Withdrawal</v>
          </cell>
          <cell r="J1114">
            <v>50</v>
          </cell>
          <cell r="K1114" t="str">
            <v>86,88,87</v>
          </cell>
          <cell r="L1114" t="str">
            <v>Judi Online</v>
          </cell>
          <cell r="M1114" t="str">
            <v xml:space="preserve">Kas Kanpus                              </v>
          </cell>
          <cell r="N1114" t="str">
            <v xml:space="preserve">Kas Kanpus                              </v>
          </cell>
          <cell r="O1114" t="str">
            <v xml:space="preserve">KAS KANPUS                              </v>
          </cell>
          <cell r="R1114" t="str">
            <v>Belum TL</v>
          </cell>
          <cell r="S1114" t="str">
            <v>Belum TL</v>
          </cell>
          <cell r="T1114" t="str">
            <v>90185537 - Moh.Khoerul Fajar Ar</v>
          </cell>
          <cell r="U1114" t="str">
            <v>"-"</v>
          </cell>
        </row>
        <row r="1115">
          <cell r="A1115">
            <v>46265</v>
          </cell>
          <cell r="B1115" t="str">
            <v xml:space="preserve">MUGI BERKAH BIOTEKNOLOGI                </v>
          </cell>
          <cell r="C1115" t="str">
            <v>MBKCU12</v>
          </cell>
          <cell r="D1115">
            <v>44801000753150</v>
          </cell>
          <cell r="E1115" t="str">
            <v>SEDANG</v>
          </cell>
          <cell r="F1115" t="str">
            <v>Tidak</v>
          </cell>
          <cell r="G1115" t="str">
            <v>Tidak</v>
          </cell>
          <cell r="H1115" t="str">
            <v>Tidak</v>
          </cell>
          <cell r="I1115" t="str">
            <v>Korupsi - Loan View</v>
          </cell>
          <cell r="J1115">
            <v>48</v>
          </cell>
          <cell r="K1115">
            <v>15</v>
          </cell>
          <cell r="L1115" t="str">
            <v>Korupsi</v>
          </cell>
          <cell r="M1115" t="str">
            <v>Kas Kanpus</v>
          </cell>
          <cell r="N1115" t="str">
            <v>Kas Kanpus</v>
          </cell>
          <cell r="O1115" t="str">
            <v>KAS KANPUS</v>
          </cell>
          <cell r="R1115" t="str">
            <v>Belum TL</v>
          </cell>
          <cell r="S1115" t="str">
            <v>Belum TL</v>
          </cell>
          <cell r="T1115" t="str">
            <v>90171841 - Rifqi Aziz</v>
          </cell>
          <cell r="U1115" t="str">
            <v>"-"</v>
          </cell>
        </row>
        <row r="1116">
          <cell r="A1116">
            <v>46265</v>
          </cell>
          <cell r="B1116" t="str">
            <v xml:space="preserve">MUHAMAD GILANG                          </v>
          </cell>
          <cell r="C1116" t="str">
            <v>MBLLW47</v>
          </cell>
          <cell r="D1116">
            <v>721301022218538</v>
          </cell>
          <cell r="E1116" t="str">
            <v>SEDANG</v>
          </cell>
          <cell r="F1116" t="str">
            <v>Tidak</v>
          </cell>
          <cell r="G1116" t="str">
            <v>Tidak</v>
          </cell>
          <cell r="H1116" t="str">
            <v>Tidak</v>
          </cell>
          <cell r="I1116" t="str">
            <v>Bandar Judol Depo</v>
          </cell>
          <cell r="J1116">
            <v>50</v>
          </cell>
          <cell r="K1116" t="str">
            <v>86,74,87</v>
          </cell>
          <cell r="L1116" t="str">
            <v>Judi Online</v>
          </cell>
          <cell r="M1116" t="str">
            <v xml:space="preserve">Kas Kanpus                              </v>
          </cell>
          <cell r="N1116" t="str">
            <v xml:space="preserve">Kas Kanpus                              </v>
          </cell>
          <cell r="O1116" t="str">
            <v xml:space="preserve">KAS KANPUS                              </v>
          </cell>
          <cell r="R1116" t="str">
            <v>Belum TL</v>
          </cell>
          <cell r="S1116" t="str">
            <v>Belum TL</v>
          </cell>
          <cell r="T1116" t="str">
            <v>90185538 - Muhammad Fahikal Auz</v>
          </cell>
          <cell r="U1116" t="str">
            <v>"-"</v>
          </cell>
        </row>
        <row r="1117">
          <cell r="A1117">
            <v>46265</v>
          </cell>
          <cell r="B1117" t="str">
            <v xml:space="preserve">M ALI AGUS                              </v>
          </cell>
          <cell r="C1117" t="str">
            <v>MBMOZ89</v>
          </cell>
          <cell r="D1117">
            <v>493001029068103</v>
          </cell>
          <cell r="E1117" t="str">
            <v>SEDANG</v>
          </cell>
          <cell r="F1117" t="str">
            <v>Tidak</v>
          </cell>
          <cell r="G1117" t="str">
            <v>Tidak</v>
          </cell>
          <cell r="H1117" t="str">
            <v>Tidak</v>
          </cell>
          <cell r="I1117" t="str">
            <v>Korupsi - Loan View</v>
          </cell>
          <cell r="J1117">
            <v>58</v>
          </cell>
          <cell r="K1117">
            <v>15</v>
          </cell>
          <cell r="L1117" t="str">
            <v>Korupsi</v>
          </cell>
          <cell r="M1117" t="str">
            <v>Kas Kanpus</v>
          </cell>
          <cell r="N1117" t="str">
            <v>Kas Kanpus</v>
          </cell>
          <cell r="O1117" t="str">
            <v>KAS KANPUS</v>
          </cell>
          <cell r="R1117" t="str">
            <v>Belum TL</v>
          </cell>
          <cell r="S1117" t="str">
            <v>Belum TL</v>
          </cell>
          <cell r="T1117" t="str">
            <v>90171841 - Rifqi Aziz</v>
          </cell>
          <cell r="U1117" t="str">
            <v>"-"</v>
          </cell>
        </row>
        <row r="1118">
          <cell r="A1118">
            <v>46265</v>
          </cell>
          <cell r="B1118" t="str">
            <v xml:space="preserve">MUHAMAD IRVAN NAJOAN                    </v>
          </cell>
          <cell r="C1118" t="str">
            <v>MBMV466</v>
          </cell>
          <cell r="D1118">
            <v>518201023521109</v>
          </cell>
          <cell r="E1118" t="str">
            <v>SEDANG</v>
          </cell>
          <cell r="F1118" t="str">
            <v>Tidak</v>
          </cell>
          <cell r="G1118" t="str">
            <v>Tidak</v>
          </cell>
          <cell r="H1118" t="str">
            <v>Tidak</v>
          </cell>
          <cell r="I1118" t="str">
            <v>Korupsi - Loan View</v>
          </cell>
          <cell r="J1118">
            <v>48</v>
          </cell>
          <cell r="K1118">
            <v>15</v>
          </cell>
          <cell r="L1118" t="str">
            <v>Korupsi</v>
          </cell>
          <cell r="M1118" t="str">
            <v>Kas Kanpus</v>
          </cell>
          <cell r="N1118" t="str">
            <v>Kas Kanpus</v>
          </cell>
          <cell r="O1118" t="str">
            <v>KAS KANPUS</v>
          </cell>
          <cell r="R1118" t="str">
            <v>Belum TL</v>
          </cell>
          <cell r="S1118" t="str">
            <v>Belum TL</v>
          </cell>
          <cell r="T1118" t="str">
            <v>00336949 - Mochammad Al Farabi</v>
          </cell>
          <cell r="U1118" t="str">
            <v>"-"</v>
          </cell>
        </row>
        <row r="1119">
          <cell r="A1119">
            <v>46265</v>
          </cell>
          <cell r="B1119" t="str">
            <v xml:space="preserve">MAHMUDA                                 </v>
          </cell>
          <cell r="C1119" t="str">
            <v>MBGEM23</v>
          </cell>
          <cell r="D1119">
            <v>39401002909562</v>
          </cell>
          <cell r="E1119" t="str">
            <v>SEDANG</v>
          </cell>
          <cell r="F1119" t="str">
            <v>Tidak</v>
          </cell>
          <cell r="G1119" t="str">
            <v>Tidak</v>
          </cell>
          <cell r="H1119" t="str">
            <v>Tidak</v>
          </cell>
          <cell r="I1119" t="str">
            <v>Bandar Judol Withdrawal</v>
          </cell>
          <cell r="J1119">
            <v>50</v>
          </cell>
          <cell r="K1119" t="str">
            <v>86,88,87</v>
          </cell>
          <cell r="L1119" t="str">
            <v>Judi Online</v>
          </cell>
          <cell r="M1119" t="str">
            <v xml:space="preserve">Kas Kanpus                              </v>
          </cell>
          <cell r="N1119" t="str">
            <v xml:space="preserve">Kas Kanpus                              </v>
          </cell>
          <cell r="O1119" t="str">
            <v xml:space="preserve">KAS KANPUS                              </v>
          </cell>
          <cell r="R1119" t="str">
            <v>Belum TL</v>
          </cell>
          <cell r="S1119" t="str">
            <v>Belum TL</v>
          </cell>
          <cell r="T1119" t="str">
            <v>00394521 - Muhammad Hibbanduta</v>
          </cell>
          <cell r="U1119" t="str">
            <v>"-"</v>
          </cell>
        </row>
        <row r="1120">
          <cell r="A1120">
            <v>46265</v>
          </cell>
          <cell r="B1120" t="str">
            <v xml:space="preserve">MUHAMMAD WILLYAS PUTRA SEPTADHANA       </v>
          </cell>
          <cell r="C1120" t="str">
            <v>MBRZI90</v>
          </cell>
          <cell r="D1120">
            <v>50901013723102</v>
          </cell>
          <cell r="E1120" t="str">
            <v>SEDANG</v>
          </cell>
          <cell r="F1120" t="str">
            <v>Tidak</v>
          </cell>
          <cell r="G1120" t="str">
            <v>Tidak</v>
          </cell>
          <cell r="H1120" t="str">
            <v>Tidak</v>
          </cell>
          <cell r="I1120" t="str">
            <v>Korupsi - Loan View</v>
          </cell>
          <cell r="J1120">
            <v>58</v>
          </cell>
          <cell r="K1120">
            <v>15</v>
          </cell>
          <cell r="L1120" t="str">
            <v>Korupsi</v>
          </cell>
          <cell r="M1120" t="str">
            <v>Kas Kanpus</v>
          </cell>
          <cell r="N1120" t="str">
            <v>Kas Kanpus</v>
          </cell>
          <cell r="O1120" t="str">
            <v>KAS KANPUS</v>
          </cell>
          <cell r="R1120" t="str">
            <v>Belum TL</v>
          </cell>
          <cell r="S1120" t="str">
            <v>Belum TL</v>
          </cell>
          <cell r="T1120" t="str">
            <v>00336949 - Mochammad Al Farabi</v>
          </cell>
          <cell r="U1120" t="str">
            <v>"-"</v>
          </cell>
        </row>
        <row r="1121">
          <cell r="A1121">
            <v>46265</v>
          </cell>
          <cell r="B1121" t="str">
            <v xml:space="preserve">MULYADI                                 </v>
          </cell>
          <cell r="C1121" t="str">
            <v>MBU6375</v>
          </cell>
          <cell r="D1121">
            <v>33101056163508</v>
          </cell>
          <cell r="E1121" t="str">
            <v>SEDANG</v>
          </cell>
          <cell r="F1121" t="str">
            <v>Tidak</v>
          </cell>
          <cell r="G1121" t="str">
            <v>Tidak</v>
          </cell>
          <cell r="H1121" t="str">
            <v>Tidak</v>
          </cell>
          <cell r="I1121" t="str">
            <v>Money Mules</v>
          </cell>
          <cell r="J1121">
            <v>42</v>
          </cell>
          <cell r="K1121">
            <v>77</v>
          </cell>
          <cell r="L1121" t="str">
            <v>Narkotika/Judi Online</v>
          </cell>
          <cell r="M1121" t="str">
            <v xml:space="preserve">Kas Kanpus                              </v>
          </cell>
          <cell r="N1121" t="str">
            <v xml:space="preserve">Kas Kanpus                              </v>
          </cell>
          <cell r="O1121" t="str">
            <v xml:space="preserve">KAS KANPUS                              </v>
          </cell>
          <cell r="R1121" t="str">
            <v>Belum TL</v>
          </cell>
          <cell r="S1121" t="str">
            <v>Belum TL</v>
          </cell>
          <cell r="T1121" t="str">
            <v>90186790 - Muhammad Alfin Farha</v>
          </cell>
          <cell r="U1121" t="str">
            <v>"-"</v>
          </cell>
        </row>
        <row r="1122">
          <cell r="A1122">
            <v>46265</v>
          </cell>
          <cell r="B1122" t="str">
            <v xml:space="preserve">MOH  ROMLI                              </v>
          </cell>
          <cell r="C1122" t="str">
            <v>MC90186</v>
          </cell>
          <cell r="D1122">
            <v>6101003024564</v>
          </cell>
          <cell r="E1122" t="str">
            <v>SEDANG</v>
          </cell>
          <cell r="F1122" t="str">
            <v>Tidak</v>
          </cell>
          <cell r="G1122" t="str">
            <v>Tidak</v>
          </cell>
          <cell r="H1122" t="str">
            <v>Tidak</v>
          </cell>
          <cell r="I1122" t="str">
            <v>Korupsi - Significant Trx View</v>
          </cell>
          <cell r="J1122">
            <v>49</v>
          </cell>
          <cell r="K1122">
            <v>1.19</v>
          </cell>
          <cell r="L1122" t="str">
            <v>Korupsi</v>
          </cell>
          <cell r="M1122" t="str">
            <v>Kas Kanpus</v>
          </cell>
          <cell r="N1122" t="str">
            <v>Kas Kanpus</v>
          </cell>
          <cell r="O1122" t="str">
            <v>KAS KANPUS</v>
          </cell>
          <cell r="R1122" t="str">
            <v>Belum TL</v>
          </cell>
          <cell r="S1122" t="str">
            <v>Belum TL</v>
          </cell>
          <cell r="T1122" t="str">
            <v>00394521 - Muhammad Hibbanduta</v>
          </cell>
          <cell r="U1122" t="str">
            <v>"-"</v>
          </cell>
        </row>
        <row r="1123">
          <cell r="A1123">
            <v>46265</v>
          </cell>
          <cell r="B1123" t="str">
            <v xml:space="preserve">MURDIONO                                </v>
          </cell>
          <cell r="C1123" t="str">
            <v>MCAY686</v>
          </cell>
          <cell r="D1123">
            <v>41501045191508</v>
          </cell>
          <cell r="E1123" t="str">
            <v>SEDANG</v>
          </cell>
          <cell r="F1123" t="str">
            <v>Tidak</v>
          </cell>
          <cell r="G1123" t="str">
            <v>Tidak</v>
          </cell>
          <cell r="H1123" t="str">
            <v>Tidak</v>
          </cell>
          <cell r="I1123" t="str">
            <v>Bandar Judol Withdrawal</v>
          </cell>
          <cell r="J1123">
            <v>50</v>
          </cell>
          <cell r="K1123" t="str">
            <v>86,88,87</v>
          </cell>
          <cell r="L1123" t="str">
            <v>Judi Online</v>
          </cell>
          <cell r="M1123" t="str">
            <v xml:space="preserve">Kas Kanpus                              </v>
          </cell>
          <cell r="N1123" t="str">
            <v xml:space="preserve">Kas Kanpus                              </v>
          </cell>
          <cell r="O1123" t="str">
            <v xml:space="preserve">KAS KANPUS                              </v>
          </cell>
          <cell r="R1123" t="str">
            <v>Belum TL</v>
          </cell>
          <cell r="S1123" t="str">
            <v>Belum TL</v>
          </cell>
          <cell r="T1123" t="str">
            <v>90186796 - Devito Arya Wiradila</v>
          </cell>
          <cell r="U1123" t="str">
            <v>"-"</v>
          </cell>
        </row>
        <row r="1124">
          <cell r="A1124">
            <v>46265</v>
          </cell>
          <cell r="B1124" t="str">
            <v xml:space="preserve">MUHAMMAD RIO FEBRIAN                    </v>
          </cell>
          <cell r="C1124" t="str">
            <v>MCCEK32</v>
          </cell>
          <cell r="D1124">
            <v>525301019053507</v>
          </cell>
          <cell r="E1124" t="str">
            <v>SEDANG</v>
          </cell>
          <cell r="F1124" t="str">
            <v>Tidak</v>
          </cell>
          <cell r="G1124" t="str">
            <v>Tidak</v>
          </cell>
          <cell r="H1124" t="str">
            <v>Tidak</v>
          </cell>
          <cell r="I1124" t="str">
            <v>Bandar Judol Withdrawal</v>
          </cell>
          <cell r="J1124">
            <v>50</v>
          </cell>
          <cell r="K1124" t="str">
            <v>86,88,87</v>
          </cell>
          <cell r="L1124" t="str">
            <v>Judi Online</v>
          </cell>
          <cell r="M1124" t="str">
            <v xml:space="preserve">Kas Kanpus                              </v>
          </cell>
          <cell r="N1124" t="str">
            <v xml:space="preserve">Kas Kanpus                              </v>
          </cell>
          <cell r="O1124" t="str">
            <v xml:space="preserve">KAS KANPUS                              </v>
          </cell>
          <cell r="R1124" t="str">
            <v>Belum TL</v>
          </cell>
          <cell r="S1124" t="str">
            <v>Belum TL</v>
          </cell>
          <cell r="T1124" t="str">
            <v>90171841 - Rifqi Aziz</v>
          </cell>
          <cell r="U1124" t="str">
            <v>"-"</v>
          </cell>
        </row>
        <row r="1125">
          <cell r="A1125">
            <v>46265</v>
          </cell>
          <cell r="B1125" t="str">
            <v xml:space="preserve">MEYTHA DWI ANTIKA KADANG                </v>
          </cell>
          <cell r="C1125" t="str">
            <v>MCEE471</v>
          </cell>
          <cell r="D1125">
            <v>117001000666565</v>
          </cell>
          <cell r="E1125" t="str">
            <v>SEDANG</v>
          </cell>
          <cell r="F1125" t="str">
            <v>Tidak</v>
          </cell>
          <cell r="G1125" t="str">
            <v>Tidak</v>
          </cell>
          <cell r="H1125" t="str">
            <v>Tidak</v>
          </cell>
          <cell r="I1125" t="str">
            <v>Korupsi - Cash &amp; Amount</v>
          </cell>
          <cell r="J1125">
            <v>58</v>
          </cell>
          <cell r="K1125" t="str">
            <v>1,2,20</v>
          </cell>
          <cell r="L1125" t="str">
            <v>Korupsi</v>
          </cell>
          <cell r="M1125" t="str">
            <v>Kas Kanpus</v>
          </cell>
          <cell r="N1125" t="str">
            <v>Kas Kanpus</v>
          </cell>
          <cell r="O1125" t="str">
            <v>KAS KANPUS</v>
          </cell>
          <cell r="R1125" t="str">
            <v>Belum TL</v>
          </cell>
          <cell r="S1125" t="str">
            <v>Belum TL</v>
          </cell>
          <cell r="T1125" t="str">
            <v>90185537 - Moh.Khoerul Fajar Ar</v>
          </cell>
          <cell r="U1125" t="str">
            <v>"-"</v>
          </cell>
        </row>
        <row r="1126">
          <cell r="A1126">
            <v>46265</v>
          </cell>
          <cell r="B1126" t="str">
            <v xml:space="preserve">MAMAYOO KARYA PAPUA                     </v>
          </cell>
          <cell r="C1126" t="str">
            <v>MCGDM28</v>
          </cell>
          <cell r="D1126">
            <v>30701019149108</v>
          </cell>
          <cell r="E1126" t="str">
            <v>SEDANG</v>
          </cell>
          <cell r="F1126" t="str">
            <v>Tidak</v>
          </cell>
          <cell r="G1126" t="str">
            <v>Tidak</v>
          </cell>
          <cell r="H1126" t="str">
            <v>Tidak</v>
          </cell>
          <cell r="I1126" t="str">
            <v>Korupsi - Loan View</v>
          </cell>
          <cell r="J1126">
            <v>48</v>
          </cell>
          <cell r="K1126">
            <v>15</v>
          </cell>
          <cell r="L1126" t="str">
            <v>Korupsi</v>
          </cell>
          <cell r="M1126" t="str">
            <v>Kas Kanpus</v>
          </cell>
          <cell r="N1126" t="str">
            <v>Kas Kanpus</v>
          </cell>
          <cell r="O1126" t="str">
            <v>KAS KANPUS</v>
          </cell>
          <cell r="R1126" t="str">
            <v>Belum TL</v>
          </cell>
          <cell r="S1126" t="str">
            <v>Belum TL</v>
          </cell>
          <cell r="T1126" t="str">
            <v>90150130 - Intan Aida Pratiwi</v>
          </cell>
          <cell r="U1126" t="str">
            <v>"-"</v>
          </cell>
        </row>
        <row r="1127">
          <cell r="A1127">
            <v>46265</v>
          </cell>
          <cell r="B1127" t="str">
            <v xml:space="preserve">MEI PUJI ASTUTIK                        </v>
          </cell>
          <cell r="C1127" t="str">
            <v>MCGDN27</v>
          </cell>
          <cell r="D1127">
            <v>210601002272532</v>
          </cell>
          <cell r="E1127" t="str">
            <v>SEDANG</v>
          </cell>
          <cell r="F1127" t="str">
            <v>Tidak</v>
          </cell>
          <cell r="G1127" t="str">
            <v>Tidak</v>
          </cell>
          <cell r="H1127" t="str">
            <v>Tidak</v>
          </cell>
          <cell r="I1127" t="str">
            <v>Bandar Judol Withdrawal</v>
          </cell>
          <cell r="J1127">
            <v>50</v>
          </cell>
          <cell r="K1127" t="str">
            <v>86,88,87</v>
          </cell>
          <cell r="L1127" t="str">
            <v>Judi Online</v>
          </cell>
          <cell r="M1127" t="str">
            <v xml:space="preserve">Kas Kanpus                              </v>
          </cell>
          <cell r="N1127" t="str">
            <v xml:space="preserve">Kas Kanpus                              </v>
          </cell>
          <cell r="O1127" t="str">
            <v xml:space="preserve">KAS KANPUS                              </v>
          </cell>
          <cell r="R1127" t="str">
            <v>Belum TL</v>
          </cell>
          <cell r="S1127" t="str">
            <v>Belum TL</v>
          </cell>
          <cell r="T1127" t="str">
            <v>90185538 - Muhammad Fahikal Auz</v>
          </cell>
          <cell r="U1127" t="str">
            <v>"-"</v>
          </cell>
        </row>
        <row r="1128">
          <cell r="A1128">
            <v>46265</v>
          </cell>
          <cell r="B1128" t="str">
            <v xml:space="preserve">MOHAMAD MAHFURI                         </v>
          </cell>
          <cell r="C1128" t="str">
            <v>MCLP825</v>
          </cell>
          <cell r="D1128">
            <v>498101023410107</v>
          </cell>
          <cell r="E1128" t="str">
            <v>SEDANG</v>
          </cell>
          <cell r="F1128" t="str">
            <v>Tidak</v>
          </cell>
          <cell r="G1128" t="str">
            <v>Tidak</v>
          </cell>
          <cell r="H1128" t="str">
            <v>Tidak</v>
          </cell>
          <cell r="I1128" t="str">
            <v>Korupsi - Loan View</v>
          </cell>
          <cell r="J1128">
            <v>48</v>
          </cell>
          <cell r="K1128">
            <v>15</v>
          </cell>
          <cell r="L1128" t="str">
            <v>Korupsi</v>
          </cell>
          <cell r="M1128" t="str">
            <v>Kas Kanpus</v>
          </cell>
          <cell r="N1128" t="str">
            <v>Kas Kanpus</v>
          </cell>
          <cell r="O1128" t="str">
            <v>KAS KANPUS</v>
          </cell>
          <cell r="R1128" t="str">
            <v>Belum TL</v>
          </cell>
          <cell r="S1128" t="str">
            <v>Belum TL</v>
          </cell>
          <cell r="T1128" t="str">
            <v>90186796 - Devito Arya Wiradila</v>
          </cell>
          <cell r="U1128" t="str">
            <v>"-"</v>
          </cell>
        </row>
        <row r="1129">
          <cell r="A1129">
            <v>46265</v>
          </cell>
          <cell r="B1129" t="str">
            <v xml:space="preserve">MUHAMMAD SOFIYAN                        </v>
          </cell>
          <cell r="C1129" t="str">
            <v>MCMMN22</v>
          </cell>
          <cell r="D1129">
            <v>44001029869504</v>
          </cell>
          <cell r="F1129" t="str">
            <v>Tidak</v>
          </cell>
          <cell r="G1129" t="str">
            <v>Tidak</v>
          </cell>
          <cell r="H1129" t="str">
            <v>Tidak</v>
          </cell>
          <cell r="I1129" t="str">
            <v>Bandar Judol Withdrawal</v>
          </cell>
          <cell r="J1129">
            <v>35</v>
          </cell>
          <cell r="K1129" t="str">
            <v>86,88,87</v>
          </cell>
          <cell r="L1129" t="str">
            <v>Judi Online</v>
          </cell>
          <cell r="M1129" t="str">
            <v xml:space="preserve">Kas Kanpus                              </v>
          </cell>
          <cell r="N1129" t="str">
            <v xml:space="preserve">Kas Kanpus                              </v>
          </cell>
          <cell r="O1129" t="str">
            <v xml:space="preserve">KAS KANPUS                              </v>
          </cell>
          <cell r="R1129" t="str">
            <v>Belum TL</v>
          </cell>
          <cell r="S1129" t="str">
            <v>Belum TL</v>
          </cell>
          <cell r="T1129" t="str">
            <v>90185538 - Muhammad Fahikal Auz</v>
          </cell>
          <cell r="U1129" t="str">
            <v>"-"</v>
          </cell>
        </row>
        <row r="1130">
          <cell r="A1130">
            <v>46265</v>
          </cell>
          <cell r="B1130" t="str">
            <v xml:space="preserve">MAGGIE                                  </v>
          </cell>
          <cell r="C1130" t="str">
            <v>MCPTS28</v>
          </cell>
          <cell r="D1130">
            <v>4359720219054400</v>
          </cell>
          <cell r="F1130" t="str">
            <v>Tidak</v>
          </cell>
          <cell r="G1130" t="str">
            <v>Tidak</v>
          </cell>
          <cell r="H1130" t="str">
            <v>Tidak</v>
          </cell>
          <cell r="I1130" t="str">
            <v>Penghindaran Pajak (Transaksi Fiktif)/Penyuapan CC</v>
          </cell>
          <cell r="J1130">
            <v>30</v>
          </cell>
          <cell r="K1130">
            <v>118</v>
          </cell>
          <cell r="L1130" t="str">
            <v>Penyuapan / Penghindaran Pajak CC View</v>
          </cell>
          <cell r="M1130" t="str">
            <v xml:space="preserve">Kas Kanpus                              </v>
          </cell>
          <cell r="N1130" t="str">
            <v xml:space="preserve">Kas Kanpus                              </v>
          </cell>
          <cell r="O1130" t="str">
            <v xml:space="preserve">KAS KANPUS                              </v>
          </cell>
          <cell r="R1130" t="str">
            <v>Belum TL</v>
          </cell>
          <cell r="S1130" t="str">
            <v>Belum TL</v>
          </cell>
          <cell r="T1130" t="str">
            <v>00394520 - Frida Akbar Rani</v>
          </cell>
          <cell r="U1130" t="str">
            <v>"-"</v>
          </cell>
        </row>
        <row r="1131">
          <cell r="A1131">
            <v>46265</v>
          </cell>
          <cell r="B1131" t="str">
            <v xml:space="preserve">MUHAMMAD SOFYAN                         </v>
          </cell>
          <cell r="C1131" t="str">
            <v>MCPYP04</v>
          </cell>
          <cell r="D1131">
            <v>525801017456505</v>
          </cell>
          <cell r="F1131" t="str">
            <v>Tidak</v>
          </cell>
          <cell r="G1131" t="str">
            <v>Tidak</v>
          </cell>
          <cell r="H1131" t="str">
            <v>Tidak</v>
          </cell>
          <cell r="I1131" t="str">
            <v>Bandar Judol Withdrawal</v>
          </cell>
          <cell r="J1131">
            <v>35</v>
          </cell>
          <cell r="K1131" t="str">
            <v>86,88,87</v>
          </cell>
          <cell r="L1131" t="str">
            <v>Judi Online</v>
          </cell>
          <cell r="M1131" t="str">
            <v xml:space="preserve">Kas Kanpus                              </v>
          </cell>
          <cell r="N1131" t="str">
            <v xml:space="preserve">Kas Kanpus                              </v>
          </cell>
          <cell r="O1131" t="str">
            <v xml:space="preserve">KAS KANPUS                              </v>
          </cell>
          <cell r="R1131" t="str">
            <v>Belum TL</v>
          </cell>
          <cell r="S1131" t="str">
            <v>Belum TL</v>
          </cell>
          <cell r="T1131" t="str">
            <v>90170665 - Mutiara Ayuningtyas</v>
          </cell>
          <cell r="U1131" t="str">
            <v>"-"</v>
          </cell>
        </row>
        <row r="1132">
          <cell r="A1132">
            <v>46265</v>
          </cell>
          <cell r="B1132" t="str">
            <v xml:space="preserve">MAKRIM SIREGAR                          </v>
          </cell>
          <cell r="C1132" t="str">
            <v>MCQI899</v>
          </cell>
          <cell r="D1132">
            <v>14401008712108</v>
          </cell>
          <cell r="E1132" t="str">
            <v>SEDANG</v>
          </cell>
          <cell r="F1132" t="str">
            <v>Tidak</v>
          </cell>
          <cell r="G1132" t="str">
            <v>Tidak</v>
          </cell>
          <cell r="H1132" t="str">
            <v>Tidak</v>
          </cell>
          <cell r="I1132" t="str">
            <v>Korupsi - Loan View</v>
          </cell>
          <cell r="J1132">
            <v>48</v>
          </cell>
          <cell r="K1132">
            <v>15</v>
          </cell>
          <cell r="L1132" t="str">
            <v>Korupsi</v>
          </cell>
          <cell r="M1132" t="str">
            <v>Kas Kanpus</v>
          </cell>
          <cell r="N1132" t="str">
            <v>Kas Kanpus</v>
          </cell>
          <cell r="O1132" t="str">
            <v>KAS KANPUS</v>
          </cell>
          <cell r="R1132" t="str">
            <v>Belum TL</v>
          </cell>
          <cell r="S1132" t="str">
            <v>Belum TL</v>
          </cell>
          <cell r="T1132" t="str">
            <v>00394520 - Frida Akbar Rani</v>
          </cell>
          <cell r="U1132" t="str">
            <v>"-"</v>
          </cell>
        </row>
        <row r="1133">
          <cell r="A1133">
            <v>46265</v>
          </cell>
          <cell r="B1133" t="str">
            <v xml:space="preserve">MUHAMMAD IQBHAL                         </v>
          </cell>
          <cell r="C1133" t="str">
            <v>MCQWQ36</v>
          </cell>
          <cell r="D1133">
            <v>707501019002508</v>
          </cell>
          <cell r="F1133" t="str">
            <v>Tidak</v>
          </cell>
          <cell r="G1133" t="str">
            <v>Tidak</v>
          </cell>
          <cell r="H1133" t="str">
            <v>Tidak</v>
          </cell>
          <cell r="I1133" t="str">
            <v>Narkotika - Area Lapas</v>
          </cell>
          <cell r="J1133">
            <v>36</v>
          </cell>
          <cell r="K1133">
            <v>48</v>
          </cell>
          <cell r="L1133" t="str">
            <v>Narkotika</v>
          </cell>
          <cell r="M1133" t="str">
            <v>UNIT KLASAMAN SORONG</v>
          </cell>
          <cell r="N1133" t="str">
            <v>KC Sorong</v>
          </cell>
          <cell r="O1133" t="str">
            <v>KANWIL JAYAPURA</v>
          </cell>
          <cell r="R1133" t="str">
            <v>Belum TL</v>
          </cell>
          <cell r="S1133" t="str">
            <v>Belum TL</v>
          </cell>
          <cell r="T1133" t="str">
            <v>90185537 - Moh.Khoerul Fajar Ar</v>
          </cell>
          <cell r="U1133" t="str">
            <v>"-"</v>
          </cell>
        </row>
        <row r="1134">
          <cell r="A1134">
            <v>46265</v>
          </cell>
          <cell r="B1134" t="str">
            <v xml:space="preserve">M NAJRIANSYAH                           </v>
          </cell>
          <cell r="C1134" t="str">
            <v>MCRKO56</v>
          </cell>
          <cell r="D1134">
            <v>134201002940504</v>
          </cell>
          <cell r="F1134" t="str">
            <v>Tidak</v>
          </cell>
          <cell r="G1134" t="str">
            <v>Tidak</v>
          </cell>
          <cell r="H1134" t="str">
            <v>Tidak</v>
          </cell>
          <cell r="I1134" t="str">
            <v>Bandar Judol Withdrawal</v>
          </cell>
          <cell r="J1134">
            <v>35</v>
          </cell>
          <cell r="K1134" t="str">
            <v>86,88,87</v>
          </cell>
          <cell r="L1134" t="str">
            <v>Judi Online</v>
          </cell>
          <cell r="M1134" t="str">
            <v xml:space="preserve">Kas Kanpus                              </v>
          </cell>
          <cell r="N1134" t="str">
            <v xml:space="preserve">Kas Kanpus                              </v>
          </cell>
          <cell r="O1134" t="str">
            <v xml:space="preserve">KAS KANPUS                              </v>
          </cell>
          <cell r="R1134" t="str">
            <v>Belum TL</v>
          </cell>
          <cell r="S1134" t="str">
            <v>Belum TL</v>
          </cell>
          <cell r="T1134" t="str">
            <v>90150130 - Intan Aida Pratiwi</v>
          </cell>
          <cell r="U1134" t="str">
            <v>"-"</v>
          </cell>
        </row>
        <row r="1135">
          <cell r="A1135">
            <v>46265</v>
          </cell>
          <cell r="B1135" t="str">
            <v xml:space="preserve">MITRA YANA INDONESIA                    </v>
          </cell>
          <cell r="C1135" t="str">
            <v>MCSW638</v>
          </cell>
          <cell r="D1135">
            <v>1901500695156</v>
          </cell>
          <cell r="E1135" t="str">
            <v>TINGGI</v>
          </cell>
          <cell r="F1135" t="str">
            <v>Tidak</v>
          </cell>
          <cell r="G1135" t="str">
            <v>Tidak</v>
          </cell>
          <cell r="H1135" t="str">
            <v>Tidak</v>
          </cell>
          <cell r="I1135" t="str">
            <v>Korupsi - Loan View</v>
          </cell>
          <cell r="J1135">
            <v>63</v>
          </cell>
          <cell r="K1135">
            <v>15</v>
          </cell>
          <cell r="L1135" t="str">
            <v>Korupsi</v>
          </cell>
          <cell r="M1135" t="str">
            <v>Kas Kanpus</v>
          </cell>
          <cell r="N1135" t="str">
            <v>Kas Kanpus</v>
          </cell>
          <cell r="O1135" t="str">
            <v>KAS KANPUS</v>
          </cell>
          <cell r="R1135" t="str">
            <v>Belum TL</v>
          </cell>
          <cell r="S1135" t="str">
            <v>Belum TL</v>
          </cell>
          <cell r="T1135" t="str">
            <v>90185538 - Muhammad Fahikal Auz</v>
          </cell>
          <cell r="U1135" t="str">
            <v>"-"</v>
          </cell>
        </row>
        <row r="1136">
          <cell r="A1136">
            <v>46265</v>
          </cell>
          <cell r="B1136" t="str">
            <v xml:space="preserve">MADI SETIAWAN                           </v>
          </cell>
          <cell r="C1136" t="str">
            <v>MCTMF40</v>
          </cell>
          <cell r="D1136">
            <v>501004969561</v>
          </cell>
          <cell r="F1136" t="str">
            <v>Tidak</v>
          </cell>
          <cell r="G1136" t="str">
            <v>Tidak</v>
          </cell>
          <cell r="H1136" t="str">
            <v>Tidak</v>
          </cell>
          <cell r="I1136" t="str">
            <v>Bandar Judol Withdrawal</v>
          </cell>
          <cell r="J1136">
            <v>35</v>
          </cell>
          <cell r="K1136" t="str">
            <v>86,88,87</v>
          </cell>
          <cell r="L1136" t="str">
            <v>Judi Online</v>
          </cell>
          <cell r="M1136" t="str">
            <v xml:space="preserve">Kas Kanpus                              </v>
          </cell>
          <cell r="N1136" t="str">
            <v xml:space="preserve">Kas Kanpus                              </v>
          </cell>
          <cell r="O1136" t="str">
            <v xml:space="preserve">KAS KANPUS                              </v>
          </cell>
          <cell r="R1136" t="str">
            <v>Belum TL</v>
          </cell>
          <cell r="S1136" t="str">
            <v>Belum TL</v>
          </cell>
          <cell r="T1136" t="str">
            <v>90186790 - Muhammad Alfin Farha</v>
          </cell>
          <cell r="U1136" t="str">
            <v>"-"</v>
          </cell>
        </row>
        <row r="1137">
          <cell r="A1137">
            <v>46265</v>
          </cell>
          <cell r="B1137" t="str">
            <v xml:space="preserve">MARSYA ADELLYA                          </v>
          </cell>
          <cell r="C1137" t="str">
            <v>MCUGC97</v>
          </cell>
          <cell r="D1137">
            <v>43801071825505</v>
          </cell>
          <cell r="F1137" t="str">
            <v>Tidak</v>
          </cell>
          <cell r="G1137" t="str">
            <v>Tidak</v>
          </cell>
          <cell r="H1137" t="str">
            <v>Tidak</v>
          </cell>
          <cell r="I1137" t="str">
            <v>Bandar Judol Withdrawal</v>
          </cell>
          <cell r="J1137">
            <v>35</v>
          </cell>
          <cell r="K1137" t="str">
            <v>86,88,87</v>
          </cell>
          <cell r="L1137" t="str">
            <v>Judi Online</v>
          </cell>
          <cell r="M1137" t="str">
            <v xml:space="preserve">Kas Kanpus                              </v>
          </cell>
          <cell r="N1137" t="str">
            <v xml:space="preserve">Kas Kanpus                              </v>
          </cell>
          <cell r="O1137" t="str">
            <v xml:space="preserve">KAS KANPUS                              </v>
          </cell>
          <cell r="R1137" t="str">
            <v>Belum TL</v>
          </cell>
          <cell r="S1137" t="str">
            <v>Belum TL</v>
          </cell>
          <cell r="T1137" t="str">
            <v>90185537 - Moh.Khoerul Fajar Ar</v>
          </cell>
          <cell r="U1137" t="str">
            <v>"-"</v>
          </cell>
        </row>
        <row r="1138">
          <cell r="A1138">
            <v>46265</v>
          </cell>
          <cell r="B1138" t="str">
            <v xml:space="preserve">MUTIAR                                  </v>
          </cell>
          <cell r="C1138" t="str">
            <v>MCUNN46</v>
          </cell>
          <cell r="D1138">
            <v>112901036828500</v>
          </cell>
          <cell r="F1138" t="str">
            <v>Tidak</v>
          </cell>
          <cell r="G1138" t="str">
            <v>Tidak</v>
          </cell>
          <cell r="H1138" t="str">
            <v>Tidak</v>
          </cell>
          <cell r="I1138" t="str">
            <v>Bandar Judol Withdrawal</v>
          </cell>
          <cell r="J1138">
            <v>35</v>
          </cell>
          <cell r="K1138" t="str">
            <v>86,88,87</v>
          </cell>
          <cell r="L1138" t="str">
            <v>Judi Online</v>
          </cell>
          <cell r="M1138" t="str">
            <v xml:space="preserve">Kas Kanpus                              </v>
          </cell>
          <cell r="N1138" t="str">
            <v xml:space="preserve">Kas Kanpus                              </v>
          </cell>
          <cell r="O1138" t="str">
            <v xml:space="preserve">KAS KANPUS                              </v>
          </cell>
          <cell r="R1138" t="str">
            <v>Belum TL</v>
          </cell>
          <cell r="S1138" t="str">
            <v>Belum TL</v>
          </cell>
          <cell r="T1138" t="str">
            <v>00336949 - Mochammad Al Farabi</v>
          </cell>
          <cell r="U1138" t="str">
            <v>"-"</v>
          </cell>
        </row>
        <row r="1139">
          <cell r="A1139">
            <v>46265</v>
          </cell>
          <cell r="B1139" t="str">
            <v xml:space="preserve">M. RIVAL AGATHAN                        </v>
          </cell>
          <cell r="C1139" t="str">
            <v>MCUPH25</v>
          </cell>
          <cell r="D1139">
            <v>532101020855503</v>
          </cell>
          <cell r="F1139" t="str">
            <v>Tidak</v>
          </cell>
          <cell r="G1139" t="str">
            <v>Tidak</v>
          </cell>
          <cell r="H1139" t="str">
            <v>Tidak</v>
          </cell>
          <cell r="I1139" t="str">
            <v>Bandar Judol Withdrawal</v>
          </cell>
          <cell r="J1139">
            <v>35</v>
          </cell>
          <cell r="K1139" t="str">
            <v>86,88,87</v>
          </cell>
          <cell r="L1139" t="str">
            <v>Judi Online</v>
          </cell>
          <cell r="M1139" t="str">
            <v xml:space="preserve">Kas Kanpus                              </v>
          </cell>
          <cell r="N1139" t="str">
            <v xml:space="preserve">Kas Kanpus                              </v>
          </cell>
          <cell r="O1139" t="str">
            <v xml:space="preserve">KAS KANPUS                              </v>
          </cell>
          <cell r="R1139" t="str">
            <v>Belum TL</v>
          </cell>
          <cell r="S1139" t="str">
            <v>Belum TL</v>
          </cell>
          <cell r="T1139" t="str">
            <v>90186796 - Devito Arya Wiradila</v>
          </cell>
          <cell r="U1139" t="str">
            <v>"-"</v>
          </cell>
        </row>
        <row r="1140">
          <cell r="A1140">
            <v>46265</v>
          </cell>
          <cell r="B1140" t="str">
            <v xml:space="preserve">MUHAMAD HAPID                           </v>
          </cell>
          <cell r="C1140" t="str">
            <v>MCVVN07</v>
          </cell>
          <cell r="D1140">
            <v>81701000043562</v>
          </cell>
          <cell r="F1140" t="str">
            <v>Tidak</v>
          </cell>
          <cell r="G1140" t="str">
            <v>Tidak</v>
          </cell>
          <cell r="H1140" t="str">
            <v>Tidak</v>
          </cell>
          <cell r="I1140" t="str">
            <v>Bandar Judol Withdrawal</v>
          </cell>
          <cell r="J1140">
            <v>35</v>
          </cell>
          <cell r="K1140" t="str">
            <v>86,88,87</v>
          </cell>
          <cell r="L1140" t="str">
            <v>Judi Online</v>
          </cell>
          <cell r="M1140" t="str">
            <v xml:space="preserve">Kas Kanpus                              </v>
          </cell>
          <cell r="N1140" t="str">
            <v xml:space="preserve">Kas Kanpus                              </v>
          </cell>
          <cell r="O1140" t="str">
            <v xml:space="preserve">KAS KANPUS                              </v>
          </cell>
          <cell r="R1140" t="str">
            <v>Belum TL</v>
          </cell>
          <cell r="S1140" t="str">
            <v>Belum TL</v>
          </cell>
          <cell r="T1140" t="str">
            <v>90186796 - Devito Arya Wiradila</v>
          </cell>
          <cell r="U1140" t="str">
            <v>"-"</v>
          </cell>
        </row>
        <row r="1141">
          <cell r="A1141">
            <v>46265</v>
          </cell>
          <cell r="B1141" t="str">
            <v xml:space="preserve">MUHAMMAD JAKFAR SIDDIQ                  </v>
          </cell>
          <cell r="C1141" t="str">
            <v>MCWL963</v>
          </cell>
          <cell r="D1141">
            <v>42901071730507</v>
          </cell>
          <cell r="E1141" t="str">
            <v>SEDANG</v>
          </cell>
          <cell r="F1141" t="str">
            <v>Tidak</v>
          </cell>
          <cell r="G1141" t="str">
            <v>Tidak</v>
          </cell>
          <cell r="H1141" t="str">
            <v>Tidak</v>
          </cell>
          <cell r="I1141" t="str">
            <v>Bandar Judol Withdrawal</v>
          </cell>
          <cell r="J1141">
            <v>50</v>
          </cell>
          <cell r="K1141" t="str">
            <v>86,88,87</v>
          </cell>
          <cell r="L1141" t="str">
            <v>Judi Online</v>
          </cell>
          <cell r="M1141" t="str">
            <v xml:space="preserve">Kas Kanpus                              </v>
          </cell>
          <cell r="N1141" t="str">
            <v xml:space="preserve">Kas Kanpus                              </v>
          </cell>
          <cell r="O1141" t="str">
            <v xml:space="preserve">KAS KANPUS                              </v>
          </cell>
          <cell r="R1141" t="str">
            <v>Belum TL</v>
          </cell>
          <cell r="S1141" t="str">
            <v>Belum TL</v>
          </cell>
          <cell r="T1141" t="str">
            <v>90185538 - Muhammad Fahikal Auz</v>
          </cell>
          <cell r="U1141" t="str">
            <v>"-"</v>
          </cell>
        </row>
        <row r="1142">
          <cell r="A1142">
            <v>46265</v>
          </cell>
          <cell r="B1142" t="str">
            <v xml:space="preserve">MUHAMAD DENDI                           </v>
          </cell>
          <cell r="C1142" t="str">
            <v>MCWWW98</v>
          </cell>
          <cell r="D1142">
            <v>44501079075503</v>
          </cell>
          <cell r="F1142" t="str">
            <v>Tidak</v>
          </cell>
          <cell r="G1142" t="str">
            <v>Tidak</v>
          </cell>
          <cell r="H1142" t="str">
            <v>Tidak</v>
          </cell>
          <cell r="I1142" t="str">
            <v>Bandar Judol Withdrawal</v>
          </cell>
          <cell r="J1142">
            <v>35</v>
          </cell>
          <cell r="K1142" t="str">
            <v>86,88,87</v>
          </cell>
          <cell r="L1142" t="str">
            <v>Judi Online</v>
          </cell>
          <cell r="M1142" t="str">
            <v xml:space="preserve">Kas Kanpus                              </v>
          </cell>
          <cell r="N1142" t="str">
            <v xml:space="preserve">Kas Kanpus                              </v>
          </cell>
          <cell r="O1142" t="str">
            <v xml:space="preserve">KAS KANPUS                              </v>
          </cell>
          <cell r="R1142" t="str">
            <v>Belum TL</v>
          </cell>
          <cell r="S1142" t="str">
            <v>Belum TL</v>
          </cell>
          <cell r="T1142" t="str">
            <v>90170665 - Mutiara Ayuningtyas</v>
          </cell>
          <cell r="U1142" t="str">
            <v>"-"</v>
          </cell>
        </row>
        <row r="1143">
          <cell r="A1143">
            <v>46265</v>
          </cell>
          <cell r="B1143" t="str">
            <v xml:space="preserve">MUHAMMAD FIDZAR ALI                     </v>
          </cell>
          <cell r="C1143" t="str">
            <v>MCXGD84</v>
          </cell>
          <cell r="D1143">
            <v>8401289869502</v>
          </cell>
          <cell r="F1143" t="str">
            <v>Tidak</v>
          </cell>
          <cell r="G1143" t="str">
            <v>Tidak</v>
          </cell>
          <cell r="H1143" t="str">
            <v>Tidak</v>
          </cell>
          <cell r="I1143" t="str">
            <v>Bandar Judol Withdrawal</v>
          </cell>
          <cell r="J1143">
            <v>35</v>
          </cell>
          <cell r="K1143" t="str">
            <v>86,88,87</v>
          </cell>
          <cell r="L1143" t="str">
            <v>Judi Online</v>
          </cell>
          <cell r="M1143" t="str">
            <v xml:space="preserve">Kas Kanpus                              </v>
          </cell>
          <cell r="N1143" t="str">
            <v xml:space="preserve">Kas Kanpus                              </v>
          </cell>
          <cell r="O1143" t="str">
            <v xml:space="preserve">KAS KANPUS                              </v>
          </cell>
          <cell r="R1143" t="str">
            <v>Belum TL</v>
          </cell>
          <cell r="S1143" t="str">
            <v>Belum TL</v>
          </cell>
          <cell r="T1143" t="str">
            <v>90185538 - Muhammad Fahikal Auz</v>
          </cell>
          <cell r="U1143" t="str">
            <v>"-"</v>
          </cell>
        </row>
        <row r="1144">
          <cell r="A1144">
            <v>46265</v>
          </cell>
          <cell r="B1144" t="str">
            <v xml:space="preserve">MHD SALEH ARIFIN                        </v>
          </cell>
          <cell r="C1144" t="str">
            <v>MCXMT43</v>
          </cell>
          <cell r="D1144">
            <v>530101024079501</v>
          </cell>
          <cell r="F1144" t="str">
            <v>Tidak</v>
          </cell>
          <cell r="G1144" t="str">
            <v>Tidak</v>
          </cell>
          <cell r="H1144" t="str">
            <v>Tidak</v>
          </cell>
          <cell r="I1144" t="str">
            <v>Bandar Judol Withdrawal</v>
          </cell>
          <cell r="J1144">
            <v>35</v>
          </cell>
          <cell r="K1144" t="str">
            <v>86,88,87</v>
          </cell>
          <cell r="L1144" t="str">
            <v>Judi Online</v>
          </cell>
          <cell r="M1144" t="str">
            <v xml:space="preserve">Kas Kanpus                              </v>
          </cell>
          <cell r="N1144" t="str">
            <v xml:space="preserve">Kas Kanpus                              </v>
          </cell>
          <cell r="O1144" t="str">
            <v xml:space="preserve">KAS KANPUS                              </v>
          </cell>
          <cell r="R1144" t="str">
            <v>Belum TL</v>
          </cell>
          <cell r="S1144" t="str">
            <v>Belum TL</v>
          </cell>
          <cell r="T1144" t="str">
            <v>90171841 - Rifqi Aziz</v>
          </cell>
          <cell r="U1144" t="str">
            <v>"-"</v>
          </cell>
        </row>
        <row r="1145">
          <cell r="A1145">
            <v>46265</v>
          </cell>
          <cell r="B1145" t="str">
            <v xml:space="preserve">MUHAMAD IRVAN                           </v>
          </cell>
          <cell r="C1145" t="str">
            <v>MDHCO75</v>
          </cell>
          <cell r="D1145">
            <v>118401001152568</v>
          </cell>
          <cell r="F1145" t="str">
            <v>Tidak</v>
          </cell>
          <cell r="G1145" t="str">
            <v>Tidak</v>
          </cell>
          <cell r="H1145" t="str">
            <v>Tidak</v>
          </cell>
          <cell r="I1145" t="str">
            <v>Bandar Judol Withdrawal</v>
          </cell>
          <cell r="J1145">
            <v>35</v>
          </cell>
          <cell r="K1145" t="str">
            <v>86,88,87</v>
          </cell>
          <cell r="L1145" t="str">
            <v>Judi Online</v>
          </cell>
          <cell r="M1145" t="str">
            <v xml:space="preserve">Kas Kanpus                              </v>
          </cell>
          <cell r="N1145" t="str">
            <v xml:space="preserve">Kas Kanpus                              </v>
          </cell>
          <cell r="O1145" t="str">
            <v xml:space="preserve">KAS KANPUS                              </v>
          </cell>
          <cell r="R1145" t="str">
            <v>Belum TL</v>
          </cell>
          <cell r="S1145" t="str">
            <v>Belum TL</v>
          </cell>
          <cell r="T1145" t="str">
            <v>90171841 - Rifqi Aziz</v>
          </cell>
          <cell r="U1145" t="str">
            <v>"-"</v>
          </cell>
        </row>
        <row r="1146">
          <cell r="A1146">
            <v>46265</v>
          </cell>
          <cell r="B1146" t="str">
            <v xml:space="preserve">MUHAMAD NAZRIL PANGESTU                 </v>
          </cell>
          <cell r="C1146" t="str">
            <v>MDHCT31</v>
          </cell>
          <cell r="D1146">
            <v>429001083259536</v>
          </cell>
          <cell r="F1146" t="str">
            <v>Tidak</v>
          </cell>
          <cell r="G1146" t="str">
            <v>Tidak</v>
          </cell>
          <cell r="H1146" t="str">
            <v>Tidak</v>
          </cell>
          <cell r="I1146" t="str">
            <v>Bandar Judol Depo</v>
          </cell>
          <cell r="J1146">
            <v>35</v>
          </cell>
          <cell r="K1146" t="str">
            <v>86,74,87</v>
          </cell>
          <cell r="L1146" t="str">
            <v>Judi Online</v>
          </cell>
          <cell r="M1146" t="str">
            <v xml:space="preserve">Kas Kanpus                              </v>
          </cell>
          <cell r="N1146" t="str">
            <v xml:space="preserve">Kas Kanpus                              </v>
          </cell>
          <cell r="O1146" t="str">
            <v xml:space="preserve">KAS KANPUS                              </v>
          </cell>
          <cell r="R1146" t="str">
            <v>Belum TL</v>
          </cell>
          <cell r="S1146" t="str">
            <v>Belum TL</v>
          </cell>
          <cell r="T1146" t="str">
            <v>90186796 - Devito Arya Wiradila</v>
          </cell>
          <cell r="U1146" t="str">
            <v>"-"</v>
          </cell>
        </row>
        <row r="1147">
          <cell r="A1147">
            <v>46265</v>
          </cell>
          <cell r="B1147" t="str">
            <v xml:space="preserve">MUHAMAD ALI                             </v>
          </cell>
          <cell r="C1147" t="str">
            <v>MDJ9197</v>
          </cell>
          <cell r="D1147">
            <v>2401001590569</v>
          </cell>
          <cell r="E1147" t="str">
            <v>SEDANG</v>
          </cell>
          <cell r="F1147" t="str">
            <v>Tidak</v>
          </cell>
          <cell r="G1147" t="str">
            <v>Tidak</v>
          </cell>
          <cell r="H1147" t="str">
            <v>Tidak</v>
          </cell>
          <cell r="I1147" t="str">
            <v>Korupsi - Cash &amp; Amount</v>
          </cell>
          <cell r="J1147">
            <v>48</v>
          </cell>
          <cell r="K1147" t="str">
            <v>1,2,20</v>
          </cell>
          <cell r="L1147" t="str">
            <v>Korupsi</v>
          </cell>
          <cell r="M1147" t="str">
            <v>Kas Kanpus</v>
          </cell>
          <cell r="N1147" t="str">
            <v>Kas Kanpus</v>
          </cell>
          <cell r="O1147" t="str">
            <v>KAS KANPUS</v>
          </cell>
          <cell r="R1147" t="str">
            <v>Belum TL</v>
          </cell>
          <cell r="S1147" t="str">
            <v>Belum TL</v>
          </cell>
          <cell r="T1147" t="str">
            <v>90171841 - Rifqi Aziz</v>
          </cell>
          <cell r="U1147" t="str">
            <v>"-"</v>
          </cell>
        </row>
        <row r="1148">
          <cell r="A1148">
            <v>46247</v>
          </cell>
          <cell r="B1148" t="str">
            <v xml:space="preserve">MUHAMMAD MUJAHIDIN                      </v>
          </cell>
          <cell r="C1148" t="str">
            <v>MCWP633</v>
          </cell>
          <cell r="D1148">
            <v>41201133410505</v>
          </cell>
          <cell r="E1148" t="str">
            <v>SEDANG</v>
          </cell>
          <cell r="F1148" t="str">
            <v>Tidak</v>
          </cell>
          <cell r="G1148" t="str">
            <v>Tidak</v>
          </cell>
          <cell r="I1148" t="str">
            <v>Teroris - Remark</v>
          </cell>
          <cell r="J1148">
            <v>168</v>
          </cell>
          <cell r="K1148">
            <v>50</v>
          </cell>
          <cell r="L1148" t="str">
            <v>Terorisme</v>
          </cell>
          <cell r="M1148" t="str">
            <v xml:space="preserve">Kas Kanpus                              </v>
          </cell>
          <cell r="N1148" t="str">
            <v xml:space="preserve">Kas Kanpus                              </v>
          </cell>
          <cell r="O1148" t="str">
            <v xml:space="preserve">KAS KANPUS                              </v>
          </cell>
          <cell r="R1148" t="str">
            <v>Belum TL</v>
          </cell>
          <cell r="S1148" t="str">
            <v>Belum TL</v>
          </cell>
          <cell r="T1148" t="str">
            <v>00394521 - Muhammad Hibbanduta</v>
          </cell>
          <cell r="U1148" t="str">
            <v>"-"</v>
          </cell>
        </row>
        <row r="1149">
          <cell r="A1149">
            <v>46265</v>
          </cell>
          <cell r="B1149" t="str">
            <v xml:space="preserve">M SURA QAWIYUL MATIN                    </v>
          </cell>
          <cell r="C1149" t="str">
            <v>MDKMB63</v>
          </cell>
          <cell r="D1149">
            <v>109201050553506</v>
          </cell>
          <cell r="F1149" t="str">
            <v>Tidak</v>
          </cell>
          <cell r="G1149" t="str">
            <v>Tidak</v>
          </cell>
          <cell r="H1149" t="str">
            <v>Tidak</v>
          </cell>
          <cell r="I1149" t="str">
            <v>Bandar Judol Withdrawal</v>
          </cell>
          <cell r="J1149">
            <v>35</v>
          </cell>
          <cell r="K1149" t="str">
            <v>86,88,87</v>
          </cell>
          <cell r="L1149" t="str">
            <v>Judi Online</v>
          </cell>
          <cell r="M1149" t="str">
            <v xml:space="preserve">Kas Kanpus                              </v>
          </cell>
          <cell r="N1149" t="str">
            <v xml:space="preserve">Kas Kanpus                              </v>
          </cell>
          <cell r="O1149" t="str">
            <v xml:space="preserve">KAS KANPUS                              </v>
          </cell>
          <cell r="R1149" t="str">
            <v>Belum TL</v>
          </cell>
          <cell r="S1149" t="str">
            <v>Belum TL</v>
          </cell>
          <cell r="T1149" t="str">
            <v>90170665 - Mutiara Ayuningtyas</v>
          </cell>
          <cell r="U1149" t="str">
            <v>"-"</v>
          </cell>
        </row>
        <row r="1150">
          <cell r="A1150">
            <v>46265</v>
          </cell>
          <cell r="B1150" t="str">
            <v xml:space="preserve">MUHAMMAD IVAN HENDRIANSYAH              </v>
          </cell>
          <cell r="C1150" t="str">
            <v>MDLKH99</v>
          </cell>
          <cell r="D1150">
            <v>158901007111504</v>
          </cell>
          <cell r="F1150" t="str">
            <v>Tidak</v>
          </cell>
          <cell r="G1150" t="str">
            <v>Tidak</v>
          </cell>
          <cell r="H1150" t="str">
            <v>Tidak</v>
          </cell>
          <cell r="I1150" t="str">
            <v>Bandar Judol Withdrawal</v>
          </cell>
          <cell r="J1150">
            <v>35</v>
          </cell>
          <cell r="K1150" t="str">
            <v>86,88,87</v>
          </cell>
          <cell r="L1150" t="str">
            <v>Judi Online</v>
          </cell>
          <cell r="M1150" t="str">
            <v xml:space="preserve">Kas Kanpus                              </v>
          </cell>
          <cell r="N1150" t="str">
            <v xml:space="preserve">Kas Kanpus                              </v>
          </cell>
          <cell r="O1150" t="str">
            <v xml:space="preserve">KAS KANPUS                              </v>
          </cell>
          <cell r="R1150" t="str">
            <v>Belum TL</v>
          </cell>
          <cell r="S1150" t="str">
            <v>Belum TL</v>
          </cell>
          <cell r="T1150" t="str">
            <v>90150130 - Intan Aida Pratiwi</v>
          </cell>
          <cell r="U1150" t="str">
            <v>"-"</v>
          </cell>
        </row>
        <row r="1151">
          <cell r="A1151">
            <v>46259</v>
          </cell>
          <cell r="B1151" t="str">
            <v xml:space="preserve">MULIATI ARIF                            </v>
          </cell>
          <cell r="C1151" t="str">
            <v>MDM5772</v>
          </cell>
          <cell r="D1151">
            <v>490701008235530</v>
          </cell>
          <cell r="E1151" t="str">
            <v>SEDANG</v>
          </cell>
          <cell r="F1151" t="str">
            <v>Tidak</v>
          </cell>
          <cell r="G1151" t="str">
            <v>Tidak</v>
          </cell>
          <cell r="I1151" t="str">
            <v>Teroris - Remark</v>
          </cell>
          <cell r="J1151">
            <v>168</v>
          </cell>
          <cell r="K1151">
            <v>50</v>
          </cell>
          <cell r="L1151" t="str">
            <v>Terorisme</v>
          </cell>
          <cell r="M1151" t="str">
            <v xml:space="preserve">Kas Kanpus                              </v>
          </cell>
          <cell r="N1151" t="str">
            <v xml:space="preserve">Kas Kanpus                              </v>
          </cell>
          <cell r="O1151" t="str">
            <v xml:space="preserve">KAS KANPUS                              </v>
          </cell>
          <cell r="R1151" t="str">
            <v>Belum TL</v>
          </cell>
          <cell r="S1151" t="str">
            <v>Belum TL</v>
          </cell>
          <cell r="T1151" t="str">
            <v>00394521 - Muhammad Hibbanduta</v>
          </cell>
          <cell r="U1151" t="str">
            <v>"-"</v>
          </cell>
        </row>
        <row r="1152">
          <cell r="A1152">
            <v>46265</v>
          </cell>
          <cell r="B1152" t="str">
            <v xml:space="preserve">MUHAMMAD RAFLI                          </v>
          </cell>
          <cell r="C1152" t="str">
            <v>MDMHN16</v>
          </cell>
          <cell r="D1152">
            <v>530301004060504</v>
          </cell>
          <cell r="F1152" t="str">
            <v>Tidak</v>
          </cell>
          <cell r="G1152" t="str">
            <v>Tidak</v>
          </cell>
          <cell r="H1152" t="str">
            <v>Tidak</v>
          </cell>
          <cell r="I1152" t="str">
            <v>Bandar Judol Withdrawal</v>
          </cell>
          <cell r="J1152">
            <v>35</v>
          </cell>
          <cell r="K1152" t="str">
            <v>86,88,87</v>
          </cell>
          <cell r="L1152" t="str">
            <v>Judi Online</v>
          </cell>
          <cell r="M1152" t="str">
            <v xml:space="preserve">Kas Kanpus                              </v>
          </cell>
          <cell r="N1152" t="str">
            <v xml:space="preserve">Kas Kanpus                              </v>
          </cell>
          <cell r="O1152" t="str">
            <v xml:space="preserve">KAS KANPUS                              </v>
          </cell>
          <cell r="R1152" t="str">
            <v>Belum TL</v>
          </cell>
          <cell r="S1152" t="str">
            <v>Belum TL</v>
          </cell>
          <cell r="T1152" t="str">
            <v>90185538 - Muhammad Fahikal Auz</v>
          </cell>
          <cell r="U1152" t="str">
            <v>"-"</v>
          </cell>
        </row>
        <row r="1153">
          <cell r="A1153">
            <v>46265</v>
          </cell>
          <cell r="B1153" t="str">
            <v xml:space="preserve">MAHARANI ZAHRA                          </v>
          </cell>
          <cell r="C1153" t="str">
            <v>MDNGB12</v>
          </cell>
          <cell r="D1153">
            <v>90901021927506</v>
          </cell>
          <cell r="F1153" t="str">
            <v>Tidak</v>
          </cell>
          <cell r="G1153" t="str">
            <v>Tidak</v>
          </cell>
          <cell r="H1153" t="str">
            <v>Tidak</v>
          </cell>
          <cell r="I1153" t="str">
            <v>Bandar Judol Withdrawal</v>
          </cell>
          <cell r="J1153">
            <v>35</v>
          </cell>
          <cell r="K1153" t="str">
            <v>86,88,87</v>
          </cell>
          <cell r="L1153" t="str">
            <v>Judi Online</v>
          </cell>
          <cell r="M1153" t="str">
            <v xml:space="preserve">Kas Kanpus                              </v>
          </cell>
          <cell r="N1153" t="str">
            <v xml:space="preserve">Kas Kanpus                              </v>
          </cell>
          <cell r="O1153" t="str">
            <v xml:space="preserve">KAS KANPUS                              </v>
          </cell>
          <cell r="R1153" t="str">
            <v>Belum TL</v>
          </cell>
          <cell r="S1153" t="str">
            <v>Belum TL</v>
          </cell>
          <cell r="T1153" t="str">
            <v>00394521 - Muhammad Hibbanduta</v>
          </cell>
          <cell r="U1153" t="str">
            <v>"-"</v>
          </cell>
        </row>
        <row r="1154">
          <cell r="A1154">
            <v>46265</v>
          </cell>
          <cell r="B1154" t="str">
            <v xml:space="preserve">M FIERLY RAMADHANI                      </v>
          </cell>
          <cell r="C1154" t="str">
            <v>MDNVG76</v>
          </cell>
          <cell r="D1154">
            <v>60601002101567</v>
          </cell>
          <cell r="F1154" t="str">
            <v>Tidak</v>
          </cell>
          <cell r="G1154" t="str">
            <v>Tidak</v>
          </cell>
          <cell r="I1154" t="str">
            <v>Jual Beli Rekening - E channel Trx</v>
          </cell>
          <cell r="J1154">
            <v>33</v>
          </cell>
          <cell r="K1154">
            <v>113</v>
          </cell>
          <cell r="L1154" t="str">
            <v>Narkotika/Judi Online/Penipuan</v>
          </cell>
          <cell r="M1154" t="str">
            <v xml:space="preserve">KC Abunjani Sipin                       </v>
          </cell>
          <cell r="N1154" t="str">
            <v xml:space="preserve">KC Abunjani Sipin                       </v>
          </cell>
          <cell r="O1154" t="str">
            <v xml:space="preserve">Palembang                               </v>
          </cell>
          <cell r="R1154" t="str">
            <v>Belum TL</v>
          </cell>
          <cell r="S1154" t="str">
            <v>Belum TL</v>
          </cell>
          <cell r="U1154" t="str">
            <v>"-"</v>
          </cell>
        </row>
        <row r="1155">
          <cell r="A1155">
            <v>46265</v>
          </cell>
          <cell r="B1155" t="str">
            <v xml:space="preserve">MUHAMMAD MALDINI                        </v>
          </cell>
          <cell r="C1155" t="str">
            <v>MDOEM86</v>
          </cell>
          <cell r="D1155">
            <v>742701000050569</v>
          </cell>
          <cell r="F1155" t="str">
            <v>Tidak</v>
          </cell>
          <cell r="G1155" t="str">
            <v>Tidak</v>
          </cell>
          <cell r="H1155" t="str">
            <v>Tidak</v>
          </cell>
          <cell r="I1155" t="str">
            <v>Bandar Judol Withdrawal</v>
          </cell>
          <cell r="J1155">
            <v>35</v>
          </cell>
          <cell r="K1155" t="str">
            <v>86,88,87</v>
          </cell>
          <cell r="L1155" t="str">
            <v>Judi Online</v>
          </cell>
          <cell r="M1155" t="str">
            <v xml:space="preserve">Kas Kanpus                              </v>
          </cell>
          <cell r="N1155" t="str">
            <v xml:space="preserve">Kas Kanpus                              </v>
          </cell>
          <cell r="O1155" t="str">
            <v xml:space="preserve">KAS KANPUS                              </v>
          </cell>
          <cell r="R1155" t="str">
            <v>Belum TL</v>
          </cell>
          <cell r="S1155" t="str">
            <v>Belum TL</v>
          </cell>
          <cell r="T1155" t="str">
            <v>90171841 - Rifqi Aziz</v>
          </cell>
          <cell r="U1155" t="str">
            <v>"-"</v>
          </cell>
        </row>
        <row r="1156">
          <cell r="A1156">
            <v>46265</v>
          </cell>
          <cell r="B1156" t="str">
            <v xml:space="preserve">MULYONO                                 </v>
          </cell>
          <cell r="C1156" t="str">
            <v>MDOKQ97</v>
          </cell>
          <cell r="D1156">
            <v>528601007889507</v>
          </cell>
          <cell r="F1156" t="str">
            <v>Tidak</v>
          </cell>
          <cell r="G1156" t="str">
            <v>Tidak</v>
          </cell>
          <cell r="H1156" t="str">
            <v>Tidak</v>
          </cell>
          <cell r="I1156" t="str">
            <v>Bandar Judol Withdrawal</v>
          </cell>
          <cell r="J1156">
            <v>35</v>
          </cell>
          <cell r="K1156" t="str">
            <v>86,88,87</v>
          </cell>
          <cell r="L1156" t="str">
            <v>Judi Online</v>
          </cell>
          <cell r="M1156" t="str">
            <v xml:space="preserve">Kas Kanpus                              </v>
          </cell>
          <cell r="N1156" t="str">
            <v xml:space="preserve">Kas Kanpus                              </v>
          </cell>
          <cell r="O1156" t="str">
            <v xml:space="preserve">KAS KANPUS                              </v>
          </cell>
          <cell r="R1156" t="str">
            <v>Belum TL</v>
          </cell>
          <cell r="S1156" t="str">
            <v>Belum TL</v>
          </cell>
          <cell r="T1156" t="str">
            <v>90186796 - Devito Arya Wiradila</v>
          </cell>
          <cell r="U1156" t="str">
            <v>"-"</v>
          </cell>
        </row>
        <row r="1157">
          <cell r="A1157">
            <v>46265</v>
          </cell>
          <cell r="B1157" t="str">
            <v xml:space="preserve">M MUZAMMIL EFENDI                       </v>
          </cell>
          <cell r="C1157" t="str">
            <v>MDRVK53</v>
          </cell>
          <cell r="D1157">
            <v>1901151975501</v>
          </cell>
          <cell r="F1157" t="str">
            <v>Tidak</v>
          </cell>
          <cell r="G1157" t="str">
            <v>Tidak</v>
          </cell>
          <cell r="H1157" t="str">
            <v>Tidak</v>
          </cell>
          <cell r="I1157" t="str">
            <v>Bandar Judol Withdrawal</v>
          </cell>
          <cell r="J1157">
            <v>35</v>
          </cell>
          <cell r="K1157" t="str">
            <v>86,88,87</v>
          </cell>
          <cell r="L1157" t="str">
            <v>Judi Online</v>
          </cell>
          <cell r="M1157" t="str">
            <v xml:space="preserve">Kas Kanpus                              </v>
          </cell>
          <cell r="N1157" t="str">
            <v xml:space="preserve">Kas Kanpus                              </v>
          </cell>
          <cell r="O1157" t="str">
            <v xml:space="preserve">KAS KANPUS                              </v>
          </cell>
          <cell r="R1157" t="str">
            <v>Belum TL</v>
          </cell>
          <cell r="S1157" t="str">
            <v>Belum TL</v>
          </cell>
          <cell r="T1157" t="str">
            <v>90171841 - Rifqi Aziz</v>
          </cell>
          <cell r="U1157" t="str">
            <v>"-"</v>
          </cell>
        </row>
        <row r="1158">
          <cell r="A1158">
            <v>46265</v>
          </cell>
          <cell r="B1158" t="str">
            <v xml:space="preserve">MISBAUL MUNIR                           </v>
          </cell>
          <cell r="C1158" t="str">
            <v>MDSEZ72</v>
          </cell>
          <cell r="D1158">
            <v>725401012349507</v>
          </cell>
          <cell r="F1158" t="str">
            <v>Tidak</v>
          </cell>
          <cell r="G1158" t="str">
            <v>Tidak</v>
          </cell>
          <cell r="I1158" t="str">
            <v>Jual Beli Rekening - E channel Trx</v>
          </cell>
          <cell r="J1158">
            <v>33</v>
          </cell>
          <cell r="K1158">
            <v>113</v>
          </cell>
          <cell r="L1158" t="str">
            <v>Narkotika/Judi Online/Penipuan</v>
          </cell>
          <cell r="M1158" t="str">
            <v xml:space="preserve">UNIT KAYURINGIN BEKASI                  </v>
          </cell>
          <cell r="N1158" t="str">
            <v xml:space="preserve">KC Bekasi                               </v>
          </cell>
          <cell r="O1158" t="str">
            <v xml:space="preserve">DKI2                                    </v>
          </cell>
          <cell r="R1158" t="str">
            <v>Belum TL</v>
          </cell>
          <cell r="S1158" t="str">
            <v>Belum TL</v>
          </cell>
          <cell r="U1158" t="str">
            <v>"-"</v>
          </cell>
        </row>
        <row r="1159">
          <cell r="A1159">
            <v>46265</v>
          </cell>
          <cell r="B1159" t="str">
            <v xml:space="preserve">MOH. ANDIKA                             </v>
          </cell>
          <cell r="C1159" t="str">
            <v>MDSFL72</v>
          </cell>
          <cell r="D1159">
            <v>106801011133506</v>
          </cell>
          <cell r="F1159" t="str">
            <v>Tidak</v>
          </cell>
          <cell r="G1159" t="str">
            <v>Tidak</v>
          </cell>
          <cell r="H1159" t="str">
            <v>Tidak</v>
          </cell>
          <cell r="I1159" t="str">
            <v>Bandar Judol Withdrawal</v>
          </cell>
          <cell r="J1159">
            <v>35</v>
          </cell>
          <cell r="K1159" t="str">
            <v>86,88,87</v>
          </cell>
          <cell r="L1159" t="str">
            <v>Judi Online</v>
          </cell>
          <cell r="M1159" t="str">
            <v xml:space="preserve">Kas Kanpus                              </v>
          </cell>
          <cell r="N1159" t="str">
            <v xml:space="preserve">Kas Kanpus                              </v>
          </cell>
          <cell r="O1159" t="str">
            <v xml:space="preserve">KAS KANPUS                              </v>
          </cell>
          <cell r="R1159" t="str">
            <v>Belum TL</v>
          </cell>
          <cell r="S1159" t="str">
            <v>Belum TL</v>
          </cell>
          <cell r="T1159" t="str">
            <v>90185537 - Moh.Khoerul Fajar Ar</v>
          </cell>
          <cell r="U1159" t="str">
            <v>"-"</v>
          </cell>
        </row>
        <row r="1160">
          <cell r="A1160">
            <v>46265</v>
          </cell>
          <cell r="B1160" t="str">
            <v xml:space="preserve">MUH RAMADHAN                            </v>
          </cell>
          <cell r="C1160" t="str">
            <v>MDUDV54</v>
          </cell>
          <cell r="D1160">
            <v>64201099744500</v>
          </cell>
          <cell r="F1160" t="str">
            <v>Tidak</v>
          </cell>
          <cell r="G1160" t="str">
            <v>Tidak</v>
          </cell>
          <cell r="H1160" t="str">
            <v>Tidak</v>
          </cell>
          <cell r="I1160" t="str">
            <v>Bandar Judol Depo</v>
          </cell>
          <cell r="J1160">
            <v>35</v>
          </cell>
          <cell r="K1160" t="str">
            <v>86,74,87</v>
          </cell>
          <cell r="L1160" t="str">
            <v>Judi Online</v>
          </cell>
          <cell r="M1160" t="str">
            <v xml:space="preserve">Kas Kanpus                              </v>
          </cell>
          <cell r="N1160" t="str">
            <v xml:space="preserve">Kas Kanpus                              </v>
          </cell>
          <cell r="O1160" t="str">
            <v xml:space="preserve">KAS KANPUS                              </v>
          </cell>
          <cell r="R1160" t="str">
            <v>Belum TL</v>
          </cell>
          <cell r="S1160" t="str">
            <v>Belum TL</v>
          </cell>
          <cell r="T1160" t="str">
            <v>90185538 - Muhammad Fahikal Auz</v>
          </cell>
          <cell r="U1160" t="str">
            <v>"-"</v>
          </cell>
        </row>
        <row r="1161">
          <cell r="A1161">
            <v>46265</v>
          </cell>
          <cell r="B1161" t="str">
            <v xml:space="preserve">MARCELL SAIFUL FAJRI                    </v>
          </cell>
          <cell r="C1161" t="str">
            <v>MEACE02</v>
          </cell>
          <cell r="D1161">
            <v>119101022606509</v>
          </cell>
          <cell r="F1161" t="str">
            <v>Tidak</v>
          </cell>
          <cell r="G1161" t="str">
            <v>Tidak</v>
          </cell>
          <cell r="H1161" t="str">
            <v>Tidak</v>
          </cell>
          <cell r="I1161" t="str">
            <v>Bandar Judol Depo</v>
          </cell>
          <cell r="J1161">
            <v>35</v>
          </cell>
          <cell r="K1161" t="str">
            <v>86,74,87</v>
          </cell>
          <cell r="L1161" t="str">
            <v>Judi Online</v>
          </cell>
          <cell r="M1161" t="str">
            <v xml:space="preserve">Kas Kanpus                              </v>
          </cell>
          <cell r="N1161" t="str">
            <v xml:space="preserve">Kas Kanpus                              </v>
          </cell>
          <cell r="O1161" t="str">
            <v xml:space="preserve">KAS KANPUS                              </v>
          </cell>
          <cell r="R1161" t="str">
            <v>Belum TL</v>
          </cell>
          <cell r="S1161" t="str">
            <v>Belum TL</v>
          </cell>
          <cell r="T1161" t="str">
            <v>90171841 - Rifqi Aziz</v>
          </cell>
          <cell r="U1161" t="str">
            <v>"-"</v>
          </cell>
        </row>
        <row r="1162">
          <cell r="A1162">
            <v>46265</v>
          </cell>
          <cell r="B1162" t="str">
            <v xml:space="preserve">MEDIKA SETIARA GEMILANG                 </v>
          </cell>
          <cell r="C1162" t="str">
            <v>MEADG03</v>
          </cell>
          <cell r="D1162">
            <v>211201000716155</v>
          </cell>
          <cell r="F1162" t="str">
            <v>Tidak</v>
          </cell>
          <cell r="G1162" t="str">
            <v>Tidak</v>
          </cell>
          <cell r="H1162" t="str">
            <v>Tidak</v>
          </cell>
          <cell r="I1162" t="str">
            <v>Korupsi - Loan View</v>
          </cell>
          <cell r="J1162">
            <v>33</v>
          </cell>
          <cell r="K1162">
            <v>15</v>
          </cell>
          <cell r="L1162" t="str">
            <v>Korupsi</v>
          </cell>
          <cell r="M1162" t="str">
            <v>Kas Kanpus</v>
          </cell>
          <cell r="N1162" t="str">
            <v>Kas Kanpus</v>
          </cell>
          <cell r="O1162" t="str">
            <v>KAS KANPUS</v>
          </cell>
          <cell r="R1162" t="str">
            <v>Belum TL</v>
          </cell>
          <cell r="S1162" t="str">
            <v>Belum TL</v>
          </cell>
          <cell r="T1162" t="str">
            <v>00394520 - Frida Akbar Rani</v>
          </cell>
          <cell r="U1162" t="str">
            <v>"-"</v>
          </cell>
        </row>
        <row r="1163">
          <cell r="A1163">
            <v>46265</v>
          </cell>
          <cell r="B1163" t="str">
            <v xml:space="preserve">MUHAMMAD REZA PRATAMA                   </v>
          </cell>
          <cell r="C1163" t="str">
            <v>MEANE34</v>
          </cell>
          <cell r="D1163">
            <v>324801006465506</v>
          </cell>
          <cell r="F1163" t="str">
            <v>Tidak</v>
          </cell>
          <cell r="G1163" t="str">
            <v>Tidak</v>
          </cell>
          <cell r="H1163" t="str">
            <v>Tidak</v>
          </cell>
          <cell r="I1163" t="str">
            <v>Bandar Judol Withdrawal</v>
          </cell>
          <cell r="J1163">
            <v>35</v>
          </cell>
          <cell r="K1163" t="str">
            <v>86,88,87</v>
          </cell>
          <cell r="L1163" t="str">
            <v>Judi Online</v>
          </cell>
          <cell r="M1163" t="str">
            <v xml:space="preserve">Kas Kanpus                              </v>
          </cell>
          <cell r="N1163" t="str">
            <v xml:space="preserve">Kas Kanpus                              </v>
          </cell>
          <cell r="O1163" t="str">
            <v xml:space="preserve">KAS KANPUS                              </v>
          </cell>
          <cell r="R1163" t="str">
            <v>Belum TL</v>
          </cell>
          <cell r="S1163" t="str">
            <v>Belum TL</v>
          </cell>
          <cell r="T1163" t="str">
            <v>90171841 - Rifqi Aziz</v>
          </cell>
          <cell r="U1163" t="str">
            <v>"-"</v>
          </cell>
        </row>
        <row r="1164">
          <cell r="A1164">
            <v>46265</v>
          </cell>
          <cell r="B1164" t="str">
            <v xml:space="preserve">MUHAMAD MUTTAQIN HAESYI                 </v>
          </cell>
          <cell r="C1164" t="str">
            <v>MEBEB49</v>
          </cell>
          <cell r="D1164">
            <v>479601074752509</v>
          </cell>
          <cell r="F1164" t="str">
            <v>Tidak</v>
          </cell>
          <cell r="G1164" t="str">
            <v>Tidak</v>
          </cell>
          <cell r="I1164" t="str">
            <v>Jual Beli Rekening - E channel Trx</v>
          </cell>
          <cell r="J1164">
            <v>33</v>
          </cell>
          <cell r="K1164">
            <v>113</v>
          </cell>
          <cell r="L1164" t="str">
            <v>Narkotika/Judi Online/Penipuan</v>
          </cell>
          <cell r="M1164" t="str">
            <v xml:space="preserve">UNIT CIBUNG BULANGÂ BOGOR                </v>
          </cell>
          <cell r="N1164" t="str">
            <v xml:space="preserve">KC Bogor                                </v>
          </cell>
          <cell r="O1164" t="str">
            <v xml:space="preserve">DKI2                                    </v>
          </cell>
          <cell r="R1164" t="str">
            <v>Belum TL</v>
          </cell>
          <cell r="S1164" t="str">
            <v>Belum TL</v>
          </cell>
          <cell r="U1164" t="str">
            <v>"-"</v>
          </cell>
        </row>
        <row r="1165">
          <cell r="A1165">
            <v>46265</v>
          </cell>
          <cell r="B1165" t="str">
            <v xml:space="preserve">MAMAN ANDREAS                           </v>
          </cell>
          <cell r="C1165" t="str">
            <v>MEBF616</v>
          </cell>
          <cell r="D1165">
            <v>818201010628531</v>
          </cell>
          <cell r="E1165" t="str">
            <v>TINGGI</v>
          </cell>
          <cell r="F1165" t="str">
            <v>Tidak</v>
          </cell>
          <cell r="G1165" t="str">
            <v>Tidak</v>
          </cell>
          <cell r="H1165" t="str">
            <v>Tidak</v>
          </cell>
          <cell r="I1165" t="str">
            <v>Terorisme - SIPENDAR</v>
          </cell>
          <cell r="J1165">
            <v>185</v>
          </cell>
          <cell r="K1165">
            <v>36</v>
          </cell>
          <cell r="L1165" t="str">
            <v>Terorisme</v>
          </cell>
          <cell r="M1165" t="str">
            <v xml:space="preserve">Kas Kanpus                              </v>
          </cell>
          <cell r="N1165" t="str">
            <v xml:space="preserve">Kas Kanpus                              </v>
          </cell>
          <cell r="O1165" t="str">
            <v xml:space="preserve">KAS KANPUS                              </v>
          </cell>
          <cell r="R1165" t="str">
            <v>Belum TL</v>
          </cell>
          <cell r="S1165" t="str">
            <v>Belum TL</v>
          </cell>
          <cell r="T1165" t="str">
            <v>90171841 - Rifqi Aziz</v>
          </cell>
          <cell r="U1165" t="str">
            <v>"-"</v>
          </cell>
        </row>
        <row r="1166">
          <cell r="A1166">
            <v>46265</v>
          </cell>
          <cell r="B1166" t="str">
            <v xml:space="preserve">MEDI SAPUTRA                            </v>
          </cell>
          <cell r="C1166" t="str">
            <v>MEBGR50</v>
          </cell>
          <cell r="D1166">
            <v>789301003319503</v>
          </cell>
          <cell r="F1166" t="str">
            <v>Tidak</v>
          </cell>
          <cell r="G1166" t="str">
            <v>Tidak</v>
          </cell>
          <cell r="H1166" t="str">
            <v>Tidak</v>
          </cell>
          <cell r="I1166" t="str">
            <v>Bandar Judol Withdrawal</v>
          </cell>
          <cell r="J1166">
            <v>35</v>
          </cell>
          <cell r="K1166" t="str">
            <v>86,88,87</v>
          </cell>
          <cell r="L1166" t="str">
            <v>Judi Online</v>
          </cell>
          <cell r="M1166" t="str">
            <v xml:space="preserve">Kas Kanpus                              </v>
          </cell>
          <cell r="N1166" t="str">
            <v xml:space="preserve">Kas Kanpus                              </v>
          </cell>
          <cell r="O1166" t="str">
            <v xml:space="preserve">KAS KANPUS                              </v>
          </cell>
          <cell r="R1166" t="str">
            <v>Belum TL</v>
          </cell>
          <cell r="S1166" t="str">
            <v>Belum TL</v>
          </cell>
          <cell r="T1166" t="str">
            <v>00394521 - Muhammad Hibbanduta</v>
          </cell>
          <cell r="U1166" t="str">
            <v>"-"</v>
          </cell>
        </row>
        <row r="1167">
          <cell r="A1167">
            <v>46265</v>
          </cell>
          <cell r="B1167" t="str">
            <v xml:space="preserve">MUHAMMAD TAQI RAMADHAN                  </v>
          </cell>
          <cell r="C1167" t="str">
            <v>MEBJW16</v>
          </cell>
          <cell r="D1167">
            <v>721001014254506</v>
          </cell>
          <cell r="F1167" t="str">
            <v>Tidak</v>
          </cell>
          <cell r="G1167" t="str">
            <v>Tidak</v>
          </cell>
          <cell r="H1167" t="str">
            <v>Tidak</v>
          </cell>
          <cell r="I1167" t="str">
            <v>Bandar Judol Withdrawal</v>
          </cell>
          <cell r="J1167">
            <v>35</v>
          </cell>
          <cell r="K1167" t="str">
            <v>86,88,87</v>
          </cell>
          <cell r="L1167" t="str">
            <v>Judi Online</v>
          </cell>
          <cell r="M1167" t="str">
            <v xml:space="preserve">Kas Kanpus                              </v>
          </cell>
          <cell r="N1167" t="str">
            <v xml:space="preserve">Kas Kanpus                              </v>
          </cell>
          <cell r="O1167" t="str">
            <v xml:space="preserve">KAS KANPUS                              </v>
          </cell>
          <cell r="R1167" t="str">
            <v>Belum TL</v>
          </cell>
          <cell r="S1167" t="str">
            <v>Belum TL</v>
          </cell>
          <cell r="T1167" t="str">
            <v>90171841 - Rifqi Aziz</v>
          </cell>
          <cell r="U1167" t="str">
            <v>"-"</v>
          </cell>
        </row>
        <row r="1168">
          <cell r="A1168">
            <v>46265</v>
          </cell>
          <cell r="B1168" t="str">
            <v xml:space="preserve">MUSDAH MULIANA                          </v>
          </cell>
          <cell r="C1168" t="str">
            <v>MEBRJ82</v>
          </cell>
          <cell r="D1168">
            <v>505701005082506</v>
          </cell>
          <cell r="F1168" t="str">
            <v>Tidak</v>
          </cell>
          <cell r="G1168" t="str">
            <v>Tidak</v>
          </cell>
          <cell r="I1168" t="str">
            <v>Jual Beli Rekening - E channel Trx</v>
          </cell>
          <cell r="J1168">
            <v>33</v>
          </cell>
          <cell r="K1168">
            <v>113</v>
          </cell>
          <cell r="L1168" t="str">
            <v>Narkotika/Judi Online/Penipuan</v>
          </cell>
          <cell r="M1168" t="str">
            <v xml:space="preserve">UNIT BARANTI SIDRAP                     </v>
          </cell>
          <cell r="N1168" t="str">
            <v xml:space="preserve">KC Sidrap                               </v>
          </cell>
          <cell r="O1168" t="str">
            <v xml:space="preserve">Makassar                                </v>
          </cell>
          <cell r="R1168" t="str">
            <v>Belum TL</v>
          </cell>
          <cell r="S1168" t="str">
            <v>Belum TL</v>
          </cell>
          <cell r="U1168" t="str">
            <v>"-"</v>
          </cell>
        </row>
        <row r="1169">
          <cell r="A1169">
            <v>46265</v>
          </cell>
          <cell r="B1169" t="str">
            <v xml:space="preserve">MHD IQBAL DAULAY                        </v>
          </cell>
          <cell r="C1169" t="str">
            <v>MEBVD93</v>
          </cell>
          <cell r="D1169">
            <v>338301017062503</v>
          </cell>
          <cell r="F1169" t="str">
            <v>Tidak</v>
          </cell>
          <cell r="G1169" t="str">
            <v>Tidak</v>
          </cell>
          <cell r="H1169" t="str">
            <v>Tidak</v>
          </cell>
          <cell r="I1169" t="str">
            <v>Bandar Judol Withdrawal</v>
          </cell>
          <cell r="J1169">
            <v>35</v>
          </cell>
          <cell r="K1169" t="str">
            <v>86,88,87</v>
          </cell>
          <cell r="L1169" t="str">
            <v>Judi Online</v>
          </cell>
          <cell r="M1169" t="str">
            <v xml:space="preserve">Kas Kanpus                              </v>
          </cell>
          <cell r="N1169" t="str">
            <v xml:space="preserve">Kas Kanpus                              </v>
          </cell>
          <cell r="O1169" t="str">
            <v xml:space="preserve">KAS KANPUS                              </v>
          </cell>
          <cell r="R1169" t="str">
            <v>Belum TL</v>
          </cell>
          <cell r="S1169" t="str">
            <v>Belum TL</v>
          </cell>
          <cell r="T1169" t="str">
            <v>00336949 - Mochammad Al Farabi</v>
          </cell>
          <cell r="U1169" t="str">
            <v>"-"</v>
          </cell>
        </row>
        <row r="1170">
          <cell r="A1170">
            <v>46265</v>
          </cell>
          <cell r="B1170" t="str">
            <v xml:space="preserve">MOH FADLI                               </v>
          </cell>
          <cell r="C1170" t="str">
            <v>MEBKP65</v>
          </cell>
          <cell r="D1170">
            <v>522701019319104</v>
          </cell>
          <cell r="F1170" t="str">
            <v>Tidak</v>
          </cell>
          <cell r="G1170" t="str">
            <v>Tidak</v>
          </cell>
          <cell r="H1170" t="str">
            <v>Tidak</v>
          </cell>
          <cell r="I1170" t="str">
            <v>Korupsi - Loan View</v>
          </cell>
          <cell r="J1170">
            <v>33</v>
          </cell>
          <cell r="K1170">
            <v>15</v>
          </cell>
          <cell r="L1170" t="str">
            <v>Korupsi</v>
          </cell>
          <cell r="M1170" t="str">
            <v>Kas Kanpus</v>
          </cell>
          <cell r="N1170" t="str">
            <v>Kas Kanpus</v>
          </cell>
          <cell r="O1170" t="str">
            <v>KAS KANPUS</v>
          </cell>
          <cell r="R1170" t="str">
            <v>Belum TL</v>
          </cell>
          <cell r="S1170" t="str">
            <v>Belum TL</v>
          </cell>
          <cell r="T1170" t="str">
            <v>00394521 - Muhammad Hibbanduta</v>
          </cell>
          <cell r="U1170" t="str">
            <v>"-"</v>
          </cell>
        </row>
        <row r="1171">
          <cell r="A1171">
            <v>46265</v>
          </cell>
          <cell r="B1171" t="str">
            <v xml:space="preserve">MUHAMMAD SHAUPI RAMADHANI               </v>
          </cell>
          <cell r="C1171" t="str">
            <v>MECFM90</v>
          </cell>
          <cell r="D1171">
            <v>24901065573501</v>
          </cell>
          <cell r="F1171" t="str">
            <v>Tidak</v>
          </cell>
          <cell r="G1171" t="str">
            <v>Tidak</v>
          </cell>
          <cell r="H1171" t="str">
            <v>Tidak</v>
          </cell>
          <cell r="I1171" t="str">
            <v>Bandar Judol Withdrawal</v>
          </cell>
          <cell r="J1171">
            <v>35</v>
          </cell>
          <cell r="K1171" t="str">
            <v>86,88,87</v>
          </cell>
          <cell r="L1171" t="str">
            <v>Judi Online</v>
          </cell>
          <cell r="M1171" t="str">
            <v xml:space="preserve">Kas Kanpus                              </v>
          </cell>
          <cell r="N1171" t="str">
            <v xml:space="preserve">Kas Kanpus                              </v>
          </cell>
          <cell r="O1171" t="str">
            <v xml:space="preserve">KAS KANPUS                              </v>
          </cell>
          <cell r="R1171" t="str">
            <v>Belum TL</v>
          </cell>
          <cell r="S1171" t="str">
            <v>Belum TL</v>
          </cell>
          <cell r="T1171" t="str">
            <v>90185538 - Muhammad Fahikal Auz</v>
          </cell>
          <cell r="U1171" t="str">
            <v>"-"</v>
          </cell>
        </row>
        <row r="1172">
          <cell r="A1172">
            <v>46265</v>
          </cell>
          <cell r="B1172" t="str">
            <v xml:space="preserve">MILLATUL ISLAMIYAH                      </v>
          </cell>
          <cell r="C1172" t="str">
            <v>MECKG66</v>
          </cell>
          <cell r="D1172">
            <v>364001019570502</v>
          </cell>
          <cell r="F1172" t="str">
            <v>Tidak</v>
          </cell>
          <cell r="G1172" t="str">
            <v>Tidak</v>
          </cell>
          <cell r="I1172" t="str">
            <v>Jual Beli Rekening - E channel Trx</v>
          </cell>
          <cell r="J1172">
            <v>33</v>
          </cell>
          <cell r="K1172">
            <v>113</v>
          </cell>
          <cell r="L1172" t="str">
            <v>Narkotika/Judi Online/Penipuan</v>
          </cell>
          <cell r="M1172" t="str">
            <v xml:space="preserve">UNIT NGORO JOMBANG                      </v>
          </cell>
          <cell r="N1172" t="str">
            <v xml:space="preserve">KC Jombang                              </v>
          </cell>
          <cell r="O1172" t="str">
            <v xml:space="preserve">Surabaya                                </v>
          </cell>
          <cell r="R1172" t="str">
            <v>Belum TL</v>
          </cell>
          <cell r="S1172" t="str">
            <v>Belum TL</v>
          </cell>
          <cell r="U1172" t="str">
            <v>"-"</v>
          </cell>
        </row>
        <row r="1173">
          <cell r="A1173">
            <v>46265</v>
          </cell>
          <cell r="B1173" t="str">
            <v xml:space="preserve">MUKLISIN                                </v>
          </cell>
          <cell r="C1173" t="str">
            <v>MECOY47</v>
          </cell>
          <cell r="D1173">
            <v>597201013120508</v>
          </cell>
          <cell r="F1173" t="str">
            <v>Tidak</v>
          </cell>
          <cell r="G1173" t="str">
            <v>Tidak</v>
          </cell>
          <cell r="H1173" t="str">
            <v>Tidak</v>
          </cell>
          <cell r="I1173" t="str">
            <v>Bandar Judol Withdrawal</v>
          </cell>
          <cell r="J1173">
            <v>35</v>
          </cell>
          <cell r="K1173" t="str">
            <v>86,88,87</v>
          </cell>
          <cell r="L1173" t="str">
            <v>Judi Online</v>
          </cell>
          <cell r="M1173" t="str">
            <v xml:space="preserve">Kas Kanpus                              </v>
          </cell>
          <cell r="N1173" t="str">
            <v xml:space="preserve">Kas Kanpus                              </v>
          </cell>
          <cell r="O1173" t="str">
            <v xml:space="preserve">KAS KANPUS                              </v>
          </cell>
          <cell r="R1173" t="str">
            <v>Belum TL</v>
          </cell>
          <cell r="S1173" t="str">
            <v>Belum TL</v>
          </cell>
          <cell r="T1173" t="str">
            <v>00394521 - Muhammad Hibbanduta</v>
          </cell>
          <cell r="U1173" t="str">
            <v>"-"</v>
          </cell>
        </row>
        <row r="1174">
          <cell r="A1174">
            <v>46265</v>
          </cell>
          <cell r="B1174" t="str">
            <v xml:space="preserve">MUKHAMAD AJAT SUDRAJAT                  </v>
          </cell>
          <cell r="C1174" t="str">
            <v>MECZJ10</v>
          </cell>
          <cell r="D1174">
            <v>44501002438568</v>
          </cell>
          <cell r="F1174" t="str">
            <v>Tidak</v>
          </cell>
          <cell r="G1174" t="str">
            <v>Tidak</v>
          </cell>
          <cell r="H1174" t="str">
            <v>Tidak</v>
          </cell>
          <cell r="I1174" t="str">
            <v>Bandar Judol Depo</v>
          </cell>
          <cell r="J1174">
            <v>35</v>
          </cell>
          <cell r="K1174" t="str">
            <v>86,74,87</v>
          </cell>
          <cell r="L1174" t="str">
            <v>Judi Online</v>
          </cell>
          <cell r="M1174" t="str">
            <v xml:space="preserve">Kas Kanpus                              </v>
          </cell>
          <cell r="N1174" t="str">
            <v xml:space="preserve">Kas Kanpus                              </v>
          </cell>
          <cell r="O1174" t="str">
            <v xml:space="preserve">KAS KANPUS                              </v>
          </cell>
          <cell r="R1174" t="str">
            <v>Belum TL</v>
          </cell>
          <cell r="S1174" t="str">
            <v>Belum TL</v>
          </cell>
          <cell r="T1174" t="str">
            <v>90171841 - Rifqi Aziz</v>
          </cell>
          <cell r="U1174" t="str">
            <v>"-"</v>
          </cell>
        </row>
        <row r="1175">
          <cell r="A1175">
            <v>46265</v>
          </cell>
          <cell r="B1175" t="str">
            <v xml:space="preserve">MOCHAMAD DEVI IRAMA                     </v>
          </cell>
          <cell r="C1175" t="str">
            <v>MEDDJ81</v>
          </cell>
          <cell r="D1175">
            <v>40101004048565</v>
          </cell>
          <cell r="F1175" t="str">
            <v>Tidak</v>
          </cell>
          <cell r="G1175" t="str">
            <v>Tidak</v>
          </cell>
          <cell r="H1175" t="str">
            <v>Tidak</v>
          </cell>
          <cell r="I1175" t="str">
            <v>Bandar Judol Withdrawal</v>
          </cell>
          <cell r="J1175">
            <v>35</v>
          </cell>
          <cell r="K1175" t="str">
            <v>86,88,87</v>
          </cell>
          <cell r="L1175" t="str">
            <v>Judi Online</v>
          </cell>
          <cell r="M1175" t="str">
            <v xml:space="preserve">Kas Kanpus                              </v>
          </cell>
          <cell r="N1175" t="str">
            <v xml:space="preserve">Kas Kanpus                              </v>
          </cell>
          <cell r="O1175" t="str">
            <v xml:space="preserve">KAS KANPUS                              </v>
          </cell>
          <cell r="R1175" t="str">
            <v>Belum TL</v>
          </cell>
          <cell r="S1175" t="str">
            <v>Belum TL</v>
          </cell>
          <cell r="T1175" t="str">
            <v>00336949 - Mochammad Al Farabi</v>
          </cell>
          <cell r="U1175" t="str">
            <v>"-"</v>
          </cell>
        </row>
        <row r="1176">
          <cell r="A1176">
            <v>46265</v>
          </cell>
          <cell r="B1176" t="str">
            <v xml:space="preserve">MASTER MIND TRADING                     </v>
          </cell>
          <cell r="C1176" t="str">
            <v>MEDGP12</v>
          </cell>
          <cell r="D1176">
            <v>62128000017304</v>
          </cell>
          <cell r="F1176" t="str">
            <v>Tidak</v>
          </cell>
          <cell r="G1176" t="str">
            <v>Tidak</v>
          </cell>
          <cell r="H1176" t="str">
            <v>Tidak</v>
          </cell>
          <cell r="I1176" t="str">
            <v>Business Email Compromise (BEC)</v>
          </cell>
          <cell r="J1176">
            <v>30</v>
          </cell>
          <cell r="K1176">
            <v>94</v>
          </cell>
          <cell r="L1176" t="str">
            <v>Penipuan</v>
          </cell>
          <cell r="M1176" t="str">
            <v xml:space="preserve">KC Batam Center                         </v>
          </cell>
          <cell r="N1176" t="str">
            <v xml:space="preserve">KC Batam Center                         </v>
          </cell>
          <cell r="O1176" t="str">
            <v xml:space="preserve">KANWIL PEKANBARU                        </v>
          </cell>
          <cell r="R1176" t="str">
            <v>Belum TL</v>
          </cell>
          <cell r="S1176" t="str">
            <v>Belum TL</v>
          </cell>
          <cell r="T1176" t="str">
            <v>90186790 - Muhammad Alfin Farha</v>
          </cell>
          <cell r="U1176" t="str">
            <v>"-"</v>
          </cell>
        </row>
        <row r="1177">
          <cell r="A1177">
            <v>46265</v>
          </cell>
          <cell r="B1177" t="str">
            <v xml:space="preserve">MUHAMMAD MUHATIR                        </v>
          </cell>
          <cell r="C1177" t="str">
            <v>MEDMQ55</v>
          </cell>
          <cell r="D1177">
            <v>33101120737506</v>
          </cell>
          <cell r="F1177" t="str">
            <v>Tidak</v>
          </cell>
          <cell r="G1177" t="str">
            <v>Tidak</v>
          </cell>
          <cell r="H1177" t="str">
            <v>Tidak</v>
          </cell>
          <cell r="I1177" t="str">
            <v>Bandar Judol Depo</v>
          </cell>
          <cell r="J1177">
            <v>35</v>
          </cell>
          <cell r="K1177" t="str">
            <v>86,74,87</v>
          </cell>
          <cell r="L1177" t="str">
            <v>Judi Online</v>
          </cell>
          <cell r="M1177" t="str">
            <v xml:space="preserve">Kas Kanpus                              </v>
          </cell>
          <cell r="N1177" t="str">
            <v xml:space="preserve">Kas Kanpus                              </v>
          </cell>
          <cell r="O1177" t="str">
            <v xml:space="preserve">KAS KANPUS                              </v>
          </cell>
          <cell r="R1177" t="str">
            <v>Belum TL</v>
          </cell>
          <cell r="S1177" t="str">
            <v>Belum TL</v>
          </cell>
          <cell r="T1177" t="str">
            <v>00394521 - Muhammad Hibbanduta</v>
          </cell>
          <cell r="U1177" t="str">
            <v>"-"</v>
          </cell>
        </row>
        <row r="1178">
          <cell r="A1178">
            <v>46265</v>
          </cell>
          <cell r="B1178" t="str">
            <v xml:space="preserve">MUHAMMAD FADHEL AZHARI                  </v>
          </cell>
          <cell r="C1178" t="str">
            <v>MEDMW14</v>
          </cell>
          <cell r="D1178">
            <v>330601010338503</v>
          </cell>
          <cell r="F1178" t="str">
            <v>Tidak</v>
          </cell>
          <cell r="G1178" t="str">
            <v>Tidak</v>
          </cell>
          <cell r="I1178" t="str">
            <v>Jual Beli Rekening - E channel Trx</v>
          </cell>
          <cell r="J1178">
            <v>33</v>
          </cell>
          <cell r="K1178">
            <v>113</v>
          </cell>
          <cell r="L1178" t="str">
            <v>Narkotika/Judi Online/Penipuan</v>
          </cell>
          <cell r="M1178" t="str">
            <v xml:space="preserve">UNIT PONDOK BAMBU                       </v>
          </cell>
          <cell r="N1178" t="str">
            <v xml:space="preserve">KC JAKARTA KALIMALANG                   </v>
          </cell>
          <cell r="O1178" t="str">
            <v xml:space="preserve">DKI                                     </v>
          </cell>
          <cell r="R1178" t="str">
            <v>Belum TL</v>
          </cell>
          <cell r="S1178" t="str">
            <v>Belum TL</v>
          </cell>
          <cell r="U1178" t="str">
            <v>"-"</v>
          </cell>
        </row>
        <row r="1179">
          <cell r="A1179">
            <v>46265</v>
          </cell>
          <cell r="B1179" t="str">
            <v xml:space="preserve">MUHAMMAD RIDWAN                         </v>
          </cell>
          <cell r="C1179" t="str">
            <v>MEDNB02</v>
          </cell>
          <cell r="D1179">
            <v>801701018050505</v>
          </cell>
          <cell r="F1179" t="str">
            <v>Tidak</v>
          </cell>
          <cell r="G1179" t="str">
            <v>Tidak</v>
          </cell>
          <cell r="H1179" t="str">
            <v>Tidak</v>
          </cell>
          <cell r="I1179" t="str">
            <v>Bandar Judol Depo</v>
          </cell>
          <cell r="J1179">
            <v>35</v>
          </cell>
          <cell r="K1179" t="str">
            <v>86,74,87</v>
          </cell>
          <cell r="L1179" t="str">
            <v>Judi Online</v>
          </cell>
          <cell r="M1179" t="str">
            <v xml:space="preserve">Kas Kanpus                              </v>
          </cell>
          <cell r="N1179" t="str">
            <v xml:space="preserve">Kas Kanpus                              </v>
          </cell>
          <cell r="O1179" t="str">
            <v xml:space="preserve">KAS KANPUS                              </v>
          </cell>
          <cell r="R1179" t="str">
            <v>Belum TL</v>
          </cell>
          <cell r="S1179" t="str">
            <v>Belum TL</v>
          </cell>
          <cell r="T1179" t="str">
            <v>90185538 - Muhammad Fahikal Auz</v>
          </cell>
          <cell r="U1179" t="str">
            <v>"-"</v>
          </cell>
        </row>
        <row r="1180">
          <cell r="A1180">
            <v>46265</v>
          </cell>
          <cell r="B1180" t="str">
            <v xml:space="preserve">MHD. RAHMAN FAZRI                       </v>
          </cell>
          <cell r="C1180" t="str">
            <v>MEDWT17</v>
          </cell>
          <cell r="D1180">
            <v>532101023901507</v>
          </cell>
          <cell r="F1180" t="str">
            <v>Tidak</v>
          </cell>
          <cell r="G1180" t="str">
            <v>Tidak</v>
          </cell>
          <cell r="H1180" t="str">
            <v>Tidak</v>
          </cell>
          <cell r="I1180" t="str">
            <v>Bandar Judol Withdrawal</v>
          </cell>
          <cell r="J1180">
            <v>35</v>
          </cell>
          <cell r="K1180" t="str">
            <v>86,88,87</v>
          </cell>
          <cell r="L1180" t="str">
            <v>Judi Online</v>
          </cell>
          <cell r="M1180" t="str">
            <v xml:space="preserve">Kas Kanpus                              </v>
          </cell>
          <cell r="N1180" t="str">
            <v xml:space="preserve">Kas Kanpus                              </v>
          </cell>
          <cell r="O1180" t="str">
            <v xml:space="preserve">KAS KANPUS                              </v>
          </cell>
          <cell r="R1180" t="str">
            <v>Belum TL</v>
          </cell>
          <cell r="S1180" t="str">
            <v>Belum TL</v>
          </cell>
          <cell r="T1180" t="str">
            <v>90150130 - Intan Aida Pratiwi</v>
          </cell>
          <cell r="U1180" t="str">
            <v>"-"</v>
          </cell>
        </row>
        <row r="1181">
          <cell r="A1181">
            <v>46265</v>
          </cell>
          <cell r="B1181" t="str">
            <v xml:space="preserve">MUHAMAD BAYHAKI                         </v>
          </cell>
          <cell r="C1181" t="str">
            <v>MEEUW86</v>
          </cell>
          <cell r="D1181">
            <v>204601014010506</v>
          </cell>
          <cell r="F1181" t="str">
            <v>Tidak</v>
          </cell>
          <cell r="G1181" t="str">
            <v>Tidak</v>
          </cell>
          <cell r="H1181" t="str">
            <v>Tidak</v>
          </cell>
          <cell r="I1181" t="str">
            <v>Bandar Judol Depo</v>
          </cell>
          <cell r="J1181">
            <v>35</v>
          </cell>
          <cell r="K1181" t="str">
            <v>86,74,87</v>
          </cell>
          <cell r="L1181" t="str">
            <v>Judi Online</v>
          </cell>
          <cell r="M1181" t="str">
            <v xml:space="preserve">Kas Kanpus                              </v>
          </cell>
          <cell r="N1181" t="str">
            <v xml:space="preserve">Kas Kanpus                              </v>
          </cell>
          <cell r="O1181" t="str">
            <v xml:space="preserve">KAS KANPUS                              </v>
          </cell>
          <cell r="R1181" t="str">
            <v>Belum TL</v>
          </cell>
          <cell r="S1181" t="str">
            <v>Belum TL</v>
          </cell>
          <cell r="T1181" t="str">
            <v>90150130 - Intan Aida Pratiwi</v>
          </cell>
          <cell r="U1181" t="str">
            <v>"-"</v>
          </cell>
        </row>
        <row r="1182">
          <cell r="A1182">
            <v>46265</v>
          </cell>
          <cell r="B1182" t="str">
            <v xml:space="preserve">MABISCO                                 </v>
          </cell>
          <cell r="C1182" t="str">
            <v>MEFM179</v>
          </cell>
          <cell r="D1182">
            <v>203001000233157</v>
          </cell>
          <cell r="E1182" t="str">
            <v>SEDANG</v>
          </cell>
          <cell r="F1182" t="str">
            <v>Tidak</v>
          </cell>
          <cell r="G1182" t="str">
            <v>Tidak</v>
          </cell>
          <cell r="H1182" t="str">
            <v>Tidak</v>
          </cell>
          <cell r="I1182" t="str">
            <v>Korupsi - Loan View</v>
          </cell>
          <cell r="J1182">
            <v>48</v>
          </cell>
          <cell r="K1182">
            <v>15</v>
          </cell>
          <cell r="L1182" t="str">
            <v>Korupsi</v>
          </cell>
          <cell r="M1182" t="str">
            <v>Kas Kanpus</v>
          </cell>
          <cell r="N1182" t="str">
            <v>Kas Kanpus</v>
          </cell>
          <cell r="O1182" t="str">
            <v>KAS KANPUS</v>
          </cell>
          <cell r="R1182" t="str">
            <v>Belum TL</v>
          </cell>
          <cell r="S1182" t="str">
            <v>Belum TL</v>
          </cell>
          <cell r="T1182" t="str">
            <v>00394520 - Frida Akbar Rani</v>
          </cell>
          <cell r="U1182" t="str">
            <v>"-"</v>
          </cell>
        </row>
        <row r="1183">
          <cell r="A1183">
            <v>46265</v>
          </cell>
          <cell r="B1183" t="str">
            <v xml:space="preserve">MEKAR SARI MAKMUR                       </v>
          </cell>
          <cell r="C1183" t="str">
            <v>MEFXT12</v>
          </cell>
          <cell r="D1183">
            <v>149501000350156</v>
          </cell>
          <cell r="F1183" t="str">
            <v>Tidak</v>
          </cell>
          <cell r="G1183" t="str">
            <v>Tidak</v>
          </cell>
          <cell r="H1183" t="str">
            <v>Tidak</v>
          </cell>
          <cell r="I1183" t="str">
            <v>Korupsi - Loan View</v>
          </cell>
          <cell r="J1183">
            <v>33</v>
          </cell>
          <cell r="K1183">
            <v>15</v>
          </cell>
          <cell r="L1183" t="str">
            <v>Korupsi</v>
          </cell>
          <cell r="M1183" t="str">
            <v>Kas Kanpus</v>
          </cell>
          <cell r="N1183" t="str">
            <v>Kas Kanpus</v>
          </cell>
          <cell r="O1183" t="str">
            <v>KAS KANPUS</v>
          </cell>
          <cell r="R1183" t="str">
            <v>Belum TL</v>
          </cell>
          <cell r="S1183" t="str">
            <v>Belum TL</v>
          </cell>
          <cell r="T1183" t="str">
            <v>90186796 - Devito Arya Wiradila</v>
          </cell>
          <cell r="U1183" t="str">
            <v>"-"</v>
          </cell>
        </row>
        <row r="1184">
          <cell r="A1184">
            <v>46265</v>
          </cell>
          <cell r="B1184" t="str">
            <v xml:space="preserve">MOHAMAD RAIHAN ZAHARA                   </v>
          </cell>
          <cell r="C1184" t="str">
            <v>MEGBK29</v>
          </cell>
          <cell r="D1184">
            <v>443501007409501</v>
          </cell>
          <cell r="F1184" t="str">
            <v>Tidak</v>
          </cell>
          <cell r="G1184" t="str">
            <v>Tidak</v>
          </cell>
          <cell r="H1184" t="str">
            <v>Tidak</v>
          </cell>
          <cell r="I1184" t="str">
            <v>Bandar Judol Withdrawal</v>
          </cell>
          <cell r="J1184">
            <v>35</v>
          </cell>
          <cell r="K1184" t="str">
            <v>86,88,87</v>
          </cell>
          <cell r="L1184" t="str">
            <v>Judi Online</v>
          </cell>
          <cell r="M1184" t="str">
            <v xml:space="preserve">Kas Kanpus                              </v>
          </cell>
          <cell r="N1184" t="str">
            <v xml:space="preserve">Kas Kanpus                              </v>
          </cell>
          <cell r="O1184" t="str">
            <v xml:space="preserve">KAS KANPUS                              </v>
          </cell>
          <cell r="R1184" t="str">
            <v>Belum TL</v>
          </cell>
          <cell r="S1184" t="str">
            <v>Belum TL</v>
          </cell>
          <cell r="T1184" t="str">
            <v>90185537 - Moh.Khoerul Fajar Ar</v>
          </cell>
          <cell r="U1184" t="str">
            <v>"-"</v>
          </cell>
        </row>
        <row r="1185">
          <cell r="A1185">
            <v>46265</v>
          </cell>
          <cell r="B1185" t="str">
            <v xml:space="preserve">MUHAMAD NUR SHOIM                       </v>
          </cell>
          <cell r="C1185" t="str">
            <v>MEGGS23</v>
          </cell>
          <cell r="D1185">
            <v>86801008070504</v>
          </cell>
          <cell r="F1185" t="str">
            <v>Tidak</v>
          </cell>
          <cell r="G1185" t="str">
            <v>Tidak</v>
          </cell>
          <cell r="H1185" t="str">
            <v>Tidak</v>
          </cell>
          <cell r="I1185" t="str">
            <v>Bandar Judol Withdrawal</v>
          </cell>
          <cell r="J1185">
            <v>35</v>
          </cell>
          <cell r="K1185" t="str">
            <v>86,88,87</v>
          </cell>
          <cell r="L1185" t="str">
            <v>Judi Online</v>
          </cell>
          <cell r="M1185" t="str">
            <v xml:space="preserve">Kas Kanpus                              </v>
          </cell>
          <cell r="N1185" t="str">
            <v xml:space="preserve">Kas Kanpus                              </v>
          </cell>
          <cell r="O1185" t="str">
            <v xml:space="preserve">KAS KANPUS                              </v>
          </cell>
          <cell r="R1185" t="str">
            <v>Belum TL</v>
          </cell>
          <cell r="S1185" t="str">
            <v>Belum TL</v>
          </cell>
          <cell r="T1185" t="str">
            <v>90186790 - Muhammad Alfin Farha</v>
          </cell>
          <cell r="U1185" t="str">
            <v>"-"</v>
          </cell>
        </row>
        <row r="1186">
          <cell r="A1186">
            <v>46265</v>
          </cell>
          <cell r="B1186" t="str">
            <v xml:space="preserve">MEGA SUCI SEPTIANI                      </v>
          </cell>
          <cell r="C1186" t="str">
            <v>MEGKT95</v>
          </cell>
          <cell r="D1186">
            <v>118001021169507</v>
          </cell>
          <cell r="F1186" t="str">
            <v>Tidak</v>
          </cell>
          <cell r="G1186" t="str">
            <v>Tidak</v>
          </cell>
          <cell r="H1186" t="str">
            <v>Tidak</v>
          </cell>
          <cell r="I1186" t="str">
            <v>Bandar Judol Withdrawal</v>
          </cell>
          <cell r="J1186">
            <v>35</v>
          </cell>
          <cell r="K1186" t="str">
            <v>86,88,87</v>
          </cell>
          <cell r="L1186" t="str">
            <v>Judi Online</v>
          </cell>
          <cell r="M1186" t="str">
            <v xml:space="preserve">Kas Kanpus                              </v>
          </cell>
          <cell r="N1186" t="str">
            <v xml:space="preserve">Kas Kanpus                              </v>
          </cell>
          <cell r="O1186" t="str">
            <v xml:space="preserve">KAS KANPUS                              </v>
          </cell>
          <cell r="R1186" t="str">
            <v>Belum TL</v>
          </cell>
          <cell r="S1186" t="str">
            <v>Belum TL</v>
          </cell>
          <cell r="T1186" t="str">
            <v>90170665 - Mutiara Ayuningtyas</v>
          </cell>
          <cell r="U1186" t="str">
            <v>"-"</v>
          </cell>
        </row>
        <row r="1187">
          <cell r="A1187">
            <v>46265</v>
          </cell>
          <cell r="B1187" t="str">
            <v xml:space="preserve">M AIDIL IKHWAN                          </v>
          </cell>
          <cell r="C1187" t="str">
            <v>MEGLG19</v>
          </cell>
          <cell r="D1187">
            <v>801701018178507</v>
          </cell>
          <cell r="F1187" t="str">
            <v>Tidak</v>
          </cell>
          <cell r="G1187" t="str">
            <v>Tidak</v>
          </cell>
          <cell r="H1187" t="str">
            <v>Tidak</v>
          </cell>
          <cell r="I1187" t="str">
            <v>Bandar Judol Withdrawal</v>
          </cell>
          <cell r="J1187">
            <v>35</v>
          </cell>
          <cell r="K1187" t="str">
            <v>86,88,87</v>
          </cell>
          <cell r="L1187" t="str">
            <v>Judi Online</v>
          </cell>
          <cell r="M1187" t="str">
            <v xml:space="preserve">Kas Kanpus                              </v>
          </cell>
          <cell r="N1187" t="str">
            <v xml:space="preserve">Kas Kanpus                              </v>
          </cell>
          <cell r="O1187" t="str">
            <v xml:space="preserve">KAS KANPUS                              </v>
          </cell>
          <cell r="R1187" t="str">
            <v>Belum TL</v>
          </cell>
          <cell r="S1187" t="str">
            <v>Belum TL</v>
          </cell>
          <cell r="T1187" t="str">
            <v>90170665 - Mutiara Ayuningtyas</v>
          </cell>
          <cell r="U1187" t="str">
            <v>"-"</v>
          </cell>
        </row>
        <row r="1188">
          <cell r="A1188">
            <v>46265</v>
          </cell>
          <cell r="B1188" t="str">
            <v xml:space="preserve">MOCHAMAD NURHASIM                       </v>
          </cell>
          <cell r="C1188" t="str">
            <v>MEGQ335</v>
          </cell>
          <cell r="D1188">
            <v>4359720283437930</v>
          </cell>
          <cell r="E1188" t="str">
            <v>SEDANG</v>
          </cell>
          <cell r="F1188" t="str">
            <v>Tidak</v>
          </cell>
          <cell r="G1188" t="str">
            <v>Tidak</v>
          </cell>
          <cell r="H1188" t="str">
            <v>Tidak</v>
          </cell>
          <cell r="I1188" t="str">
            <v>Anomali Transaksi Kartu Kredit</v>
          </cell>
          <cell r="J1188">
            <v>45</v>
          </cell>
          <cell r="K1188">
            <v>117</v>
          </cell>
          <cell r="L1188" t="str">
            <v>Anomali Transaksi Kartu Kredit</v>
          </cell>
          <cell r="M1188" t="str">
            <v xml:space="preserve">Kas Kanpus                              </v>
          </cell>
          <cell r="N1188" t="str">
            <v xml:space="preserve">Kas Kanpus                              </v>
          </cell>
          <cell r="O1188" t="str">
            <v xml:space="preserve">KAS KANPUS                              </v>
          </cell>
          <cell r="R1188" t="str">
            <v>Belum TL</v>
          </cell>
          <cell r="S1188" t="str">
            <v>Belum TL</v>
          </cell>
          <cell r="T1188" t="str">
            <v>90170665 - Mutiara Ayuningtyas</v>
          </cell>
          <cell r="U1188" t="str">
            <v>"-"</v>
          </cell>
        </row>
        <row r="1189">
          <cell r="A1189">
            <v>46265</v>
          </cell>
          <cell r="B1189" t="str">
            <v xml:space="preserve">MOCHAMAD NURHASIM                       </v>
          </cell>
          <cell r="C1189" t="str">
            <v>MEGQ335</v>
          </cell>
          <cell r="D1189">
            <v>4359720283437930</v>
          </cell>
          <cell r="E1189" t="str">
            <v>SEDANG</v>
          </cell>
          <cell r="F1189" t="str">
            <v>Tidak</v>
          </cell>
          <cell r="G1189" t="str">
            <v>Tidak</v>
          </cell>
          <cell r="H1189" t="str">
            <v>Tidak</v>
          </cell>
          <cell r="I1189" t="str">
            <v>Penghindaran Pajak (Transaksi Fiktif)/Penyuapan CC</v>
          </cell>
          <cell r="J1189">
            <v>45</v>
          </cell>
          <cell r="K1189">
            <v>118</v>
          </cell>
          <cell r="L1189" t="str">
            <v>Penyuapan / Penghindaran Pajak CC View</v>
          </cell>
          <cell r="M1189" t="str">
            <v xml:space="preserve">Kas Kanpus                              </v>
          </cell>
          <cell r="N1189" t="str">
            <v xml:space="preserve">Kas Kanpus                              </v>
          </cell>
          <cell r="O1189" t="str">
            <v xml:space="preserve">KAS KANPUS                              </v>
          </cell>
          <cell r="R1189" t="str">
            <v>Belum TL</v>
          </cell>
          <cell r="S1189" t="str">
            <v>Belum TL</v>
          </cell>
          <cell r="T1189" t="str">
            <v>90185538 - Muhammad Fahikal Auz</v>
          </cell>
          <cell r="U1189" t="str">
            <v>"-"</v>
          </cell>
        </row>
        <row r="1190">
          <cell r="A1190">
            <v>46265</v>
          </cell>
          <cell r="B1190" t="str">
            <v xml:space="preserve">M BAGUS KURNIAWAN                       </v>
          </cell>
          <cell r="C1190" t="str">
            <v>MEGZY56</v>
          </cell>
          <cell r="D1190">
            <v>34201131579508</v>
          </cell>
          <cell r="F1190" t="str">
            <v>Tidak</v>
          </cell>
          <cell r="G1190" t="str">
            <v>Tidak</v>
          </cell>
          <cell r="H1190" t="str">
            <v>Tidak</v>
          </cell>
          <cell r="I1190" t="str">
            <v>Bandar Judol Withdrawal</v>
          </cell>
          <cell r="J1190">
            <v>35</v>
          </cell>
          <cell r="K1190" t="str">
            <v>86,88,87</v>
          </cell>
          <cell r="L1190" t="str">
            <v>Judi Online</v>
          </cell>
          <cell r="M1190" t="str">
            <v xml:space="preserve">Kas Kanpus                              </v>
          </cell>
          <cell r="N1190" t="str">
            <v xml:space="preserve">Kas Kanpus                              </v>
          </cell>
          <cell r="O1190" t="str">
            <v xml:space="preserve">KAS KANPUS                              </v>
          </cell>
          <cell r="R1190" t="str">
            <v>Belum TL</v>
          </cell>
          <cell r="S1190" t="str">
            <v>Belum TL</v>
          </cell>
          <cell r="T1190" t="str">
            <v>00394520 - Frida Akbar Rani</v>
          </cell>
          <cell r="U1190" t="str">
            <v>"-"</v>
          </cell>
        </row>
        <row r="1191">
          <cell r="A1191">
            <v>46265</v>
          </cell>
          <cell r="B1191" t="str">
            <v xml:space="preserve">MUHAMAD FIRMAN AKBAR                    </v>
          </cell>
          <cell r="C1191" t="str">
            <v>MEIUU94</v>
          </cell>
          <cell r="D1191">
            <v>806401028943505</v>
          </cell>
          <cell r="F1191" t="str">
            <v>Tidak</v>
          </cell>
          <cell r="G1191" t="str">
            <v>Tidak</v>
          </cell>
          <cell r="H1191" t="str">
            <v>Tidak</v>
          </cell>
          <cell r="I1191" t="str">
            <v>Bandar Judol Depo</v>
          </cell>
          <cell r="J1191">
            <v>35</v>
          </cell>
          <cell r="K1191" t="str">
            <v>86,74,87</v>
          </cell>
          <cell r="L1191" t="str">
            <v>Judi Online</v>
          </cell>
          <cell r="M1191" t="str">
            <v xml:space="preserve">Kas Kanpus                              </v>
          </cell>
          <cell r="N1191" t="str">
            <v xml:space="preserve">Kas Kanpus                              </v>
          </cell>
          <cell r="O1191" t="str">
            <v xml:space="preserve">KAS KANPUS                              </v>
          </cell>
          <cell r="R1191" t="str">
            <v>Belum TL</v>
          </cell>
          <cell r="S1191" t="str">
            <v>Belum TL</v>
          </cell>
          <cell r="T1191" t="str">
            <v>90185537 - Moh.Khoerul Fajar Ar</v>
          </cell>
          <cell r="U1191" t="str">
            <v>"-"</v>
          </cell>
        </row>
        <row r="1192">
          <cell r="A1192">
            <v>46265</v>
          </cell>
          <cell r="B1192" t="str">
            <v xml:space="preserve">MUHAMMAD RIVALDY                        </v>
          </cell>
          <cell r="C1192" t="str">
            <v>MEJCS94</v>
          </cell>
          <cell r="D1192">
            <v>324201011049503</v>
          </cell>
          <cell r="F1192" t="str">
            <v>Tidak</v>
          </cell>
          <cell r="G1192" t="str">
            <v>Tidak</v>
          </cell>
          <cell r="H1192" t="str">
            <v>Tidak</v>
          </cell>
          <cell r="I1192" t="str">
            <v>Bandar Judol Withdrawal</v>
          </cell>
          <cell r="J1192">
            <v>35</v>
          </cell>
          <cell r="K1192" t="str">
            <v>86,88,87</v>
          </cell>
          <cell r="L1192" t="str">
            <v>Judi Online</v>
          </cell>
          <cell r="M1192" t="str">
            <v xml:space="preserve">Kas Kanpus                              </v>
          </cell>
          <cell r="N1192" t="str">
            <v xml:space="preserve">Kas Kanpus                              </v>
          </cell>
          <cell r="O1192" t="str">
            <v xml:space="preserve">KAS KANPUS                              </v>
          </cell>
          <cell r="R1192" t="str">
            <v>Belum TL</v>
          </cell>
          <cell r="S1192" t="str">
            <v>Belum TL</v>
          </cell>
          <cell r="T1192" t="str">
            <v>90171841 - Rifqi Aziz</v>
          </cell>
          <cell r="U1192" t="str">
            <v>"-"</v>
          </cell>
        </row>
        <row r="1193">
          <cell r="A1193">
            <v>46265</v>
          </cell>
          <cell r="B1193" t="str">
            <v xml:space="preserve">MAESAROH                                </v>
          </cell>
          <cell r="C1193" t="str">
            <v>MEJEX88</v>
          </cell>
          <cell r="D1193">
            <v>741101004878506</v>
          </cell>
          <cell r="F1193" t="str">
            <v>Tidak</v>
          </cell>
          <cell r="G1193" t="str">
            <v>Tidak</v>
          </cell>
          <cell r="H1193" t="str">
            <v>Tidak</v>
          </cell>
          <cell r="I1193" t="str">
            <v>Bandar Judol Withdrawal</v>
          </cell>
          <cell r="J1193">
            <v>35</v>
          </cell>
          <cell r="K1193" t="str">
            <v>86,88,87</v>
          </cell>
          <cell r="L1193" t="str">
            <v>Judi Online</v>
          </cell>
          <cell r="M1193" t="str">
            <v xml:space="preserve">Kas Kanpus                              </v>
          </cell>
          <cell r="N1193" t="str">
            <v xml:space="preserve">Kas Kanpus                              </v>
          </cell>
          <cell r="O1193" t="str">
            <v xml:space="preserve">KAS KANPUS                              </v>
          </cell>
          <cell r="R1193" t="str">
            <v>Belum TL</v>
          </cell>
          <cell r="S1193" t="str">
            <v>Belum TL</v>
          </cell>
          <cell r="T1193" t="str">
            <v>00394521 - Muhammad Hibbanduta</v>
          </cell>
          <cell r="U1193" t="str">
            <v>"-"</v>
          </cell>
        </row>
        <row r="1194">
          <cell r="A1194">
            <v>46265</v>
          </cell>
          <cell r="B1194" t="str">
            <v xml:space="preserve">MAULANA YUSUF                           </v>
          </cell>
          <cell r="C1194" t="str">
            <v>MEJHR44</v>
          </cell>
          <cell r="D1194">
            <v>26101147720507</v>
          </cell>
          <cell r="F1194" t="str">
            <v>Tidak</v>
          </cell>
          <cell r="G1194" t="str">
            <v>Tidak</v>
          </cell>
          <cell r="H1194" t="str">
            <v>Tidak</v>
          </cell>
          <cell r="I1194" t="str">
            <v>Bandar Judol Withdrawal</v>
          </cell>
          <cell r="J1194">
            <v>35</v>
          </cell>
          <cell r="K1194" t="str">
            <v>86,88,87</v>
          </cell>
          <cell r="L1194" t="str">
            <v>Judi Online</v>
          </cell>
          <cell r="M1194" t="str">
            <v xml:space="preserve">Kas Kanpus                              </v>
          </cell>
          <cell r="N1194" t="str">
            <v xml:space="preserve">Kas Kanpus                              </v>
          </cell>
          <cell r="O1194" t="str">
            <v xml:space="preserve">KAS KANPUS                              </v>
          </cell>
          <cell r="R1194" t="str">
            <v>Belum TL</v>
          </cell>
          <cell r="S1194" t="str">
            <v>Belum TL</v>
          </cell>
          <cell r="T1194" t="str">
            <v>90171841 - Rifqi Aziz</v>
          </cell>
          <cell r="U1194" t="str">
            <v>"-"</v>
          </cell>
        </row>
        <row r="1195">
          <cell r="A1195">
            <v>46265</v>
          </cell>
          <cell r="B1195" t="str">
            <v xml:space="preserve">MAULANA AL BARIQ                        </v>
          </cell>
          <cell r="C1195" t="str">
            <v>MEJJP52</v>
          </cell>
          <cell r="D1195">
            <v>112201001062563</v>
          </cell>
          <cell r="F1195" t="str">
            <v>Tidak</v>
          </cell>
          <cell r="G1195" t="str">
            <v>Tidak</v>
          </cell>
          <cell r="I1195" t="str">
            <v>Jual Beli Rekening - E channel Trx</v>
          </cell>
          <cell r="J1195">
            <v>33</v>
          </cell>
          <cell r="K1195">
            <v>113</v>
          </cell>
          <cell r="L1195" t="str">
            <v>Narkotika/Judi Online/Penipuan</v>
          </cell>
          <cell r="M1195" t="str">
            <v xml:space="preserve">KCP TAMAN PALEM                         </v>
          </cell>
          <cell r="N1195" t="str">
            <v xml:space="preserve">KC Jakarta Kalideres                    </v>
          </cell>
          <cell r="O1195" t="str">
            <v xml:space="preserve">KANWIL JAKARTA 3                        </v>
          </cell>
          <cell r="R1195" t="str">
            <v>Belum TL</v>
          </cell>
          <cell r="S1195" t="str">
            <v>Belum TL</v>
          </cell>
          <cell r="U1195" t="str">
            <v>"-"</v>
          </cell>
        </row>
        <row r="1196">
          <cell r="A1196">
            <v>46265</v>
          </cell>
          <cell r="B1196" t="str">
            <v xml:space="preserve">MUHAMMAD RAKA FADILLAH                  </v>
          </cell>
          <cell r="C1196" t="str">
            <v>MEJYT24</v>
          </cell>
          <cell r="D1196">
            <v>801701018294507</v>
          </cell>
          <cell r="F1196" t="str">
            <v>Tidak</v>
          </cell>
          <cell r="G1196" t="str">
            <v>Tidak</v>
          </cell>
          <cell r="H1196" t="str">
            <v>Tidak</v>
          </cell>
          <cell r="I1196" t="str">
            <v>Bandar Judol Depo</v>
          </cell>
          <cell r="J1196">
            <v>35</v>
          </cell>
          <cell r="K1196" t="str">
            <v>86,74,87</v>
          </cell>
          <cell r="L1196" t="str">
            <v>Judi Online</v>
          </cell>
          <cell r="M1196" t="str">
            <v xml:space="preserve">Kas Kanpus                              </v>
          </cell>
          <cell r="N1196" t="str">
            <v xml:space="preserve">Kas Kanpus                              </v>
          </cell>
          <cell r="O1196" t="str">
            <v xml:space="preserve">KAS KANPUS                              </v>
          </cell>
          <cell r="R1196" t="str">
            <v>Belum TL</v>
          </cell>
          <cell r="S1196" t="str">
            <v>Belum TL</v>
          </cell>
          <cell r="T1196" t="str">
            <v>90185538 - Muhammad Fahikal Auz</v>
          </cell>
          <cell r="U1196" t="str">
            <v>"-"</v>
          </cell>
        </row>
        <row r="1197">
          <cell r="A1197">
            <v>46265</v>
          </cell>
          <cell r="B1197" t="str">
            <v xml:space="preserve">MULYANTO                                </v>
          </cell>
          <cell r="C1197" t="str">
            <v>MEKDJ62</v>
          </cell>
          <cell r="D1197">
            <v>95901014584508</v>
          </cell>
          <cell r="F1197" t="str">
            <v>Tidak</v>
          </cell>
          <cell r="G1197" t="str">
            <v>Tidak</v>
          </cell>
          <cell r="I1197" t="str">
            <v>Jual Beli Rekening - E channel Trx</v>
          </cell>
          <cell r="J1197">
            <v>33</v>
          </cell>
          <cell r="K1197">
            <v>113</v>
          </cell>
          <cell r="L1197" t="str">
            <v>Narkotika/Judi Online/Penipuan</v>
          </cell>
          <cell r="M1197" t="str">
            <v xml:space="preserve">UNIT KALIDERES                          </v>
          </cell>
          <cell r="N1197" t="str">
            <v xml:space="preserve">KC Jakarta Kalideres                    </v>
          </cell>
          <cell r="O1197" t="str">
            <v xml:space="preserve">KANWIL JAKARTA 3                        </v>
          </cell>
          <cell r="R1197" t="str">
            <v>Belum TL</v>
          </cell>
          <cell r="S1197" t="str">
            <v>Belum TL</v>
          </cell>
          <cell r="U1197" t="str">
            <v>"-"</v>
          </cell>
        </row>
        <row r="1198">
          <cell r="A1198">
            <v>46265</v>
          </cell>
          <cell r="B1198" t="str">
            <v xml:space="preserve">MUHAMMAD FARRAS FIKRI                   </v>
          </cell>
          <cell r="C1198" t="str">
            <v>MEKGQ41</v>
          </cell>
          <cell r="D1198">
            <v>331401005061506</v>
          </cell>
          <cell r="F1198" t="str">
            <v>Tidak</v>
          </cell>
          <cell r="G1198" t="str">
            <v>Tidak</v>
          </cell>
          <cell r="H1198" t="str">
            <v>Tidak</v>
          </cell>
          <cell r="I1198" t="str">
            <v>Bandar Judol Withdrawal</v>
          </cell>
          <cell r="J1198">
            <v>35</v>
          </cell>
          <cell r="K1198" t="str">
            <v>86,88,87</v>
          </cell>
          <cell r="L1198" t="str">
            <v>Judi Online</v>
          </cell>
          <cell r="M1198" t="str">
            <v xml:space="preserve">Kas Kanpus                              </v>
          </cell>
          <cell r="N1198" t="str">
            <v xml:space="preserve">Kas Kanpus                              </v>
          </cell>
          <cell r="O1198" t="str">
            <v xml:space="preserve">KAS KANPUS                              </v>
          </cell>
          <cell r="R1198" t="str">
            <v>Belum TL</v>
          </cell>
          <cell r="S1198" t="str">
            <v>Belum TL</v>
          </cell>
          <cell r="T1198" t="str">
            <v>90150130 - Intan Aida Pratiwi</v>
          </cell>
          <cell r="U1198" t="str">
            <v>"-"</v>
          </cell>
        </row>
        <row r="1199">
          <cell r="A1199">
            <v>46265</v>
          </cell>
          <cell r="B1199" t="str">
            <v xml:space="preserve">MUHAMMAD ALDI REBALDY                   </v>
          </cell>
          <cell r="C1199" t="str">
            <v>MEMBM94</v>
          </cell>
          <cell r="D1199">
            <v>738501003902505</v>
          </cell>
          <cell r="F1199" t="str">
            <v>Tidak</v>
          </cell>
          <cell r="G1199" t="str">
            <v>Tidak</v>
          </cell>
          <cell r="I1199" t="str">
            <v>Jual Beli Rekening - E channel Trx</v>
          </cell>
          <cell r="J1199">
            <v>33</v>
          </cell>
          <cell r="K1199">
            <v>113</v>
          </cell>
          <cell r="L1199" t="str">
            <v>Narkotika/Judi Online/Penipuan</v>
          </cell>
          <cell r="M1199" t="str">
            <v xml:space="preserve">UNIT TEMINDUNG SAMARINDA I              </v>
          </cell>
          <cell r="N1199" t="str">
            <v xml:space="preserve">KC SAMARINDA GAJAH MADA                 </v>
          </cell>
          <cell r="O1199" t="str">
            <v xml:space="preserve">Banjarmasin                             </v>
          </cell>
          <cell r="R1199" t="str">
            <v>Belum TL</v>
          </cell>
          <cell r="S1199" t="str">
            <v>Belum TL</v>
          </cell>
          <cell r="U1199" t="str">
            <v>"-"</v>
          </cell>
        </row>
        <row r="1200">
          <cell r="A1200">
            <v>46265</v>
          </cell>
          <cell r="B1200" t="str">
            <v xml:space="preserve">MARTINI                                 </v>
          </cell>
          <cell r="C1200" t="str">
            <v>MEMER65</v>
          </cell>
          <cell r="D1200">
            <v>211601015403507</v>
          </cell>
          <cell r="F1200" t="str">
            <v>Tidak</v>
          </cell>
          <cell r="G1200" t="str">
            <v>Tidak</v>
          </cell>
          <cell r="H1200" t="str">
            <v>Tidak</v>
          </cell>
          <cell r="I1200" t="str">
            <v>Bandar Judol Withdrawal</v>
          </cell>
          <cell r="J1200">
            <v>35</v>
          </cell>
          <cell r="K1200" t="str">
            <v>86,88,87</v>
          </cell>
          <cell r="L1200" t="str">
            <v>Judi Online</v>
          </cell>
          <cell r="M1200" t="str">
            <v xml:space="preserve">Kas Kanpus                              </v>
          </cell>
          <cell r="N1200" t="str">
            <v xml:space="preserve">Kas Kanpus                              </v>
          </cell>
          <cell r="O1200" t="str">
            <v xml:space="preserve">KAS KANPUS                              </v>
          </cell>
          <cell r="R1200" t="str">
            <v>Belum TL</v>
          </cell>
          <cell r="S1200" t="str">
            <v>Belum TL</v>
          </cell>
          <cell r="T1200" t="str">
            <v>00336949 - Mochammad Al Farabi</v>
          </cell>
          <cell r="U1200" t="str">
            <v>"-"</v>
          </cell>
        </row>
        <row r="1201">
          <cell r="A1201">
            <v>46265</v>
          </cell>
          <cell r="B1201" t="str">
            <v xml:space="preserve">MUHAMAD FIRMAN PUTRA MAULANA            </v>
          </cell>
          <cell r="C1201" t="str">
            <v>MEMHZ61</v>
          </cell>
          <cell r="D1201">
            <v>626501005766506</v>
          </cell>
          <cell r="F1201" t="str">
            <v>Tidak</v>
          </cell>
          <cell r="G1201" t="str">
            <v>Tidak</v>
          </cell>
          <cell r="I1201" t="str">
            <v>Jual Beli Rekening - E channel Trx</v>
          </cell>
          <cell r="J1201">
            <v>33</v>
          </cell>
          <cell r="K1201">
            <v>113</v>
          </cell>
          <cell r="L1201" t="str">
            <v>Narkotika/Judi Online/Penipuan</v>
          </cell>
          <cell r="M1201" t="str">
            <v xml:space="preserve">UNIT PELAS KEDIRI                       </v>
          </cell>
          <cell r="N1201" t="str">
            <v xml:space="preserve">KC Kediri                               </v>
          </cell>
          <cell r="O1201" t="str">
            <v xml:space="preserve">KANWIL MALANG                           </v>
          </cell>
          <cell r="R1201" t="str">
            <v>Belum TL</v>
          </cell>
          <cell r="S1201" t="str">
            <v>Belum TL</v>
          </cell>
          <cell r="U1201" t="str">
            <v>"-"</v>
          </cell>
        </row>
        <row r="1202">
          <cell r="A1202">
            <v>46265</v>
          </cell>
          <cell r="B1202" t="str">
            <v xml:space="preserve">MUJAHIDIN                               </v>
          </cell>
          <cell r="C1202" t="str">
            <v>MEMQE86</v>
          </cell>
          <cell r="D1202">
            <v>766501003150504</v>
          </cell>
          <cell r="F1202" t="str">
            <v>Tidak</v>
          </cell>
          <cell r="G1202" t="str">
            <v>Tidak</v>
          </cell>
          <cell r="H1202" t="str">
            <v>Tidak</v>
          </cell>
          <cell r="I1202" t="str">
            <v>Bandar Judol Withdrawal</v>
          </cell>
          <cell r="J1202">
            <v>35</v>
          </cell>
          <cell r="K1202" t="str">
            <v>86,88,87</v>
          </cell>
          <cell r="L1202" t="str">
            <v>Judi Online</v>
          </cell>
          <cell r="M1202" t="str">
            <v xml:space="preserve">Kas Kanpus                              </v>
          </cell>
          <cell r="N1202" t="str">
            <v xml:space="preserve">Kas Kanpus                              </v>
          </cell>
          <cell r="O1202" t="str">
            <v xml:space="preserve">KAS KANPUS                              </v>
          </cell>
          <cell r="R1202" t="str">
            <v>Belum TL</v>
          </cell>
          <cell r="S1202" t="str">
            <v>Belum TL</v>
          </cell>
          <cell r="T1202" t="str">
            <v>90171841 - Rifqi Aziz</v>
          </cell>
          <cell r="U1202" t="str">
            <v>"-"</v>
          </cell>
        </row>
        <row r="1203">
          <cell r="A1203">
            <v>46265</v>
          </cell>
          <cell r="B1203" t="str">
            <v xml:space="preserve">MHD ADITIA ANANDA                       </v>
          </cell>
          <cell r="C1203" t="str">
            <v>MEOBD85</v>
          </cell>
          <cell r="D1203">
            <v>532701012935509</v>
          </cell>
          <cell r="F1203" t="str">
            <v>Tidak</v>
          </cell>
          <cell r="G1203" t="str">
            <v>Tidak</v>
          </cell>
          <cell r="H1203" t="str">
            <v>Tidak</v>
          </cell>
          <cell r="I1203" t="str">
            <v>Bandar Judol Withdrawal</v>
          </cell>
          <cell r="J1203">
            <v>35</v>
          </cell>
          <cell r="K1203" t="str">
            <v>86,88,87</v>
          </cell>
          <cell r="L1203" t="str">
            <v>Judi Online</v>
          </cell>
          <cell r="M1203" t="str">
            <v xml:space="preserve">Kas Kanpus                              </v>
          </cell>
          <cell r="N1203" t="str">
            <v xml:space="preserve">Kas Kanpus                              </v>
          </cell>
          <cell r="O1203" t="str">
            <v xml:space="preserve">KAS KANPUS                              </v>
          </cell>
          <cell r="R1203" t="str">
            <v>Belum TL</v>
          </cell>
          <cell r="S1203" t="str">
            <v>Belum TL</v>
          </cell>
          <cell r="T1203" t="str">
            <v>90186796 - Devito Arya Wiradila</v>
          </cell>
          <cell r="U1203" t="str">
            <v>"-"</v>
          </cell>
        </row>
        <row r="1204">
          <cell r="A1204">
            <v>46265</v>
          </cell>
          <cell r="B1204" t="str">
            <v xml:space="preserve">MUHAMMAD RIDWAN FAUZY                   </v>
          </cell>
          <cell r="C1204" t="str">
            <v>MEOCV28</v>
          </cell>
          <cell r="D1204">
            <v>1901253251502</v>
          </cell>
          <cell r="F1204" t="str">
            <v>Tidak</v>
          </cell>
          <cell r="G1204" t="str">
            <v>Tidak</v>
          </cell>
          <cell r="I1204" t="str">
            <v>Jual Beli Rekening - E channel Trx</v>
          </cell>
          <cell r="J1204">
            <v>33</v>
          </cell>
          <cell r="K1204">
            <v>113</v>
          </cell>
          <cell r="L1204" t="str">
            <v>Narkotika/Judi Online/Penipuan</v>
          </cell>
          <cell r="M1204" t="str">
            <v xml:space="preserve">KC JAKARTA KOTA                         </v>
          </cell>
          <cell r="N1204" t="str">
            <v xml:space="preserve">KC JAKARTA KOTA                         </v>
          </cell>
          <cell r="O1204" t="str">
            <v xml:space="preserve">KANWIL JAKARTA 3                        </v>
          </cell>
          <cell r="R1204" t="str">
            <v>Belum TL</v>
          </cell>
          <cell r="S1204" t="str">
            <v>Belum TL</v>
          </cell>
          <cell r="U1204" t="str">
            <v>"-"</v>
          </cell>
        </row>
        <row r="1205">
          <cell r="A1205">
            <v>46265</v>
          </cell>
          <cell r="B1205" t="str">
            <v xml:space="preserve">MUHAMMAD BAGAS                          </v>
          </cell>
          <cell r="C1205" t="str">
            <v>MEPDG90</v>
          </cell>
          <cell r="D1205">
            <v>529601008251506</v>
          </cell>
          <cell r="F1205" t="str">
            <v>Tidak</v>
          </cell>
          <cell r="G1205" t="str">
            <v>Tidak</v>
          </cell>
          <cell r="H1205" t="str">
            <v>Tidak</v>
          </cell>
          <cell r="I1205" t="str">
            <v>Bandar Judol Depo</v>
          </cell>
          <cell r="J1205">
            <v>35</v>
          </cell>
          <cell r="K1205" t="str">
            <v>86,74,87</v>
          </cell>
          <cell r="L1205" t="str">
            <v>Judi Online</v>
          </cell>
          <cell r="M1205" t="str">
            <v xml:space="preserve">Kas Kanpus                              </v>
          </cell>
          <cell r="N1205" t="str">
            <v xml:space="preserve">Kas Kanpus                              </v>
          </cell>
          <cell r="O1205" t="str">
            <v xml:space="preserve">KAS KANPUS                              </v>
          </cell>
          <cell r="R1205" t="str">
            <v>Belum TL</v>
          </cell>
          <cell r="S1205" t="str">
            <v>Belum TL</v>
          </cell>
          <cell r="T1205" t="str">
            <v>90170665 - Mutiara Ayuningtyas</v>
          </cell>
          <cell r="U1205" t="str">
            <v>"-"</v>
          </cell>
        </row>
        <row r="1206">
          <cell r="A1206">
            <v>46265</v>
          </cell>
          <cell r="B1206" t="str">
            <v xml:space="preserve">MELLI SAGITA                            </v>
          </cell>
          <cell r="C1206" t="str">
            <v>MEPDI78</v>
          </cell>
          <cell r="D1206">
            <v>338001006064502</v>
          </cell>
          <cell r="F1206" t="str">
            <v>Tidak</v>
          </cell>
          <cell r="G1206" t="str">
            <v>Tidak</v>
          </cell>
          <cell r="H1206" t="str">
            <v>Tidak</v>
          </cell>
          <cell r="I1206" t="str">
            <v>Bandar Judol Withdrawal</v>
          </cell>
          <cell r="J1206">
            <v>35</v>
          </cell>
          <cell r="K1206" t="str">
            <v>86,88,87</v>
          </cell>
          <cell r="L1206" t="str">
            <v>Judi Online</v>
          </cell>
          <cell r="M1206" t="str">
            <v xml:space="preserve">Kas Kanpus                              </v>
          </cell>
          <cell r="N1206" t="str">
            <v xml:space="preserve">Kas Kanpus                              </v>
          </cell>
          <cell r="O1206" t="str">
            <v xml:space="preserve">KAS KANPUS                              </v>
          </cell>
          <cell r="R1206" t="str">
            <v>Belum TL</v>
          </cell>
          <cell r="S1206" t="str">
            <v>Belum TL</v>
          </cell>
          <cell r="T1206" t="str">
            <v>00394521 - Muhammad Hibbanduta</v>
          </cell>
          <cell r="U1206" t="str">
            <v>"-"</v>
          </cell>
        </row>
        <row r="1207">
          <cell r="A1207">
            <v>46265</v>
          </cell>
          <cell r="B1207" t="str">
            <v xml:space="preserve">MUHAMMAD FAISAL BACHTIAR                </v>
          </cell>
          <cell r="C1207" t="str">
            <v>MEPEI73</v>
          </cell>
          <cell r="D1207">
            <v>119101023128504</v>
          </cell>
          <cell r="F1207" t="str">
            <v>Tidak</v>
          </cell>
          <cell r="G1207" t="str">
            <v>Tidak</v>
          </cell>
          <cell r="H1207" t="str">
            <v>Tidak</v>
          </cell>
          <cell r="I1207" t="str">
            <v>Bandar Judol Withdrawal</v>
          </cell>
          <cell r="J1207">
            <v>35</v>
          </cell>
          <cell r="K1207" t="str">
            <v>86,88,87</v>
          </cell>
          <cell r="L1207" t="str">
            <v>Judi Online</v>
          </cell>
          <cell r="M1207" t="str">
            <v xml:space="preserve">Kas Kanpus                              </v>
          </cell>
          <cell r="N1207" t="str">
            <v xml:space="preserve">Kas Kanpus                              </v>
          </cell>
          <cell r="O1207" t="str">
            <v xml:space="preserve">KAS KANPUS                              </v>
          </cell>
          <cell r="R1207" t="str">
            <v>Belum TL</v>
          </cell>
          <cell r="S1207" t="str">
            <v>Belum TL</v>
          </cell>
          <cell r="T1207" t="str">
            <v>90170665 - Mutiara Ayuningtyas</v>
          </cell>
          <cell r="U1207" t="str">
            <v>"-"</v>
          </cell>
        </row>
        <row r="1208">
          <cell r="A1208">
            <v>46265</v>
          </cell>
          <cell r="B1208" t="str">
            <v xml:space="preserve">MHD.ALPARIZI                            </v>
          </cell>
          <cell r="C1208" t="str">
            <v>MEPKU14</v>
          </cell>
          <cell r="D1208">
            <v>723301017233507</v>
          </cell>
          <cell r="F1208" t="str">
            <v>Tidak</v>
          </cell>
          <cell r="G1208" t="str">
            <v>Tidak</v>
          </cell>
          <cell r="H1208" t="str">
            <v>Tidak</v>
          </cell>
          <cell r="I1208" t="str">
            <v>Bandar Judol Withdrawal</v>
          </cell>
          <cell r="J1208">
            <v>35</v>
          </cell>
          <cell r="K1208" t="str">
            <v>86,88,87</v>
          </cell>
          <cell r="L1208" t="str">
            <v>Judi Online</v>
          </cell>
          <cell r="M1208" t="str">
            <v xml:space="preserve">Kas Kanpus                              </v>
          </cell>
          <cell r="N1208" t="str">
            <v xml:space="preserve">Kas Kanpus                              </v>
          </cell>
          <cell r="O1208" t="str">
            <v xml:space="preserve">KAS KANPUS                              </v>
          </cell>
          <cell r="R1208" t="str">
            <v>Belum TL</v>
          </cell>
          <cell r="S1208" t="str">
            <v>Belum TL</v>
          </cell>
          <cell r="T1208" t="str">
            <v>00336949 - Mochammad Al Farabi</v>
          </cell>
          <cell r="U1208" t="str">
            <v>"-"</v>
          </cell>
        </row>
        <row r="1209">
          <cell r="A1209">
            <v>46265</v>
          </cell>
          <cell r="B1209" t="str">
            <v xml:space="preserve">MUHAMAD NURHOLIS                        </v>
          </cell>
          <cell r="C1209" t="str">
            <v>MEPMN16</v>
          </cell>
          <cell r="D1209">
            <v>83801098018539</v>
          </cell>
          <cell r="F1209" t="str">
            <v>Tidak</v>
          </cell>
          <cell r="G1209" t="str">
            <v>Tidak</v>
          </cell>
          <cell r="H1209" t="str">
            <v>Tidak</v>
          </cell>
          <cell r="I1209" t="str">
            <v>Bandar Judol Withdrawal</v>
          </cell>
          <cell r="J1209">
            <v>35</v>
          </cell>
          <cell r="K1209" t="str">
            <v>86,88,87</v>
          </cell>
          <cell r="L1209" t="str">
            <v>Judi Online</v>
          </cell>
          <cell r="M1209" t="str">
            <v xml:space="preserve">Kas Kanpus                              </v>
          </cell>
          <cell r="N1209" t="str">
            <v xml:space="preserve">Kas Kanpus                              </v>
          </cell>
          <cell r="O1209" t="str">
            <v xml:space="preserve">KAS KANPUS                              </v>
          </cell>
          <cell r="R1209" t="str">
            <v>Belum TL</v>
          </cell>
          <cell r="S1209" t="str">
            <v>Belum TL</v>
          </cell>
          <cell r="T1209" t="str">
            <v>90171841 - Rifqi Aziz</v>
          </cell>
          <cell r="U1209" t="str">
            <v>"-"</v>
          </cell>
        </row>
        <row r="1210">
          <cell r="A1210">
            <v>46265</v>
          </cell>
          <cell r="B1210" t="str">
            <v xml:space="preserve">MUHAMMAD FAREL                          </v>
          </cell>
          <cell r="C1210" t="str">
            <v>MEPQE45</v>
          </cell>
          <cell r="D1210">
            <v>81101031752504</v>
          </cell>
          <cell r="F1210" t="str">
            <v>Tidak</v>
          </cell>
          <cell r="G1210" t="str">
            <v>Tidak</v>
          </cell>
          <cell r="H1210" t="str">
            <v>Tidak</v>
          </cell>
          <cell r="I1210" t="str">
            <v>Bandar Judol Depo</v>
          </cell>
          <cell r="J1210">
            <v>35</v>
          </cell>
          <cell r="K1210" t="str">
            <v>86,74,87</v>
          </cell>
          <cell r="L1210" t="str">
            <v>Judi Online</v>
          </cell>
          <cell r="M1210" t="str">
            <v xml:space="preserve">Kas Kanpus                              </v>
          </cell>
          <cell r="N1210" t="str">
            <v xml:space="preserve">Kas Kanpus                              </v>
          </cell>
          <cell r="O1210" t="str">
            <v xml:space="preserve">KAS KANPUS                              </v>
          </cell>
          <cell r="R1210" t="str">
            <v>Belum TL</v>
          </cell>
          <cell r="S1210" t="str">
            <v>Belum TL</v>
          </cell>
          <cell r="T1210" t="str">
            <v>00394521 - Muhammad Hibbanduta</v>
          </cell>
          <cell r="U1210" t="str">
            <v>"-"</v>
          </cell>
        </row>
        <row r="1211">
          <cell r="A1211">
            <v>46265</v>
          </cell>
          <cell r="B1211" t="str">
            <v xml:space="preserve">MUHAMAD ARIS SEPTIANA                   </v>
          </cell>
          <cell r="C1211" t="str">
            <v>MEPRC87</v>
          </cell>
          <cell r="D1211">
            <v>1201305837507</v>
          </cell>
          <cell r="F1211" t="str">
            <v>Tidak</v>
          </cell>
          <cell r="G1211" t="str">
            <v>Tidak</v>
          </cell>
          <cell r="H1211" t="str">
            <v>Tidak</v>
          </cell>
          <cell r="I1211" t="str">
            <v>Bandar Judol Depo</v>
          </cell>
          <cell r="J1211">
            <v>35</v>
          </cell>
          <cell r="K1211" t="str">
            <v>86,74,87</v>
          </cell>
          <cell r="L1211" t="str">
            <v>Judi Online</v>
          </cell>
          <cell r="M1211" t="str">
            <v xml:space="preserve">Kas Kanpus                              </v>
          </cell>
          <cell r="N1211" t="str">
            <v xml:space="preserve">Kas Kanpus                              </v>
          </cell>
          <cell r="O1211" t="str">
            <v xml:space="preserve">KAS KANPUS                              </v>
          </cell>
          <cell r="R1211" t="str">
            <v>Belum TL</v>
          </cell>
          <cell r="S1211" t="str">
            <v>Belum TL</v>
          </cell>
          <cell r="T1211" t="str">
            <v>00394520 - Frida Akbar Rani</v>
          </cell>
          <cell r="U1211" t="str">
            <v>"-"</v>
          </cell>
        </row>
        <row r="1212">
          <cell r="A1212">
            <v>46265</v>
          </cell>
          <cell r="B1212" t="str">
            <v xml:space="preserve">MUHAMAD ABDUL ROJAK                     </v>
          </cell>
          <cell r="C1212" t="str">
            <v>MERKX80</v>
          </cell>
          <cell r="D1212">
            <v>384901027747501</v>
          </cell>
          <cell r="F1212" t="str">
            <v>Tidak</v>
          </cell>
          <cell r="G1212" t="str">
            <v>Tidak</v>
          </cell>
          <cell r="H1212" t="str">
            <v>Tidak</v>
          </cell>
          <cell r="I1212" t="str">
            <v>Bandar Judol Withdrawal</v>
          </cell>
          <cell r="J1212">
            <v>35</v>
          </cell>
          <cell r="K1212" t="str">
            <v>86,88,87</v>
          </cell>
          <cell r="L1212" t="str">
            <v>Judi Online</v>
          </cell>
          <cell r="M1212" t="str">
            <v xml:space="preserve">Kas Kanpus                              </v>
          </cell>
          <cell r="N1212" t="str">
            <v xml:space="preserve">Kas Kanpus                              </v>
          </cell>
          <cell r="O1212" t="str">
            <v xml:space="preserve">KAS KANPUS                              </v>
          </cell>
          <cell r="R1212" t="str">
            <v>Belum TL</v>
          </cell>
          <cell r="S1212" t="str">
            <v>Belum TL</v>
          </cell>
          <cell r="T1212" t="str">
            <v>90185537 - Moh.Khoerul Fajar Ar</v>
          </cell>
          <cell r="U1212" t="str">
            <v>"-"</v>
          </cell>
        </row>
        <row r="1213">
          <cell r="A1213">
            <v>46265</v>
          </cell>
          <cell r="B1213" t="str">
            <v xml:space="preserve">M.SOPIAN                                </v>
          </cell>
          <cell r="C1213" t="str">
            <v>MERNY17</v>
          </cell>
          <cell r="D1213">
            <v>804201025682504</v>
          </cell>
          <cell r="F1213" t="str">
            <v>Tidak</v>
          </cell>
          <cell r="G1213" t="str">
            <v>Tidak</v>
          </cell>
          <cell r="H1213" t="str">
            <v>Tidak</v>
          </cell>
          <cell r="I1213" t="str">
            <v>Bandar Judol Withdrawal</v>
          </cell>
          <cell r="J1213">
            <v>35</v>
          </cell>
          <cell r="K1213" t="str">
            <v>86,88,87</v>
          </cell>
          <cell r="L1213" t="str">
            <v>Judi Online</v>
          </cell>
          <cell r="M1213" t="str">
            <v xml:space="preserve">Kas Kanpus                              </v>
          </cell>
          <cell r="N1213" t="str">
            <v xml:space="preserve">Kas Kanpus                              </v>
          </cell>
          <cell r="O1213" t="str">
            <v xml:space="preserve">KAS KANPUS                              </v>
          </cell>
          <cell r="R1213" t="str">
            <v>Belum TL</v>
          </cell>
          <cell r="S1213" t="str">
            <v>Belum TL</v>
          </cell>
          <cell r="T1213" t="str">
            <v>90186790 - Muhammad Alfin Farha</v>
          </cell>
          <cell r="U1213" t="str">
            <v>"-"</v>
          </cell>
        </row>
        <row r="1214">
          <cell r="A1214">
            <v>46265</v>
          </cell>
          <cell r="B1214" t="str">
            <v xml:space="preserve">MAULANA TANAMAL                         </v>
          </cell>
          <cell r="C1214" t="str">
            <v>MEROC78</v>
          </cell>
          <cell r="D1214">
            <v>26601130236509</v>
          </cell>
          <cell r="F1214" t="str">
            <v>Tidak</v>
          </cell>
          <cell r="G1214" t="str">
            <v>Tidak</v>
          </cell>
          <cell r="H1214" t="str">
            <v>Tidak</v>
          </cell>
          <cell r="I1214" t="str">
            <v>Bandar Judol Withdrawal</v>
          </cell>
          <cell r="J1214">
            <v>35</v>
          </cell>
          <cell r="K1214" t="str">
            <v>86,88,87</v>
          </cell>
          <cell r="L1214" t="str">
            <v>Judi Online</v>
          </cell>
          <cell r="M1214" t="str">
            <v xml:space="preserve">Kas Kanpus                              </v>
          </cell>
          <cell r="N1214" t="str">
            <v xml:space="preserve">Kas Kanpus                              </v>
          </cell>
          <cell r="O1214" t="str">
            <v xml:space="preserve">KAS KANPUS                              </v>
          </cell>
          <cell r="R1214" t="str">
            <v>Belum TL</v>
          </cell>
          <cell r="S1214" t="str">
            <v>Belum TL</v>
          </cell>
          <cell r="T1214" t="str">
            <v>00394520 - Frida Akbar Rani</v>
          </cell>
          <cell r="U1214" t="str">
            <v>"-"</v>
          </cell>
        </row>
        <row r="1215">
          <cell r="A1215">
            <v>46265</v>
          </cell>
          <cell r="B1215" t="str">
            <v xml:space="preserve">MOHAN                                   </v>
          </cell>
          <cell r="C1215" t="str">
            <v>MERSS25</v>
          </cell>
          <cell r="D1215">
            <v>40401089711509</v>
          </cell>
          <cell r="F1215" t="str">
            <v>Tidak</v>
          </cell>
          <cell r="G1215" t="str">
            <v>Tidak</v>
          </cell>
          <cell r="H1215" t="str">
            <v>Tidak</v>
          </cell>
          <cell r="I1215" t="str">
            <v>Bandar Judol Withdrawal</v>
          </cell>
          <cell r="J1215">
            <v>35</v>
          </cell>
          <cell r="K1215" t="str">
            <v>86,88,87</v>
          </cell>
          <cell r="L1215" t="str">
            <v>Judi Online</v>
          </cell>
          <cell r="M1215" t="str">
            <v xml:space="preserve">Kas Kanpus                              </v>
          </cell>
          <cell r="N1215" t="str">
            <v xml:space="preserve">Kas Kanpus                              </v>
          </cell>
          <cell r="O1215" t="str">
            <v xml:space="preserve">KAS KANPUS                              </v>
          </cell>
          <cell r="R1215" t="str">
            <v>Belum TL</v>
          </cell>
          <cell r="S1215" t="str">
            <v>Belum TL</v>
          </cell>
          <cell r="T1215" t="str">
            <v>90186796 - Devito Arya Wiradila</v>
          </cell>
          <cell r="U1215" t="str">
            <v>"-"</v>
          </cell>
        </row>
        <row r="1216">
          <cell r="A1216">
            <v>46265</v>
          </cell>
          <cell r="B1216" t="str">
            <v xml:space="preserve">MILGI PONCO PUTRA YUNAN                 </v>
          </cell>
          <cell r="C1216" t="str">
            <v>MERTC78</v>
          </cell>
          <cell r="D1216">
            <v>721101026407505</v>
          </cell>
          <cell r="F1216" t="str">
            <v>Tidak</v>
          </cell>
          <cell r="G1216" t="str">
            <v>Tidak</v>
          </cell>
          <cell r="H1216" t="str">
            <v>Tidak</v>
          </cell>
          <cell r="I1216" t="str">
            <v>Bandar Judol Depo</v>
          </cell>
          <cell r="J1216">
            <v>35</v>
          </cell>
          <cell r="K1216" t="str">
            <v>86,74,87</v>
          </cell>
          <cell r="L1216" t="str">
            <v>Judi Online</v>
          </cell>
          <cell r="M1216" t="str">
            <v xml:space="preserve">Kas Kanpus                              </v>
          </cell>
          <cell r="N1216" t="str">
            <v xml:space="preserve">Kas Kanpus                              </v>
          </cell>
          <cell r="O1216" t="str">
            <v xml:space="preserve">KAS KANPUS                              </v>
          </cell>
          <cell r="R1216" t="str">
            <v>Belum TL</v>
          </cell>
          <cell r="S1216" t="str">
            <v>Belum TL</v>
          </cell>
          <cell r="T1216" t="str">
            <v>90186796 - Devito Arya Wiradila</v>
          </cell>
          <cell r="U1216" t="str">
            <v>"-"</v>
          </cell>
        </row>
        <row r="1217">
          <cell r="A1217">
            <v>46265</v>
          </cell>
          <cell r="B1217" t="str">
            <v xml:space="preserve">MOHAMAD ZIDANE GERHANA PUTRA            </v>
          </cell>
          <cell r="C1217" t="str">
            <v>MESBN85</v>
          </cell>
          <cell r="D1217">
            <v>790801023787509</v>
          </cell>
          <cell r="F1217" t="str">
            <v>Tidak</v>
          </cell>
          <cell r="G1217" t="str">
            <v>Tidak</v>
          </cell>
          <cell r="H1217" t="str">
            <v>Tidak</v>
          </cell>
          <cell r="I1217" t="str">
            <v>Bandar Judol Withdrawal</v>
          </cell>
          <cell r="J1217">
            <v>35</v>
          </cell>
          <cell r="K1217" t="str">
            <v>86,88,87</v>
          </cell>
          <cell r="L1217" t="str">
            <v>Judi Online</v>
          </cell>
          <cell r="M1217" t="str">
            <v xml:space="preserve">Kas Kanpus                              </v>
          </cell>
          <cell r="N1217" t="str">
            <v xml:space="preserve">Kas Kanpus                              </v>
          </cell>
          <cell r="O1217" t="str">
            <v xml:space="preserve">KAS KANPUS                              </v>
          </cell>
          <cell r="R1217" t="str">
            <v>Belum TL</v>
          </cell>
          <cell r="S1217" t="str">
            <v>Belum TL</v>
          </cell>
          <cell r="T1217" t="str">
            <v>90185537 - Moh.Khoerul Fajar Ar</v>
          </cell>
          <cell r="U1217" t="str">
            <v>"-"</v>
          </cell>
        </row>
        <row r="1218">
          <cell r="A1218">
            <v>46265</v>
          </cell>
          <cell r="B1218" t="str">
            <v xml:space="preserve">MADROJI                                 </v>
          </cell>
          <cell r="C1218" t="str">
            <v>MESCW71</v>
          </cell>
          <cell r="D1218">
            <v>118401033107505</v>
          </cell>
          <cell r="F1218" t="str">
            <v>Tidak</v>
          </cell>
          <cell r="G1218" t="str">
            <v>Tidak</v>
          </cell>
          <cell r="H1218" t="str">
            <v>Tidak</v>
          </cell>
          <cell r="I1218" t="str">
            <v>Bandar Judol Withdrawal</v>
          </cell>
          <cell r="J1218">
            <v>35</v>
          </cell>
          <cell r="K1218" t="str">
            <v>86,88,87</v>
          </cell>
          <cell r="L1218" t="str">
            <v>Judi Online</v>
          </cell>
          <cell r="M1218" t="str">
            <v xml:space="preserve">Kas Kanpus                              </v>
          </cell>
          <cell r="N1218" t="str">
            <v xml:space="preserve">Kas Kanpus                              </v>
          </cell>
          <cell r="O1218" t="str">
            <v xml:space="preserve">KAS KANPUS                              </v>
          </cell>
          <cell r="R1218" t="str">
            <v>Belum TL</v>
          </cell>
          <cell r="S1218" t="str">
            <v>Belum TL</v>
          </cell>
          <cell r="T1218" t="str">
            <v>00336949 - Mochammad Al Farabi</v>
          </cell>
          <cell r="U1218" t="str">
            <v>"-"</v>
          </cell>
        </row>
        <row r="1219">
          <cell r="A1219">
            <v>46265</v>
          </cell>
          <cell r="B1219" t="str">
            <v xml:space="preserve">MUHAMMAD RISKI                          </v>
          </cell>
          <cell r="C1219" t="str">
            <v>MESKP98</v>
          </cell>
          <cell r="D1219">
            <v>39601031514502</v>
          </cell>
          <cell r="F1219" t="str">
            <v>Tidak</v>
          </cell>
          <cell r="G1219" t="str">
            <v>Tidak</v>
          </cell>
          <cell r="H1219" t="str">
            <v>Tidak</v>
          </cell>
          <cell r="I1219" t="str">
            <v>Bandar Judol Withdrawal</v>
          </cell>
          <cell r="J1219">
            <v>35</v>
          </cell>
          <cell r="K1219" t="str">
            <v>86,88,87</v>
          </cell>
          <cell r="L1219" t="str">
            <v>Judi Online</v>
          </cell>
          <cell r="M1219" t="str">
            <v xml:space="preserve">Kas Kanpus                              </v>
          </cell>
          <cell r="N1219" t="str">
            <v xml:space="preserve">Kas Kanpus                              </v>
          </cell>
          <cell r="O1219" t="str">
            <v xml:space="preserve">KAS KANPUS                              </v>
          </cell>
          <cell r="R1219" t="str">
            <v>Belum TL</v>
          </cell>
          <cell r="S1219" t="str">
            <v>Belum TL</v>
          </cell>
          <cell r="T1219" t="str">
            <v>90185538 - Muhammad Fahikal Auz</v>
          </cell>
          <cell r="U1219" t="str">
            <v>"-"</v>
          </cell>
        </row>
        <row r="1220">
          <cell r="A1220">
            <v>46265</v>
          </cell>
          <cell r="B1220" t="str">
            <v xml:space="preserve">MUHAMAD RIZKY MAULANA                   </v>
          </cell>
          <cell r="C1220" t="str">
            <v>MESLM34</v>
          </cell>
          <cell r="D1220">
            <v>731101004207503</v>
          </cell>
          <cell r="F1220" t="str">
            <v>Tidak</v>
          </cell>
          <cell r="G1220" t="str">
            <v>Tidak</v>
          </cell>
          <cell r="H1220" t="str">
            <v>Tidak</v>
          </cell>
          <cell r="I1220" t="str">
            <v>Bandar Judol Withdrawal</v>
          </cell>
          <cell r="J1220">
            <v>35</v>
          </cell>
          <cell r="K1220" t="str">
            <v>86,88,87</v>
          </cell>
          <cell r="L1220" t="str">
            <v>Judi Online</v>
          </cell>
          <cell r="M1220" t="str">
            <v xml:space="preserve">Kas Kanpus                              </v>
          </cell>
          <cell r="N1220" t="str">
            <v xml:space="preserve">Kas Kanpus                              </v>
          </cell>
          <cell r="O1220" t="str">
            <v xml:space="preserve">KAS KANPUS                              </v>
          </cell>
          <cell r="R1220" t="str">
            <v>Belum TL</v>
          </cell>
          <cell r="S1220" t="str">
            <v>Belum TL</v>
          </cell>
          <cell r="T1220" t="str">
            <v>90186790 - Muhammad Alfin Farha</v>
          </cell>
          <cell r="U1220" t="str">
            <v>"-"</v>
          </cell>
        </row>
        <row r="1221">
          <cell r="A1221">
            <v>46265</v>
          </cell>
          <cell r="B1221" t="str">
            <v xml:space="preserve">M HAMSARI                               </v>
          </cell>
          <cell r="C1221" t="str">
            <v>MEOLZ66</v>
          </cell>
          <cell r="D1221">
            <v>529301005251505</v>
          </cell>
          <cell r="F1221" t="str">
            <v>Tidak</v>
          </cell>
          <cell r="G1221" t="str">
            <v>Tidak</v>
          </cell>
          <cell r="H1221" t="str">
            <v>Tidak</v>
          </cell>
          <cell r="I1221" t="str">
            <v>Bandar Judol Withdrawal</v>
          </cell>
          <cell r="J1221">
            <v>35</v>
          </cell>
          <cell r="K1221" t="str">
            <v>86,88,87</v>
          </cell>
          <cell r="L1221" t="str">
            <v>Judi Online</v>
          </cell>
          <cell r="M1221" t="str">
            <v xml:space="preserve">Kas Kanpus                              </v>
          </cell>
          <cell r="N1221" t="str">
            <v xml:space="preserve">Kas Kanpus                              </v>
          </cell>
          <cell r="O1221" t="str">
            <v xml:space="preserve">KAS KANPUS                              </v>
          </cell>
          <cell r="R1221" t="str">
            <v>Belum TL</v>
          </cell>
          <cell r="S1221" t="str">
            <v>Belum TL</v>
          </cell>
          <cell r="T1221" t="str">
            <v>90170665 - Mutiara Ayuningtyas</v>
          </cell>
          <cell r="U1221" t="str">
            <v>"-"</v>
          </cell>
        </row>
        <row r="1222">
          <cell r="A1222">
            <v>46265</v>
          </cell>
          <cell r="B1222" t="str">
            <v xml:space="preserve">MOCHAMAD ROZI FALAQI                    </v>
          </cell>
          <cell r="C1222" t="str">
            <v>MEOUU65</v>
          </cell>
          <cell r="D1222">
            <v>1901257445501</v>
          </cell>
          <cell r="F1222" t="str">
            <v>Tidak</v>
          </cell>
          <cell r="G1222" t="str">
            <v>Tidak</v>
          </cell>
          <cell r="H1222" t="str">
            <v>Tidak</v>
          </cell>
          <cell r="I1222" t="str">
            <v>Bandar Judol Withdrawal</v>
          </cell>
          <cell r="J1222">
            <v>35</v>
          </cell>
          <cell r="K1222" t="str">
            <v>86,88,87</v>
          </cell>
          <cell r="L1222" t="str">
            <v>Judi Online</v>
          </cell>
          <cell r="M1222" t="str">
            <v xml:space="preserve">Kas Kanpus                              </v>
          </cell>
          <cell r="N1222" t="str">
            <v xml:space="preserve">Kas Kanpus                              </v>
          </cell>
          <cell r="O1222" t="str">
            <v xml:space="preserve">KAS KANPUS                              </v>
          </cell>
          <cell r="R1222" t="str">
            <v>Belum TL</v>
          </cell>
          <cell r="S1222" t="str">
            <v>Belum TL</v>
          </cell>
          <cell r="T1222" t="str">
            <v>90185537 - Moh.Khoerul Fajar Ar</v>
          </cell>
          <cell r="U1222" t="str">
            <v>"-"</v>
          </cell>
        </row>
        <row r="1223">
          <cell r="A1223">
            <v>46265</v>
          </cell>
          <cell r="B1223" t="str">
            <v xml:space="preserve">MUHAMMAD ALVIANSYAH                     </v>
          </cell>
          <cell r="C1223" t="str">
            <v>METBJ62</v>
          </cell>
          <cell r="D1223">
            <v>4359720233062000</v>
          </cell>
          <cell r="F1223" t="str">
            <v>Tidak</v>
          </cell>
          <cell r="G1223" t="str">
            <v>Tidak</v>
          </cell>
          <cell r="H1223" t="str">
            <v>Tidak</v>
          </cell>
          <cell r="I1223" t="str">
            <v>Penghindaran Pajak (Transaksi Fiktif)/Penyuapan CC</v>
          </cell>
          <cell r="J1223">
            <v>30</v>
          </cell>
          <cell r="K1223">
            <v>118</v>
          </cell>
          <cell r="L1223" t="str">
            <v>Penyuapan / Penghindaran Pajak CC View</v>
          </cell>
          <cell r="M1223" t="str">
            <v xml:space="preserve">Kas Kanpus                              </v>
          </cell>
          <cell r="N1223" t="str">
            <v xml:space="preserve">Kas Kanpus                              </v>
          </cell>
          <cell r="O1223" t="str">
            <v xml:space="preserve">KAS KANPUS                              </v>
          </cell>
          <cell r="R1223" t="str">
            <v>Belum TL</v>
          </cell>
          <cell r="S1223" t="str">
            <v>Belum TL</v>
          </cell>
          <cell r="T1223" t="str">
            <v>00394521 - Muhammad Hibbanduta</v>
          </cell>
          <cell r="U1223" t="str">
            <v>"-"</v>
          </cell>
        </row>
        <row r="1224">
          <cell r="A1224">
            <v>46265</v>
          </cell>
          <cell r="B1224" t="str">
            <v xml:space="preserve">MAS JULI                                </v>
          </cell>
          <cell r="C1224" t="str">
            <v>MEW5337</v>
          </cell>
          <cell r="D1224">
            <v>496101005816103</v>
          </cell>
          <cell r="E1224" t="str">
            <v>RENDAH</v>
          </cell>
          <cell r="F1224" t="str">
            <v>Tidak</v>
          </cell>
          <cell r="G1224" t="str">
            <v>Tidak</v>
          </cell>
          <cell r="H1224" t="str">
            <v>Tidak</v>
          </cell>
          <cell r="I1224" t="str">
            <v>Korupsi - Loan View</v>
          </cell>
          <cell r="J1224">
            <v>38</v>
          </cell>
          <cell r="K1224">
            <v>15</v>
          </cell>
          <cell r="L1224" t="str">
            <v>Korupsi</v>
          </cell>
          <cell r="M1224" t="str">
            <v>Kas Kanpus</v>
          </cell>
          <cell r="N1224" t="str">
            <v>Kas Kanpus</v>
          </cell>
          <cell r="O1224" t="str">
            <v>KAS KANPUS</v>
          </cell>
          <cell r="R1224" t="str">
            <v>Belum TL</v>
          </cell>
          <cell r="S1224" t="str">
            <v>Belum TL</v>
          </cell>
          <cell r="T1224" t="str">
            <v>90186796 - Devito Arya Wiradila</v>
          </cell>
          <cell r="U1224" t="str">
            <v>"-"</v>
          </cell>
        </row>
        <row r="1225">
          <cell r="A1225">
            <v>46265</v>
          </cell>
          <cell r="B1225" t="str">
            <v xml:space="preserve">MARIYAH MAYA SARI                       </v>
          </cell>
          <cell r="C1225" t="str">
            <v>MEX7747</v>
          </cell>
          <cell r="D1225">
            <v>31801048271505</v>
          </cell>
          <cell r="E1225" t="str">
            <v>SEDANG</v>
          </cell>
          <cell r="F1225" t="str">
            <v>Tidak</v>
          </cell>
          <cell r="G1225" t="str">
            <v>Tidak</v>
          </cell>
          <cell r="H1225" t="str">
            <v>Tidak</v>
          </cell>
          <cell r="I1225" t="str">
            <v>Perpajakan</v>
          </cell>
          <cell r="J1225">
            <v>48</v>
          </cell>
          <cell r="K1225">
            <v>1.33</v>
          </cell>
          <cell r="L1225" t="str">
            <v>Perpajakan</v>
          </cell>
          <cell r="M1225" t="str">
            <v xml:space="preserve">KC Arga Makmur                          </v>
          </cell>
          <cell r="N1225" t="str">
            <v xml:space="preserve">KC Arga Makmur                          </v>
          </cell>
          <cell r="O1225" t="str">
            <v xml:space="preserve">KANWIL BANDAR LAMPUNG                   </v>
          </cell>
          <cell r="R1225" t="str">
            <v>Belum TL</v>
          </cell>
          <cell r="S1225" t="str">
            <v>Belum TL</v>
          </cell>
          <cell r="T1225" t="str">
            <v>90186796 - Devito Arya Wiradila</v>
          </cell>
          <cell r="U1225" t="str">
            <v>"-"</v>
          </cell>
        </row>
        <row r="1226">
          <cell r="A1226">
            <v>46265</v>
          </cell>
          <cell r="B1226" t="str">
            <v xml:space="preserve">MOCH NAZRIL ILHAM                       </v>
          </cell>
          <cell r="C1226" t="str">
            <v>MEYBF87</v>
          </cell>
          <cell r="D1226">
            <v>648401010151508</v>
          </cell>
          <cell r="F1226" t="str">
            <v>Tidak</v>
          </cell>
          <cell r="G1226" t="str">
            <v>Tidak</v>
          </cell>
          <cell r="H1226" t="str">
            <v>Tidak</v>
          </cell>
          <cell r="I1226" t="str">
            <v>Bandar Judol Withdrawal</v>
          </cell>
          <cell r="J1226">
            <v>35</v>
          </cell>
          <cell r="K1226" t="str">
            <v>86,88,87</v>
          </cell>
          <cell r="L1226" t="str">
            <v>Judi Online</v>
          </cell>
          <cell r="M1226" t="str">
            <v xml:space="preserve">Kas Kanpus                              </v>
          </cell>
          <cell r="N1226" t="str">
            <v xml:space="preserve">Kas Kanpus                              </v>
          </cell>
          <cell r="O1226" t="str">
            <v xml:space="preserve">KAS KANPUS                              </v>
          </cell>
          <cell r="R1226" t="str">
            <v>Belum TL</v>
          </cell>
          <cell r="S1226" t="str">
            <v>Belum TL</v>
          </cell>
          <cell r="T1226" t="str">
            <v>90186796 - Devito Arya Wiradila</v>
          </cell>
          <cell r="U1226" t="str">
            <v>"-"</v>
          </cell>
        </row>
        <row r="1227">
          <cell r="A1227">
            <v>46265</v>
          </cell>
          <cell r="B1227" t="str">
            <v xml:space="preserve">MUHAMMAD RUKHIYAT SHOHEH                </v>
          </cell>
          <cell r="C1227" t="str">
            <v>MEYLN21</v>
          </cell>
          <cell r="D1227">
            <v>176701018848502</v>
          </cell>
          <cell r="F1227" t="str">
            <v>Tidak</v>
          </cell>
          <cell r="G1227" t="str">
            <v>Tidak</v>
          </cell>
          <cell r="H1227" t="str">
            <v>Tidak</v>
          </cell>
          <cell r="I1227" t="str">
            <v>Bandar Judol Withdrawal</v>
          </cell>
          <cell r="J1227">
            <v>35</v>
          </cell>
          <cell r="K1227" t="str">
            <v>86,88,87</v>
          </cell>
          <cell r="L1227" t="str">
            <v>Judi Online</v>
          </cell>
          <cell r="M1227" t="str">
            <v xml:space="preserve">Kas Kanpus                              </v>
          </cell>
          <cell r="N1227" t="str">
            <v xml:space="preserve">Kas Kanpus                              </v>
          </cell>
          <cell r="O1227" t="str">
            <v xml:space="preserve">KAS KANPUS                              </v>
          </cell>
          <cell r="R1227" t="str">
            <v>Belum TL</v>
          </cell>
          <cell r="S1227" t="str">
            <v>Belum TL</v>
          </cell>
          <cell r="T1227" t="str">
            <v>90185538 - Muhammad Fahikal Auz</v>
          </cell>
          <cell r="U1227" t="str">
            <v>"-"</v>
          </cell>
        </row>
        <row r="1228">
          <cell r="A1228">
            <v>46265</v>
          </cell>
          <cell r="B1228" t="str">
            <v xml:space="preserve">MUHAMAD FATIH SIDIK                     </v>
          </cell>
          <cell r="C1228" t="str">
            <v>MFBZN93</v>
          </cell>
          <cell r="D1228">
            <v>204001011215501</v>
          </cell>
          <cell r="F1228" t="str">
            <v>Tidak</v>
          </cell>
          <cell r="G1228" t="str">
            <v>Tidak</v>
          </cell>
          <cell r="H1228" t="str">
            <v>Tidak</v>
          </cell>
          <cell r="I1228" t="str">
            <v>Bandar Judol Withdrawal</v>
          </cell>
          <cell r="J1228">
            <v>35</v>
          </cell>
          <cell r="K1228" t="str">
            <v>86,88,87</v>
          </cell>
          <cell r="L1228" t="str">
            <v>Judi Online</v>
          </cell>
          <cell r="M1228" t="str">
            <v xml:space="preserve">Kas Kanpus                              </v>
          </cell>
          <cell r="N1228" t="str">
            <v xml:space="preserve">Kas Kanpus                              </v>
          </cell>
          <cell r="O1228" t="str">
            <v xml:space="preserve">KAS KANPUS                              </v>
          </cell>
          <cell r="R1228" t="str">
            <v>Belum TL</v>
          </cell>
          <cell r="S1228" t="str">
            <v>Belum TL</v>
          </cell>
          <cell r="T1228" t="str">
            <v>90170665 - Mutiara Ayuningtyas</v>
          </cell>
          <cell r="U1228" t="str">
            <v>"-"</v>
          </cell>
        </row>
        <row r="1229">
          <cell r="A1229">
            <v>46265</v>
          </cell>
          <cell r="B1229" t="str">
            <v xml:space="preserve">M RUSDI                                 </v>
          </cell>
          <cell r="C1229" t="str">
            <v>MFCEQ47</v>
          </cell>
          <cell r="D1229">
            <v>1901289871508</v>
          </cell>
          <cell r="F1229" t="str">
            <v>Tidak</v>
          </cell>
          <cell r="G1229" t="str">
            <v>Tidak</v>
          </cell>
          <cell r="H1229" t="str">
            <v>Tidak</v>
          </cell>
          <cell r="I1229" t="str">
            <v>Bandar Judol Depo</v>
          </cell>
          <cell r="J1229">
            <v>35</v>
          </cell>
          <cell r="K1229" t="str">
            <v>86,74,87</v>
          </cell>
          <cell r="L1229" t="str">
            <v>Judi Online</v>
          </cell>
          <cell r="M1229" t="str">
            <v xml:space="preserve">Kas Kanpus                              </v>
          </cell>
          <cell r="N1229" t="str">
            <v xml:space="preserve">Kas Kanpus                              </v>
          </cell>
          <cell r="O1229" t="str">
            <v xml:space="preserve">KAS KANPUS                              </v>
          </cell>
          <cell r="R1229" t="str">
            <v>Belum TL</v>
          </cell>
          <cell r="S1229" t="str">
            <v>Belum TL</v>
          </cell>
          <cell r="T1229" t="str">
            <v>90171841 - Rifqi Aziz</v>
          </cell>
          <cell r="U1229" t="str">
            <v>"-"</v>
          </cell>
        </row>
        <row r="1230">
          <cell r="A1230">
            <v>46265</v>
          </cell>
          <cell r="B1230" t="str">
            <v xml:space="preserve">MUHAMMAD FERDI TAUFIQ                   </v>
          </cell>
          <cell r="C1230" t="str">
            <v>MFCEV86</v>
          </cell>
          <cell r="D1230">
            <v>63501050919503</v>
          </cell>
          <cell r="F1230" t="str">
            <v>Tidak</v>
          </cell>
          <cell r="G1230" t="str">
            <v>Tidak</v>
          </cell>
          <cell r="H1230" t="str">
            <v>Tidak</v>
          </cell>
          <cell r="I1230" t="str">
            <v>Bandar Judol Withdrawal</v>
          </cell>
          <cell r="J1230">
            <v>35</v>
          </cell>
          <cell r="K1230" t="str">
            <v>86,88,87</v>
          </cell>
          <cell r="L1230" t="str">
            <v>Judi Online</v>
          </cell>
          <cell r="M1230" t="str">
            <v xml:space="preserve">Kas Kanpus                              </v>
          </cell>
          <cell r="N1230" t="str">
            <v xml:space="preserve">Kas Kanpus                              </v>
          </cell>
          <cell r="O1230" t="str">
            <v xml:space="preserve">KAS KANPUS                              </v>
          </cell>
          <cell r="R1230" t="str">
            <v>Belum TL</v>
          </cell>
          <cell r="S1230" t="str">
            <v>Belum TL</v>
          </cell>
          <cell r="T1230" t="str">
            <v>00336949 - Mochammad Al Farabi</v>
          </cell>
          <cell r="U1230" t="str">
            <v>"-"</v>
          </cell>
        </row>
        <row r="1231">
          <cell r="A1231">
            <v>46265</v>
          </cell>
          <cell r="B1231" t="str">
            <v xml:space="preserve">MUHAMMAD FAUZI                          </v>
          </cell>
          <cell r="C1231" t="str">
            <v>MFCEX54</v>
          </cell>
          <cell r="D1231">
            <v>780701002282508</v>
          </cell>
          <cell r="F1231" t="str">
            <v>Tidak</v>
          </cell>
          <cell r="G1231" t="str">
            <v>Tidak</v>
          </cell>
          <cell r="H1231" t="str">
            <v>Tidak</v>
          </cell>
          <cell r="I1231" t="str">
            <v>Bandar Judol Depo</v>
          </cell>
          <cell r="J1231">
            <v>35</v>
          </cell>
          <cell r="K1231" t="str">
            <v>86,74,87</v>
          </cell>
          <cell r="L1231" t="str">
            <v>Judi Online</v>
          </cell>
          <cell r="M1231" t="str">
            <v xml:space="preserve">Kas Kanpus                              </v>
          </cell>
          <cell r="N1231" t="str">
            <v xml:space="preserve">Kas Kanpus                              </v>
          </cell>
          <cell r="O1231" t="str">
            <v xml:space="preserve">KAS KANPUS                              </v>
          </cell>
          <cell r="R1231" t="str">
            <v>Belum TL</v>
          </cell>
          <cell r="S1231" t="str">
            <v>Belum TL</v>
          </cell>
          <cell r="T1231" t="str">
            <v>00394520 - Frida Akbar Rani</v>
          </cell>
          <cell r="U1231" t="str">
            <v>"-"</v>
          </cell>
        </row>
        <row r="1232">
          <cell r="A1232">
            <v>46265</v>
          </cell>
          <cell r="B1232" t="str">
            <v xml:space="preserve">MUHAMMAD TOMI YUSWIL                    </v>
          </cell>
          <cell r="C1232" t="str">
            <v>MFCOO89</v>
          </cell>
          <cell r="D1232">
            <v>99601016811503</v>
          </cell>
          <cell r="F1232" t="str">
            <v>Tidak</v>
          </cell>
          <cell r="G1232" t="str">
            <v>Tidak</v>
          </cell>
          <cell r="I1232" t="str">
            <v>Jual Beli Rekening - E channel Trx</v>
          </cell>
          <cell r="J1232">
            <v>33</v>
          </cell>
          <cell r="K1232">
            <v>113</v>
          </cell>
          <cell r="L1232" t="str">
            <v>Narkotika/Judi Online/Penipuan</v>
          </cell>
          <cell r="M1232" t="str">
            <v xml:space="preserve">UNIT CENGKARENG BARAT                   </v>
          </cell>
          <cell r="N1232" t="str">
            <v xml:space="preserve">KC Jakarta Kalideres                    </v>
          </cell>
          <cell r="O1232" t="str">
            <v xml:space="preserve">KANWIL JAKARTA 3                        </v>
          </cell>
          <cell r="R1232" t="str">
            <v>Belum TL</v>
          </cell>
          <cell r="S1232" t="str">
            <v>Belum TL</v>
          </cell>
          <cell r="U1232" t="str">
            <v>"-"</v>
          </cell>
        </row>
        <row r="1233">
          <cell r="A1233">
            <v>46265</v>
          </cell>
          <cell r="B1233" t="str">
            <v xml:space="preserve">MUHAMMAD YUDA                           </v>
          </cell>
          <cell r="C1233" t="str">
            <v>MFDCE36</v>
          </cell>
          <cell r="D1233">
            <v>23801101093501</v>
          </cell>
          <cell r="F1233" t="str">
            <v>Tidak</v>
          </cell>
          <cell r="G1233" t="str">
            <v>Tidak</v>
          </cell>
          <cell r="H1233" t="str">
            <v>Tidak</v>
          </cell>
          <cell r="I1233" t="str">
            <v>Bandar Judol Withdrawal</v>
          </cell>
          <cell r="J1233">
            <v>35</v>
          </cell>
          <cell r="K1233" t="str">
            <v>86,88,87</v>
          </cell>
          <cell r="L1233" t="str">
            <v>Judi Online</v>
          </cell>
          <cell r="M1233" t="str">
            <v xml:space="preserve">Kas Kanpus                              </v>
          </cell>
          <cell r="N1233" t="str">
            <v xml:space="preserve">Kas Kanpus                              </v>
          </cell>
          <cell r="O1233" t="str">
            <v xml:space="preserve">KAS KANPUS                              </v>
          </cell>
          <cell r="R1233" t="str">
            <v>Belum TL</v>
          </cell>
          <cell r="S1233" t="str">
            <v>Belum TL</v>
          </cell>
          <cell r="T1233" t="str">
            <v>90186796 - Devito Arya Wiradila</v>
          </cell>
          <cell r="U1233" t="str">
            <v>"-"</v>
          </cell>
        </row>
        <row r="1234">
          <cell r="A1234">
            <v>46265</v>
          </cell>
          <cell r="B1234" t="str">
            <v xml:space="preserve">M. ALFAIZ ZAHY MUFLIH                   </v>
          </cell>
          <cell r="C1234" t="str">
            <v>MFDGO03</v>
          </cell>
          <cell r="D1234">
            <v>108701019440501</v>
          </cell>
          <cell r="F1234" t="str">
            <v>Tidak</v>
          </cell>
          <cell r="G1234" t="str">
            <v>Tidak</v>
          </cell>
          <cell r="I1234" t="str">
            <v>Jual Beli Rekening - E channel Trx</v>
          </cell>
          <cell r="J1234">
            <v>33</v>
          </cell>
          <cell r="K1234">
            <v>113</v>
          </cell>
          <cell r="L1234" t="str">
            <v>Narkotika/Judi Online/Penipuan</v>
          </cell>
          <cell r="M1234" t="str">
            <v xml:space="preserve">KCP GADJAHMADA                          </v>
          </cell>
          <cell r="N1234" t="str">
            <v xml:space="preserve">KC Medan Iskandar Muda                  </v>
          </cell>
          <cell r="O1234" t="str">
            <v xml:space="preserve">Medan                                   </v>
          </cell>
          <cell r="R1234" t="str">
            <v>Belum TL</v>
          </cell>
          <cell r="S1234" t="str">
            <v>Belum TL</v>
          </cell>
          <cell r="U1234" t="str">
            <v>"-"</v>
          </cell>
        </row>
        <row r="1235">
          <cell r="A1235">
            <v>46265</v>
          </cell>
          <cell r="B1235" t="str">
            <v xml:space="preserve">MUTIARA RITELINDO SEMBADA               </v>
          </cell>
          <cell r="C1235" t="str">
            <v>MFDJS71</v>
          </cell>
          <cell r="D1235">
            <v>40901001367302</v>
          </cell>
          <cell r="F1235" t="str">
            <v>Tidak</v>
          </cell>
          <cell r="G1235" t="str">
            <v>Tidak</v>
          </cell>
          <cell r="H1235" t="str">
            <v>Tidak</v>
          </cell>
          <cell r="I1235" t="str">
            <v>Perpajakan</v>
          </cell>
          <cell r="J1235">
            <v>33</v>
          </cell>
          <cell r="K1235">
            <v>41</v>
          </cell>
          <cell r="L1235" t="str">
            <v>Perpajakan</v>
          </cell>
          <cell r="M1235" t="str">
            <v xml:space="preserve">KC Yogyakarta Mlati                     </v>
          </cell>
          <cell r="N1235" t="str">
            <v xml:space="preserve">KC Yogyakarta Mlati                     </v>
          </cell>
          <cell r="O1235" t="str">
            <v xml:space="preserve">Yogyakarta                              </v>
          </cell>
          <cell r="R1235" t="str">
            <v>Belum TL</v>
          </cell>
          <cell r="S1235" t="str">
            <v>Belum TL</v>
          </cell>
          <cell r="T1235" t="str">
            <v>00394520 - Frida Akbar Rani</v>
          </cell>
          <cell r="U1235" t="str">
            <v>"-"</v>
          </cell>
        </row>
        <row r="1236">
          <cell r="A1236">
            <v>46265</v>
          </cell>
          <cell r="B1236" t="str">
            <v xml:space="preserve">MAJU MIPUK PAINT TECH WATES             </v>
          </cell>
          <cell r="C1236" t="str">
            <v>MFEJZ93</v>
          </cell>
          <cell r="D1236">
            <v>3301506322151</v>
          </cell>
          <cell r="F1236" t="str">
            <v>Tidak</v>
          </cell>
          <cell r="G1236" t="str">
            <v>Tidak</v>
          </cell>
          <cell r="H1236" t="str">
            <v>Tidak</v>
          </cell>
          <cell r="I1236" t="str">
            <v>Korupsi - Loan View</v>
          </cell>
          <cell r="J1236">
            <v>33</v>
          </cell>
          <cell r="K1236">
            <v>15</v>
          </cell>
          <cell r="L1236" t="str">
            <v>Korupsi</v>
          </cell>
          <cell r="M1236" t="str">
            <v>Kas Kanpus</v>
          </cell>
          <cell r="N1236" t="str">
            <v>Kas Kanpus</v>
          </cell>
          <cell r="O1236" t="str">
            <v>KAS KANPUS</v>
          </cell>
          <cell r="R1236" t="str">
            <v>Belum TL</v>
          </cell>
          <cell r="S1236" t="str">
            <v>Belum TL</v>
          </cell>
          <cell r="T1236" t="str">
            <v>90185537 - Moh.Khoerul Fajar Ar</v>
          </cell>
          <cell r="U1236" t="str">
            <v>"-"</v>
          </cell>
        </row>
        <row r="1237">
          <cell r="A1237">
            <v>46265</v>
          </cell>
          <cell r="B1237" t="str">
            <v xml:space="preserve">MUSDALIFA AGUNG                         </v>
          </cell>
          <cell r="C1237" t="str">
            <v>MFFGD28</v>
          </cell>
          <cell r="D1237">
            <v>6501003789568</v>
          </cell>
          <cell r="F1237" t="str">
            <v>Tidak</v>
          </cell>
          <cell r="G1237" t="str">
            <v>Tidak</v>
          </cell>
          <cell r="H1237" t="str">
            <v>Tidak</v>
          </cell>
          <cell r="I1237" t="str">
            <v>Korupsi - Cash &amp; Amount</v>
          </cell>
          <cell r="J1237">
            <v>33</v>
          </cell>
          <cell r="K1237" t="str">
            <v>1,2,20</v>
          </cell>
          <cell r="L1237" t="str">
            <v>Korupsi</v>
          </cell>
          <cell r="M1237" t="str">
            <v>Kas Kanpus</v>
          </cell>
          <cell r="N1237" t="str">
            <v>Kas Kanpus</v>
          </cell>
          <cell r="O1237" t="str">
            <v>KAS KANPUS</v>
          </cell>
          <cell r="R1237" t="str">
            <v>Belum TL</v>
          </cell>
          <cell r="S1237" t="str">
            <v>Belum TL</v>
          </cell>
          <cell r="T1237" t="str">
            <v>90186790 - Muhammad Alfin Farha</v>
          </cell>
          <cell r="U1237" t="str">
            <v>"-"</v>
          </cell>
        </row>
        <row r="1238">
          <cell r="A1238">
            <v>46265</v>
          </cell>
          <cell r="B1238" t="str">
            <v xml:space="preserve">MALIK TOMY ALAMSAH SITOMPUL             </v>
          </cell>
          <cell r="C1238" t="str">
            <v>MFLN386</v>
          </cell>
          <cell r="D1238">
            <v>63801030444538</v>
          </cell>
          <cell r="E1238" t="str">
            <v>SEDANG</v>
          </cell>
          <cell r="F1238" t="str">
            <v>Tidak</v>
          </cell>
          <cell r="G1238" t="str">
            <v>Tidak</v>
          </cell>
          <cell r="H1238" t="str">
            <v>Tidak</v>
          </cell>
          <cell r="I1238" t="str">
            <v>Bandar Judol Withdrawal</v>
          </cell>
          <cell r="J1238">
            <v>50</v>
          </cell>
          <cell r="K1238" t="str">
            <v>86,88,87</v>
          </cell>
          <cell r="L1238" t="str">
            <v>Judi Online</v>
          </cell>
          <cell r="M1238" t="str">
            <v xml:space="preserve">Kas Kanpus                              </v>
          </cell>
          <cell r="N1238" t="str">
            <v xml:space="preserve">Kas Kanpus                              </v>
          </cell>
          <cell r="O1238" t="str">
            <v xml:space="preserve">KAS KANPUS                              </v>
          </cell>
          <cell r="R1238" t="str">
            <v>Belum TL</v>
          </cell>
          <cell r="S1238" t="str">
            <v>Belum TL</v>
          </cell>
          <cell r="T1238" t="str">
            <v>90171841 - Rifqi Aziz</v>
          </cell>
          <cell r="U1238" t="str">
            <v>"-"</v>
          </cell>
        </row>
        <row r="1239">
          <cell r="A1239">
            <v>46265</v>
          </cell>
          <cell r="B1239" t="str">
            <v xml:space="preserve">MALINDO FEEDMILL TBK PT                 </v>
          </cell>
          <cell r="C1239" t="str">
            <v>MFLP913</v>
          </cell>
          <cell r="D1239">
            <v>33001001804309</v>
          </cell>
          <cell r="E1239" t="str">
            <v>SEDANG</v>
          </cell>
          <cell r="F1239" t="str">
            <v>Tidak</v>
          </cell>
          <cell r="G1239" t="str">
            <v>Tidak</v>
          </cell>
          <cell r="H1239" t="str">
            <v>Tidak</v>
          </cell>
          <cell r="I1239" t="str">
            <v>Korupsi - Cash &amp; Amount</v>
          </cell>
          <cell r="J1239">
            <v>50</v>
          </cell>
          <cell r="K1239" t="str">
            <v>1,2,20</v>
          </cell>
          <cell r="L1239" t="str">
            <v>Korupsi</v>
          </cell>
          <cell r="M1239" t="str">
            <v>Kas Kanpus</v>
          </cell>
          <cell r="N1239" t="str">
            <v>Kas Kanpus</v>
          </cell>
          <cell r="O1239" t="str">
            <v>KAS KANPUS</v>
          </cell>
          <cell r="R1239" t="str">
            <v>Belum TL</v>
          </cell>
          <cell r="S1239" t="str">
            <v>Belum TL</v>
          </cell>
          <cell r="T1239" t="str">
            <v>00336949 - Mochammad Al Farabi</v>
          </cell>
          <cell r="U1239" t="str">
            <v>"-"</v>
          </cell>
        </row>
        <row r="1240">
          <cell r="A1240">
            <v>46265</v>
          </cell>
          <cell r="B1240" t="str">
            <v xml:space="preserve">MUHADI SAPUTRA                          </v>
          </cell>
          <cell r="C1240" t="str">
            <v>MEZDS61</v>
          </cell>
          <cell r="D1240">
            <v>113201001043562</v>
          </cell>
          <cell r="F1240" t="str">
            <v>Tidak</v>
          </cell>
          <cell r="G1240" t="str">
            <v>Tidak</v>
          </cell>
          <cell r="H1240" t="str">
            <v>Tidak</v>
          </cell>
          <cell r="I1240" t="str">
            <v>Bandar Judol Withdrawal</v>
          </cell>
          <cell r="J1240">
            <v>35</v>
          </cell>
          <cell r="K1240" t="str">
            <v>86,88,87</v>
          </cell>
          <cell r="L1240" t="str">
            <v>Judi Online</v>
          </cell>
          <cell r="M1240" t="str">
            <v xml:space="preserve">Kas Kanpus                              </v>
          </cell>
          <cell r="N1240" t="str">
            <v xml:space="preserve">Kas Kanpus                              </v>
          </cell>
          <cell r="O1240" t="str">
            <v xml:space="preserve">KAS KANPUS                              </v>
          </cell>
          <cell r="R1240" t="str">
            <v>Belum TL</v>
          </cell>
          <cell r="S1240" t="str">
            <v>Belum TL</v>
          </cell>
          <cell r="T1240" t="str">
            <v>00394520 - Frida Akbar Rani</v>
          </cell>
          <cell r="U1240" t="str">
            <v>"-"</v>
          </cell>
        </row>
        <row r="1241">
          <cell r="A1241">
            <v>46265</v>
          </cell>
          <cell r="B1241" t="str">
            <v xml:space="preserve">MUHAMMAD RIZKY                          </v>
          </cell>
          <cell r="C1241" t="str">
            <v>MEZFV66</v>
          </cell>
          <cell r="D1241">
            <v>90701008601505</v>
          </cell>
          <cell r="F1241" t="str">
            <v>Tidak</v>
          </cell>
          <cell r="G1241" t="str">
            <v>Tidak</v>
          </cell>
          <cell r="H1241" t="str">
            <v>Tidak</v>
          </cell>
          <cell r="I1241" t="str">
            <v>Bandar Judol Withdrawal</v>
          </cell>
          <cell r="J1241">
            <v>35</v>
          </cell>
          <cell r="K1241" t="str">
            <v>86,88,87</v>
          </cell>
          <cell r="L1241" t="str">
            <v>Judi Online</v>
          </cell>
          <cell r="M1241" t="str">
            <v xml:space="preserve">Kas Kanpus                              </v>
          </cell>
          <cell r="N1241" t="str">
            <v xml:space="preserve">Kas Kanpus                              </v>
          </cell>
          <cell r="O1241" t="str">
            <v xml:space="preserve">KAS KANPUS                              </v>
          </cell>
          <cell r="R1241" t="str">
            <v>Belum TL</v>
          </cell>
          <cell r="S1241" t="str">
            <v>Belum TL</v>
          </cell>
          <cell r="T1241" t="str">
            <v>90150130 - Intan Aida Pratiwi</v>
          </cell>
          <cell r="U1241" t="str">
            <v>"-"</v>
          </cell>
        </row>
        <row r="1242">
          <cell r="A1242">
            <v>46265</v>
          </cell>
          <cell r="B1242" t="str">
            <v xml:space="preserve">MAMAN SURATMAN                          </v>
          </cell>
          <cell r="C1242" t="str">
            <v>MEZIZ25</v>
          </cell>
          <cell r="D1242">
            <v>118401034106502</v>
          </cell>
          <cell r="F1242" t="str">
            <v>Tidak</v>
          </cell>
          <cell r="G1242" t="str">
            <v>Tidak</v>
          </cell>
          <cell r="H1242" t="str">
            <v>Tidak</v>
          </cell>
          <cell r="I1242" t="str">
            <v>Bandar Judol Withdrawal</v>
          </cell>
          <cell r="J1242">
            <v>35</v>
          </cell>
          <cell r="K1242" t="str">
            <v>86,88,87</v>
          </cell>
          <cell r="L1242" t="str">
            <v>Judi Online</v>
          </cell>
          <cell r="M1242" t="str">
            <v xml:space="preserve">Kas Kanpus                              </v>
          </cell>
          <cell r="N1242" t="str">
            <v xml:space="preserve">Kas Kanpus                              </v>
          </cell>
          <cell r="O1242" t="str">
            <v xml:space="preserve">KAS KANPUS                              </v>
          </cell>
          <cell r="R1242" t="str">
            <v>Belum TL</v>
          </cell>
          <cell r="S1242" t="str">
            <v>Belum TL</v>
          </cell>
          <cell r="T1242" t="str">
            <v>00394521 - Muhammad Hibbanduta</v>
          </cell>
          <cell r="U1242" t="str">
            <v>"-"</v>
          </cell>
        </row>
        <row r="1243">
          <cell r="A1243">
            <v>46265</v>
          </cell>
          <cell r="B1243" t="str">
            <v xml:space="preserve">MUHAMMAD FURQAAN RAMADHAN               </v>
          </cell>
          <cell r="C1243" t="str">
            <v>MEZPG73</v>
          </cell>
          <cell r="D1243">
            <v>108601029795502</v>
          </cell>
          <cell r="F1243" t="str">
            <v>Tidak</v>
          </cell>
          <cell r="G1243" t="str">
            <v>Tidak</v>
          </cell>
          <cell r="H1243" t="str">
            <v>Tidak</v>
          </cell>
          <cell r="I1243" t="str">
            <v>Bandar Judol Depo</v>
          </cell>
          <cell r="J1243">
            <v>35</v>
          </cell>
          <cell r="K1243" t="str">
            <v>86,74,87</v>
          </cell>
          <cell r="L1243" t="str">
            <v>Judi Online</v>
          </cell>
          <cell r="M1243" t="str">
            <v xml:space="preserve">Kas Kanpus                              </v>
          </cell>
          <cell r="N1243" t="str">
            <v xml:space="preserve">Kas Kanpus                              </v>
          </cell>
          <cell r="O1243" t="str">
            <v xml:space="preserve">KAS KANPUS                              </v>
          </cell>
          <cell r="R1243" t="str">
            <v>Belum TL</v>
          </cell>
          <cell r="S1243" t="str">
            <v>Belum TL</v>
          </cell>
          <cell r="T1243" t="str">
            <v>90171841 - Rifqi Aziz</v>
          </cell>
          <cell r="U1243" t="str">
            <v>"-"</v>
          </cell>
        </row>
        <row r="1244">
          <cell r="A1244">
            <v>46265</v>
          </cell>
          <cell r="B1244" t="str">
            <v xml:space="preserve">M.ALAIKAR RIDHO                         </v>
          </cell>
          <cell r="C1244" t="str">
            <v>MEZXO79</v>
          </cell>
          <cell r="D1244">
            <v>6501003677567</v>
          </cell>
          <cell r="F1244" t="str">
            <v>Tidak</v>
          </cell>
          <cell r="G1244" t="str">
            <v>Tidak</v>
          </cell>
          <cell r="H1244" t="str">
            <v>Tidak</v>
          </cell>
          <cell r="I1244" t="str">
            <v>Bandar Judol Depo</v>
          </cell>
          <cell r="J1244">
            <v>35</v>
          </cell>
          <cell r="K1244" t="str">
            <v>86,74,87</v>
          </cell>
          <cell r="L1244" t="str">
            <v>Judi Online</v>
          </cell>
          <cell r="M1244" t="str">
            <v xml:space="preserve">Kas Kanpus                              </v>
          </cell>
          <cell r="N1244" t="str">
            <v xml:space="preserve">Kas Kanpus                              </v>
          </cell>
          <cell r="O1244" t="str">
            <v xml:space="preserve">KAS KANPUS                              </v>
          </cell>
          <cell r="R1244" t="str">
            <v>Belum TL</v>
          </cell>
          <cell r="S1244" t="str">
            <v>Belum TL</v>
          </cell>
          <cell r="T1244" t="str">
            <v>00336949 - Mochammad Al Farabi</v>
          </cell>
          <cell r="U1244" t="str">
            <v>"-"</v>
          </cell>
        </row>
        <row r="1245">
          <cell r="A1245">
            <v>46265</v>
          </cell>
          <cell r="B1245" t="str">
            <v xml:space="preserve">MUHAMMAD AL JIBRAL                      </v>
          </cell>
          <cell r="C1245" t="str">
            <v>MFAFC24</v>
          </cell>
          <cell r="D1245">
            <v>96301017595507</v>
          </cell>
          <cell r="F1245" t="str">
            <v>Tidak</v>
          </cell>
          <cell r="G1245" t="str">
            <v>Tidak</v>
          </cell>
          <cell r="H1245" t="str">
            <v>Tidak</v>
          </cell>
          <cell r="I1245" t="str">
            <v>Bandar Judol Depo</v>
          </cell>
          <cell r="J1245">
            <v>35</v>
          </cell>
          <cell r="K1245" t="str">
            <v>86,74,87</v>
          </cell>
          <cell r="L1245" t="str">
            <v>Judi Online</v>
          </cell>
          <cell r="M1245" t="str">
            <v xml:space="preserve">Kas Kanpus                              </v>
          </cell>
          <cell r="N1245" t="str">
            <v xml:space="preserve">Kas Kanpus                              </v>
          </cell>
          <cell r="O1245" t="str">
            <v xml:space="preserve">KAS KANPUS                              </v>
          </cell>
          <cell r="R1245" t="str">
            <v>Belum TL</v>
          </cell>
          <cell r="S1245" t="str">
            <v>Belum TL</v>
          </cell>
          <cell r="T1245" t="str">
            <v>00394520 - Frida Akbar Rani</v>
          </cell>
          <cell r="U1245" t="str">
            <v>"-"</v>
          </cell>
        </row>
        <row r="1246">
          <cell r="A1246">
            <v>46265</v>
          </cell>
          <cell r="B1246" t="str">
            <v xml:space="preserve">MARTINHO MENDONCA DA COSTA              </v>
          </cell>
          <cell r="C1246" t="str">
            <v>MFLV743</v>
          </cell>
          <cell r="D1246">
            <v>342301020756109</v>
          </cell>
          <cell r="E1246" t="str">
            <v>SEDANG</v>
          </cell>
          <cell r="F1246" t="str">
            <v>Tidak</v>
          </cell>
          <cell r="G1246" t="str">
            <v>Tidak</v>
          </cell>
          <cell r="H1246" t="str">
            <v>Tidak</v>
          </cell>
          <cell r="I1246" t="str">
            <v>Korupsi - Loan View</v>
          </cell>
          <cell r="J1246">
            <v>48</v>
          </cell>
          <cell r="K1246">
            <v>15</v>
          </cell>
          <cell r="L1246" t="str">
            <v>Korupsi</v>
          </cell>
          <cell r="M1246" t="str">
            <v>Kas Kanpus</v>
          </cell>
          <cell r="N1246" t="str">
            <v>Kas Kanpus</v>
          </cell>
          <cell r="O1246" t="str">
            <v>KAS KANPUS</v>
          </cell>
          <cell r="R1246" t="str">
            <v>Belum TL</v>
          </cell>
          <cell r="S1246" t="str">
            <v>Belum TL</v>
          </cell>
          <cell r="T1246" t="str">
            <v>90171841 - Rifqi Aziz</v>
          </cell>
          <cell r="U1246" t="str">
            <v>"-"</v>
          </cell>
        </row>
        <row r="1247">
          <cell r="A1247">
            <v>46265</v>
          </cell>
          <cell r="B1247" t="str">
            <v xml:space="preserve">MARICE PAKPAHAN                         </v>
          </cell>
          <cell r="C1247" t="str">
            <v>MGB0601</v>
          </cell>
          <cell r="D1247">
            <v>534601000017537</v>
          </cell>
          <cell r="E1247" t="str">
            <v>SEDANG</v>
          </cell>
          <cell r="F1247" t="str">
            <v>Tidak</v>
          </cell>
          <cell r="G1247" t="str">
            <v>Tidak</v>
          </cell>
          <cell r="H1247" t="str">
            <v>Tidak</v>
          </cell>
          <cell r="I1247" t="str">
            <v>Korupsi - Significant Trx View</v>
          </cell>
          <cell r="J1247">
            <v>58</v>
          </cell>
          <cell r="K1247">
            <v>1.19</v>
          </cell>
          <cell r="L1247" t="str">
            <v>Korupsi</v>
          </cell>
          <cell r="M1247" t="str">
            <v>Kas Kanpus</v>
          </cell>
          <cell r="N1247" t="str">
            <v>Kas Kanpus</v>
          </cell>
          <cell r="O1247" t="str">
            <v>KAS KANPUS</v>
          </cell>
          <cell r="R1247" t="str">
            <v>Belum TL</v>
          </cell>
          <cell r="S1247" t="str">
            <v>Belum TL</v>
          </cell>
          <cell r="T1247" t="str">
            <v>90171841 - Rifqi Aziz</v>
          </cell>
          <cell r="U1247" t="str">
            <v>"-"</v>
          </cell>
        </row>
        <row r="1248">
          <cell r="A1248">
            <v>46265</v>
          </cell>
          <cell r="B1248" t="str">
            <v xml:space="preserve">MUHAMAD HARIYANTO                       </v>
          </cell>
          <cell r="C1248" t="str">
            <v>MGJ0714</v>
          </cell>
          <cell r="D1248">
            <v>41201002911565</v>
          </cell>
          <cell r="E1248" t="str">
            <v>TINGGI</v>
          </cell>
          <cell r="F1248" t="str">
            <v>Tidak</v>
          </cell>
          <cell r="G1248" t="str">
            <v>Tidak</v>
          </cell>
          <cell r="H1248" t="str">
            <v>Tidak</v>
          </cell>
          <cell r="I1248" t="str">
            <v>Korupsi - Payroll View</v>
          </cell>
          <cell r="J1248">
            <v>73</v>
          </cell>
          <cell r="K1248">
            <v>84</v>
          </cell>
          <cell r="L1248" t="str">
            <v>Korupsi</v>
          </cell>
          <cell r="M1248" t="str">
            <v>Kas Kanpus</v>
          </cell>
          <cell r="N1248" t="str">
            <v>Kas Kanpus</v>
          </cell>
          <cell r="O1248" t="str">
            <v>KAS KANPUS</v>
          </cell>
          <cell r="R1248" t="str">
            <v>Belum TL</v>
          </cell>
          <cell r="S1248" t="str">
            <v>Belum TL</v>
          </cell>
          <cell r="T1248" t="str">
            <v>90185537 - Moh.Khoerul Fajar Ar</v>
          </cell>
          <cell r="U1248" t="str">
            <v>"-"</v>
          </cell>
        </row>
        <row r="1249">
          <cell r="A1249">
            <v>46265</v>
          </cell>
          <cell r="B1249" t="str">
            <v xml:space="preserve">M NAJIH MABRUK                          </v>
          </cell>
          <cell r="C1249" t="str">
            <v>MGTJ252</v>
          </cell>
          <cell r="D1249">
            <v>4359720200388300</v>
          </cell>
          <cell r="E1249" t="str">
            <v>SEDANG</v>
          </cell>
          <cell r="F1249" t="str">
            <v>Tidak</v>
          </cell>
          <cell r="G1249" t="str">
            <v>Tidak</v>
          </cell>
          <cell r="H1249" t="str">
            <v>Tidak</v>
          </cell>
          <cell r="I1249" t="str">
            <v>Penghindaran Pajak (Transaksi Fiktif)/Penyuapan CC</v>
          </cell>
          <cell r="J1249">
            <v>45</v>
          </cell>
          <cell r="K1249">
            <v>118</v>
          </cell>
          <cell r="L1249" t="str">
            <v>Penyuapan / Penghindaran Pajak CC View</v>
          </cell>
          <cell r="M1249" t="str">
            <v xml:space="preserve">Kas Kanpus                              </v>
          </cell>
          <cell r="N1249" t="str">
            <v xml:space="preserve">Kas Kanpus                              </v>
          </cell>
          <cell r="O1249" t="str">
            <v xml:space="preserve">KAS KANPUS                              </v>
          </cell>
          <cell r="R1249" t="str">
            <v>Belum TL</v>
          </cell>
          <cell r="S1249" t="str">
            <v>Belum TL</v>
          </cell>
          <cell r="T1249" t="str">
            <v>00394521 - Muhammad Hibbanduta</v>
          </cell>
          <cell r="U1249" t="str">
            <v>"-"</v>
          </cell>
        </row>
        <row r="1250">
          <cell r="A1250">
            <v>46265</v>
          </cell>
          <cell r="B1250" t="str">
            <v xml:space="preserve">MARINDO UTAMA PENATA KAWASAN            </v>
          </cell>
          <cell r="C1250" t="str">
            <v>MGU4469</v>
          </cell>
          <cell r="D1250">
            <v>33701500515154</v>
          </cell>
          <cell r="E1250" t="str">
            <v>SEDANG</v>
          </cell>
          <cell r="F1250" t="str">
            <v>Tidak</v>
          </cell>
          <cell r="G1250" t="str">
            <v>Tidak</v>
          </cell>
          <cell r="H1250" t="str">
            <v>Tidak</v>
          </cell>
          <cell r="I1250" t="str">
            <v>Korupsi - Loan View</v>
          </cell>
          <cell r="J1250">
            <v>48</v>
          </cell>
          <cell r="K1250">
            <v>15</v>
          </cell>
          <cell r="L1250" t="str">
            <v>Korupsi</v>
          </cell>
          <cell r="M1250" t="str">
            <v>Kas Kanpus</v>
          </cell>
          <cell r="N1250" t="str">
            <v>Kas Kanpus</v>
          </cell>
          <cell r="O1250" t="str">
            <v>KAS KANPUS</v>
          </cell>
          <cell r="R1250" t="str">
            <v>Belum TL</v>
          </cell>
          <cell r="S1250" t="str">
            <v>Belum TL</v>
          </cell>
          <cell r="T1250" t="str">
            <v>00394520 - Frida Akbar Rani</v>
          </cell>
          <cell r="U1250" t="str">
            <v>"-"</v>
          </cell>
        </row>
        <row r="1251">
          <cell r="A1251">
            <v>46265</v>
          </cell>
          <cell r="B1251" t="str">
            <v xml:space="preserve">MUHAMMAD GAZALI GAFUR                   </v>
          </cell>
          <cell r="C1251" t="str">
            <v>MGP2041</v>
          </cell>
          <cell r="D1251">
            <v>25001037060109</v>
          </cell>
          <cell r="E1251" t="str">
            <v>SEDANG</v>
          </cell>
          <cell r="F1251" t="str">
            <v>Tidak</v>
          </cell>
          <cell r="G1251" t="str">
            <v>Tidak</v>
          </cell>
          <cell r="H1251" t="str">
            <v>Tidak</v>
          </cell>
          <cell r="I1251" t="str">
            <v>Korupsi - Loan View</v>
          </cell>
          <cell r="J1251">
            <v>48</v>
          </cell>
          <cell r="K1251">
            <v>15</v>
          </cell>
          <cell r="L1251" t="str">
            <v>Korupsi</v>
          </cell>
          <cell r="M1251" t="str">
            <v>Kas Kanpus</v>
          </cell>
          <cell r="N1251" t="str">
            <v>Kas Kanpus</v>
          </cell>
          <cell r="O1251" t="str">
            <v>KAS KANPUS</v>
          </cell>
          <cell r="R1251" t="str">
            <v>Belum TL</v>
          </cell>
          <cell r="S1251" t="str">
            <v>Belum TL</v>
          </cell>
          <cell r="T1251" t="str">
            <v>90185538 - Muhammad Fahikal Auz</v>
          </cell>
          <cell r="U1251" t="str">
            <v>"-"</v>
          </cell>
        </row>
        <row r="1252">
          <cell r="A1252">
            <v>46265</v>
          </cell>
          <cell r="B1252" t="str">
            <v xml:space="preserve">MOCH. FAISOL FAYAT                      </v>
          </cell>
          <cell r="C1252" t="str">
            <v>MHAN742</v>
          </cell>
          <cell r="D1252">
            <v>20601380112109</v>
          </cell>
          <cell r="E1252" t="str">
            <v>SEDANG</v>
          </cell>
          <cell r="F1252" t="str">
            <v>Tidak</v>
          </cell>
          <cell r="G1252" t="str">
            <v>Tidak</v>
          </cell>
          <cell r="H1252" t="str">
            <v>Tidak</v>
          </cell>
          <cell r="I1252" t="str">
            <v>Korupsi - Loan View</v>
          </cell>
          <cell r="J1252">
            <v>48</v>
          </cell>
          <cell r="K1252">
            <v>15</v>
          </cell>
          <cell r="L1252" t="str">
            <v>Korupsi</v>
          </cell>
          <cell r="M1252" t="str">
            <v>Kas Kanpus</v>
          </cell>
          <cell r="N1252" t="str">
            <v>Kas Kanpus</v>
          </cell>
          <cell r="O1252" t="str">
            <v>KAS KANPUS</v>
          </cell>
          <cell r="R1252" t="str">
            <v>Belum TL</v>
          </cell>
          <cell r="S1252" t="str">
            <v>Belum TL</v>
          </cell>
          <cell r="T1252" t="str">
            <v>00394521 - Muhammad Hibbanduta</v>
          </cell>
          <cell r="U1252" t="str">
            <v>"-"</v>
          </cell>
        </row>
        <row r="1253">
          <cell r="A1253">
            <v>46254</v>
          </cell>
          <cell r="B1253" t="str">
            <v xml:space="preserve">MASTUPAH                                </v>
          </cell>
          <cell r="C1253" t="str">
            <v>MHC3774</v>
          </cell>
          <cell r="D1253">
            <v>483601002079535</v>
          </cell>
          <cell r="E1253" t="str">
            <v>SEDANG</v>
          </cell>
          <cell r="F1253" t="str">
            <v>Tidak</v>
          </cell>
          <cell r="G1253" t="str">
            <v>Tidak</v>
          </cell>
          <cell r="I1253" t="str">
            <v>Teroris - Remark</v>
          </cell>
          <cell r="J1253">
            <v>168</v>
          </cell>
          <cell r="K1253">
            <v>50</v>
          </cell>
          <cell r="L1253" t="str">
            <v>Terorisme</v>
          </cell>
          <cell r="M1253" t="str">
            <v xml:space="preserve">Kas Kanpus                              </v>
          </cell>
          <cell r="N1253" t="str">
            <v xml:space="preserve">Kas Kanpus                              </v>
          </cell>
          <cell r="O1253" t="str">
            <v xml:space="preserve">KAS KANPUS                              </v>
          </cell>
          <cell r="R1253" t="str">
            <v>Belum TL</v>
          </cell>
          <cell r="S1253" t="str">
            <v>Belum TL</v>
          </cell>
          <cell r="T1253" t="str">
            <v>90170665 - Mutiara Ayuningtyas</v>
          </cell>
          <cell r="U1253" t="str">
            <v>"-"</v>
          </cell>
        </row>
        <row r="1254">
          <cell r="A1254">
            <v>46265</v>
          </cell>
          <cell r="B1254" t="str">
            <v xml:space="preserve">MOHAMMAD ARIF                           </v>
          </cell>
          <cell r="C1254" t="str">
            <v>MHHX468</v>
          </cell>
          <cell r="D1254">
            <v>214101014269501</v>
          </cell>
          <cell r="E1254" t="str">
            <v>SEDANG</v>
          </cell>
          <cell r="F1254" t="str">
            <v>Tidak</v>
          </cell>
          <cell r="G1254" t="str">
            <v>Tidak</v>
          </cell>
          <cell r="H1254" t="str">
            <v>Tidak</v>
          </cell>
          <cell r="I1254" t="str">
            <v>Narkotika - Area Lapas</v>
          </cell>
          <cell r="J1254">
            <v>48</v>
          </cell>
          <cell r="K1254">
            <v>48</v>
          </cell>
          <cell r="L1254" t="str">
            <v>Narkotika</v>
          </cell>
          <cell r="M1254" t="str">
            <v>KCP KOTA JAYAPURA</v>
          </cell>
          <cell r="N1254" t="str">
            <v>KC Jayapura</v>
          </cell>
          <cell r="O1254" t="str">
            <v>KANWIL JAYAPURA</v>
          </cell>
          <cell r="R1254" t="str">
            <v>Belum TL</v>
          </cell>
          <cell r="S1254" t="str">
            <v>Belum TL</v>
          </cell>
          <cell r="T1254" t="str">
            <v>00394521 - Muhammad Hibbanduta</v>
          </cell>
          <cell r="U1254" t="str">
            <v>"-"</v>
          </cell>
        </row>
        <row r="1255">
          <cell r="A1255">
            <v>46265</v>
          </cell>
          <cell r="B1255" t="str">
            <v xml:space="preserve">MUHAMMAD YUSUF                          </v>
          </cell>
          <cell r="C1255" t="str">
            <v>MHIS692</v>
          </cell>
          <cell r="D1255">
            <v>18401022714100</v>
          </cell>
          <cell r="E1255" t="str">
            <v>SEDANG</v>
          </cell>
          <cell r="F1255" t="str">
            <v>Tidak</v>
          </cell>
          <cell r="G1255" t="str">
            <v>Tidak</v>
          </cell>
          <cell r="H1255" t="str">
            <v>Tidak</v>
          </cell>
          <cell r="I1255" t="str">
            <v>Korupsi - Loan View</v>
          </cell>
          <cell r="J1255">
            <v>48</v>
          </cell>
          <cell r="K1255">
            <v>15</v>
          </cell>
          <cell r="L1255" t="str">
            <v>Korupsi</v>
          </cell>
          <cell r="M1255" t="str">
            <v>Kas Kanpus</v>
          </cell>
          <cell r="N1255" t="str">
            <v>Kas Kanpus</v>
          </cell>
          <cell r="O1255" t="str">
            <v>KAS KANPUS</v>
          </cell>
          <cell r="R1255" t="str">
            <v>Belum TL</v>
          </cell>
          <cell r="S1255" t="str">
            <v>Belum TL</v>
          </cell>
          <cell r="T1255" t="str">
            <v>90186796 - Devito Arya Wiradila</v>
          </cell>
          <cell r="U1255" t="str">
            <v>"-"</v>
          </cell>
        </row>
        <row r="1256">
          <cell r="A1256">
            <v>46265</v>
          </cell>
          <cell r="B1256" t="str">
            <v xml:space="preserve">MITRA ABADI BAHARI                      </v>
          </cell>
          <cell r="C1256" t="str">
            <v>MHK6863</v>
          </cell>
          <cell r="D1256">
            <v>10101001928306</v>
          </cell>
          <cell r="E1256" t="str">
            <v>SEDANG</v>
          </cell>
          <cell r="F1256" t="str">
            <v>Tidak</v>
          </cell>
          <cell r="G1256" t="str">
            <v>Tidak</v>
          </cell>
          <cell r="H1256" t="str">
            <v>Tidak</v>
          </cell>
          <cell r="I1256" t="str">
            <v>Korupsi - Cash &amp; Amount</v>
          </cell>
          <cell r="J1256">
            <v>50</v>
          </cell>
          <cell r="K1256" t="str">
            <v>1,2,20</v>
          </cell>
          <cell r="L1256" t="str">
            <v>Korupsi</v>
          </cell>
          <cell r="M1256" t="str">
            <v>Kas Kanpus</v>
          </cell>
          <cell r="N1256" t="str">
            <v>Kas Kanpus</v>
          </cell>
          <cell r="O1256" t="str">
            <v>KAS KANPUS</v>
          </cell>
          <cell r="R1256" t="str">
            <v>Belum TL</v>
          </cell>
          <cell r="S1256" t="str">
            <v>Belum TL</v>
          </cell>
          <cell r="T1256" t="str">
            <v>90186796 - Devito Arya Wiradila</v>
          </cell>
          <cell r="U1256" t="str">
            <v>"-"</v>
          </cell>
        </row>
        <row r="1257">
          <cell r="A1257">
            <v>46265</v>
          </cell>
          <cell r="B1257" t="str">
            <v xml:space="preserve">MUHAMMAD KEVIN FI KAFA BIHI             </v>
          </cell>
          <cell r="C1257" t="str">
            <v>MHKV375</v>
          </cell>
          <cell r="D1257">
            <v>4359720235453700</v>
          </cell>
          <cell r="E1257" t="str">
            <v>SEDANG</v>
          </cell>
          <cell r="F1257" t="str">
            <v>Tidak</v>
          </cell>
          <cell r="G1257" t="str">
            <v>Tidak</v>
          </cell>
          <cell r="H1257" t="str">
            <v>Tidak</v>
          </cell>
          <cell r="I1257" t="str">
            <v>Penghindaran Pajak (Transaksi Fiktif)/Penyuapan CC</v>
          </cell>
          <cell r="J1257">
            <v>45</v>
          </cell>
          <cell r="K1257">
            <v>118</v>
          </cell>
          <cell r="L1257" t="str">
            <v>Penyuapan / Penghindaran Pajak CC View</v>
          </cell>
          <cell r="M1257" t="str">
            <v xml:space="preserve">Kas Kanpus                              </v>
          </cell>
          <cell r="N1257" t="str">
            <v xml:space="preserve">Kas Kanpus                              </v>
          </cell>
          <cell r="O1257" t="str">
            <v xml:space="preserve">KAS KANPUS                              </v>
          </cell>
          <cell r="R1257" t="str">
            <v>Belum TL</v>
          </cell>
          <cell r="S1257" t="str">
            <v>Belum TL</v>
          </cell>
          <cell r="T1257" t="str">
            <v>90186796 - Devito Arya Wiradila</v>
          </cell>
          <cell r="U1257" t="str">
            <v>"-"</v>
          </cell>
        </row>
        <row r="1258">
          <cell r="A1258">
            <v>46265</v>
          </cell>
          <cell r="B1258" t="str">
            <v xml:space="preserve">MUHAMAD ZAKY                            </v>
          </cell>
          <cell r="C1258" t="str">
            <v>MHST898</v>
          </cell>
          <cell r="D1258">
            <v>379601026963531</v>
          </cell>
          <cell r="E1258" t="str">
            <v>RENDAH</v>
          </cell>
          <cell r="F1258" t="str">
            <v>Tidak</v>
          </cell>
          <cell r="G1258" t="str">
            <v>Tidak</v>
          </cell>
          <cell r="H1258" t="str">
            <v>Tidak</v>
          </cell>
          <cell r="I1258" t="str">
            <v>Bandar Judol Withdrawal</v>
          </cell>
          <cell r="J1258">
            <v>35</v>
          </cell>
          <cell r="K1258" t="str">
            <v>86,88,87</v>
          </cell>
          <cell r="L1258" t="str">
            <v>Judi Online</v>
          </cell>
          <cell r="M1258" t="str">
            <v xml:space="preserve">Kas Kanpus                              </v>
          </cell>
          <cell r="N1258" t="str">
            <v xml:space="preserve">Kas Kanpus                              </v>
          </cell>
          <cell r="O1258" t="str">
            <v xml:space="preserve">KAS KANPUS                              </v>
          </cell>
          <cell r="R1258" t="str">
            <v>Belum TL</v>
          </cell>
          <cell r="S1258" t="str">
            <v>Belum TL</v>
          </cell>
          <cell r="T1258" t="str">
            <v>90150130 - Intan Aida Pratiwi</v>
          </cell>
          <cell r="U1258" t="str">
            <v>"-"</v>
          </cell>
        </row>
        <row r="1259">
          <cell r="A1259">
            <v>46265</v>
          </cell>
          <cell r="B1259" t="str">
            <v xml:space="preserve">MUHAMAD KHAIRUL ROHMAN                  </v>
          </cell>
          <cell r="C1259" t="str">
            <v>MICT832</v>
          </cell>
          <cell r="D1259">
            <v>44501078826503</v>
          </cell>
          <cell r="E1259" t="str">
            <v>RENDAH</v>
          </cell>
          <cell r="F1259" t="str">
            <v>Tidak</v>
          </cell>
          <cell r="G1259" t="str">
            <v>Tidak</v>
          </cell>
          <cell r="H1259" t="str">
            <v>Tidak</v>
          </cell>
          <cell r="I1259" t="str">
            <v>Bandar Judol Withdrawal</v>
          </cell>
          <cell r="J1259">
            <v>35</v>
          </cell>
          <cell r="K1259" t="str">
            <v>86,88,87</v>
          </cell>
          <cell r="L1259" t="str">
            <v>Judi Online</v>
          </cell>
          <cell r="M1259" t="str">
            <v xml:space="preserve">Kas Kanpus                              </v>
          </cell>
          <cell r="N1259" t="str">
            <v xml:space="preserve">Kas Kanpus                              </v>
          </cell>
          <cell r="O1259" t="str">
            <v xml:space="preserve">KAS KANPUS                              </v>
          </cell>
          <cell r="R1259" t="str">
            <v>Belum TL</v>
          </cell>
          <cell r="S1259" t="str">
            <v>Belum TL</v>
          </cell>
          <cell r="T1259" t="str">
            <v>90150130 - Intan Aida Pratiwi</v>
          </cell>
          <cell r="U1259" t="str">
            <v>"-"</v>
          </cell>
        </row>
        <row r="1260">
          <cell r="A1260">
            <v>46265</v>
          </cell>
          <cell r="B1260" t="str">
            <v xml:space="preserve">MOCHAMMAD ARYA DARMAWAN                 </v>
          </cell>
          <cell r="C1260" t="str">
            <v>MIFM494</v>
          </cell>
          <cell r="D1260">
            <v>4359720283436650</v>
          </cell>
          <cell r="E1260" t="str">
            <v>SEDANG</v>
          </cell>
          <cell r="F1260" t="str">
            <v>Tidak</v>
          </cell>
          <cell r="G1260" t="str">
            <v>Tidak</v>
          </cell>
          <cell r="H1260" t="str">
            <v>Tidak</v>
          </cell>
          <cell r="I1260" t="str">
            <v>Penghindaran Pajak (Transaksi Fiktif)/Penyuapan CC</v>
          </cell>
          <cell r="J1260">
            <v>45</v>
          </cell>
          <cell r="K1260">
            <v>118</v>
          </cell>
          <cell r="L1260" t="str">
            <v>Penyuapan / Penghindaran Pajak CC View</v>
          </cell>
          <cell r="M1260" t="str">
            <v xml:space="preserve">Kas Kanpus                              </v>
          </cell>
          <cell r="N1260" t="str">
            <v xml:space="preserve">Kas Kanpus                              </v>
          </cell>
          <cell r="O1260" t="str">
            <v xml:space="preserve">KAS KANPUS                              </v>
          </cell>
          <cell r="R1260" t="str">
            <v>Belum TL</v>
          </cell>
          <cell r="S1260" t="str">
            <v>Belum TL</v>
          </cell>
          <cell r="T1260" t="str">
            <v>90171841 - Rifqi Aziz</v>
          </cell>
          <cell r="U1260" t="str">
            <v>"-"</v>
          </cell>
        </row>
        <row r="1261">
          <cell r="A1261">
            <v>46265</v>
          </cell>
          <cell r="B1261" t="str">
            <v xml:space="preserve">MAKSUN SH MH                            </v>
          </cell>
          <cell r="C1261" t="str">
            <v>MIG7488</v>
          </cell>
          <cell r="D1261">
            <v>58401000599568</v>
          </cell>
          <cell r="E1261" t="str">
            <v>TINGGI</v>
          </cell>
          <cell r="F1261" t="str">
            <v>Tidak</v>
          </cell>
          <cell r="G1261" t="str">
            <v>Tidak</v>
          </cell>
          <cell r="H1261" t="str">
            <v>Tidak</v>
          </cell>
          <cell r="I1261" t="str">
            <v>Korupsi - Significant Trx View</v>
          </cell>
          <cell r="J1261">
            <v>83</v>
          </cell>
          <cell r="K1261">
            <v>1.19</v>
          </cell>
          <cell r="L1261" t="str">
            <v>Korupsi</v>
          </cell>
          <cell r="M1261" t="str">
            <v>Kas Kanpus</v>
          </cell>
          <cell r="N1261" t="str">
            <v>Kas Kanpus</v>
          </cell>
          <cell r="O1261" t="str">
            <v>KAS KANPUS</v>
          </cell>
          <cell r="R1261" t="str">
            <v>Belum TL</v>
          </cell>
          <cell r="S1261" t="str">
            <v>Belum TL</v>
          </cell>
          <cell r="T1261" t="str">
            <v>90185538 - Muhammad Fahikal Auz</v>
          </cell>
          <cell r="U1261" t="str">
            <v>"-"</v>
          </cell>
        </row>
        <row r="1262">
          <cell r="A1262">
            <v>46265</v>
          </cell>
          <cell r="B1262" t="str">
            <v xml:space="preserve">MUHAMMAD RIZQY REYHAN                   </v>
          </cell>
          <cell r="C1262" t="str">
            <v>MINF201</v>
          </cell>
          <cell r="D1262">
            <v>12001289110509</v>
          </cell>
          <cell r="E1262" t="str">
            <v>RENDAH</v>
          </cell>
          <cell r="F1262" t="str">
            <v>Tidak</v>
          </cell>
          <cell r="G1262" t="str">
            <v>Tidak</v>
          </cell>
          <cell r="H1262" t="str">
            <v>Tidak</v>
          </cell>
          <cell r="I1262" t="str">
            <v>Bandar Judol Withdrawal</v>
          </cell>
          <cell r="J1262">
            <v>35</v>
          </cell>
          <cell r="K1262" t="str">
            <v>86,88,87</v>
          </cell>
          <cell r="L1262" t="str">
            <v>Judi Online</v>
          </cell>
          <cell r="M1262" t="str">
            <v xml:space="preserve">Kas Kanpus                              </v>
          </cell>
          <cell r="N1262" t="str">
            <v xml:space="preserve">Kas Kanpus                              </v>
          </cell>
          <cell r="O1262" t="str">
            <v xml:space="preserve">KAS KANPUS                              </v>
          </cell>
          <cell r="R1262" t="str">
            <v>Belum TL</v>
          </cell>
          <cell r="S1262" t="str">
            <v>Belum TL</v>
          </cell>
          <cell r="T1262" t="str">
            <v>90170665 - Mutiara Ayuningtyas</v>
          </cell>
          <cell r="U1262" t="str">
            <v>"-"</v>
          </cell>
        </row>
        <row r="1263">
          <cell r="A1263">
            <v>46265</v>
          </cell>
          <cell r="B1263" t="str">
            <v xml:space="preserve">MUHAMMAD AKBAR                          </v>
          </cell>
          <cell r="C1263" t="str">
            <v>MIOL579</v>
          </cell>
          <cell r="D1263">
            <v>203201016268504</v>
          </cell>
          <cell r="F1263" t="str">
            <v>Tidak</v>
          </cell>
          <cell r="G1263" t="str">
            <v>Tidak</v>
          </cell>
          <cell r="I1263" t="str">
            <v>Jual Beli Rekening - E channel Trx</v>
          </cell>
          <cell r="J1263">
            <v>33</v>
          </cell>
          <cell r="K1263">
            <v>113</v>
          </cell>
          <cell r="L1263" t="str">
            <v>Narkotika/Judi Online/Penipuan</v>
          </cell>
          <cell r="M1263" t="str">
            <v xml:space="preserve">KCP KALIBUTUH                           </v>
          </cell>
          <cell r="N1263" t="str">
            <v xml:space="preserve">KC Surabaya Tanjung Perak               </v>
          </cell>
          <cell r="O1263" t="str">
            <v xml:space="preserve">Surabaya                                </v>
          </cell>
          <cell r="R1263" t="str">
            <v>Belum TL</v>
          </cell>
          <cell r="S1263" t="str">
            <v>Belum TL</v>
          </cell>
          <cell r="U1263" t="str">
            <v>"-"</v>
          </cell>
        </row>
        <row r="1264">
          <cell r="A1264">
            <v>46265</v>
          </cell>
          <cell r="B1264" t="str">
            <v xml:space="preserve">MUHAMMAD RAMDANI                        </v>
          </cell>
          <cell r="C1264" t="str">
            <v>MIOU114</v>
          </cell>
          <cell r="D1264">
            <v>12001289031501</v>
          </cell>
          <cell r="E1264" t="str">
            <v>SEDANG</v>
          </cell>
          <cell r="F1264" t="str">
            <v>Tidak</v>
          </cell>
          <cell r="G1264" t="str">
            <v>Tidak</v>
          </cell>
          <cell r="H1264" t="str">
            <v>Tidak</v>
          </cell>
          <cell r="I1264" t="str">
            <v>Bandar Judol Withdrawal</v>
          </cell>
          <cell r="J1264">
            <v>50</v>
          </cell>
          <cell r="K1264" t="str">
            <v>86,88,87</v>
          </cell>
          <cell r="L1264" t="str">
            <v>Judi Online</v>
          </cell>
          <cell r="M1264" t="str">
            <v xml:space="preserve">Kas Kanpus                              </v>
          </cell>
          <cell r="N1264" t="str">
            <v xml:space="preserve">Kas Kanpus                              </v>
          </cell>
          <cell r="O1264" t="str">
            <v xml:space="preserve">KAS KANPUS                              </v>
          </cell>
          <cell r="R1264" t="str">
            <v>Belum TL</v>
          </cell>
          <cell r="S1264" t="str">
            <v>Belum TL</v>
          </cell>
          <cell r="T1264" t="str">
            <v>90150130 - Intan Aida Pratiwi</v>
          </cell>
          <cell r="U1264" t="str">
            <v>"-"</v>
          </cell>
        </row>
        <row r="1265">
          <cell r="A1265">
            <v>46265</v>
          </cell>
          <cell r="B1265" t="str">
            <v xml:space="preserve">MEI HARNI NASUTION                      </v>
          </cell>
          <cell r="C1265" t="str">
            <v>MJRH912</v>
          </cell>
          <cell r="D1265">
            <v>530001028673531</v>
          </cell>
          <cell r="E1265" t="str">
            <v>SEDANG</v>
          </cell>
          <cell r="F1265" t="str">
            <v>Tidak</v>
          </cell>
          <cell r="G1265" t="str">
            <v>Tidak</v>
          </cell>
          <cell r="H1265" t="str">
            <v>Tidak</v>
          </cell>
          <cell r="I1265" t="str">
            <v>Bandar Judol Withdrawal</v>
          </cell>
          <cell r="J1265">
            <v>50</v>
          </cell>
          <cell r="K1265" t="str">
            <v>86,88,87</v>
          </cell>
          <cell r="L1265" t="str">
            <v>Judi Online</v>
          </cell>
          <cell r="M1265" t="str">
            <v xml:space="preserve">Kas Kanpus                              </v>
          </cell>
          <cell r="N1265" t="str">
            <v xml:space="preserve">Kas Kanpus                              </v>
          </cell>
          <cell r="O1265" t="str">
            <v xml:space="preserve">KAS KANPUS                              </v>
          </cell>
          <cell r="R1265" t="str">
            <v>Belum TL</v>
          </cell>
          <cell r="S1265" t="str">
            <v>Belum TL</v>
          </cell>
          <cell r="T1265" t="str">
            <v>90171841 - Rifqi Aziz</v>
          </cell>
          <cell r="U1265" t="str">
            <v>"-"</v>
          </cell>
        </row>
        <row r="1266">
          <cell r="A1266">
            <v>46265</v>
          </cell>
          <cell r="B1266" t="str">
            <v xml:space="preserve">MUHAMMAD KUBAIS HI. RAJAK               </v>
          </cell>
          <cell r="C1266" t="str">
            <v>MJW7451</v>
          </cell>
          <cell r="D1266">
            <v>28001023895105</v>
          </cell>
          <cell r="E1266" t="str">
            <v>SEDANG</v>
          </cell>
          <cell r="F1266" t="str">
            <v>Tidak</v>
          </cell>
          <cell r="G1266" t="str">
            <v>Tidak</v>
          </cell>
          <cell r="H1266" t="str">
            <v>Tidak</v>
          </cell>
          <cell r="I1266" t="str">
            <v>Korupsi - Loan View</v>
          </cell>
          <cell r="J1266">
            <v>48</v>
          </cell>
          <cell r="K1266">
            <v>15</v>
          </cell>
          <cell r="L1266" t="str">
            <v>Korupsi</v>
          </cell>
          <cell r="M1266" t="str">
            <v>Kas Kanpus</v>
          </cell>
          <cell r="N1266" t="str">
            <v>Kas Kanpus</v>
          </cell>
          <cell r="O1266" t="str">
            <v>KAS KANPUS</v>
          </cell>
          <cell r="R1266" t="str">
            <v>Belum TL</v>
          </cell>
          <cell r="S1266" t="str">
            <v>Belum TL</v>
          </cell>
          <cell r="T1266" t="str">
            <v>00336949 - Mochammad Al Farabi</v>
          </cell>
          <cell r="U1266" t="str">
            <v>"-"</v>
          </cell>
        </row>
        <row r="1267">
          <cell r="A1267">
            <v>46265</v>
          </cell>
          <cell r="B1267" t="str">
            <v xml:space="preserve">MICHAEL                                 </v>
          </cell>
          <cell r="C1267" t="str">
            <v>MKAN047</v>
          </cell>
          <cell r="D1267">
            <v>41201151478503</v>
          </cell>
          <cell r="E1267" t="str">
            <v>SEDANG</v>
          </cell>
          <cell r="F1267" t="str">
            <v>Tidak</v>
          </cell>
          <cell r="G1267" t="str">
            <v>Tidak</v>
          </cell>
          <cell r="H1267" t="str">
            <v>Tidak</v>
          </cell>
          <cell r="I1267" t="str">
            <v>Bandar Judol Withdrawal</v>
          </cell>
          <cell r="J1267">
            <v>50</v>
          </cell>
          <cell r="K1267" t="str">
            <v>86,88,87</v>
          </cell>
          <cell r="L1267" t="str">
            <v>Judi Online</v>
          </cell>
          <cell r="M1267" t="str">
            <v xml:space="preserve">Kas Kanpus                              </v>
          </cell>
          <cell r="N1267" t="str">
            <v xml:space="preserve">Kas Kanpus                              </v>
          </cell>
          <cell r="O1267" t="str">
            <v xml:space="preserve">KAS KANPUS                              </v>
          </cell>
          <cell r="R1267" t="str">
            <v>Belum TL</v>
          </cell>
          <cell r="S1267" t="str">
            <v>Belum TL</v>
          </cell>
          <cell r="T1267" t="str">
            <v>90186796 - Devito Arya Wiradila</v>
          </cell>
          <cell r="U1267" t="str">
            <v>"-"</v>
          </cell>
        </row>
        <row r="1268">
          <cell r="A1268">
            <v>46237</v>
          </cell>
          <cell r="B1268" t="str">
            <v xml:space="preserve">MUHAMMAD FADHAL RIZQULLAH               </v>
          </cell>
          <cell r="C1268" t="str">
            <v>MKBG823</v>
          </cell>
          <cell r="D1268">
            <v>342401025535536</v>
          </cell>
          <cell r="E1268" t="str">
            <v>SEDANG</v>
          </cell>
          <cell r="F1268" t="str">
            <v>Tidak</v>
          </cell>
          <cell r="G1268" t="str">
            <v>Tidak</v>
          </cell>
          <cell r="I1268" t="str">
            <v>Teroris - Remark</v>
          </cell>
          <cell r="J1268">
            <v>170</v>
          </cell>
          <cell r="K1268">
            <v>50</v>
          </cell>
          <cell r="L1268" t="str">
            <v>Terorisme</v>
          </cell>
          <cell r="M1268" t="str">
            <v xml:space="preserve">Kas Kanpus                              </v>
          </cell>
          <cell r="N1268" t="str">
            <v xml:space="preserve">Kas Kanpus                              </v>
          </cell>
          <cell r="O1268" t="str">
            <v xml:space="preserve">KAS KANPUS                              </v>
          </cell>
          <cell r="R1268" t="str">
            <v>Belum TL</v>
          </cell>
          <cell r="S1268" t="str">
            <v>Belum TL</v>
          </cell>
          <cell r="T1268" t="str">
            <v>90150130 - Intan Aida Pratiwi</v>
          </cell>
          <cell r="U1268" t="str">
            <v>"-"</v>
          </cell>
        </row>
        <row r="1269">
          <cell r="A1269">
            <v>46265</v>
          </cell>
          <cell r="B1269" t="str">
            <v xml:space="preserve">MUHAMMAD FADLI AFANDY                   </v>
          </cell>
          <cell r="C1269" t="str">
            <v>MKDL302</v>
          </cell>
          <cell r="D1269">
            <v>15901018705534</v>
          </cell>
          <cell r="E1269" t="str">
            <v>SEDANG</v>
          </cell>
          <cell r="F1269" t="str">
            <v>Tidak</v>
          </cell>
          <cell r="G1269" t="str">
            <v>Tidak</v>
          </cell>
          <cell r="H1269" t="str">
            <v>Tidak</v>
          </cell>
          <cell r="I1269" t="str">
            <v>Bandar Judol Withdrawal</v>
          </cell>
          <cell r="J1269">
            <v>50</v>
          </cell>
          <cell r="K1269" t="str">
            <v>86,88,87</v>
          </cell>
          <cell r="L1269" t="str">
            <v>Judi Online</v>
          </cell>
          <cell r="M1269" t="str">
            <v xml:space="preserve">Kas Kanpus                              </v>
          </cell>
          <cell r="N1269" t="str">
            <v xml:space="preserve">Kas Kanpus                              </v>
          </cell>
          <cell r="O1269" t="str">
            <v xml:space="preserve">KAS KANPUS                              </v>
          </cell>
          <cell r="R1269" t="str">
            <v>Belum TL</v>
          </cell>
          <cell r="S1269" t="str">
            <v>Belum TL</v>
          </cell>
          <cell r="T1269" t="str">
            <v>90171841 - Rifqi Aziz</v>
          </cell>
          <cell r="U1269" t="str">
            <v>"-"</v>
          </cell>
        </row>
        <row r="1270">
          <cell r="A1270">
            <v>46265</v>
          </cell>
          <cell r="B1270" t="str">
            <v xml:space="preserve">MUH. HAMZAH PUTRA                       </v>
          </cell>
          <cell r="C1270" t="str">
            <v>MKEF340</v>
          </cell>
          <cell r="D1270">
            <v>521001019610101</v>
          </cell>
          <cell r="E1270" t="str">
            <v>RENDAH</v>
          </cell>
          <cell r="F1270" t="str">
            <v>Tidak</v>
          </cell>
          <cell r="G1270" t="str">
            <v>Tidak</v>
          </cell>
          <cell r="H1270" t="str">
            <v>Tidak</v>
          </cell>
          <cell r="I1270" t="str">
            <v>Korupsi - Loan View</v>
          </cell>
          <cell r="J1270">
            <v>33</v>
          </cell>
          <cell r="K1270">
            <v>15</v>
          </cell>
          <cell r="L1270" t="str">
            <v>Korupsi</v>
          </cell>
          <cell r="M1270" t="str">
            <v>Kas Kanpus</v>
          </cell>
          <cell r="N1270" t="str">
            <v>Kas Kanpus</v>
          </cell>
          <cell r="O1270" t="str">
            <v>KAS KANPUS</v>
          </cell>
          <cell r="R1270" t="str">
            <v>Belum TL</v>
          </cell>
          <cell r="S1270" t="str">
            <v>Belum TL</v>
          </cell>
          <cell r="T1270" t="str">
            <v>90171841 - Rifqi Aziz</v>
          </cell>
          <cell r="U1270" t="str">
            <v>"-"</v>
          </cell>
        </row>
        <row r="1271">
          <cell r="A1271">
            <v>46265</v>
          </cell>
          <cell r="B1271" t="str">
            <v xml:space="preserve">MUHAMMAD YASIR NASUTION                 </v>
          </cell>
          <cell r="C1271" t="str">
            <v>MKKS408</v>
          </cell>
          <cell r="D1271">
            <v>532901033725537</v>
          </cell>
          <cell r="E1271" t="str">
            <v>SEDANG</v>
          </cell>
          <cell r="F1271" t="str">
            <v>Tidak</v>
          </cell>
          <cell r="G1271" t="str">
            <v>Tidak</v>
          </cell>
          <cell r="H1271" t="str">
            <v>Tidak</v>
          </cell>
          <cell r="I1271" t="str">
            <v>Bandar Judol Depo</v>
          </cell>
          <cell r="J1271">
            <v>50</v>
          </cell>
          <cell r="K1271" t="str">
            <v>86,74,87</v>
          </cell>
          <cell r="L1271" t="str">
            <v>Judi Online</v>
          </cell>
          <cell r="M1271" t="str">
            <v xml:space="preserve">Kas Kanpus                              </v>
          </cell>
          <cell r="N1271" t="str">
            <v xml:space="preserve">Kas Kanpus                              </v>
          </cell>
          <cell r="O1271" t="str">
            <v xml:space="preserve">KAS KANPUS                              </v>
          </cell>
          <cell r="R1271" t="str">
            <v>Belum TL</v>
          </cell>
          <cell r="S1271" t="str">
            <v>Belum TL</v>
          </cell>
          <cell r="T1271" t="str">
            <v>00394521 - Muhammad Hibbanduta</v>
          </cell>
          <cell r="U1271" t="str">
            <v>"-"</v>
          </cell>
        </row>
        <row r="1272">
          <cell r="A1272">
            <v>46265</v>
          </cell>
          <cell r="B1272" t="str">
            <v xml:space="preserve">MUHAMMAD NAUFAL ADI SAPUTRO             </v>
          </cell>
          <cell r="C1272" t="str">
            <v>MKQD541</v>
          </cell>
          <cell r="D1272">
            <v>4359720206961300</v>
          </cell>
          <cell r="E1272" t="str">
            <v>SEDANG</v>
          </cell>
          <cell r="F1272" t="str">
            <v>Tidak</v>
          </cell>
          <cell r="G1272" t="str">
            <v>Tidak</v>
          </cell>
          <cell r="H1272" t="str">
            <v>Tidak</v>
          </cell>
          <cell r="I1272" t="str">
            <v>Penghindaran Pajak (Transaksi Fiktif)/Penyuapan CC</v>
          </cell>
          <cell r="J1272">
            <v>45</v>
          </cell>
          <cell r="K1272">
            <v>118</v>
          </cell>
          <cell r="L1272" t="str">
            <v>Penyuapan / Penghindaran Pajak CC View</v>
          </cell>
          <cell r="M1272" t="str">
            <v xml:space="preserve">Kas Kanpus                              </v>
          </cell>
          <cell r="N1272" t="str">
            <v xml:space="preserve">Kas Kanpus                              </v>
          </cell>
          <cell r="O1272" t="str">
            <v xml:space="preserve">KAS KANPUS                              </v>
          </cell>
          <cell r="R1272" t="str">
            <v>Belum TL</v>
          </cell>
          <cell r="S1272" t="str">
            <v>Belum TL</v>
          </cell>
          <cell r="T1272" t="str">
            <v>90186796 - Devito Arya Wiradila</v>
          </cell>
          <cell r="U1272" t="str">
            <v>"-"</v>
          </cell>
        </row>
        <row r="1273">
          <cell r="A1273">
            <v>46265</v>
          </cell>
          <cell r="B1273" t="str">
            <v xml:space="preserve">MUHAMMAD FARHAN RACHMAN                 </v>
          </cell>
          <cell r="C1273" t="str">
            <v>MKT2114</v>
          </cell>
          <cell r="D1273">
            <v>2001034663107</v>
          </cell>
          <cell r="E1273" t="str">
            <v>SEDANG</v>
          </cell>
          <cell r="F1273" t="str">
            <v>Tidak</v>
          </cell>
          <cell r="G1273" t="str">
            <v>Tidak</v>
          </cell>
          <cell r="H1273" t="str">
            <v>Tidak</v>
          </cell>
          <cell r="I1273" t="str">
            <v>Korupsi - Loan View</v>
          </cell>
          <cell r="J1273">
            <v>48</v>
          </cell>
          <cell r="K1273">
            <v>15</v>
          </cell>
          <cell r="L1273" t="str">
            <v>Korupsi</v>
          </cell>
          <cell r="M1273" t="str">
            <v>Kas Kanpus</v>
          </cell>
          <cell r="N1273" t="str">
            <v>Kas Kanpus</v>
          </cell>
          <cell r="O1273" t="str">
            <v>KAS KANPUS</v>
          </cell>
          <cell r="R1273" t="str">
            <v>Belum TL</v>
          </cell>
          <cell r="S1273" t="str">
            <v>Belum TL</v>
          </cell>
          <cell r="T1273" t="str">
            <v>90150130 - Intan Aida Pratiwi</v>
          </cell>
          <cell r="U1273" t="str">
            <v>"-"</v>
          </cell>
        </row>
        <row r="1274">
          <cell r="A1274">
            <v>46265</v>
          </cell>
          <cell r="B1274" t="str">
            <v xml:space="preserve">MICHAEL ELIA TUGIGIR                    </v>
          </cell>
          <cell r="C1274" t="str">
            <v>MKXP205</v>
          </cell>
          <cell r="D1274">
            <v>344901029287107</v>
          </cell>
          <cell r="E1274" t="str">
            <v>SEDANG</v>
          </cell>
          <cell r="F1274" t="str">
            <v>Tidak</v>
          </cell>
          <cell r="G1274" t="str">
            <v>Tidak</v>
          </cell>
          <cell r="H1274" t="str">
            <v>Tidak</v>
          </cell>
          <cell r="I1274" t="str">
            <v>Korupsi - Loan View</v>
          </cell>
          <cell r="J1274">
            <v>48</v>
          </cell>
          <cell r="K1274">
            <v>15</v>
          </cell>
          <cell r="L1274" t="str">
            <v>Korupsi</v>
          </cell>
          <cell r="M1274" t="str">
            <v>Kas Kanpus</v>
          </cell>
          <cell r="N1274" t="str">
            <v>Kas Kanpus</v>
          </cell>
          <cell r="O1274" t="str">
            <v>KAS KANPUS</v>
          </cell>
          <cell r="R1274" t="str">
            <v>Belum TL</v>
          </cell>
          <cell r="S1274" t="str">
            <v>Belum TL</v>
          </cell>
          <cell r="T1274" t="str">
            <v>90171841 - Rifqi Aziz</v>
          </cell>
          <cell r="U1274" t="str">
            <v>"-"</v>
          </cell>
        </row>
        <row r="1275">
          <cell r="A1275">
            <v>46265</v>
          </cell>
          <cell r="B1275" t="str">
            <v xml:space="preserve">MEKI CHRISTOFEL TAUNU                   </v>
          </cell>
          <cell r="C1275" t="str">
            <v>MLIW247</v>
          </cell>
          <cell r="D1275">
            <v>349001015220104</v>
          </cell>
          <cell r="E1275" t="str">
            <v>RENDAH</v>
          </cell>
          <cell r="F1275" t="str">
            <v>Tidak</v>
          </cell>
          <cell r="G1275" t="str">
            <v>Tidak</v>
          </cell>
          <cell r="H1275" t="str">
            <v>Tidak</v>
          </cell>
          <cell r="I1275" t="str">
            <v>Korupsi - Loan View</v>
          </cell>
          <cell r="J1275">
            <v>33</v>
          </cell>
          <cell r="K1275">
            <v>15</v>
          </cell>
          <cell r="L1275" t="str">
            <v>Korupsi</v>
          </cell>
          <cell r="M1275" t="str">
            <v>Kas Kanpus</v>
          </cell>
          <cell r="N1275" t="str">
            <v>Kas Kanpus</v>
          </cell>
          <cell r="O1275" t="str">
            <v>KAS KANPUS</v>
          </cell>
          <cell r="R1275" t="str">
            <v>Belum TL</v>
          </cell>
          <cell r="S1275" t="str">
            <v>Belum TL</v>
          </cell>
          <cell r="T1275" t="str">
            <v>90150130 - Intan Aida Pratiwi</v>
          </cell>
          <cell r="U1275" t="str">
            <v>"-"</v>
          </cell>
        </row>
        <row r="1276">
          <cell r="A1276">
            <v>46265</v>
          </cell>
          <cell r="B1276" t="str">
            <v xml:space="preserve">MULTI TRADING PRATAMA, PT               </v>
          </cell>
          <cell r="C1276" t="str">
            <v>MLJ0315</v>
          </cell>
          <cell r="D1276">
            <v>5001004750307</v>
          </cell>
          <cell r="E1276" t="str">
            <v>TINGGI</v>
          </cell>
          <cell r="F1276" t="str">
            <v>Tidak</v>
          </cell>
          <cell r="G1276" t="str">
            <v>Tidak</v>
          </cell>
          <cell r="H1276" t="str">
            <v>Tidak</v>
          </cell>
          <cell r="I1276" t="str">
            <v>Perpajakan</v>
          </cell>
          <cell r="J1276">
            <v>63</v>
          </cell>
          <cell r="K1276">
            <v>1.33</v>
          </cell>
          <cell r="L1276" t="str">
            <v>Perpajakan</v>
          </cell>
          <cell r="M1276" t="str">
            <v xml:space="preserve">KC Makassar Ahmad Yani                  </v>
          </cell>
          <cell r="N1276" t="str">
            <v xml:space="preserve">KC Makassar Ahmad Yani                  </v>
          </cell>
          <cell r="O1276" t="str">
            <v xml:space="preserve">Makassar                                </v>
          </cell>
          <cell r="R1276" t="str">
            <v>Belum TL</v>
          </cell>
          <cell r="S1276" t="str">
            <v>Belum TL</v>
          </cell>
          <cell r="T1276" t="str">
            <v>00394520 - Frida Akbar Rani</v>
          </cell>
          <cell r="U1276" t="str">
            <v>"-"</v>
          </cell>
        </row>
        <row r="1277">
          <cell r="A1277">
            <v>46265</v>
          </cell>
          <cell r="B1277" t="str">
            <v xml:space="preserve">MIRAH AGUNG RAYA, PT                    </v>
          </cell>
          <cell r="C1277" t="str">
            <v>MLZ2573</v>
          </cell>
          <cell r="D1277">
            <v>37802000171305</v>
          </cell>
          <cell r="E1277" t="str">
            <v>SEDANG</v>
          </cell>
          <cell r="F1277" t="str">
            <v>Tidak</v>
          </cell>
          <cell r="G1277" t="str">
            <v>Tidak</v>
          </cell>
          <cell r="H1277" t="str">
            <v>Tidak</v>
          </cell>
          <cell r="I1277" t="str">
            <v>Perpajakan</v>
          </cell>
          <cell r="J1277">
            <v>48</v>
          </cell>
          <cell r="K1277">
            <v>41</v>
          </cell>
          <cell r="L1277" t="str">
            <v>Perpajakan</v>
          </cell>
          <cell r="M1277" t="str">
            <v xml:space="preserve">KC Jakarta Rasuna Said                  </v>
          </cell>
          <cell r="N1277" t="str">
            <v xml:space="preserve">KC Jakarta Rasuna Said                  </v>
          </cell>
          <cell r="O1277" t="str">
            <v xml:space="preserve">DKI2                                    </v>
          </cell>
          <cell r="R1277" t="str">
            <v>Belum TL</v>
          </cell>
          <cell r="S1277" t="str">
            <v>Belum TL</v>
          </cell>
          <cell r="T1277" t="str">
            <v>90171841 - Rifqi Aziz</v>
          </cell>
          <cell r="U1277" t="str">
            <v>"-"</v>
          </cell>
        </row>
        <row r="1278">
          <cell r="A1278">
            <v>46265</v>
          </cell>
          <cell r="B1278" t="str">
            <v xml:space="preserve">MUSDALIANSYAH                           </v>
          </cell>
          <cell r="C1278" t="str">
            <v>MMA0043</v>
          </cell>
          <cell r="D1278">
            <v>28401001181568</v>
          </cell>
          <cell r="E1278" t="str">
            <v>SEDANG</v>
          </cell>
          <cell r="F1278" t="str">
            <v>Tidak</v>
          </cell>
          <cell r="G1278" t="str">
            <v>Tidak</v>
          </cell>
          <cell r="H1278" t="str">
            <v>Tidak</v>
          </cell>
          <cell r="I1278" t="str">
            <v>Korupsi - Significant Trx View</v>
          </cell>
          <cell r="J1278">
            <v>59</v>
          </cell>
          <cell r="K1278">
            <v>1.19</v>
          </cell>
          <cell r="L1278" t="str">
            <v>Korupsi</v>
          </cell>
          <cell r="M1278" t="str">
            <v>Kas Kanpus</v>
          </cell>
          <cell r="N1278" t="str">
            <v>Kas Kanpus</v>
          </cell>
          <cell r="O1278" t="str">
            <v>KAS KANPUS</v>
          </cell>
          <cell r="R1278" t="str">
            <v>Belum TL</v>
          </cell>
          <cell r="S1278" t="str">
            <v>Belum TL</v>
          </cell>
          <cell r="T1278" t="str">
            <v>90186796 - Devito Arya Wiradila</v>
          </cell>
          <cell r="U1278" t="str">
            <v>"-"</v>
          </cell>
        </row>
        <row r="1279">
          <cell r="A1279">
            <v>46265</v>
          </cell>
          <cell r="B1279" t="str">
            <v xml:space="preserve">MILA APRIYANTI                          </v>
          </cell>
          <cell r="C1279" t="str">
            <v>MMET091</v>
          </cell>
          <cell r="D1279">
            <v>722301008174501</v>
          </cell>
          <cell r="E1279" t="str">
            <v>SEDANG</v>
          </cell>
          <cell r="F1279" t="str">
            <v>Tidak</v>
          </cell>
          <cell r="G1279" t="str">
            <v>Tidak</v>
          </cell>
          <cell r="H1279" t="str">
            <v>Tidak</v>
          </cell>
          <cell r="I1279" t="str">
            <v>Bandar Judol Withdrawal</v>
          </cell>
          <cell r="J1279">
            <v>50</v>
          </cell>
          <cell r="K1279" t="str">
            <v>86,88,87</v>
          </cell>
          <cell r="L1279" t="str">
            <v>Judi Online</v>
          </cell>
          <cell r="M1279" t="str">
            <v xml:space="preserve">Kas Kanpus                              </v>
          </cell>
          <cell r="N1279" t="str">
            <v xml:space="preserve">Kas Kanpus                              </v>
          </cell>
          <cell r="O1279" t="str">
            <v xml:space="preserve">KAS KANPUS                              </v>
          </cell>
          <cell r="R1279" t="str">
            <v>Belum TL</v>
          </cell>
          <cell r="S1279" t="str">
            <v>Belum TL</v>
          </cell>
          <cell r="T1279" t="str">
            <v>90170665 - Mutiara Ayuningtyas</v>
          </cell>
          <cell r="U1279" t="str">
            <v>"-"</v>
          </cell>
        </row>
        <row r="1280">
          <cell r="A1280">
            <v>46265</v>
          </cell>
          <cell r="B1280" t="str">
            <v xml:space="preserve">MOH AKBAR                               </v>
          </cell>
          <cell r="C1280" t="str">
            <v>MMME234</v>
          </cell>
          <cell r="D1280">
            <v>522701018297105</v>
          </cell>
          <cell r="E1280" t="str">
            <v>TINGGI</v>
          </cell>
          <cell r="F1280" t="str">
            <v>Tidak</v>
          </cell>
          <cell r="G1280" t="str">
            <v>Tidak</v>
          </cell>
          <cell r="H1280" t="str">
            <v>Tidak</v>
          </cell>
          <cell r="I1280" t="str">
            <v>Korupsi - Loan View</v>
          </cell>
          <cell r="J1280">
            <v>68</v>
          </cell>
          <cell r="K1280">
            <v>15</v>
          </cell>
          <cell r="L1280" t="str">
            <v>Korupsi</v>
          </cell>
          <cell r="M1280" t="str">
            <v>Kas Kanpus</v>
          </cell>
          <cell r="N1280" t="str">
            <v>Kas Kanpus</v>
          </cell>
          <cell r="O1280" t="str">
            <v>KAS KANPUS</v>
          </cell>
          <cell r="R1280" t="str">
            <v>Belum TL</v>
          </cell>
          <cell r="S1280" t="str">
            <v>Belum TL</v>
          </cell>
          <cell r="T1280" t="str">
            <v>90170665 - Mutiara Ayuningtyas</v>
          </cell>
          <cell r="U1280" t="str">
            <v>"-"</v>
          </cell>
        </row>
        <row r="1281">
          <cell r="A1281">
            <v>46265</v>
          </cell>
          <cell r="B1281" t="str">
            <v xml:space="preserve">MOH PUJA SYAFAAT                        </v>
          </cell>
          <cell r="C1281" t="str">
            <v>MMP0776</v>
          </cell>
          <cell r="D1281">
            <v>6001049266502</v>
          </cell>
          <cell r="E1281" t="str">
            <v>SEDANG</v>
          </cell>
          <cell r="F1281" t="str">
            <v>Tidak</v>
          </cell>
          <cell r="G1281" t="str">
            <v>Tidak</v>
          </cell>
          <cell r="H1281" t="str">
            <v>Tidak</v>
          </cell>
          <cell r="I1281" t="str">
            <v>Narkotika - Area Lapas</v>
          </cell>
          <cell r="J1281">
            <v>53</v>
          </cell>
          <cell r="K1281">
            <v>48</v>
          </cell>
          <cell r="L1281" t="str">
            <v>Narkotika</v>
          </cell>
          <cell r="M1281" t="str">
            <v>KC Palu</v>
          </cell>
          <cell r="N1281" t="str">
            <v>KC Palu</v>
          </cell>
          <cell r="O1281" t="str">
            <v>Manado</v>
          </cell>
          <cell r="R1281" t="str">
            <v>Belum TL</v>
          </cell>
          <cell r="S1281" t="str">
            <v>Belum TL</v>
          </cell>
          <cell r="T1281" t="str">
            <v>90170665 - Mutiara Ayuningtyas</v>
          </cell>
          <cell r="U1281" t="str">
            <v>"-"</v>
          </cell>
        </row>
        <row r="1282">
          <cell r="A1282">
            <v>46265</v>
          </cell>
          <cell r="B1282" t="str">
            <v xml:space="preserve">MUHAMMAD ARPAH                          </v>
          </cell>
          <cell r="C1282" t="str">
            <v>MNGH104</v>
          </cell>
          <cell r="D1282">
            <v>22401016328107</v>
          </cell>
          <cell r="E1282" t="str">
            <v>RENDAH</v>
          </cell>
          <cell r="F1282" t="str">
            <v>Tidak</v>
          </cell>
          <cell r="G1282" t="str">
            <v>Tidak</v>
          </cell>
          <cell r="H1282" t="str">
            <v>Tidak</v>
          </cell>
          <cell r="I1282" t="str">
            <v>Korupsi - Loan View</v>
          </cell>
          <cell r="J1282">
            <v>33</v>
          </cell>
          <cell r="K1282">
            <v>15</v>
          </cell>
          <cell r="L1282" t="str">
            <v>Korupsi</v>
          </cell>
          <cell r="M1282" t="str">
            <v>Kas Kanpus</v>
          </cell>
          <cell r="N1282" t="str">
            <v>Kas Kanpus</v>
          </cell>
          <cell r="O1282" t="str">
            <v>KAS KANPUS</v>
          </cell>
          <cell r="R1282" t="str">
            <v>Belum TL</v>
          </cell>
          <cell r="S1282" t="str">
            <v>Belum TL</v>
          </cell>
          <cell r="T1282" t="str">
            <v>90185538 - Muhammad Fahikal Auz</v>
          </cell>
          <cell r="U1282" t="str">
            <v>"-"</v>
          </cell>
        </row>
        <row r="1283">
          <cell r="A1283">
            <v>46265</v>
          </cell>
          <cell r="B1283" t="str">
            <v xml:space="preserve">MAHAKARYA KREASI BERSAMA                </v>
          </cell>
          <cell r="C1283" t="str">
            <v>MNNW665</v>
          </cell>
          <cell r="D1283">
            <v>43801001328303</v>
          </cell>
          <cell r="E1283" t="str">
            <v>SEDANG</v>
          </cell>
          <cell r="F1283" t="str">
            <v>Tidak</v>
          </cell>
          <cell r="G1283" t="str">
            <v>Tidak</v>
          </cell>
          <cell r="H1283" t="str">
            <v>Tidak</v>
          </cell>
          <cell r="I1283" t="str">
            <v>Perpajakan</v>
          </cell>
          <cell r="J1283">
            <v>48</v>
          </cell>
          <cell r="K1283">
            <v>41</v>
          </cell>
          <cell r="L1283" t="str">
            <v>Perpajakan</v>
          </cell>
          <cell r="M1283" t="str">
            <v xml:space="preserve">KC Tangerang City                       </v>
          </cell>
          <cell r="N1283" t="str">
            <v xml:space="preserve">KC Tangerang City                       </v>
          </cell>
          <cell r="O1283" t="str">
            <v xml:space="preserve">KANWIL JAKARTA 3                        </v>
          </cell>
          <cell r="R1283" t="str">
            <v>Belum TL</v>
          </cell>
          <cell r="S1283" t="str">
            <v>Belum TL</v>
          </cell>
          <cell r="T1283" t="str">
            <v>90186790 - Muhammad Alfin Farha</v>
          </cell>
          <cell r="U1283" t="str">
            <v>"-"</v>
          </cell>
        </row>
        <row r="1284">
          <cell r="A1284">
            <v>46265</v>
          </cell>
          <cell r="B1284" t="str">
            <v xml:space="preserve">MAXIMUS MAU                             </v>
          </cell>
          <cell r="C1284" t="str">
            <v>MNRE069</v>
          </cell>
          <cell r="D1284">
            <v>26701014354106</v>
          </cell>
          <cell r="E1284" t="str">
            <v>RENDAH</v>
          </cell>
          <cell r="F1284" t="str">
            <v>Tidak</v>
          </cell>
          <cell r="G1284" t="str">
            <v>Tidak</v>
          </cell>
          <cell r="H1284" t="str">
            <v>Tidak</v>
          </cell>
          <cell r="I1284" t="str">
            <v>Korupsi - Loan View</v>
          </cell>
          <cell r="J1284">
            <v>33</v>
          </cell>
          <cell r="K1284">
            <v>15</v>
          </cell>
          <cell r="L1284" t="str">
            <v>Korupsi</v>
          </cell>
          <cell r="M1284" t="str">
            <v>Kas Kanpus</v>
          </cell>
          <cell r="N1284" t="str">
            <v>Kas Kanpus</v>
          </cell>
          <cell r="O1284" t="str">
            <v>KAS KANPUS</v>
          </cell>
          <cell r="R1284" t="str">
            <v>Belum TL</v>
          </cell>
          <cell r="S1284" t="str">
            <v>Belum TL</v>
          </cell>
          <cell r="T1284" t="str">
            <v>90171841 - Rifqi Aziz</v>
          </cell>
          <cell r="U1284" t="str">
            <v>"-"</v>
          </cell>
        </row>
        <row r="1285">
          <cell r="A1285">
            <v>46265</v>
          </cell>
          <cell r="B1285" t="str">
            <v xml:space="preserve">M RIDWAN SYAEFULLAH SUBAGJA             </v>
          </cell>
          <cell r="C1285" t="str">
            <v>MNTT587</v>
          </cell>
          <cell r="D1285">
            <v>9401041533104</v>
          </cell>
          <cell r="E1285" t="str">
            <v>SEDANG</v>
          </cell>
          <cell r="F1285" t="str">
            <v>Tidak</v>
          </cell>
          <cell r="G1285" t="str">
            <v>Tidak</v>
          </cell>
          <cell r="H1285" t="str">
            <v>Tidak</v>
          </cell>
          <cell r="I1285" t="str">
            <v>Korupsi - Loan View</v>
          </cell>
          <cell r="J1285">
            <v>48</v>
          </cell>
          <cell r="K1285">
            <v>15</v>
          </cell>
          <cell r="L1285" t="str">
            <v>Korupsi</v>
          </cell>
          <cell r="M1285" t="str">
            <v>Kas Kanpus</v>
          </cell>
          <cell r="N1285" t="str">
            <v>Kas Kanpus</v>
          </cell>
          <cell r="O1285" t="str">
            <v>KAS KANPUS</v>
          </cell>
          <cell r="R1285" t="str">
            <v>Belum TL</v>
          </cell>
          <cell r="S1285" t="str">
            <v>Belum TL</v>
          </cell>
          <cell r="T1285" t="str">
            <v>90186796 - Devito Arya Wiradila</v>
          </cell>
          <cell r="U1285" t="str">
            <v>"-"</v>
          </cell>
        </row>
        <row r="1286">
          <cell r="A1286">
            <v>46265</v>
          </cell>
          <cell r="B1286" t="str">
            <v xml:space="preserve">MAX YUELSON                             </v>
          </cell>
          <cell r="C1286" t="str">
            <v>MNUR105</v>
          </cell>
          <cell r="D1286">
            <v>360501018647100</v>
          </cell>
          <cell r="E1286" t="str">
            <v>SEDANG</v>
          </cell>
          <cell r="F1286" t="str">
            <v>Tidak</v>
          </cell>
          <cell r="G1286" t="str">
            <v>Tidak</v>
          </cell>
          <cell r="H1286" t="str">
            <v>Tidak</v>
          </cell>
          <cell r="I1286" t="str">
            <v>Korupsi - Loan View</v>
          </cell>
          <cell r="J1286">
            <v>48</v>
          </cell>
          <cell r="K1286">
            <v>15</v>
          </cell>
          <cell r="L1286" t="str">
            <v>Korupsi</v>
          </cell>
          <cell r="M1286" t="str">
            <v>Kas Kanpus</v>
          </cell>
          <cell r="N1286" t="str">
            <v>Kas Kanpus</v>
          </cell>
          <cell r="O1286" t="str">
            <v>KAS KANPUS</v>
          </cell>
          <cell r="R1286" t="str">
            <v>Belum TL</v>
          </cell>
          <cell r="S1286" t="str">
            <v>Belum TL</v>
          </cell>
          <cell r="T1286" t="str">
            <v>00336949 - Mochammad Al Farabi</v>
          </cell>
          <cell r="U1286" t="str">
            <v>"-"</v>
          </cell>
        </row>
        <row r="1287">
          <cell r="A1287">
            <v>46265</v>
          </cell>
          <cell r="B1287" t="str">
            <v xml:space="preserve">MELKHI RIWU                             </v>
          </cell>
          <cell r="C1287" t="str">
            <v>MOAQ239</v>
          </cell>
          <cell r="D1287">
            <v>348801015610104</v>
          </cell>
          <cell r="E1287" t="str">
            <v>SEDANG</v>
          </cell>
          <cell r="F1287" t="str">
            <v>Tidak</v>
          </cell>
          <cell r="G1287" t="str">
            <v>Tidak</v>
          </cell>
          <cell r="H1287" t="str">
            <v>Tidak</v>
          </cell>
          <cell r="I1287" t="str">
            <v>Korupsi - Loan View</v>
          </cell>
          <cell r="J1287">
            <v>48</v>
          </cell>
          <cell r="K1287">
            <v>15</v>
          </cell>
          <cell r="L1287" t="str">
            <v>Korupsi</v>
          </cell>
          <cell r="M1287" t="str">
            <v>Kas Kanpus</v>
          </cell>
          <cell r="N1287" t="str">
            <v>Kas Kanpus</v>
          </cell>
          <cell r="O1287" t="str">
            <v>KAS KANPUS</v>
          </cell>
          <cell r="R1287" t="str">
            <v>Belum TL</v>
          </cell>
          <cell r="S1287" t="str">
            <v>Belum TL</v>
          </cell>
          <cell r="T1287" t="str">
            <v>90171841 - Rifqi Aziz</v>
          </cell>
          <cell r="U1287" t="str">
            <v>"-"</v>
          </cell>
        </row>
        <row r="1288">
          <cell r="A1288">
            <v>46265</v>
          </cell>
          <cell r="B1288" t="str">
            <v xml:space="preserve">MARLON EFENDI MADA                      </v>
          </cell>
          <cell r="C1288" t="str">
            <v>MP98450</v>
          </cell>
          <cell r="D1288">
            <v>361801019212107</v>
          </cell>
          <cell r="E1288" t="str">
            <v>RENDAH</v>
          </cell>
          <cell r="F1288" t="str">
            <v>Tidak</v>
          </cell>
          <cell r="G1288" t="str">
            <v>Tidak</v>
          </cell>
          <cell r="H1288" t="str">
            <v>Tidak</v>
          </cell>
          <cell r="I1288" t="str">
            <v>Korupsi - Loan View</v>
          </cell>
          <cell r="J1288">
            <v>33</v>
          </cell>
          <cell r="K1288">
            <v>15</v>
          </cell>
          <cell r="L1288" t="str">
            <v>Korupsi</v>
          </cell>
          <cell r="M1288" t="str">
            <v>Kas Kanpus</v>
          </cell>
          <cell r="N1288" t="str">
            <v>Kas Kanpus</v>
          </cell>
          <cell r="O1288" t="str">
            <v>KAS KANPUS</v>
          </cell>
          <cell r="R1288" t="str">
            <v>Belum TL</v>
          </cell>
          <cell r="S1288" t="str">
            <v>Belum TL</v>
          </cell>
          <cell r="T1288" t="str">
            <v>00336949 - Mochammad Al Farabi</v>
          </cell>
          <cell r="U1288" t="str">
            <v>"-"</v>
          </cell>
        </row>
        <row r="1289">
          <cell r="A1289">
            <v>46265</v>
          </cell>
          <cell r="B1289" t="str">
            <v xml:space="preserve">MUHAMMAD RIDFAN THAIB SANGADJI          </v>
          </cell>
          <cell r="C1289" t="str">
            <v>MPB2056</v>
          </cell>
          <cell r="D1289">
            <v>212901019478101</v>
          </cell>
          <cell r="E1289" t="str">
            <v>RENDAH</v>
          </cell>
          <cell r="F1289" t="str">
            <v>Tidak</v>
          </cell>
          <cell r="G1289" t="str">
            <v>Tidak</v>
          </cell>
          <cell r="H1289" t="str">
            <v>Tidak</v>
          </cell>
          <cell r="I1289" t="str">
            <v>Korupsi - Loan View</v>
          </cell>
          <cell r="J1289">
            <v>33</v>
          </cell>
          <cell r="K1289">
            <v>15</v>
          </cell>
          <cell r="L1289" t="str">
            <v>Korupsi</v>
          </cell>
          <cell r="M1289" t="str">
            <v>Kas Kanpus</v>
          </cell>
          <cell r="N1289" t="str">
            <v>Kas Kanpus</v>
          </cell>
          <cell r="O1289" t="str">
            <v>KAS KANPUS</v>
          </cell>
          <cell r="R1289" t="str">
            <v>Belum TL</v>
          </cell>
          <cell r="S1289" t="str">
            <v>Belum TL</v>
          </cell>
          <cell r="T1289" t="str">
            <v>90186790 - Muhammad Alfin Farha</v>
          </cell>
          <cell r="U1289" t="str">
            <v>"-"</v>
          </cell>
        </row>
        <row r="1290">
          <cell r="A1290">
            <v>46265</v>
          </cell>
          <cell r="B1290" t="str">
            <v xml:space="preserve">MISTAR                                  </v>
          </cell>
          <cell r="C1290" t="str">
            <v>MPGY302</v>
          </cell>
          <cell r="D1290">
            <v>455501024967534</v>
          </cell>
          <cell r="E1290" t="str">
            <v>SEDANG</v>
          </cell>
          <cell r="F1290" t="str">
            <v>Tidak</v>
          </cell>
          <cell r="G1290" t="str">
            <v>Tidak</v>
          </cell>
          <cell r="H1290" t="str">
            <v>Tidak</v>
          </cell>
          <cell r="I1290" t="str">
            <v>Narkotika - Area Lapas</v>
          </cell>
          <cell r="J1290">
            <v>50</v>
          </cell>
          <cell r="K1290">
            <v>46</v>
          </cell>
          <cell r="L1290" t="str">
            <v>Narkotika</v>
          </cell>
          <cell r="M1290" t="str">
            <v>UNIT GAGAS PLEIHARI</v>
          </cell>
          <cell r="N1290" t="str">
            <v>KC Pleihari</v>
          </cell>
          <cell r="O1290" t="str">
            <v>Banjarmasin</v>
          </cell>
          <cell r="R1290" t="str">
            <v>Belum TL</v>
          </cell>
          <cell r="S1290" t="str">
            <v>Belum TL</v>
          </cell>
          <cell r="T1290" t="str">
            <v>90186796 - Devito Arya Wiradila</v>
          </cell>
          <cell r="U1290" t="str">
            <v>"-"</v>
          </cell>
        </row>
        <row r="1291">
          <cell r="A1291">
            <v>46265</v>
          </cell>
          <cell r="B1291" t="str">
            <v xml:space="preserve">MAWAR JAYA SENTOSA                      </v>
          </cell>
          <cell r="C1291" t="str">
            <v>MPSV164</v>
          </cell>
          <cell r="D1291">
            <v>13101001484301</v>
          </cell>
          <cell r="E1291" t="str">
            <v>SEDANG</v>
          </cell>
          <cell r="F1291" t="str">
            <v>Tidak</v>
          </cell>
          <cell r="G1291" t="str">
            <v>Tidak</v>
          </cell>
          <cell r="H1291" t="str">
            <v>Tidak</v>
          </cell>
          <cell r="I1291" t="str">
            <v>Perpajakan</v>
          </cell>
          <cell r="J1291">
            <v>48</v>
          </cell>
          <cell r="K1291">
            <v>41</v>
          </cell>
          <cell r="L1291" t="str">
            <v>Perpajakan</v>
          </cell>
          <cell r="M1291" t="str">
            <v xml:space="preserve">KC Tanjung Pandan                       </v>
          </cell>
          <cell r="N1291" t="str">
            <v xml:space="preserve">KC Tanjung Pandan                       </v>
          </cell>
          <cell r="O1291" t="str">
            <v xml:space="preserve">Palembang                               </v>
          </cell>
          <cell r="R1291" t="str">
            <v>Belum TL</v>
          </cell>
          <cell r="S1291" t="str">
            <v>Belum TL</v>
          </cell>
          <cell r="T1291" t="str">
            <v>90185537 - Moh.Khoerul Fajar Ar</v>
          </cell>
          <cell r="U1291" t="str">
            <v>"-"</v>
          </cell>
        </row>
        <row r="1292">
          <cell r="A1292">
            <v>46265</v>
          </cell>
          <cell r="B1292" t="str">
            <v xml:space="preserve">MUHAMMAD FATHUN NADJA                   </v>
          </cell>
          <cell r="C1292" t="str">
            <v>MPVT467</v>
          </cell>
          <cell r="D1292">
            <v>4801112557503</v>
          </cell>
          <cell r="F1292" t="str">
            <v>Tidak</v>
          </cell>
          <cell r="G1292" t="str">
            <v>Tidak</v>
          </cell>
          <cell r="I1292" t="str">
            <v>Jual Beli Rekening - E channel Trx</v>
          </cell>
          <cell r="J1292">
            <v>33</v>
          </cell>
          <cell r="K1292">
            <v>113</v>
          </cell>
          <cell r="L1292" t="str">
            <v>Narkotika/Judi Online/Penipuan</v>
          </cell>
          <cell r="M1292" t="str">
            <v xml:space="preserve">KC Magelang                             </v>
          </cell>
          <cell r="N1292" t="str">
            <v xml:space="preserve">KC Magelang                             </v>
          </cell>
          <cell r="O1292" t="str">
            <v xml:space="preserve">Yogyakarta                              </v>
          </cell>
          <cell r="R1292" t="str">
            <v>Belum TL</v>
          </cell>
          <cell r="S1292" t="str">
            <v>Belum TL</v>
          </cell>
          <cell r="U1292" t="str">
            <v>"-"</v>
          </cell>
        </row>
        <row r="1293">
          <cell r="A1293">
            <v>46265</v>
          </cell>
          <cell r="B1293" t="str">
            <v xml:space="preserve">MUCHTAR                                 </v>
          </cell>
          <cell r="C1293" t="str">
            <v>MPYM592</v>
          </cell>
          <cell r="D1293">
            <v>23801100971502</v>
          </cell>
          <cell r="E1293" t="str">
            <v>SEDANG</v>
          </cell>
          <cell r="F1293" t="str">
            <v>Tidak</v>
          </cell>
          <cell r="G1293" t="str">
            <v>Tidak</v>
          </cell>
          <cell r="H1293" t="str">
            <v>Tidak</v>
          </cell>
          <cell r="I1293" t="str">
            <v>Bandar Judol Withdrawal</v>
          </cell>
          <cell r="J1293">
            <v>50</v>
          </cell>
          <cell r="K1293" t="str">
            <v>86,88,87</v>
          </cell>
          <cell r="L1293" t="str">
            <v>Judi Online</v>
          </cell>
          <cell r="M1293" t="str">
            <v xml:space="preserve">Kas Kanpus                              </v>
          </cell>
          <cell r="N1293" t="str">
            <v xml:space="preserve">Kas Kanpus                              </v>
          </cell>
          <cell r="O1293" t="str">
            <v xml:space="preserve">KAS KANPUS                              </v>
          </cell>
          <cell r="R1293" t="str">
            <v>Belum TL</v>
          </cell>
          <cell r="S1293" t="str">
            <v>Belum TL</v>
          </cell>
          <cell r="T1293" t="str">
            <v>00394520 - Frida Akbar Rani</v>
          </cell>
          <cell r="U1293" t="str">
            <v>"-"</v>
          </cell>
        </row>
        <row r="1294">
          <cell r="A1294">
            <v>46265</v>
          </cell>
          <cell r="B1294" t="str">
            <v xml:space="preserve">MARYANIH                                </v>
          </cell>
          <cell r="C1294" t="str">
            <v>MPYQ122</v>
          </cell>
          <cell r="D1294">
            <v>96301049503534</v>
          </cell>
          <cell r="E1294" t="str">
            <v>SEDANG</v>
          </cell>
          <cell r="F1294" t="str">
            <v>Tidak</v>
          </cell>
          <cell r="G1294" t="str">
            <v>Tidak</v>
          </cell>
          <cell r="H1294" t="str">
            <v>Tidak</v>
          </cell>
          <cell r="I1294" t="str">
            <v>Bandar Judol Withdrawal</v>
          </cell>
          <cell r="J1294">
            <v>50</v>
          </cell>
          <cell r="K1294" t="str">
            <v>86,88,87</v>
          </cell>
          <cell r="L1294" t="str">
            <v>Judi Online</v>
          </cell>
          <cell r="M1294" t="str">
            <v xml:space="preserve">Kas Kanpus                              </v>
          </cell>
          <cell r="N1294" t="str">
            <v xml:space="preserve">Kas Kanpus                              </v>
          </cell>
          <cell r="O1294" t="str">
            <v xml:space="preserve">KAS KANPUS                              </v>
          </cell>
          <cell r="R1294" t="str">
            <v>Belum TL</v>
          </cell>
          <cell r="S1294" t="str">
            <v>Belum TL</v>
          </cell>
          <cell r="T1294" t="str">
            <v>90185537 - Moh.Khoerul Fajar Ar</v>
          </cell>
          <cell r="U1294" t="str">
            <v>"-"</v>
          </cell>
        </row>
        <row r="1295">
          <cell r="A1295">
            <v>46265</v>
          </cell>
          <cell r="B1295" t="str">
            <v xml:space="preserve">MARGENES BAKO                           </v>
          </cell>
          <cell r="C1295" t="str">
            <v>MOQY821</v>
          </cell>
          <cell r="D1295">
            <v>349001016417102</v>
          </cell>
          <cell r="E1295" t="str">
            <v>RENDAH</v>
          </cell>
          <cell r="F1295" t="str">
            <v>Tidak</v>
          </cell>
          <cell r="G1295" t="str">
            <v>Tidak</v>
          </cell>
          <cell r="H1295" t="str">
            <v>Tidak</v>
          </cell>
          <cell r="I1295" t="str">
            <v>Korupsi - Loan View</v>
          </cell>
          <cell r="J1295">
            <v>33</v>
          </cell>
          <cell r="K1295">
            <v>15</v>
          </cell>
          <cell r="L1295" t="str">
            <v>Korupsi</v>
          </cell>
          <cell r="M1295" t="str">
            <v>Kas Kanpus</v>
          </cell>
          <cell r="N1295" t="str">
            <v>Kas Kanpus</v>
          </cell>
          <cell r="O1295" t="str">
            <v>KAS KANPUS</v>
          </cell>
          <cell r="R1295" t="str">
            <v>Belum TL</v>
          </cell>
          <cell r="S1295" t="str">
            <v>Belum TL</v>
          </cell>
          <cell r="T1295" t="str">
            <v>90186790 - Muhammad Alfin Farha</v>
          </cell>
          <cell r="U1295" t="str">
            <v>"-"</v>
          </cell>
        </row>
        <row r="1296">
          <cell r="A1296">
            <v>46265</v>
          </cell>
          <cell r="B1296" t="str">
            <v xml:space="preserve">MUHAMMAD RAFLI                          </v>
          </cell>
          <cell r="C1296" t="str">
            <v>MQDG925</v>
          </cell>
          <cell r="D1296">
            <v>69301025965505</v>
          </cell>
          <cell r="F1296" t="str">
            <v>Tidak</v>
          </cell>
          <cell r="G1296" t="str">
            <v>Tidak</v>
          </cell>
          <cell r="I1296" t="str">
            <v>Jual Beli Rekening - E channel Trx</v>
          </cell>
          <cell r="J1296">
            <v>33</v>
          </cell>
          <cell r="K1296">
            <v>113</v>
          </cell>
          <cell r="L1296" t="str">
            <v>Narkotika/Judi Online/Penipuan</v>
          </cell>
          <cell r="M1296" t="str">
            <v xml:space="preserve">KCP AKSARA                              </v>
          </cell>
          <cell r="N1296" t="str">
            <v xml:space="preserve">KC Medan Sisingamangaraja               </v>
          </cell>
          <cell r="O1296" t="str">
            <v xml:space="preserve">Medan                                   </v>
          </cell>
          <cell r="R1296" t="str">
            <v>Belum TL</v>
          </cell>
          <cell r="S1296" t="str">
            <v>Belum TL</v>
          </cell>
          <cell r="U1296" t="str">
            <v>"-"</v>
          </cell>
        </row>
        <row r="1297">
          <cell r="A1297">
            <v>46265</v>
          </cell>
          <cell r="B1297" t="str">
            <v xml:space="preserve">MASUT                                   </v>
          </cell>
          <cell r="C1297" t="str">
            <v>MQRC166</v>
          </cell>
          <cell r="D1297">
            <v>225701000551107</v>
          </cell>
          <cell r="E1297" t="str">
            <v>RENDAH</v>
          </cell>
          <cell r="F1297" t="str">
            <v>Tidak</v>
          </cell>
          <cell r="G1297" t="str">
            <v>Tidak</v>
          </cell>
          <cell r="H1297" t="str">
            <v>Tidak</v>
          </cell>
          <cell r="I1297" t="str">
            <v>Korupsi - Loan View</v>
          </cell>
          <cell r="J1297">
            <v>33</v>
          </cell>
          <cell r="K1297">
            <v>15</v>
          </cell>
          <cell r="L1297" t="str">
            <v>Korupsi</v>
          </cell>
          <cell r="M1297" t="str">
            <v>Kas Kanpus</v>
          </cell>
          <cell r="N1297" t="str">
            <v>Kas Kanpus</v>
          </cell>
          <cell r="O1297" t="str">
            <v>KAS KANPUS</v>
          </cell>
          <cell r="R1297" t="str">
            <v>Belum TL</v>
          </cell>
          <cell r="S1297" t="str">
            <v>Belum TL</v>
          </cell>
          <cell r="T1297" t="str">
            <v>90171841 - Rifqi Aziz</v>
          </cell>
          <cell r="U1297" t="str">
            <v>"-"</v>
          </cell>
        </row>
        <row r="1298">
          <cell r="A1298">
            <v>46265</v>
          </cell>
          <cell r="B1298" t="str">
            <v xml:space="preserve">MARTHEN DAMA DORI KAMBU                 </v>
          </cell>
          <cell r="C1298" t="str">
            <v>MQTZ112</v>
          </cell>
          <cell r="D1298">
            <v>357901017994105</v>
          </cell>
          <cell r="E1298" t="str">
            <v>SEDANG</v>
          </cell>
          <cell r="F1298" t="str">
            <v>Tidak</v>
          </cell>
          <cell r="G1298" t="str">
            <v>Tidak</v>
          </cell>
          <cell r="H1298" t="str">
            <v>Tidak</v>
          </cell>
          <cell r="I1298" t="str">
            <v>Korupsi - Loan View</v>
          </cell>
          <cell r="J1298">
            <v>48</v>
          </cell>
          <cell r="K1298">
            <v>15</v>
          </cell>
          <cell r="L1298" t="str">
            <v>Korupsi</v>
          </cell>
          <cell r="M1298" t="str">
            <v>Kas Kanpus</v>
          </cell>
          <cell r="N1298" t="str">
            <v>Kas Kanpus</v>
          </cell>
          <cell r="O1298" t="str">
            <v>KAS KANPUS</v>
          </cell>
          <cell r="R1298" t="str">
            <v>Belum TL</v>
          </cell>
          <cell r="S1298" t="str">
            <v>Belum TL</v>
          </cell>
          <cell r="T1298" t="str">
            <v>00394520 - Frida Akbar Rani</v>
          </cell>
          <cell r="U1298" t="str">
            <v>"-"</v>
          </cell>
        </row>
        <row r="1299">
          <cell r="A1299">
            <v>46265</v>
          </cell>
          <cell r="B1299" t="str">
            <v xml:space="preserve">MUTMAELI                                </v>
          </cell>
          <cell r="C1299" t="str">
            <v>MRNF717</v>
          </cell>
          <cell r="D1299">
            <v>2801003088564</v>
          </cell>
          <cell r="E1299" t="str">
            <v>SEDANG</v>
          </cell>
          <cell r="F1299" t="str">
            <v>Tidak</v>
          </cell>
          <cell r="G1299" t="str">
            <v>Tidak</v>
          </cell>
          <cell r="H1299" t="str">
            <v>Tidak</v>
          </cell>
          <cell r="I1299" t="str">
            <v>Korupsi - Cash &amp; Amount</v>
          </cell>
          <cell r="J1299">
            <v>63</v>
          </cell>
          <cell r="K1299" t="str">
            <v>1,2,20</v>
          </cell>
          <cell r="L1299" t="str">
            <v>Korupsi</v>
          </cell>
          <cell r="M1299" t="str">
            <v>Kas Kanpus</v>
          </cell>
          <cell r="N1299" t="str">
            <v>Kas Kanpus</v>
          </cell>
          <cell r="O1299" t="str">
            <v>KAS KANPUS</v>
          </cell>
          <cell r="R1299" t="str">
            <v>Belum TL</v>
          </cell>
          <cell r="S1299" t="str">
            <v>Belum TL</v>
          </cell>
          <cell r="T1299" t="str">
            <v>00394521 - Muhammad Hibbanduta</v>
          </cell>
          <cell r="U1299" t="str">
            <v>"-"</v>
          </cell>
        </row>
        <row r="1300">
          <cell r="A1300">
            <v>46265</v>
          </cell>
          <cell r="B1300" t="str">
            <v xml:space="preserve">MUHAMMAD RAZIN RAMADHAN                 </v>
          </cell>
          <cell r="C1300" t="str">
            <v>MRTL588</v>
          </cell>
          <cell r="D1300">
            <v>6301100578501</v>
          </cell>
          <cell r="F1300" t="str">
            <v>Tidak</v>
          </cell>
          <cell r="G1300" t="str">
            <v>Tidak</v>
          </cell>
          <cell r="I1300" t="str">
            <v>Jual Beli Rekening - E channel Trx</v>
          </cell>
          <cell r="J1300">
            <v>33</v>
          </cell>
          <cell r="K1300">
            <v>113</v>
          </cell>
          <cell r="L1300" t="str">
            <v>Narkotika/Judi Online/Penipuan</v>
          </cell>
          <cell r="M1300" t="str">
            <v xml:space="preserve">KC Pangkal Pinang                       </v>
          </cell>
          <cell r="N1300" t="str">
            <v xml:space="preserve">KC Pangkal Pinang                       </v>
          </cell>
          <cell r="O1300" t="str">
            <v xml:space="preserve">Palembang                               </v>
          </cell>
          <cell r="R1300" t="str">
            <v>Belum TL</v>
          </cell>
          <cell r="S1300" t="str">
            <v>Belum TL</v>
          </cell>
          <cell r="U1300" t="str">
            <v>"-"</v>
          </cell>
        </row>
        <row r="1301">
          <cell r="A1301">
            <v>46265</v>
          </cell>
          <cell r="B1301" t="str">
            <v xml:space="preserve">MARGARITA HENDERINA T MAAHURY           </v>
          </cell>
          <cell r="C1301" t="str">
            <v>MRV3740</v>
          </cell>
          <cell r="D1301">
            <v>349001020723105</v>
          </cell>
          <cell r="E1301" t="str">
            <v>SEDANG</v>
          </cell>
          <cell r="F1301" t="str">
            <v>Tidak</v>
          </cell>
          <cell r="G1301" t="str">
            <v>Tidak</v>
          </cell>
          <cell r="H1301" t="str">
            <v>Tidak</v>
          </cell>
          <cell r="I1301" t="str">
            <v>Korupsi - Loan View</v>
          </cell>
          <cell r="J1301">
            <v>48</v>
          </cell>
          <cell r="K1301">
            <v>15</v>
          </cell>
          <cell r="L1301" t="str">
            <v>Korupsi</v>
          </cell>
          <cell r="M1301" t="str">
            <v>Kas Kanpus</v>
          </cell>
          <cell r="N1301" t="str">
            <v>Kas Kanpus</v>
          </cell>
          <cell r="O1301" t="str">
            <v>KAS KANPUS</v>
          </cell>
          <cell r="R1301" t="str">
            <v>Belum TL</v>
          </cell>
          <cell r="S1301" t="str">
            <v>Belum TL</v>
          </cell>
          <cell r="T1301" t="str">
            <v>00394520 - Frida Akbar Rani</v>
          </cell>
          <cell r="U1301" t="str">
            <v>"-"</v>
          </cell>
        </row>
        <row r="1302">
          <cell r="A1302">
            <v>46265</v>
          </cell>
          <cell r="B1302" t="str">
            <v xml:space="preserve">MUHAMMAD IKBAL                          </v>
          </cell>
          <cell r="C1302" t="str">
            <v>MRXQ717</v>
          </cell>
          <cell r="D1302">
            <v>343501016300103</v>
          </cell>
          <cell r="E1302" t="str">
            <v>SEDANG</v>
          </cell>
          <cell r="F1302" t="str">
            <v>Tidak</v>
          </cell>
          <cell r="G1302" t="str">
            <v>Tidak</v>
          </cell>
          <cell r="H1302" t="str">
            <v>Tidak</v>
          </cell>
          <cell r="I1302" t="str">
            <v>Korupsi - Loan View</v>
          </cell>
          <cell r="J1302">
            <v>48</v>
          </cell>
          <cell r="K1302">
            <v>15</v>
          </cell>
          <cell r="L1302" t="str">
            <v>Korupsi</v>
          </cell>
          <cell r="M1302" t="str">
            <v>Kas Kanpus</v>
          </cell>
          <cell r="N1302" t="str">
            <v>Kas Kanpus</v>
          </cell>
          <cell r="O1302" t="str">
            <v>KAS KANPUS</v>
          </cell>
          <cell r="R1302" t="str">
            <v>Belum TL</v>
          </cell>
          <cell r="S1302" t="str">
            <v>Belum TL</v>
          </cell>
          <cell r="T1302" t="str">
            <v>90186796 - Devito Arya Wiradila</v>
          </cell>
          <cell r="U1302" t="str">
            <v>"-"</v>
          </cell>
        </row>
        <row r="1303">
          <cell r="A1303">
            <v>46265</v>
          </cell>
          <cell r="B1303" t="str">
            <v xml:space="preserve">MILA RAHAYU                             </v>
          </cell>
          <cell r="C1303" t="str">
            <v>MSP7613</v>
          </cell>
          <cell r="D1303">
            <v>4359720235403600</v>
          </cell>
          <cell r="E1303" t="str">
            <v>SEDANG</v>
          </cell>
          <cell r="F1303" t="str">
            <v>Tidak</v>
          </cell>
          <cell r="G1303" t="str">
            <v>Tidak</v>
          </cell>
          <cell r="H1303" t="str">
            <v>Tidak</v>
          </cell>
          <cell r="I1303" t="str">
            <v>Penyuapan - CC View</v>
          </cell>
          <cell r="J1303">
            <v>45</v>
          </cell>
          <cell r="K1303">
            <v>16.170000000000002</v>
          </cell>
          <cell r="L1303" t="str">
            <v>Penyuapan</v>
          </cell>
          <cell r="M1303" t="str">
            <v xml:space="preserve">Kas Kanpus                              </v>
          </cell>
          <cell r="N1303" t="str">
            <v xml:space="preserve">Kas Kanpus                              </v>
          </cell>
          <cell r="O1303" t="str">
            <v xml:space="preserve">KAS KANPUS                              </v>
          </cell>
          <cell r="R1303" t="str">
            <v>Belum TL</v>
          </cell>
          <cell r="S1303" t="str">
            <v>Belum TL</v>
          </cell>
          <cell r="T1303" t="str">
            <v>90171841 - Rifqi Aziz</v>
          </cell>
          <cell r="U1303" t="str">
            <v>"-"</v>
          </cell>
        </row>
        <row r="1304">
          <cell r="A1304">
            <v>46265</v>
          </cell>
          <cell r="B1304" t="str">
            <v xml:space="preserve">MILA RAHAYU                             </v>
          </cell>
          <cell r="C1304" t="str">
            <v>MSP7613</v>
          </cell>
          <cell r="D1304">
            <v>4359720235403600</v>
          </cell>
          <cell r="E1304" t="str">
            <v>SEDANG</v>
          </cell>
          <cell r="F1304" t="str">
            <v>Tidak</v>
          </cell>
          <cell r="G1304" t="str">
            <v>Tidak</v>
          </cell>
          <cell r="H1304" t="str">
            <v>Tidak</v>
          </cell>
          <cell r="I1304" t="str">
            <v>Penghindaran Pajak (Transaksi Fiktif)/Penyuapan CC</v>
          </cell>
          <cell r="J1304">
            <v>45</v>
          </cell>
          <cell r="K1304">
            <v>118</v>
          </cell>
          <cell r="L1304" t="str">
            <v>Penyuapan / Penghindaran Pajak CC View</v>
          </cell>
          <cell r="M1304" t="str">
            <v xml:space="preserve">Kas Kanpus                              </v>
          </cell>
          <cell r="N1304" t="str">
            <v xml:space="preserve">Kas Kanpus                              </v>
          </cell>
          <cell r="O1304" t="str">
            <v xml:space="preserve">KAS KANPUS                              </v>
          </cell>
          <cell r="R1304" t="str">
            <v>Belum TL</v>
          </cell>
          <cell r="S1304" t="str">
            <v>Belum TL</v>
          </cell>
          <cell r="T1304" t="str">
            <v>90186796 - Devito Arya Wiradila</v>
          </cell>
          <cell r="U1304" t="str">
            <v>"-"</v>
          </cell>
        </row>
        <row r="1305">
          <cell r="A1305">
            <v>46265</v>
          </cell>
          <cell r="B1305" t="str">
            <v xml:space="preserve">MANDEGANI NANDANGI ARDHI                </v>
          </cell>
          <cell r="C1305" t="str">
            <v>MSSS971</v>
          </cell>
          <cell r="D1305">
            <v>34101501346159</v>
          </cell>
          <cell r="E1305" t="str">
            <v>SEDANG</v>
          </cell>
          <cell r="F1305" t="str">
            <v>Tidak</v>
          </cell>
          <cell r="G1305" t="str">
            <v>Tidak</v>
          </cell>
          <cell r="H1305" t="str">
            <v>Tidak</v>
          </cell>
          <cell r="I1305" t="str">
            <v>Korupsi - Loan View</v>
          </cell>
          <cell r="J1305">
            <v>48</v>
          </cell>
          <cell r="K1305">
            <v>15</v>
          </cell>
          <cell r="L1305" t="str">
            <v>Korupsi</v>
          </cell>
          <cell r="M1305" t="str">
            <v>Kas Kanpus</v>
          </cell>
          <cell r="N1305" t="str">
            <v>Kas Kanpus</v>
          </cell>
          <cell r="O1305" t="str">
            <v>KAS KANPUS</v>
          </cell>
          <cell r="R1305" t="str">
            <v>Belum TL</v>
          </cell>
          <cell r="S1305" t="str">
            <v>Belum TL</v>
          </cell>
          <cell r="T1305" t="str">
            <v>90186796 - Devito Arya Wiradila</v>
          </cell>
          <cell r="U1305" t="str">
            <v>"-"</v>
          </cell>
        </row>
        <row r="1306">
          <cell r="A1306">
            <v>46265</v>
          </cell>
          <cell r="B1306" t="str">
            <v xml:space="preserve">MEGA LUTOS MULIA                        </v>
          </cell>
          <cell r="C1306" t="str">
            <v>MSUH943</v>
          </cell>
          <cell r="D1306">
            <v>16701503365153</v>
          </cell>
          <cell r="E1306" t="str">
            <v>SEDANG</v>
          </cell>
          <cell r="F1306" t="str">
            <v>Tidak</v>
          </cell>
          <cell r="G1306" t="str">
            <v>Tidak</v>
          </cell>
          <cell r="H1306" t="str">
            <v>Tidak</v>
          </cell>
          <cell r="I1306" t="str">
            <v>Korupsi - Loan View</v>
          </cell>
          <cell r="J1306">
            <v>48</v>
          </cell>
          <cell r="K1306">
            <v>15</v>
          </cell>
          <cell r="L1306" t="str">
            <v>Korupsi</v>
          </cell>
          <cell r="M1306" t="str">
            <v>Kas Kanpus</v>
          </cell>
          <cell r="N1306" t="str">
            <v>Kas Kanpus</v>
          </cell>
          <cell r="O1306" t="str">
            <v>KAS KANPUS</v>
          </cell>
          <cell r="R1306" t="str">
            <v>Belum TL</v>
          </cell>
          <cell r="S1306" t="str">
            <v>Belum TL</v>
          </cell>
          <cell r="T1306" t="str">
            <v>00336949 - Mochammad Al Farabi</v>
          </cell>
          <cell r="U1306" t="str">
            <v>"-"</v>
          </cell>
        </row>
        <row r="1307">
          <cell r="A1307">
            <v>46265</v>
          </cell>
          <cell r="B1307" t="str">
            <v xml:space="preserve">MURNI SRIJAYA                           </v>
          </cell>
          <cell r="C1307" t="str">
            <v>MSW2933</v>
          </cell>
          <cell r="D1307">
            <v>14001502497157</v>
          </cell>
          <cell r="E1307" t="str">
            <v>SEDANG</v>
          </cell>
          <cell r="F1307" t="str">
            <v>Tidak</v>
          </cell>
          <cell r="G1307" t="str">
            <v>Tidak</v>
          </cell>
          <cell r="H1307" t="str">
            <v>Tidak</v>
          </cell>
          <cell r="I1307" t="str">
            <v>Korupsi - Loan View</v>
          </cell>
          <cell r="J1307">
            <v>48</v>
          </cell>
          <cell r="K1307">
            <v>15</v>
          </cell>
          <cell r="L1307" t="str">
            <v>Korupsi</v>
          </cell>
          <cell r="M1307" t="str">
            <v>Kas Kanpus</v>
          </cell>
          <cell r="N1307" t="str">
            <v>Kas Kanpus</v>
          </cell>
          <cell r="O1307" t="str">
            <v>KAS KANPUS</v>
          </cell>
          <cell r="R1307" t="str">
            <v>Belum TL</v>
          </cell>
          <cell r="S1307" t="str">
            <v>Belum TL</v>
          </cell>
          <cell r="T1307" t="str">
            <v>90186790 - Muhammad Alfin Farha</v>
          </cell>
          <cell r="U1307" t="str">
            <v>"-"</v>
          </cell>
        </row>
        <row r="1308">
          <cell r="A1308">
            <v>46265</v>
          </cell>
          <cell r="B1308" t="str">
            <v xml:space="preserve">MULTI TIGA CIPTA                        </v>
          </cell>
          <cell r="C1308" t="str">
            <v>MSRM717</v>
          </cell>
          <cell r="D1308">
            <v>501501182157</v>
          </cell>
          <cell r="E1308" t="str">
            <v>SEDANG</v>
          </cell>
          <cell r="F1308" t="str">
            <v>Tidak</v>
          </cell>
          <cell r="G1308" t="str">
            <v>Tidak</v>
          </cell>
          <cell r="H1308" t="str">
            <v>Tidak</v>
          </cell>
          <cell r="I1308" t="str">
            <v>Korupsi - Loan View</v>
          </cell>
          <cell r="J1308">
            <v>48</v>
          </cell>
          <cell r="K1308">
            <v>15</v>
          </cell>
          <cell r="L1308" t="str">
            <v>Korupsi</v>
          </cell>
          <cell r="M1308" t="str">
            <v>Kas Kanpus</v>
          </cell>
          <cell r="N1308" t="str">
            <v>Kas Kanpus</v>
          </cell>
          <cell r="O1308" t="str">
            <v>KAS KANPUS</v>
          </cell>
          <cell r="R1308" t="str">
            <v>Belum TL</v>
          </cell>
          <cell r="S1308" t="str">
            <v>Belum TL</v>
          </cell>
          <cell r="T1308" t="str">
            <v>90150130 - Intan Aida Pratiwi</v>
          </cell>
          <cell r="U1308" t="str">
            <v>"-"</v>
          </cell>
        </row>
        <row r="1309">
          <cell r="A1309">
            <v>46265</v>
          </cell>
          <cell r="B1309" t="str">
            <v xml:space="preserve">M RIDWAN                                </v>
          </cell>
          <cell r="C1309" t="str">
            <v>MTBN388</v>
          </cell>
          <cell r="D1309">
            <v>493301017002105</v>
          </cell>
          <cell r="E1309" t="str">
            <v>SEDANG</v>
          </cell>
          <cell r="F1309" t="str">
            <v>Tidak</v>
          </cell>
          <cell r="G1309" t="str">
            <v>Tidak</v>
          </cell>
          <cell r="H1309" t="str">
            <v>Tidak</v>
          </cell>
          <cell r="I1309" t="str">
            <v>Korupsi - Loan View</v>
          </cell>
          <cell r="J1309">
            <v>48</v>
          </cell>
          <cell r="K1309">
            <v>15</v>
          </cell>
          <cell r="L1309" t="str">
            <v>Korupsi</v>
          </cell>
          <cell r="M1309" t="str">
            <v>Kas Kanpus</v>
          </cell>
          <cell r="N1309" t="str">
            <v>Kas Kanpus</v>
          </cell>
          <cell r="O1309" t="str">
            <v>KAS KANPUS</v>
          </cell>
          <cell r="R1309" t="str">
            <v>Belum TL</v>
          </cell>
          <cell r="S1309" t="str">
            <v>Belum TL</v>
          </cell>
          <cell r="T1309" t="str">
            <v>90186790 - Muhammad Alfin Farha</v>
          </cell>
          <cell r="U1309" t="str">
            <v>"-"</v>
          </cell>
        </row>
        <row r="1310">
          <cell r="A1310">
            <v>46265</v>
          </cell>
          <cell r="B1310" t="str">
            <v xml:space="preserve">M.FRAN ARDIANSYAH                       </v>
          </cell>
          <cell r="C1310" t="str">
            <v>MTIC350</v>
          </cell>
          <cell r="D1310">
            <v>1901115070505</v>
          </cell>
          <cell r="F1310" t="str">
            <v>Tidak</v>
          </cell>
          <cell r="G1310" t="str">
            <v>Tidak</v>
          </cell>
          <cell r="I1310" t="str">
            <v>Jual Beli Rekening - E channel Trx</v>
          </cell>
          <cell r="J1310">
            <v>33</v>
          </cell>
          <cell r="K1310">
            <v>113</v>
          </cell>
          <cell r="L1310" t="str">
            <v>Narkotika/Judi Online/Penipuan</v>
          </cell>
          <cell r="M1310" t="str">
            <v xml:space="preserve">KC JAKARTA KOTA                         </v>
          </cell>
          <cell r="N1310" t="str">
            <v xml:space="preserve">KC JAKARTA KOTA                         </v>
          </cell>
          <cell r="O1310" t="str">
            <v xml:space="preserve">KANWIL JAKARTA 3                        </v>
          </cell>
          <cell r="R1310" t="str">
            <v>Belum TL</v>
          </cell>
          <cell r="S1310" t="str">
            <v>Belum TL</v>
          </cell>
          <cell r="U1310" t="str">
            <v>"-"</v>
          </cell>
        </row>
        <row r="1311">
          <cell r="A1311">
            <v>46265</v>
          </cell>
          <cell r="B1311" t="str">
            <v xml:space="preserve">MARSCHELINO KANDAIMU                    </v>
          </cell>
          <cell r="C1311" t="str">
            <v>MTLJ849</v>
          </cell>
          <cell r="D1311">
            <v>362701017038108</v>
          </cell>
          <cell r="E1311" t="str">
            <v>SEDANG</v>
          </cell>
          <cell r="F1311" t="str">
            <v>Tidak</v>
          </cell>
          <cell r="G1311" t="str">
            <v>Tidak</v>
          </cell>
          <cell r="H1311" t="str">
            <v>Tidak</v>
          </cell>
          <cell r="I1311" t="str">
            <v>Korupsi - Loan View</v>
          </cell>
          <cell r="J1311">
            <v>48</v>
          </cell>
          <cell r="K1311">
            <v>15</v>
          </cell>
          <cell r="L1311" t="str">
            <v>Korupsi</v>
          </cell>
          <cell r="M1311" t="str">
            <v>Kas Kanpus</v>
          </cell>
          <cell r="N1311" t="str">
            <v>Kas Kanpus</v>
          </cell>
          <cell r="O1311" t="str">
            <v>KAS KANPUS</v>
          </cell>
          <cell r="R1311" t="str">
            <v>Belum TL</v>
          </cell>
          <cell r="S1311" t="str">
            <v>Belum TL</v>
          </cell>
          <cell r="T1311" t="str">
            <v>90171841 - Rifqi Aziz</v>
          </cell>
          <cell r="U1311" t="str">
            <v>"-"</v>
          </cell>
        </row>
        <row r="1312">
          <cell r="A1312">
            <v>46265</v>
          </cell>
          <cell r="B1312" t="str">
            <v xml:space="preserve">MUHAMMAD ABDUL HAFIZ                    </v>
          </cell>
          <cell r="C1312" t="str">
            <v>MTMZ180</v>
          </cell>
          <cell r="D1312">
            <v>27201014881106</v>
          </cell>
          <cell r="E1312" t="str">
            <v>RENDAH</v>
          </cell>
          <cell r="F1312" t="str">
            <v>Tidak</v>
          </cell>
          <cell r="G1312" t="str">
            <v>Tidak</v>
          </cell>
          <cell r="H1312" t="str">
            <v>Tidak</v>
          </cell>
          <cell r="I1312" t="str">
            <v>Korupsi - Loan View</v>
          </cell>
          <cell r="J1312">
            <v>33</v>
          </cell>
          <cell r="K1312">
            <v>15</v>
          </cell>
          <cell r="L1312" t="str">
            <v>Korupsi</v>
          </cell>
          <cell r="M1312" t="str">
            <v>Kas Kanpus</v>
          </cell>
          <cell r="N1312" t="str">
            <v>Kas Kanpus</v>
          </cell>
          <cell r="O1312" t="str">
            <v>KAS KANPUS</v>
          </cell>
          <cell r="R1312" t="str">
            <v>Belum TL</v>
          </cell>
          <cell r="S1312" t="str">
            <v>Belum TL</v>
          </cell>
          <cell r="T1312" t="str">
            <v>00394520 - Frida Akbar Rani</v>
          </cell>
          <cell r="U1312" t="str">
            <v>"-"</v>
          </cell>
        </row>
        <row r="1313">
          <cell r="A1313">
            <v>46265</v>
          </cell>
          <cell r="B1313" t="str">
            <v xml:space="preserve">MUZAINAH                                </v>
          </cell>
          <cell r="C1313" t="str">
            <v>MTNL180</v>
          </cell>
          <cell r="D1313">
            <v>814701008014532</v>
          </cell>
          <cell r="E1313" t="str">
            <v>SEDANG</v>
          </cell>
          <cell r="F1313" t="str">
            <v>Tidak</v>
          </cell>
          <cell r="G1313" t="str">
            <v>Tidak</v>
          </cell>
          <cell r="H1313" t="str">
            <v>Tidak</v>
          </cell>
          <cell r="I1313" t="str">
            <v>Pencurian Rekening</v>
          </cell>
          <cell r="J1313">
            <v>49</v>
          </cell>
          <cell r="K1313">
            <v>58</v>
          </cell>
          <cell r="L1313" t="str">
            <v>Perbankan</v>
          </cell>
          <cell r="M1313" t="str">
            <v xml:space="preserve">KC BANDA ACEH CUT MEUTIA                </v>
          </cell>
          <cell r="N1313" t="str">
            <v xml:space="preserve">KANWIL Medan                            </v>
          </cell>
          <cell r="O1313" t="str">
            <v xml:space="preserve">Medan                                   </v>
          </cell>
          <cell r="R1313" t="str">
            <v>Belum TL</v>
          </cell>
          <cell r="S1313" t="str">
            <v>Belum TL</v>
          </cell>
          <cell r="T1313" t="str">
            <v>90170665 - Mutiara Ayuningtyas</v>
          </cell>
          <cell r="U1313" t="str">
            <v>"-"</v>
          </cell>
        </row>
        <row r="1314">
          <cell r="A1314">
            <v>46258</v>
          </cell>
          <cell r="B1314" t="str">
            <v xml:space="preserve">MUSTOFA                                 </v>
          </cell>
          <cell r="C1314" t="str">
            <v>MTHJ271</v>
          </cell>
          <cell r="D1314">
            <v>600501030968535</v>
          </cell>
          <cell r="E1314" t="str">
            <v>SEDANG</v>
          </cell>
          <cell r="F1314" t="str">
            <v>Tidak</v>
          </cell>
          <cell r="G1314" t="str">
            <v>Tidak</v>
          </cell>
          <cell r="I1314" t="str">
            <v>Teroris - Remark</v>
          </cell>
          <cell r="J1314">
            <v>168</v>
          </cell>
          <cell r="K1314">
            <v>50</v>
          </cell>
          <cell r="L1314" t="str">
            <v>Terorisme</v>
          </cell>
          <cell r="M1314" t="str">
            <v xml:space="preserve">Kas Kanpus                              </v>
          </cell>
          <cell r="N1314" t="str">
            <v xml:space="preserve">Kas Kanpus                              </v>
          </cell>
          <cell r="O1314" t="str">
            <v xml:space="preserve">KAS KANPUS                              </v>
          </cell>
          <cell r="R1314" t="str">
            <v>Belum TL</v>
          </cell>
          <cell r="S1314" t="str">
            <v>Belum TL</v>
          </cell>
          <cell r="T1314" t="str">
            <v>90150130 - Intan Aida Pratiwi</v>
          </cell>
          <cell r="U1314" t="str">
            <v>"-"</v>
          </cell>
        </row>
        <row r="1315">
          <cell r="A1315">
            <v>46265</v>
          </cell>
          <cell r="B1315" t="str">
            <v xml:space="preserve">MUHAMMAD UBAIDULLAH                     </v>
          </cell>
          <cell r="C1315" t="str">
            <v>MTRD387</v>
          </cell>
          <cell r="D1315">
            <v>23801035474536</v>
          </cell>
          <cell r="E1315" t="str">
            <v>SEDANG</v>
          </cell>
          <cell r="F1315" t="str">
            <v>Tidak</v>
          </cell>
          <cell r="G1315" t="str">
            <v>Tidak</v>
          </cell>
          <cell r="H1315" t="str">
            <v>Tidak</v>
          </cell>
          <cell r="I1315" t="str">
            <v>Bandar Judol Withdrawal</v>
          </cell>
          <cell r="J1315">
            <v>50</v>
          </cell>
          <cell r="K1315" t="str">
            <v>86,88,87</v>
          </cell>
          <cell r="L1315" t="str">
            <v>Judi Online</v>
          </cell>
          <cell r="M1315" t="str">
            <v xml:space="preserve">Kas Kanpus                              </v>
          </cell>
          <cell r="N1315" t="str">
            <v xml:space="preserve">Kas Kanpus                              </v>
          </cell>
          <cell r="O1315" t="str">
            <v xml:space="preserve">KAS KANPUS                              </v>
          </cell>
          <cell r="R1315" t="str">
            <v>Belum TL</v>
          </cell>
          <cell r="S1315" t="str">
            <v>Belum TL</v>
          </cell>
          <cell r="T1315" t="str">
            <v>90186790 - Muhammad Alfin Farha</v>
          </cell>
          <cell r="U1315" t="str">
            <v>"-"</v>
          </cell>
        </row>
        <row r="1316">
          <cell r="A1316">
            <v>46265</v>
          </cell>
          <cell r="B1316" t="str">
            <v xml:space="preserve">MULTIKARYA ASIA PASIFIK RAYA TBK        </v>
          </cell>
          <cell r="C1316" t="str">
            <v>MTU4041</v>
          </cell>
          <cell r="D1316">
            <v>20601500806156</v>
          </cell>
          <cell r="E1316" t="str">
            <v>SEDANG</v>
          </cell>
          <cell r="F1316" t="str">
            <v>Tidak</v>
          </cell>
          <cell r="G1316" t="str">
            <v>Tidak</v>
          </cell>
          <cell r="H1316" t="str">
            <v>Tidak</v>
          </cell>
          <cell r="I1316" t="str">
            <v>Korupsi - Loan View</v>
          </cell>
          <cell r="J1316">
            <v>48</v>
          </cell>
          <cell r="K1316">
            <v>15</v>
          </cell>
          <cell r="L1316" t="str">
            <v>Korupsi</v>
          </cell>
          <cell r="M1316" t="str">
            <v>Kas Kanpus</v>
          </cell>
          <cell r="N1316" t="str">
            <v>Kas Kanpus</v>
          </cell>
          <cell r="O1316" t="str">
            <v>KAS KANPUS</v>
          </cell>
          <cell r="R1316" t="str">
            <v>Belum TL</v>
          </cell>
          <cell r="S1316" t="str">
            <v>Belum TL</v>
          </cell>
          <cell r="T1316" t="str">
            <v>90185538 - Muhammad Fahikal Auz</v>
          </cell>
          <cell r="U1316" t="str">
            <v>"-"</v>
          </cell>
        </row>
        <row r="1317">
          <cell r="A1317">
            <v>46265</v>
          </cell>
          <cell r="B1317" t="str">
            <v xml:space="preserve">MUDAWALI                                </v>
          </cell>
          <cell r="C1317" t="str">
            <v>MUBS053</v>
          </cell>
          <cell r="D1317">
            <v>44201003451101</v>
          </cell>
          <cell r="E1317" t="str">
            <v>SEDANG</v>
          </cell>
          <cell r="F1317" t="str">
            <v>Tidak</v>
          </cell>
          <cell r="G1317" t="str">
            <v>Tidak</v>
          </cell>
          <cell r="H1317" t="str">
            <v>Tidak</v>
          </cell>
          <cell r="I1317" t="str">
            <v>Korupsi - Loan View</v>
          </cell>
          <cell r="J1317">
            <v>48</v>
          </cell>
          <cell r="K1317">
            <v>15</v>
          </cell>
          <cell r="L1317" t="str">
            <v>Korupsi</v>
          </cell>
          <cell r="M1317" t="str">
            <v>Kas Kanpus</v>
          </cell>
          <cell r="N1317" t="str">
            <v>Kas Kanpus</v>
          </cell>
          <cell r="O1317" t="str">
            <v>KAS KANPUS</v>
          </cell>
          <cell r="R1317" t="str">
            <v>Belum TL</v>
          </cell>
          <cell r="S1317" t="str">
            <v>Belum TL</v>
          </cell>
          <cell r="T1317" t="str">
            <v>90185537 - Moh.Khoerul Fajar Ar</v>
          </cell>
          <cell r="U1317" t="str">
            <v>"-"</v>
          </cell>
        </row>
        <row r="1318">
          <cell r="A1318">
            <v>46265</v>
          </cell>
          <cell r="B1318" t="str">
            <v xml:space="preserve">MARTHEN LUTHER MULLIK                   </v>
          </cell>
          <cell r="C1318" t="str">
            <v>MUG3762</v>
          </cell>
          <cell r="D1318">
            <v>467701015405107</v>
          </cell>
          <cell r="E1318" t="str">
            <v>TINGGI</v>
          </cell>
          <cell r="F1318" t="str">
            <v>Tidak</v>
          </cell>
          <cell r="G1318" t="str">
            <v>Tidak</v>
          </cell>
          <cell r="H1318" t="str">
            <v>Tidak</v>
          </cell>
          <cell r="I1318" t="str">
            <v>Korupsi - Loan View</v>
          </cell>
          <cell r="J1318">
            <v>73</v>
          </cell>
          <cell r="K1318">
            <v>15</v>
          </cell>
          <cell r="L1318" t="str">
            <v>Korupsi</v>
          </cell>
          <cell r="M1318" t="str">
            <v>Kas Kanpus</v>
          </cell>
          <cell r="N1318" t="str">
            <v>Kas Kanpus</v>
          </cell>
          <cell r="O1318" t="str">
            <v>KAS KANPUS</v>
          </cell>
          <cell r="R1318" t="str">
            <v>Belum TL</v>
          </cell>
          <cell r="S1318" t="str">
            <v>Belum TL</v>
          </cell>
          <cell r="T1318" t="str">
            <v>90185538 - Muhammad Fahikal Auz</v>
          </cell>
          <cell r="U1318" t="str">
            <v>"-"</v>
          </cell>
        </row>
        <row r="1319">
          <cell r="A1319">
            <v>46265</v>
          </cell>
          <cell r="B1319" t="str">
            <v xml:space="preserve">MUH IMAM NUHUYANAN                      </v>
          </cell>
          <cell r="C1319" t="str">
            <v>MUGK829</v>
          </cell>
          <cell r="D1319">
            <v>715801023294109</v>
          </cell>
          <cell r="E1319" t="str">
            <v>SEDANG</v>
          </cell>
          <cell r="F1319" t="str">
            <v>Tidak</v>
          </cell>
          <cell r="G1319" t="str">
            <v>Tidak</v>
          </cell>
          <cell r="H1319" t="str">
            <v>Tidak</v>
          </cell>
          <cell r="I1319" t="str">
            <v>Korupsi - Loan View</v>
          </cell>
          <cell r="J1319">
            <v>48</v>
          </cell>
          <cell r="K1319">
            <v>15</v>
          </cell>
          <cell r="L1319" t="str">
            <v>Korupsi</v>
          </cell>
          <cell r="M1319" t="str">
            <v>Kas Kanpus</v>
          </cell>
          <cell r="N1319" t="str">
            <v>Kas Kanpus</v>
          </cell>
          <cell r="O1319" t="str">
            <v>KAS KANPUS</v>
          </cell>
          <cell r="R1319" t="str">
            <v>Belum TL</v>
          </cell>
          <cell r="S1319" t="str">
            <v>Belum TL</v>
          </cell>
          <cell r="T1319" t="str">
            <v>90171841 - Rifqi Aziz</v>
          </cell>
          <cell r="U1319" t="str">
            <v>"-"</v>
          </cell>
        </row>
        <row r="1320">
          <cell r="A1320">
            <v>46265</v>
          </cell>
          <cell r="B1320" t="str">
            <v xml:space="preserve">MILYANA SARI DEWI                       </v>
          </cell>
          <cell r="C1320" t="str">
            <v>MUIA575</v>
          </cell>
          <cell r="D1320">
            <v>37901022836507</v>
          </cell>
          <cell r="E1320" t="str">
            <v>SEDANG</v>
          </cell>
          <cell r="F1320" t="str">
            <v>Tidak</v>
          </cell>
          <cell r="G1320" t="str">
            <v>Tidak</v>
          </cell>
          <cell r="H1320" t="str">
            <v>Tidak</v>
          </cell>
          <cell r="I1320" t="str">
            <v>Bandar Judol Withdrawal</v>
          </cell>
          <cell r="J1320">
            <v>50</v>
          </cell>
          <cell r="K1320" t="str">
            <v>86,88,87</v>
          </cell>
          <cell r="L1320" t="str">
            <v>Judi Online</v>
          </cell>
          <cell r="M1320" t="str">
            <v xml:space="preserve">Kas Kanpus                              </v>
          </cell>
          <cell r="N1320" t="str">
            <v xml:space="preserve">Kas Kanpus                              </v>
          </cell>
          <cell r="O1320" t="str">
            <v xml:space="preserve">KAS KANPUS                              </v>
          </cell>
          <cell r="R1320" t="str">
            <v>Belum TL</v>
          </cell>
          <cell r="S1320" t="str">
            <v>Belum TL</v>
          </cell>
          <cell r="T1320" t="str">
            <v>90185537 - Moh.Khoerul Fajar Ar</v>
          </cell>
          <cell r="U1320" t="str">
            <v>"-"</v>
          </cell>
        </row>
        <row r="1321">
          <cell r="A1321">
            <v>46265</v>
          </cell>
          <cell r="B1321" t="str">
            <v xml:space="preserve">MEGA PITRIANI                           </v>
          </cell>
          <cell r="C1321" t="str">
            <v>MUNI071</v>
          </cell>
          <cell r="D1321">
            <v>1201306967509</v>
          </cell>
          <cell r="E1321" t="str">
            <v>SEDANG</v>
          </cell>
          <cell r="F1321" t="str">
            <v>Tidak</v>
          </cell>
          <cell r="G1321" t="str">
            <v>Tidak</v>
          </cell>
          <cell r="H1321" t="str">
            <v>Tidak</v>
          </cell>
          <cell r="I1321" t="str">
            <v>Bandar Judol Withdrawal</v>
          </cell>
          <cell r="J1321">
            <v>50</v>
          </cell>
          <cell r="K1321" t="str">
            <v>86,88,87</v>
          </cell>
          <cell r="L1321" t="str">
            <v>Judi Online</v>
          </cell>
          <cell r="M1321" t="str">
            <v xml:space="preserve">Kas Kanpus                              </v>
          </cell>
          <cell r="N1321" t="str">
            <v xml:space="preserve">Kas Kanpus                              </v>
          </cell>
          <cell r="O1321" t="str">
            <v xml:space="preserve">KAS KANPUS                              </v>
          </cell>
          <cell r="R1321" t="str">
            <v>Belum TL</v>
          </cell>
          <cell r="S1321" t="str">
            <v>Belum TL</v>
          </cell>
          <cell r="T1321" t="str">
            <v>90170665 - Mutiara Ayuningtyas</v>
          </cell>
          <cell r="U1321" t="str">
            <v>"-"</v>
          </cell>
        </row>
        <row r="1322">
          <cell r="A1322">
            <v>46265</v>
          </cell>
          <cell r="B1322" t="str">
            <v xml:space="preserve">MUHAMMAD IMAM GHOZALI                   </v>
          </cell>
          <cell r="C1322" t="str">
            <v>MURF096</v>
          </cell>
          <cell r="D1322">
            <v>4359720226345700</v>
          </cell>
          <cell r="E1322" t="str">
            <v>SEDANG</v>
          </cell>
          <cell r="F1322" t="str">
            <v>Tidak</v>
          </cell>
          <cell r="G1322" t="str">
            <v>Tidak</v>
          </cell>
          <cell r="H1322" t="str">
            <v>Tidak</v>
          </cell>
          <cell r="I1322" t="str">
            <v>Penghindaran Pajak (Transaksi Fiktif)/Penyuapan CC</v>
          </cell>
          <cell r="J1322">
            <v>45</v>
          </cell>
          <cell r="K1322">
            <v>118</v>
          </cell>
          <cell r="L1322" t="str">
            <v>Penyuapan / Penghindaran Pajak CC View</v>
          </cell>
          <cell r="M1322" t="str">
            <v xml:space="preserve">Kas Kanpus                              </v>
          </cell>
          <cell r="N1322" t="str">
            <v xml:space="preserve">Kas Kanpus                              </v>
          </cell>
          <cell r="O1322" t="str">
            <v xml:space="preserve">KAS KANPUS                              </v>
          </cell>
          <cell r="R1322" t="str">
            <v>Belum TL</v>
          </cell>
          <cell r="S1322" t="str">
            <v>Belum TL</v>
          </cell>
          <cell r="T1322" t="str">
            <v>00394520 - Frida Akbar Rani</v>
          </cell>
          <cell r="U1322" t="str">
            <v>"-"</v>
          </cell>
        </row>
        <row r="1323">
          <cell r="A1323">
            <v>46265</v>
          </cell>
          <cell r="B1323" t="str">
            <v xml:space="preserve">DRS MUDJI WALUYO SH MM                  </v>
          </cell>
          <cell r="C1323" t="str">
            <v>MVC5934</v>
          </cell>
          <cell r="D1323">
            <v>0</v>
          </cell>
          <cell r="E1323" t="str">
            <v>TINGGI</v>
          </cell>
          <cell r="F1323" t="str">
            <v>Tidak</v>
          </cell>
          <cell r="G1323" t="str">
            <v>Tidak</v>
          </cell>
          <cell r="H1323" t="str">
            <v>Tidak</v>
          </cell>
          <cell r="I1323" t="str">
            <v>Private or Priority Customer Investment</v>
          </cell>
          <cell r="J1323">
            <v>78</v>
          </cell>
          <cell r="K1323">
            <v>93</v>
          </cell>
          <cell r="L1323" t="str">
            <v>Pasar Modal</v>
          </cell>
          <cell r="M1323" t="str">
            <v xml:space="preserve">KCP TELKOM LANDMARK TOWER               </v>
          </cell>
          <cell r="N1323" t="str">
            <v xml:space="preserve">KC Jakarta Gatot Subroto                </v>
          </cell>
          <cell r="O1323" t="str">
            <v xml:space="preserve">DKI2                                    </v>
          </cell>
          <cell r="R1323" t="str">
            <v>Belum TL</v>
          </cell>
          <cell r="S1323" t="str">
            <v>Belum TL</v>
          </cell>
          <cell r="T1323" t="str">
            <v>90186790 - Muhammad Alfin Farha</v>
          </cell>
          <cell r="U1323" t="str">
            <v>"-"</v>
          </cell>
        </row>
        <row r="1324">
          <cell r="A1324">
            <v>46265</v>
          </cell>
          <cell r="B1324" t="str">
            <v xml:space="preserve">MHD ZAILANI SIREGAR                     </v>
          </cell>
          <cell r="C1324" t="str">
            <v>MVCE115</v>
          </cell>
          <cell r="D1324">
            <v>28301034365535</v>
          </cell>
          <cell r="E1324" t="str">
            <v>SEDANG</v>
          </cell>
          <cell r="F1324" t="str">
            <v>Tidak</v>
          </cell>
          <cell r="G1324" t="str">
            <v>Tidak</v>
          </cell>
          <cell r="H1324" t="str">
            <v>Tidak</v>
          </cell>
          <cell r="I1324" t="str">
            <v>Bandar Judol Depo</v>
          </cell>
          <cell r="J1324">
            <v>50</v>
          </cell>
          <cell r="K1324" t="str">
            <v>86,74,87</v>
          </cell>
          <cell r="L1324" t="str">
            <v>Judi Online</v>
          </cell>
          <cell r="M1324" t="str">
            <v xml:space="preserve">Kas Kanpus                              </v>
          </cell>
          <cell r="N1324" t="str">
            <v xml:space="preserve">Kas Kanpus                              </v>
          </cell>
          <cell r="O1324" t="str">
            <v xml:space="preserve">KAS KANPUS                              </v>
          </cell>
          <cell r="R1324" t="str">
            <v>Belum TL</v>
          </cell>
          <cell r="S1324" t="str">
            <v>Belum TL</v>
          </cell>
          <cell r="T1324" t="str">
            <v>90170665 - Mutiara Ayuningtyas</v>
          </cell>
          <cell r="U1324" t="str">
            <v>"-"</v>
          </cell>
        </row>
        <row r="1325">
          <cell r="A1325">
            <v>46265</v>
          </cell>
          <cell r="B1325" t="str">
            <v xml:space="preserve">M SALEH                                 </v>
          </cell>
          <cell r="C1325" t="str">
            <v>MVIP977</v>
          </cell>
          <cell r="D1325">
            <v>109201053817501</v>
          </cell>
          <cell r="F1325" t="str">
            <v>Tidak</v>
          </cell>
          <cell r="G1325" t="str">
            <v>Tidak</v>
          </cell>
          <cell r="I1325" t="str">
            <v>Jual Beli Rekening - E channel Trx</v>
          </cell>
          <cell r="J1325">
            <v>33</v>
          </cell>
          <cell r="K1325">
            <v>113</v>
          </cell>
          <cell r="L1325" t="str">
            <v>Narkotika/Judi Online/Penipuan</v>
          </cell>
          <cell r="M1325" t="str">
            <v xml:space="preserve">KCP TEMBUNG                             </v>
          </cell>
          <cell r="N1325" t="str">
            <v xml:space="preserve">KC Medan Thamrin                        </v>
          </cell>
          <cell r="O1325" t="str">
            <v xml:space="preserve">Medan                                   </v>
          </cell>
          <cell r="R1325" t="str">
            <v>Belum TL</v>
          </cell>
          <cell r="S1325" t="str">
            <v>Belum TL</v>
          </cell>
          <cell r="U1325" t="str">
            <v>"-"</v>
          </cell>
        </row>
        <row r="1326">
          <cell r="A1326">
            <v>46265</v>
          </cell>
          <cell r="B1326" t="str">
            <v xml:space="preserve">MUCHLISIN HABIBIE                       </v>
          </cell>
          <cell r="C1326" t="str">
            <v>MVIY748</v>
          </cell>
          <cell r="D1326">
            <v>108301023789501</v>
          </cell>
          <cell r="F1326" t="str">
            <v>Tidak</v>
          </cell>
          <cell r="G1326" t="str">
            <v>Tidak</v>
          </cell>
          <cell r="I1326" t="str">
            <v>Jual Beli Rekening - E channel Trx</v>
          </cell>
          <cell r="J1326">
            <v>33</v>
          </cell>
          <cell r="K1326">
            <v>113</v>
          </cell>
          <cell r="L1326" t="str">
            <v>Narkotika/Judi Online/Penipuan</v>
          </cell>
          <cell r="M1326" t="str">
            <v xml:space="preserve">KCP KESAWAN                             </v>
          </cell>
          <cell r="N1326" t="str">
            <v xml:space="preserve">KC Medan Putri Hijau                    </v>
          </cell>
          <cell r="O1326" t="str">
            <v xml:space="preserve">Medan                                   </v>
          </cell>
          <cell r="R1326" t="str">
            <v>Belum TL</v>
          </cell>
          <cell r="S1326" t="str">
            <v>Belum TL</v>
          </cell>
          <cell r="U1326" t="str">
            <v>"-"</v>
          </cell>
        </row>
        <row r="1327">
          <cell r="A1327">
            <v>46265</v>
          </cell>
          <cell r="B1327" t="str">
            <v xml:space="preserve">MUHAMMAD HAMKA DONGORAN                 </v>
          </cell>
          <cell r="C1327" t="str">
            <v>MUW3109</v>
          </cell>
          <cell r="D1327">
            <v>568601006323102</v>
          </cell>
          <cell r="E1327" t="str">
            <v>SEDANG</v>
          </cell>
          <cell r="F1327" t="str">
            <v>Tidak</v>
          </cell>
          <cell r="G1327" t="str">
            <v>Tidak</v>
          </cell>
          <cell r="H1327" t="str">
            <v>Tidak</v>
          </cell>
          <cell r="I1327" t="str">
            <v>Korupsi - Loan View</v>
          </cell>
          <cell r="J1327">
            <v>48</v>
          </cell>
          <cell r="K1327">
            <v>15</v>
          </cell>
          <cell r="L1327" t="str">
            <v>Korupsi</v>
          </cell>
          <cell r="M1327" t="str">
            <v>Kas Kanpus</v>
          </cell>
          <cell r="N1327" t="str">
            <v>Kas Kanpus</v>
          </cell>
          <cell r="O1327" t="str">
            <v>KAS KANPUS</v>
          </cell>
          <cell r="R1327" t="str">
            <v>Belum TL</v>
          </cell>
          <cell r="S1327" t="str">
            <v>Belum TL</v>
          </cell>
          <cell r="T1327" t="str">
            <v>00394521 - Muhammad Hibbanduta</v>
          </cell>
          <cell r="U1327" t="str">
            <v>"-"</v>
          </cell>
        </row>
        <row r="1328">
          <cell r="A1328">
            <v>46265</v>
          </cell>
          <cell r="B1328" t="str">
            <v xml:space="preserve">MUHAMMAD IHSAN                          </v>
          </cell>
          <cell r="C1328" t="str">
            <v>MVJS554</v>
          </cell>
          <cell r="D1328">
            <v>337501013293107</v>
          </cell>
          <cell r="E1328" t="str">
            <v>RENDAH</v>
          </cell>
          <cell r="F1328" t="str">
            <v>Tidak</v>
          </cell>
          <cell r="G1328" t="str">
            <v>Tidak</v>
          </cell>
          <cell r="H1328" t="str">
            <v>Tidak</v>
          </cell>
          <cell r="I1328" t="str">
            <v>Korupsi - Loan View</v>
          </cell>
          <cell r="J1328">
            <v>33</v>
          </cell>
          <cell r="K1328">
            <v>15</v>
          </cell>
          <cell r="L1328" t="str">
            <v>Korupsi</v>
          </cell>
          <cell r="M1328" t="str">
            <v>Kas Kanpus</v>
          </cell>
          <cell r="N1328" t="str">
            <v>Kas Kanpus</v>
          </cell>
          <cell r="O1328" t="str">
            <v>KAS KANPUS</v>
          </cell>
          <cell r="R1328" t="str">
            <v>Belum TL</v>
          </cell>
          <cell r="S1328" t="str">
            <v>Belum TL</v>
          </cell>
          <cell r="T1328" t="str">
            <v>00394521 - Muhammad Hibbanduta</v>
          </cell>
          <cell r="U1328" t="str">
            <v>"-"</v>
          </cell>
        </row>
        <row r="1329">
          <cell r="A1329">
            <v>46265</v>
          </cell>
          <cell r="B1329" t="str">
            <v xml:space="preserve">MITRA MULIA SENTOSA                     </v>
          </cell>
          <cell r="C1329" t="str">
            <v>MVJW896</v>
          </cell>
          <cell r="D1329">
            <v>15901002152303</v>
          </cell>
          <cell r="E1329" t="str">
            <v>SEDANG</v>
          </cell>
          <cell r="F1329" t="str">
            <v>Tidak</v>
          </cell>
          <cell r="G1329" t="str">
            <v>Tidak</v>
          </cell>
          <cell r="H1329" t="str">
            <v>Tidak</v>
          </cell>
          <cell r="I1329" t="str">
            <v>Perpajakan</v>
          </cell>
          <cell r="J1329">
            <v>50</v>
          </cell>
          <cell r="K1329">
            <v>41</v>
          </cell>
          <cell r="L1329" t="str">
            <v>Perpajakan</v>
          </cell>
          <cell r="M1329" t="str">
            <v xml:space="preserve">KC Dumai                                </v>
          </cell>
          <cell r="N1329" t="str">
            <v xml:space="preserve">KC Dumai                                </v>
          </cell>
          <cell r="O1329" t="str">
            <v xml:space="preserve">KANWIL PEKANBARU                        </v>
          </cell>
          <cell r="R1329" t="str">
            <v>Belum TL</v>
          </cell>
          <cell r="S1329" t="str">
            <v>Belum TL</v>
          </cell>
          <cell r="T1329" t="str">
            <v>00394521 - Muhammad Hibbanduta</v>
          </cell>
          <cell r="U1329" t="str">
            <v>"-"</v>
          </cell>
        </row>
        <row r="1330">
          <cell r="A1330">
            <v>46265</v>
          </cell>
          <cell r="B1330" t="str">
            <v xml:space="preserve">MAPPASESSU                              </v>
          </cell>
          <cell r="C1330" t="str">
            <v>MVR1308</v>
          </cell>
          <cell r="D1330">
            <v>769501017490539</v>
          </cell>
          <cell r="E1330" t="str">
            <v>SEDANG</v>
          </cell>
          <cell r="F1330" t="str">
            <v>Tidak</v>
          </cell>
          <cell r="G1330" t="str">
            <v>Tidak</v>
          </cell>
          <cell r="H1330" t="str">
            <v>Tidak</v>
          </cell>
          <cell r="I1330" t="str">
            <v>Pencurian Rekening</v>
          </cell>
          <cell r="J1330">
            <v>46</v>
          </cell>
          <cell r="K1330">
            <v>58</v>
          </cell>
          <cell r="L1330" t="str">
            <v>Perbankan</v>
          </cell>
          <cell r="M1330" t="str">
            <v xml:space="preserve">KC BANDA ACEH CUT MEUTIA                </v>
          </cell>
          <cell r="N1330" t="str">
            <v xml:space="preserve">KANWIL Medan                            </v>
          </cell>
          <cell r="O1330" t="str">
            <v xml:space="preserve">Medan                                   </v>
          </cell>
          <cell r="R1330" t="str">
            <v>Belum TL</v>
          </cell>
          <cell r="S1330" t="str">
            <v>Belum TL</v>
          </cell>
          <cell r="T1330" t="str">
            <v>90186790 - Muhammad Alfin Farha</v>
          </cell>
          <cell r="U1330" t="str">
            <v>"-"</v>
          </cell>
        </row>
        <row r="1331">
          <cell r="A1331">
            <v>46265</v>
          </cell>
          <cell r="B1331" t="str">
            <v xml:space="preserve">MUHAMAD AMDANI                          </v>
          </cell>
          <cell r="C1331" t="str">
            <v>MVUW809</v>
          </cell>
          <cell r="D1331">
            <v>12001031736535</v>
          </cell>
          <cell r="E1331" t="str">
            <v>SEDANG</v>
          </cell>
          <cell r="F1331" t="str">
            <v>Tidak</v>
          </cell>
          <cell r="G1331" t="str">
            <v>Tidak</v>
          </cell>
          <cell r="H1331" t="str">
            <v>Tidak</v>
          </cell>
          <cell r="I1331" t="str">
            <v>Bandar Judol Withdrawal</v>
          </cell>
          <cell r="J1331">
            <v>50</v>
          </cell>
          <cell r="K1331" t="str">
            <v>86,88,87</v>
          </cell>
          <cell r="L1331" t="str">
            <v>Judi Online</v>
          </cell>
          <cell r="M1331" t="str">
            <v xml:space="preserve">Kas Kanpus                              </v>
          </cell>
          <cell r="N1331" t="str">
            <v xml:space="preserve">Kas Kanpus                              </v>
          </cell>
          <cell r="O1331" t="str">
            <v xml:space="preserve">KAS KANPUS                              </v>
          </cell>
          <cell r="R1331" t="str">
            <v>Belum TL</v>
          </cell>
          <cell r="S1331" t="str">
            <v>Belum TL</v>
          </cell>
          <cell r="T1331" t="str">
            <v>90186796 - Devito Arya Wiradila</v>
          </cell>
          <cell r="U1331" t="str">
            <v>"-"</v>
          </cell>
        </row>
        <row r="1332">
          <cell r="A1332">
            <v>46265</v>
          </cell>
          <cell r="B1332" t="str">
            <v xml:space="preserve">MIKHAEL SURI                            </v>
          </cell>
          <cell r="C1332" t="str">
            <v>MWB2408</v>
          </cell>
          <cell r="D1332">
            <v>27401009762103</v>
          </cell>
          <cell r="E1332" t="str">
            <v>RENDAH</v>
          </cell>
          <cell r="F1332" t="str">
            <v>Tidak</v>
          </cell>
          <cell r="G1332" t="str">
            <v>Tidak</v>
          </cell>
          <cell r="H1332" t="str">
            <v>Tidak</v>
          </cell>
          <cell r="I1332" t="str">
            <v>Korupsi - Loan View</v>
          </cell>
          <cell r="J1332">
            <v>33</v>
          </cell>
          <cell r="K1332">
            <v>15</v>
          </cell>
          <cell r="L1332" t="str">
            <v>Korupsi</v>
          </cell>
          <cell r="M1332" t="str">
            <v>Kas Kanpus</v>
          </cell>
          <cell r="N1332" t="str">
            <v>Kas Kanpus</v>
          </cell>
          <cell r="O1332" t="str">
            <v>KAS KANPUS</v>
          </cell>
          <cell r="R1332" t="str">
            <v>Belum TL</v>
          </cell>
          <cell r="S1332" t="str">
            <v>Belum TL</v>
          </cell>
          <cell r="T1332" t="str">
            <v>90150130 - Intan Aida Pratiwi</v>
          </cell>
          <cell r="U1332" t="str">
            <v>"-"</v>
          </cell>
        </row>
        <row r="1333">
          <cell r="A1333">
            <v>46244</v>
          </cell>
          <cell r="B1333" t="str">
            <v xml:space="preserve">MUJAHIDIN                               </v>
          </cell>
          <cell r="C1333" t="str">
            <v>MWG8141</v>
          </cell>
          <cell r="D1333">
            <v>5001212001500</v>
          </cell>
          <cell r="E1333" t="str">
            <v>SEDANG</v>
          </cell>
          <cell r="F1333" t="str">
            <v>Tidak</v>
          </cell>
          <cell r="G1333" t="str">
            <v>Tidak</v>
          </cell>
          <cell r="I1333" t="str">
            <v>Teroris - Remark</v>
          </cell>
          <cell r="J1333">
            <v>168</v>
          </cell>
          <cell r="K1333">
            <v>50</v>
          </cell>
          <cell r="L1333" t="str">
            <v>Terorisme</v>
          </cell>
          <cell r="M1333" t="str">
            <v xml:space="preserve">Kas Kanpus                              </v>
          </cell>
          <cell r="N1333" t="str">
            <v xml:space="preserve">Kas Kanpus                              </v>
          </cell>
          <cell r="O1333" t="str">
            <v xml:space="preserve">KAS KANPUS                              </v>
          </cell>
          <cell r="R1333" t="str">
            <v>Belum TL</v>
          </cell>
          <cell r="S1333" t="str">
            <v>Belum TL</v>
          </cell>
          <cell r="T1333" t="str">
            <v>00394520 - Frida Akbar Rani</v>
          </cell>
          <cell r="U1333" t="str">
            <v>"-"</v>
          </cell>
        </row>
        <row r="1334">
          <cell r="A1334">
            <v>46265</v>
          </cell>
          <cell r="B1334" t="str">
            <v xml:space="preserve">MIA AGUSTIN                             </v>
          </cell>
          <cell r="C1334" t="str">
            <v>MWRA816</v>
          </cell>
          <cell r="D1334">
            <v>23801077397504</v>
          </cell>
          <cell r="E1334" t="str">
            <v>TINGGI</v>
          </cell>
          <cell r="F1334" t="str">
            <v>Tidak</v>
          </cell>
          <cell r="G1334" t="str">
            <v>Tidak</v>
          </cell>
          <cell r="H1334" t="str">
            <v>Tidak</v>
          </cell>
          <cell r="I1334" t="str">
            <v>Bandar Judol Withdrawal</v>
          </cell>
          <cell r="J1334">
            <v>65</v>
          </cell>
          <cell r="K1334" t="str">
            <v>86,88,87</v>
          </cell>
          <cell r="L1334" t="str">
            <v>Judi Online</v>
          </cell>
          <cell r="M1334" t="str">
            <v xml:space="preserve">Kas Kanpus                              </v>
          </cell>
          <cell r="N1334" t="str">
            <v xml:space="preserve">Kas Kanpus                              </v>
          </cell>
          <cell r="O1334" t="str">
            <v xml:space="preserve">KAS KANPUS                              </v>
          </cell>
          <cell r="R1334" t="str">
            <v>Belum TL</v>
          </cell>
          <cell r="S1334" t="str">
            <v>Belum TL</v>
          </cell>
          <cell r="T1334" t="str">
            <v>00336949 - Mochammad Al Farabi</v>
          </cell>
          <cell r="U1334" t="str">
            <v>"-"</v>
          </cell>
        </row>
        <row r="1335">
          <cell r="A1335">
            <v>46265</v>
          </cell>
          <cell r="B1335" t="str">
            <v xml:space="preserve">M. RIVALDI MUKTI                        </v>
          </cell>
          <cell r="C1335" t="str">
            <v>MWSR388</v>
          </cell>
          <cell r="D1335">
            <v>206301000758564</v>
          </cell>
          <cell r="E1335" t="str">
            <v>SEDANG</v>
          </cell>
          <cell r="F1335" t="str">
            <v>Tidak</v>
          </cell>
          <cell r="G1335" t="str">
            <v>Tidak</v>
          </cell>
          <cell r="H1335" t="str">
            <v>Tidak</v>
          </cell>
          <cell r="I1335" t="str">
            <v>Korupsi - Significant Trx View</v>
          </cell>
          <cell r="J1335">
            <v>50</v>
          </cell>
          <cell r="K1335">
            <v>1.19</v>
          </cell>
          <cell r="L1335" t="str">
            <v>Korupsi</v>
          </cell>
          <cell r="M1335" t="str">
            <v>Kas Kanpus</v>
          </cell>
          <cell r="N1335" t="str">
            <v>Kas Kanpus</v>
          </cell>
          <cell r="O1335" t="str">
            <v>KAS KANPUS</v>
          </cell>
          <cell r="R1335" t="str">
            <v>Belum TL</v>
          </cell>
          <cell r="S1335" t="str">
            <v>Belum TL</v>
          </cell>
          <cell r="T1335" t="str">
            <v>90170665 - Mutiara Ayuningtyas</v>
          </cell>
          <cell r="U1335" t="str">
            <v>"-"</v>
          </cell>
        </row>
        <row r="1336">
          <cell r="A1336">
            <v>46265</v>
          </cell>
          <cell r="B1336" t="str">
            <v xml:space="preserve">MUHAMMAD HS                             </v>
          </cell>
          <cell r="C1336" t="str">
            <v>MXA6436</v>
          </cell>
          <cell r="D1336">
            <v>22301011578101</v>
          </cell>
          <cell r="E1336" t="str">
            <v>RENDAH</v>
          </cell>
          <cell r="F1336" t="str">
            <v>Tidak</v>
          </cell>
          <cell r="G1336" t="str">
            <v>Tidak</v>
          </cell>
          <cell r="H1336" t="str">
            <v>Tidak</v>
          </cell>
          <cell r="I1336" t="str">
            <v>Korupsi - Loan View</v>
          </cell>
          <cell r="J1336">
            <v>33</v>
          </cell>
          <cell r="K1336">
            <v>15</v>
          </cell>
          <cell r="L1336" t="str">
            <v>Korupsi</v>
          </cell>
          <cell r="M1336" t="str">
            <v>Kas Kanpus</v>
          </cell>
          <cell r="N1336" t="str">
            <v>Kas Kanpus</v>
          </cell>
          <cell r="O1336" t="str">
            <v>KAS KANPUS</v>
          </cell>
          <cell r="R1336" t="str">
            <v>Belum TL</v>
          </cell>
          <cell r="S1336" t="str">
            <v>Belum TL</v>
          </cell>
          <cell r="T1336" t="str">
            <v>90185537 - Moh.Khoerul Fajar Ar</v>
          </cell>
          <cell r="U1336" t="str">
            <v>"-"</v>
          </cell>
        </row>
        <row r="1337">
          <cell r="A1337">
            <v>46265</v>
          </cell>
          <cell r="B1337" t="str">
            <v xml:space="preserve">M.SYAFIQ BAGAS ABYDIO                   </v>
          </cell>
          <cell r="C1337" t="str">
            <v>MXD1843</v>
          </cell>
          <cell r="D1337">
            <v>4359720236438400</v>
          </cell>
          <cell r="E1337" t="str">
            <v>SEDANG</v>
          </cell>
          <cell r="F1337" t="str">
            <v>Tidak</v>
          </cell>
          <cell r="G1337" t="str">
            <v>Tidak</v>
          </cell>
          <cell r="H1337" t="str">
            <v>Tidak</v>
          </cell>
          <cell r="I1337" t="str">
            <v>Penghindaran Pajak (Transaksi Fiktif)/Penyuapan CC</v>
          </cell>
          <cell r="J1337">
            <v>45</v>
          </cell>
          <cell r="K1337">
            <v>118</v>
          </cell>
          <cell r="L1337" t="str">
            <v>Penyuapan / Penghindaran Pajak CC View</v>
          </cell>
          <cell r="M1337" t="str">
            <v xml:space="preserve">Kas Kanpus                              </v>
          </cell>
          <cell r="N1337" t="str">
            <v xml:space="preserve">Kas Kanpus                              </v>
          </cell>
          <cell r="O1337" t="str">
            <v xml:space="preserve">KAS KANPUS                              </v>
          </cell>
          <cell r="R1337" t="str">
            <v>Belum TL</v>
          </cell>
          <cell r="S1337" t="str">
            <v>Belum TL</v>
          </cell>
          <cell r="T1337" t="str">
            <v>90185537 - Moh.Khoerul Fajar Ar</v>
          </cell>
          <cell r="U1337" t="str">
            <v>"-"</v>
          </cell>
        </row>
        <row r="1338">
          <cell r="A1338">
            <v>46265</v>
          </cell>
          <cell r="B1338" t="str">
            <v xml:space="preserve">MARCELA KAUNANG                         </v>
          </cell>
          <cell r="C1338" t="str">
            <v>MXES573</v>
          </cell>
          <cell r="D1338">
            <v>200301045071107</v>
          </cell>
          <cell r="E1338" t="str">
            <v>SEDANG</v>
          </cell>
          <cell r="F1338" t="str">
            <v>Tidak</v>
          </cell>
          <cell r="G1338" t="str">
            <v>Tidak</v>
          </cell>
          <cell r="H1338" t="str">
            <v>Tidak</v>
          </cell>
          <cell r="I1338" t="str">
            <v>Korupsi - Loan View</v>
          </cell>
          <cell r="J1338">
            <v>48</v>
          </cell>
          <cell r="K1338">
            <v>15</v>
          </cell>
          <cell r="L1338" t="str">
            <v>Korupsi</v>
          </cell>
          <cell r="M1338" t="str">
            <v>Kas Kanpus</v>
          </cell>
          <cell r="N1338" t="str">
            <v>Kas Kanpus</v>
          </cell>
          <cell r="O1338" t="str">
            <v>KAS KANPUS</v>
          </cell>
          <cell r="R1338" t="str">
            <v>Belum TL</v>
          </cell>
          <cell r="S1338" t="str">
            <v>Belum TL</v>
          </cell>
          <cell r="T1338" t="str">
            <v>90186796 - Devito Arya Wiradila</v>
          </cell>
          <cell r="U1338" t="str">
            <v>"-"</v>
          </cell>
        </row>
        <row r="1339">
          <cell r="A1339">
            <v>46265</v>
          </cell>
          <cell r="B1339" t="str">
            <v xml:space="preserve">MUHAMMAD ANDI FIRMANSYAH                </v>
          </cell>
          <cell r="C1339" t="str">
            <v>MXG1959</v>
          </cell>
          <cell r="D1339">
            <v>7001057948507</v>
          </cell>
          <cell r="E1339" t="str">
            <v>SEDANG</v>
          </cell>
          <cell r="F1339" t="str">
            <v>Tidak</v>
          </cell>
          <cell r="G1339" t="str">
            <v>Tidak</v>
          </cell>
          <cell r="H1339" t="str">
            <v>Tidak</v>
          </cell>
          <cell r="I1339" t="str">
            <v>Bandar Judol Depo</v>
          </cell>
          <cell r="J1339">
            <v>50</v>
          </cell>
          <cell r="K1339" t="str">
            <v>86,74,87</v>
          </cell>
          <cell r="L1339" t="str">
            <v>Judi Online</v>
          </cell>
          <cell r="M1339" t="str">
            <v xml:space="preserve">Kas Kanpus                              </v>
          </cell>
          <cell r="N1339" t="str">
            <v xml:space="preserve">Kas Kanpus                              </v>
          </cell>
          <cell r="O1339" t="str">
            <v xml:space="preserve">KAS KANPUS                              </v>
          </cell>
          <cell r="R1339" t="str">
            <v>Belum TL</v>
          </cell>
          <cell r="S1339" t="str">
            <v>Belum TL</v>
          </cell>
          <cell r="T1339" t="str">
            <v>00394521 - Muhammad Hibbanduta</v>
          </cell>
          <cell r="U1339" t="str">
            <v>"-"</v>
          </cell>
        </row>
        <row r="1340">
          <cell r="A1340">
            <v>46265</v>
          </cell>
          <cell r="B1340" t="str">
            <v xml:space="preserve">MIMIN R. M                              </v>
          </cell>
          <cell r="C1340" t="str">
            <v>MXJO954</v>
          </cell>
          <cell r="D1340">
            <v>75901004733501</v>
          </cell>
          <cell r="E1340" t="str">
            <v>SEDANG</v>
          </cell>
          <cell r="F1340" t="str">
            <v>Tidak</v>
          </cell>
          <cell r="G1340" t="str">
            <v>Tidak</v>
          </cell>
          <cell r="H1340" t="str">
            <v>Tidak</v>
          </cell>
          <cell r="I1340" t="str">
            <v>Bandar Judol Withdrawal</v>
          </cell>
          <cell r="J1340">
            <v>50</v>
          </cell>
          <cell r="K1340" t="str">
            <v>86,88,87</v>
          </cell>
          <cell r="L1340" t="str">
            <v>Judi Online</v>
          </cell>
          <cell r="M1340" t="str">
            <v xml:space="preserve">Kas Kanpus                              </v>
          </cell>
          <cell r="N1340" t="str">
            <v xml:space="preserve">Kas Kanpus                              </v>
          </cell>
          <cell r="O1340" t="str">
            <v xml:space="preserve">KAS KANPUS                              </v>
          </cell>
          <cell r="R1340" t="str">
            <v>Belum TL</v>
          </cell>
          <cell r="S1340" t="str">
            <v>Belum TL</v>
          </cell>
          <cell r="T1340" t="str">
            <v>00394520 - Frida Akbar Rani</v>
          </cell>
          <cell r="U1340" t="str">
            <v>"-"</v>
          </cell>
        </row>
        <row r="1341">
          <cell r="A1341">
            <v>46265</v>
          </cell>
          <cell r="B1341" t="str">
            <v xml:space="preserve">M FAHRUL RAHMAN                         </v>
          </cell>
          <cell r="C1341" t="str">
            <v>MXQA622</v>
          </cell>
          <cell r="D1341">
            <v>531701018273538</v>
          </cell>
          <cell r="E1341" t="str">
            <v>SEDANG</v>
          </cell>
          <cell r="F1341" t="str">
            <v>Tidak</v>
          </cell>
          <cell r="G1341" t="str">
            <v>Tidak</v>
          </cell>
          <cell r="H1341" t="str">
            <v>Tidak</v>
          </cell>
          <cell r="I1341" t="str">
            <v>Bandar Judol Withdrawal</v>
          </cell>
          <cell r="J1341">
            <v>50</v>
          </cell>
          <cell r="K1341" t="str">
            <v>86,88,87</v>
          </cell>
          <cell r="L1341" t="str">
            <v>Judi Online</v>
          </cell>
          <cell r="M1341" t="str">
            <v xml:space="preserve">Kas Kanpus                              </v>
          </cell>
          <cell r="N1341" t="str">
            <v xml:space="preserve">Kas Kanpus                              </v>
          </cell>
          <cell r="O1341" t="str">
            <v xml:space="preserve">KAS KANPUS                              </v>
          </cell>
          <cell r="R1341" t="str">
            <v>Belum TL</v>
          </cell>
          <cell r="S1341" t="str">
            <v>Belum TL</v>
          </cell>
          <cell r="T1341" t="str">
            <v>90171841 - Rifqi Aziz</v>
          </cell>
          <cell r="U1341" t="str">
            <v>"-"</v>
          </cell>
        </row>
        <row r="1342">
          <cell r="A1342">
            <v>46265</v>
          </cell>
          <cell r="B1342" t="str">
            <v xml:space="preserve">MOH RIZKI IRMANSYAH                     </v>
          </cell>
          <cell r="C1342" t="str">
            <v>MYF3245</v>
          </cell>
          <cell r="D1342">
            <v>181501252525563</v>
          </cell>
          <cell r="E1342" t="str">
            <v>TINGGI</v>
          </cell>
          <cell r="F1342" t="str">
            <v>Tidak</v>
          </cell>
          <cell r="G1342" t="str">
            <v>Tidak</v>
          </cell>
          <cell r="H1342" t="str">
            <v>Tidak</v>
          </cell>
          <cell r="I1342" t="str">
            <v>Terorisme - SIPENDAR</v>
          </cell>
          <cell r="J1342">
            <v>193</v>
          </cell>
          <cell r="K1342">
            <v>36</v>
          </cell>
          <cell r="L1342" t="str">
            <v>Terorisme</v>
          </cell>
          <cell r="M1342" t="str">
            <v xml:space="preserve">Kas Kanpus                              </v>
          </cell>
          <cell r="N1342" t="str">
            <v xml:space="preserve">Kas Kanpus                              </v>
          </cell>
          <cell r="O1342" t="str">
            <v xml:space="preserve">KAS KANPUS                              </v>
          </cell>
          <cell r="R1342" t="str">
            <v>Belum TL</v>
          </cell>
          <cell r="S1342" t="str">
            <v>Belum TL</v>
          </cell>
          <cell r="T1342" t="str">
            <v>00394521 - Muhammad Hibbanduta</v>
          </cell>
          <cell r="U1342" t="str">
            <v>"-"</v>
          </cell>
        </row>
        <row r="1343">
          <cell r="A1343">
            <v>46265</v>
          </cell>
          <cell r="B1343" t="str">
            <v xml:space="preserve">MARALO MANURUNG                         </v>
          </cell>
          <cell r="C1343" t="str">
            <v>MYGR144</v>
          </cell>
          <cell r="D1343">
            <v>520001028314105</v>
          </cell>
          <cell r="E1343" t="str">
            <v>SEDANG</v>
          </cell>
          <cell r="F1343" t="str">
            <v>Tidak</v>
          </cell>
          <cell r="G1343" t="str">
            <v>Tidak</v>
          </cell>
          <cell r="H1343" t="str">
            <v>Tidak</v>
          </cell>
          <cell r="I1343" t="str">
            <v>Korupsi - Loan View</v>
          </cell>
          <cell r="J1343">
            <v>53</v>
          </cell>
          <cell r="K1343">
            <v>15</v>
          </cell>
          <cell r="L1343" t="str">
            <v>Korupsi</v>
          </cell>
          <cell r="M1343" t="str">
            <v>Kas Kanpus</v>
          </cell>
          <cell r="N1343" t="str">
            <v>Kas Kanpus</v>
          </cell>
          <cell r="O1343" t="str">
            <v>KAS KANPUS</v>
          </cell>
          <cell r="R1343" t="str">
            <v>Belum TL</v>
          </cell>
          <cell r="S1343" t="str">
            <v>Belum TL</v>
          </cell>
          <cell r="T1343" t="str">
            <v>90150130 - Intan Aida Pratiwi</v>
          </cell>
          <cell r="U1343" t="str">
            <v>"-"</v>
          </cell>
        </row>
        <row r="1344">
          <cell r="A1344">
            <v>46265</v>
          </cell>
          <cell r="B1344" t="str">
            <v xml:space="preserve">MUHAMMAD FAKRI ISLAMI ARIF              </v>
          </cell>
          <cell r="C1344" t="str">
            <v>MYI4807</v>
          </cell>
          <cell r="D1344">
            <v>4359720214478400</v>
          </cell>
          <cell r="E1344" t="str">
            <v>SEDANG</v>
          </cell>
          <cell r="F1344" t="str">
            <v>Tidak</v>
          </cell>
          <cell r="G1344" t="str">
            <v>Tidak</v>
          </cell>
          <cell r="H1344" t="str">
            <v>Tidak</v>
          </cell>
          <cell r="I1344" t="str">
            <v>Penghindaran Pajak (Transaksi Fiktif)/Penyuapan CC</v>
          </cell>
          <cell r="J1344">
            <v>45</v>
          </cell>
          <cell r="K1344">
            <v>118</v>
          </cell>
          <cell r="L1344" t="str">
            <v>Penyuapan / Penghindaran Pajak CC View</v>
          </cell>
          <cell r="M1344" t="str">
            <v xml:space="preserve">Kas Kanpus                              </v>
          </cell>
          <cell r="N1344" t="str">
            <v xml:space="preserve">Kas Kanpus                              </v>
          </cell>
          <cell r="O1344" t="str">
            <v xml:space="preserve">KAS KANPUS                              </v>
          </cell>
          <cell r="R1344" t="str">
            <v>Belum TL</v>
          </cell>
          <cell r="S1344" t="str">
            <v>Belum TL</v>
          </cell>
          <cell r="T1344" t="str">
            <v>90185537 - Moh.Khoerul Fajar Ar</v>
          </cell>
          <cell r="U1344" t="str">
            <v>"-"</v>
          </cell>
        </row>
        <row r="1345">
          <cell r="A1345">
            <v>46265</v>
          </cell>
          <cell r="B1345" t="str">
            <v xml:space="preserve">MUHAMMAD DINO LUBIS                     </v>
          </cell>
          <cell r="C1345" t="str">
            <v>MYI5185</v>
          </cell>
          <cell r="D1345">
            <v>15901007468107</v>
          </cell>
          <cell r="E1345" t="str">
            <v>SEDANG</v>
          </cell>
          <cell r="F1345" t="str">
            <v>Tidak</v>
          </cell>
          <cell r="G1345" t="str">
            <v>Tidak</v>
          </cell>
          <cell r="H1345" t="str">
            <v>Tidak</v>
          </cell>
          <cell r="I1345" t="str">
            <v>Korupsi - Loan View</v>
          </cell>
          <cell r="J1345">
            <v>48</v>
          </cell>
          <cell r="K1345">
            <v>15</v>
          </cell>
          <cell r="L1345" t="str">
            <v>Korupsi</v>
          </cell>
          <cell r="M1345" t="str">
            <v>Kas Kanpus</v>
          </cell>
          <cell r="N1345" t="str">
            <v>Kas Kanpus</v>
          </cell>
          <cell r="O1345" t="str">
            <v>KAS KANPUS</v>
          </cell>
          <cell r="R1345" t="str">
            <v>Belum TL</v>
          </cell>
          <cell r="S1345" t="str">
            <v>Belum TL</v>
          </cell>
          <cell r="T1345" t="str">
            <v>90186796 - Devito Arya Wiradila</v>
          </cell>
          <cell r="U1345" t="str">
            <v>"-"</v>
          </cell>
        </row>
        <row r="1346">
          <cell r="A1346">
            <v>46265</v>
          </cell>
          <cell r="B1346" t="str">
            <v xml:space="preserve">MUSLIM ANSORI                           </v>
          </cell>
          <cell r="C1346" t="str">
            <v>MYL7749</v>
          </cell>
          <cell r="D1346">
            <v>561201021131533</v>
          </cell>
          <cell r="E1346" t="str">
            <v>SEDANG</v>
          </cell>
          <cell r="F1346" t="str">
            <v>Ya</v>
          </cell>
          <cell r="G1346" t="str">
            <v>Tidak</v>
          </cell>
          <cell r="H1346" t="str">
            <v>Tidak</v>
          </cell>
          <cell r="I1346" t="str">
            <v>Korupsi - Significant Trx View</v>
          </cell>
          <cell r="J1346">
            <v>50</v>
          </cell>
          <cell r="K1346">
            <v>1.19</v>
          </cell>
          <cell r="L1346" t="str">
            <v>Korupsi</v>
          </cell>
          <cell r="M1346" t="str">
            <v>Kas Kanpus</v>
          </cell>
          <cell r="N1346" t="str">
            <v>Kas Kanpus</v>
          </cell>
          <cell r="O1346" t="str">
            <v>KAS KANPUS</v>
          </cell>
          <cell r="R1346" t="str">
            <v>Belum TL</v>
          </cell>
          <cell r="S1346" t="str">
            <v>Belum TL</v>
          </cell>
          <cell r="T1346" t="str">
            <v>90150130 - Intan Aida Pratiwi</v>
          </cell>
          <cell r="U1346" t="str">
            <v>"-"</v>
          </cell>
        </row>
        <row r="1347">
          <cell r="A1347">
            <v>46265</v>
          </cell>
          <cell r="B1347" t="str">
            <v xml:space="preserve">MUHAMAD KERRY ADRIANTO RIZA             </v>
          </cell>
          <cell r="C1347" t="str">
            <v>MZF2527</v>
          </cell>
          <cell r="D1347">
            <v>23001198818106</v>
          </cell>
          <cell r="E1347" t="str">
            <v>TINGGI</v>
          </cell>
          <cell r="F1347" t="str">
            <v>Tidak</v>
          </cell>
          <cell r="G1347" t="str">
            <v>Tidak</v>
          </cell>
          <cell r="H1347" t="str">
            <v>Tidak</v>
          </cell>
          <cell r="I1347" t="str">
            <v>Korupsi - Loan View</v>
          </cell>
          <cell r="J1347">
            <v>68</v>
          </cell>
          <cell r="K1347">
            <v>15</v>
          </cell>
          <cell r="L1347" t="str">
            <v>Korupsi</v>
          </cell>
          <cell r="M1347" t="str">
            <v>Kas Kanpus</v>
          </cell>
          <cell r="N1347" t="str">
            <v>Kas Kanpus</v>
          </cell>
          <cell r="O1347" t="str">
            <v>KAS KANPUS</v>
          </cell>
          <cell r="R1347" t="str">
            <v>Belum TL</v>
          </cell>
          <cell r="S1347" t="str">
            <v>Belum TL</v>
          </cell>
          <cell r="T1347" t="str">
            <v>00394521 - Muhammad Hibbanduta</v>
          </cell>
          <cell r="U1347" t="str">
            <v>"-"</v>
          </cell>
        </row>
        <row r="1348">
          <cell r="A1348">
            <v>46256</v>
          </cell>
          <cell r="B1348" t="str">
            <v xml:space="preserve">MUH MUJAHID                             </v>
          </cell>
          <cell r="C1348" t="str">
            <v>MZFI245</v>
          </cell>
          <cell r="D1348">
            <v>599401059497535</v>
          </cell>
          <cell r="E1348" t="str">
            <v>SEDANG</v>
          </cell>
          <cell r="F1348" t="str">
            <v>Tidak</v>
          </cell>
          <cell r="G1348" t="str">
            <v>Tidak</v>
          </cell>
          <cell r="I1348" t="str">
            <v>Teroris - Remark</v>
          </cell>
          <cell r="J1348">
            <v>168</v>
          </cell>
          <cell r="K1348">
            <v>50</v>
          </cell>
          <cell r="L1348" t="str">
            <v>Terorisme</v>
          </cell>
          <cell r="M1348" t="str">
            <v xml:space="preserve">Kas Kanpus                              </v>
          </cell>
          <cell r="N1348" t="str">
            <v xml:space="preserve">Kas Kanpus                              </v>
          </cell>
          <cell r="O1348" t="str">
            <v xml:space="preserve">KAS KANPUS                              </v>
          </cell>
          <cell r="R1348" t="str">
            <v>Belum TL</v>
          </cell>
          <cell r="S1348" t="str">
            <v>Belum TL</v>
          </cell>
          <cell r="T1348" t="str">
            <v>00394521 - Muhammad Hibbanduta</v>
          </cell>
          <cell r="U1348" t="str">
            <v>"-"</v>
          </cell>
        </row>
        <row r="1349">
          <cell r="A1349">
            <v>46245</v>
          </cell>
          <cell r="B1349" t="str">
            <v xml:space="preserve">MUH MUJAHID                             </v>
          </cell>
          <cell r="C1349" t="str">
            <v>MZFI245</v>
          </cell>
          <cell r="D1349">
            <v>599401059497535</v>
          </cell>
          <cell r="E1349" t="str">
            <v>SEDANG</v>
          </cell>
          <cell r="F1349" t="str">
            <v>Tidak</v>
          </cell>
          <cell r="G1349" t="str">
            <v>Tidak</v>
          </cell>
          <cell r="I1349" t="str">
            <v>Teroris - Remark</v>
          </cell>
          <cell r="J1349">
            <v>168</v>
          </cell>
          <cell r="K1349">
            <v>50</v>
          </cell>
          <cell r="L1349" t="str">
            <v>Terorisme</v>
          </cell>
          <cell r="M1349" t="str">
            <v xml:space="preserve">Kas Kanpus                              </v>
          </cell>
          <cell r="N1349" t="str">
            <v xml:space="preserve">Kas Kanpus                              </v>
          </cell>
          <cell r="O1349" t="str">
            <v xml:space="preserve">KAS KANPUS                              </v>
          </cell>
          <cell r="R1349" t="str">
            <v>Belum TL</v>
          </cell>
          <cell r="S1349" t="str">
            <v>Belum TL</v>
          </cell>
          <cell r="T1349" t="str">
            <v>00394521 - Muhammad Hibbanduta</v>
          </cell>
          <cell r="U1349" t="str">
            <v>"-"</v>
          </cell>
        </row>
        <row r="1350">
          <cell r="A1350">
            <v>46265</v>
          </cell>
          <cell r="B1350" t="str">
            <v xml:space="preserve">MAKMUR SENTOSA                          </v>
          </cell>
          <cell r="C1350" t="str">
            <v>MYZ4100</v>
          </cell>
          <cell r="D1350">
            <v>10001501876152</v>
          </cell>
          <cell r="E1350" t="str">
            <v>SEDANG</v>
          </cell>
          <cell r="F1350" t="str">
            <v>Tidak</v>
          </cell>
          <cell r="G1350" t="str">
            <v>Tidak</v>
          </cell>
          <cell r="H1350" t="str">
            <v>Tidak</v>
          </cell>
          <cell r="I1350" t="str">
            <v>Korupsi - Loan View</v>
          </cell>
          <cell r="J1350">
            <v>48</v>
          </cell>
          <cell r="K1350">
            <v>15</v>
          </cell>
          <cell r="L1350" t="str">
            <v>Korupsi</v>
          </cell>
          <cell r="M1350" t="str">
            <v>Kas Kanpus</v>
          </cell>
          <cell r="N1350" t="str">
            <v>Kas Kanpus</v>
          </cell>
          <cell r="O1350" t="str">
            <v>KAS KANPUS</v>
          </cell>
          <cell r="R1350" t="str">
            <v>Belum TL</v>
          </cell>
          <cell r="S1350" t="str">
            <v>Belum TL</v>
          </cell>
          <cell r="T1350" t="str">
            <v>00336949 - Mochammad Al Farabi</v>
          </cell>
          <cell r="U1350" t="str">
            <v>"-"</v>
          </cell>
        </row>
        <row r="1351">
          <cell r="A1351">
            <v>46265</v>
          </cell>
          <cell r="B1351" t="str">
            <v xml:space="preserve">MOH ROFIK                               </v>
          </cell>
          <cell r="C1351" t="str">
            <v>MZMB085</v>
          </cell>
          <cell r="D1351">
            <v>14801123304501</v>
          </cell>
          <cell r="E1351" t="str">
            <v>SEDANG</v>
          </cell>
          <cell r="F1351" t="str">
            <v>Tidak</v>
          </cell>
          <cell r="G1351" t="str">
            <v>Tidak</v>
          </cell>
          <cell r="H1351" t="str">
            <v>Tidak</v>
          </cell>
          <cell r="I1351" t="str">
            <v>Bandar Judol Withdrawal</v>
          </cell>
          <cell r="J1351">
            <v>50</v>
          </cell>
          <cell r="K1351" t="str">
            <v>86,88,87</v>
          </cell>
          <cell r="L1351" t="str">
            <v>Judi Online</v>
          </cell>
          <cell r="M1351" t="str">
            <v xml:space="preserve">Kas Kanpus                              </v>
          </cell>
          <cell r="N1351" t="str">
            <v xml:space="preserve">Kas Kanpus                              </v>
          </cell>
          <cell r="O1351" t="str">
            <v xml:space="preserve">KAS KANPUS                              </v>
          </cell>
          <cell r="R1351" t="str">
            <v>Belum TL</v>
          </cell>
          <cell r="S1351" t="str">
            <v>Belum TL</v>
          </cell>
          <cell r="T1351" t="str">
            <v>90170665 - Mutiara Ayuningtyas</v>
          </cell>
          <cell r="U1351" t="str">
            <v>"-"</v>
          </cell>
        </row>
        <row r="1352">
          <cell r="A1352">
            <v>46265</v>
          </cell>
          <cell r="B1352" t="str">
            <v xml:space="preserve">MUHAMAD FADLI                           </v>
          </cell>
          <cell r="C1352" t="str">
            <v>MZOU589</v>
          </cell>
          <cell r="D1352">
            <v>33801068746502</v>
          </cell>
          <cell r="E1352" t="str">
            <v>SEDANG</v>
          </cell>
          <cell r="F1352" t="str">
            <v>Tidak</v>
          </cell>
          <cell r="G1352" t="str">
            <v>Tidak</v>
          </cell>
          <cell r="H1352" t="str">
            <v>Tidak</v>
          </cell>
          <cell r="I1352" t="str">
            <v>Bandar Judol Withdrawal</v>
          </cell>
          <cell r="J1352">
            <v>50</v>
          </cell>
          <cell r="K1352" t="str">
            <v>86,88,87</v>
          </cell>
          <cell r="L1352" t="str">
            <v>Judi Online</v>
          </cell>
          <cell r="M1352" t="str">
            <v xml:space="preserve">Kas Kanpus                              </v>
          </cell>
          <cell r="N1352" t="str">
            <v xml:space="preserve">Kas Kanpus                              </v>
          </cell>
          <cell r="O1352" t="str">
            <v xml:space="preserve">KAS KANPUS                              </v>
          </cell>
          <cell r="R1352" t="str">
            <v>Belum TL</v>
          </cell>
          <cell r="S1352" t="str">
            <v>Belum TL</v>
          </cell>
          <cell r="T1352" t="str">
            <v>00394521 - Muhammad Hibbanduta</v>
          </cell>
          <cell r="U1352" t="str">
            <v>"-"</v>
          </cell>
        </row>
        <row r="1353">
          <cell r="A1353">
            <v>46265</v>
          </cell>
          <cell r="B1353" t="str">
            <v xml:space="preserve">MOH RUBEI                               </v>
          </cell>
          <cell r="C1353" t="str">
            <v>MZVL947</v>
          </cell>
          <cell r="D1353">
            <v>735201018687505</v>
          </cell>
          <cell r="F1353" t="str">
            <v>Tidak</v>
          </cell>
          <cell r="G1353" t="str">
            <v>Tidak</v>
          </cell>
          <cell r="I1353" t="str">
            <v>Jual Beli Rekening - E channel Trx</v>
          </cell>
          <cell r="J1353">
            <v>33</v>
          </cell>
          <cell r="K1353">
            <v>113</v>
          </cell>
          <cell r="L1353" t="str">
            <v>Narkotika/Judi Online/Penipuan</v>
          </cell>
          <cell r="M1353" t="str">
            <v xml:space="preserve">UNIT PANTURA SAMPANG                    </v>
          </cell>
          <cell r="N1353" t="str">
            <v xml:space="preserve">KC Sampang                              </v>
          </cell>
          <cell r="O1353" t="str">
            <v xml:space="preserve">Surabaya                                </v>
          </cell>
          <cell r="R1353" t="str">
            <v>Belum TL</v>
          </cell>
          <cell r="S1353" t="str">
            <v>Belum TL</v>
          </cell>
          <cell r="U1353" t="str">
            <v>"-"</v>
          </cell>
        </row>
        <row r="1354">
          <cell r="A1354">
            <v>46265</v>
          </cell>
          <cell r="B1354" t="str">
            <v xml:space="preserve">MADHAR MADHAVA MANGGALA                 </v>
          </cell>
          <cell r="C1354" t="str">
            <v>MZXA187</v>
          </cell>
          <cell r="D1354">
            <v>501199999308</v>
          </cell>
          <cell r="E1354" t="str">
            <v>SEDANG</v>
          </cell>
          <cell r="F1354" t="str">
            <v>Tidak</v>
          </cell>
          <cell r="G1354" t="str">
            <v>Tidak</v>
          </cell>
          <cell r="H1354" t="str">
            <v>Tidak</v>
          </cell>
          <cell r="I1354" t="str">
            <v>Perpajakan</v>
          </cell>
          <cell r="J1354">
            <v>48</v>
          </cell>
          <cell r="K1354">
            <v>41</v>
          </cell>
          <cell r="L1354" t="str">
            <v>Perpajakan</v>
          </cell>
          <cell r="M1354" t="str">
            <v xml:space="preserve">KC Bandung AA                           </v>
          </cell>
          <cell r="N1354" t="str">
            <v xml:space="preserve">KC Bandung AA                           </v>
          </cell>
          <cell r="O1354" t="str">
            <v xml:space="preserve">Bandung                                 </v>
          </cell>
          <cell r="R1354" t="str">
            <v>Belum TL</v>
          </cell>
          <cell r="S1354" t="str">
            <v>Belum TL</v>
          </cell>
          <cell r="T1354" t="str">
            <v>90150130 - Intan Aida Pratiwi</v>
          </cell>
          <cell r="U1354" t="str">
            <v>"-"</v>
          </cell>
        </row>
        <row r="1355">
          <cell r="A1355">
            <v>46265</v>
          </cell>
          <cell r="B1355" t="str">
            <v xml:space="preserve">ANAK AGUNG GEDE NARAYANA                </v>
          </cell>
          <cell r="C1355" t="str">
            <v>N166120</v>
          </cell>
          <cell r="D1355">
            <v>57301000939567</v>
          </cell>
          <cell r="E1355" t="str">
            <v>SEDANG</v>
          </cell>
          <cell r="F1355" t="str">
            <v>Tidak</v>
          </cell>
          <cell r="G1355" t="str">
            <v>Tidak</v>
          </cell>
          <cell r="H1355" t="str">
            <v>Tidak</v>
          </cell>
          <cell r="I1355" t="str">
            <v>Korupsi - Significant Trx View</v>
          </cell>
          <cell r="J1355">
            <v>48</v>
          </cell>
          <cell r="K1355">
            <v>1.19</v>
          </cell>
          <cell r="L1355" t="str">
            <v>Korupsi</v>
          </cell>
          <cell r="M1355" t="str">
            <v>Kas Kanpus</v>
          </cell>
          <cell r="N1355" t="str">
            <v>Kas Kanpus</v>
          </cell>
          <cell r="O1355" t="str">
            <v>KAS KANPUS</v>
          </cell>
          <cell r="R1355" t="str">
            <v>Belum TL</v>
          </cell>
          <cell r="S1355" t="str">
            <v>Belum TL</v>
          </cell>
          <cell r="T1355" t="str">
            <v>90185538 - Muhammad Fahikal Auz</v>
          </cell>
          <cell r="U1355" t="str">
            <v>"-"</v>
          </cell>
        </row>
        <row r="1356">
          <cell r="A1356">
            <v>46265</v>
          </cell>
          <cell r="B1356" t="str">
            <v xml:space="preserve">NASARUDDIN                              </v>
          </cell>
          <cell r="C1356" t="str">
            <v>N774376</v>
          </cell>
          <cell r="D1356">
            <v>109901000475560</v>
          </cell>
          <cell r="E1356" t="str">
            <v>SEDANG</v>
          </cell>
          <cell r="F1356" t="str">
            <v>Tidak</v>
          </cell>
          <cell r="G1356" t="str">
            <v>Tidak</v>
          </cell>
          <cell r="H1356" t="str">
            <v>Tidak</v>
          </cell>
          <cell r="I1356" t="str">
            <v>Perpajakan</v>
          </cell>
          <cell r="J1356">
            <v>58</v>
          </cell>
          <cell r="K1356">
            <v>1.33</v>
          </cell>
          <cell r="L1356" t="str">
            <v>Perpajakan</v>
          </cell>
          <cell r="M1356" t="str">
            <v xml:space="preserve">KC Pasir Pengaraian                     </v>
          </cell>
          <cell r="N1356" t="str">
            <v xml:space="preserve">KC Pasir Pengaraian                     </v>
          </cell>
          <cell r="O1356" t="str">
            <v xml:space="preserve">KANWIL PEKANBARU                        </v>
          </cell>
          <cell r="R1356" t="str">
            <v>Belum TL</v>
          </cell>
          <cell r="S1356" t="str">
            <v>Belum TL</v>
          </cell>
          <cell r="T1356" t="str">
            <v>90171841 - Rifqi Aziz</v>
          </cell>
          <cell r="U1356" t="str">
            <v>"-"</v>
          </cell>
        </row>
        <row r="1357">
          <cell r="A1357">
            <v>46265</v>
          </cell>
          <cell r="B1357" t="str">
            <v xml:space="preserve">NAZMATUL HUDA                           </v>
          </cell>
          <cell r="C1357" t="str">
            <v>NAU6904</v>
          </cell>
          <cell r="D1357">
            <v>450001011066108</v>
          </cell>
          <cell r="E1357" t="str">
            <v>TINGGI</v>
          </cell>
          <cell r="F1357" t="str">
            <v>Tidak</v>
          </cell>
          <cell r="G1357" t="str">
            <v>Tidak</v>
          </cell>
          <cell r="H1357" t="str">
            <v>Tidak</v>
          </cell>
          <cell r="I1357" t="str">
            <v>Korupsi - Loan View</v>
          </cell>
          <cell r="J1357">
            <v>73</v>
          </cell>
          <cell r="K1357">
            <v>15</v>
          </cell>
          <cell r="L1357" t="str">
            <v>Korupsi</v>
          </cell>
          <cell r="M1357" t="str">
            <v>Kas Kanpus</v>
          </cell>
          <cell r="N1357" t="str">
            <v>Kas Kanpus</v>
          </cell>
          <cell r="O1357" t="str">
            <v>KAS KANPUS</v>
          </cell>
          <cell r="R1357" t="str">
            <v>Belum TL</v>
          </cell>
          <cell r="S1357" t="str">
            <v>Belum TL</v>
          </cell>
          <cell r="T1357" t="str">
            <v>90186790 - Muhammad Alfin Farha</v>
          </cell>
          <cell r="U1357" t="str">
            <v>"-"</v>
          </cell>
        </row>
        <row r="1358">
          <cell r="A1358">
            <v>46265</v>
          </cell>
          <cell r="B1358" t="str">
            <v xml:space="preserve">NOVI SUSIANA                            </v>
          </cell>
          <cell r="C1358" t="str">
            <v>NAX2706</v>
          </cell>
          <cell r="D1358">
            <v>15501002910569</v>
          </cell>
          <cell r="E1358" t="str">
            <v>SEDANG</v>
          </cell>
          <cell r="F1358" t="str">
            <v>Tidak</v>
          </cell>
          <cell r="G1358" t="str">
            <v>Tidak</v>
          </cell>
          <cell r="I1358" t="str">
            <v>Jual Beli Rekening - E channel Trx</v>
          </cell>
          <cell r="J1358">
            <v>48</v>
          </cell>
          <cell r="K1358">
            <v>113</v>
          </cell>
          <cell r="L1358" t="str">
            <v>Narkotika/Judi Online/Penipuan</v>
          </cell>
          <cell r="M1358" t="str">
            <v xml:space="preserve">KC Kota Bumi                            </v>
          </cell>
          <cell r="N1358" t="str">
            <v xml:space="preserve">KC Kota Bumi                            </v>
          </cell>
          <cell r="O1358" t="str">
            <v xml:space="preserve">KANWIL BANDAR LAMPUNG                   </v>
          </cell>
          <cell r="R1358" t="str">
            <v>Belum TL</v>
          </cell>
          <cell r="S1358" t="str">
            <v>Belum TL</v>
          </cell>
          <cell r="U1358" t="str">
            <v>"-"</v>
          </cell>
        </row>
        <row r="1359">
          <cell r="A1359">
            <v>46265</v>
          </cell>
          <cell r="B1359" t="str">
            <v xml:space="preserve">NOTO RAHARJO                            </v>
          </cell>
          <cell r="C1359" t="str">
            <v>NBC0241</v>
          </cell>
          <cell r="D1359">
            <v>116201006056501</v>
          </cell>
          <cell r="E1359" t="str">
            <v>SEDANG</v>
          </cell>
          <cell r="F1359" t="str">
            <v>Tidak</v>
          </cell>
          <cell r="G1359" t="str">
            <v>Tidak</v>
          </cell>
          <cell r="H1359" t="str">
            <v>Tidak</v>
          </cell>
          <cell r="I1359" t="str">
            <v>Korupsi - Payroll View</v>
          </cell>
          <cell r="J1359">
            <v>60</v>
          </cell>
          <cell r="K1359">
            <v>84</v>
          </cell>
          <cell r="L1359" t="str">
            <v>Korupsi</v>
          </cell>
          <cell r="M1359" t="str">
            <v>Kas Kanpus</v>
          </cell>
          <cell r="N1359" t="str">
            <v>Kas Kanpus</v>
          </cell>
          <cell r="O1359" t="str">
            <v>KAS KANPUS</v>
          </cell>
          <cell r="R1359" t="str">
            <v>Belum TL</v>
          </cell>
          <cell r="S1359" t="str">
            <v>Belum TL</v>
          </cell>
          <cell r="T1359" t="str">
            <v>90150130 - Intan Aida Pratiwi</v>
          </cell>
          <cell r="U1359" t="str">
            <v>"-"</v>
          </cell>
        </row>
        <row r="1360">
          <cell r="A1360">
            <v>46265</v>
          </cell>
          <cell r="B1360" t="str">
            <v xml:space="preserve">NEVI SHEITI MEIDHINA                    </v>
          </cell>
          <cell r="C1360" t="str">
            <v>NAJO528</v>
          </cell>
          <cell r="D1360">
            <v>110701000257567</v>
          </cell>
          <cell r="E1360" t="str">
            <v>SEDANG</v>
          </cell>
          <cell r="F1360" t="str">
            <v>Tidak</v>
          </cell>
          <cell r="G1360" t="str">
            <v>Tidak</v>
          </cell>
          <cell r="H1360" t="str">
            <v>Tidak</v>
          </cell>
          <cell r="I1360" t="str">
            <v>Korupsi - Significant Trx View</v>
          </cell>
          <cell r="J1360">
            <v>50</v>
          </cell>
          <cell r="K1360">
            <v>1.19</v>
          </cell>
          <cell r="L1360" t="str">
            <v>Korupsi</v>
          </cell>
          <cell r="M1360" t="str">
            <v>Kas Kanpus</v>
          </cell>
          <cell r="N1360" t="str">
            <v>Kas Kanpus</v>
          </cell>
          <cell r="O1360" t="str">
            <v>KAS KANPUS</v>
          </cell>
          <cell r="R1360" t="str">
            <v>Belum TL</v>
          </cell>
          <cell r="S1360" t="str">
            <v>Belum TL</v>
          </cell>
          <cell r="T1360" t="str">
            <v>90185537 - Moh.Khoerul Fajar Ar</v>
          </cell>
          <cell r="U1360" t="str">
            <v>"-"</v>
          </cell>
        </row>
        <row r="1361">
          <cell r="A1361">
            <v>46235</v>
          </cell>
          <cell r="B1361" t="str">
            <v xml:space="preserve">NOVI NUR HAYATI                         </v>
          </cell>
          <cell r="C1361" t="str">
            <v>NAQ9000</v>
          </cell>
          <cell r="D1361">
            <v>662501011328532</v>
          </cell>
          <cell r="E1361" t="str">
            <v>SEDANG</v>
          </cell>
          <cell r="F1361" t="str">
            <v>Tidak</v>
          </cell>
          <cell r="G1361" t="str">
            <v>Tidak</v>
          </cell>
          <cell r="I1361" t="str">
            <v>Teroris - Remark</v>
          </cell>
          <cell r="J1361">
            <v>168</v>
          </cell>
          <cell r="K1361">
            <v>50</v>
          </cell>
          <cell r="L1361" t="str">
            <v>Terorisme</v>
          </cell>
          <cell r="M1361" t="str">
            <v xml:space="preserve">Kas Kanpus                              </v>
          </cell>
          <cell r="N1361" t="str">
            <v xml:space="preserve">Kas Kanpus                              </v>
          </cell>
          <cell r="O1361" t="str">
            <v xml:space="preserve">KAS KANPUS                              </v>
          </cell>
          <cell r="R1361" t="str">
            <v>Belum TL</v>
          </cell>
          <cell r="S1361" t="str">
            <v>Belum TL</v>
          </cell>
          <cell r="T1361" t="str">
            <v>90150130 - Intan Aida Pratiwi</v>
          </cell>
          <cell r="U1361" t="str">
            <v>"-"</v>
          </cell>
        </row>
        <row r="1362">
          <cell r="A1362">
            <v>46247</v>
          </cell>
          <cell r="B1362" t="str">
            <v xml:space="preserve">NANIK WIDIAYANTI                        </v>
          </cell>
          <cell r="C1362" t="str">
            <v>NCJX706</v>
          </cell>
          <cell r="D1362">
            <v>456501043603534</v>
          </cell>
          <cell r="E1362" t="str">
            <v>SEDANG</v>
          </cell>
          <cell r="F1362" t="str">
            <v>Tidak</v>
          </cell>
          <cell r="G1362" t="str">
            <v>Tidak</v>
          </cell>
          <cell r="I1362" t="str">
            <v>Teroris - Remark</v>
          </cell>
          <cell r="J1362">
            <v>168</v>
          </cell>
          <cell r="K1362">
            <v>50</v>
          </cell>
          <cell r="L1362" t="str">
            <v>Terorisme</v>
          </cell>
          <cell r="M1362" t="str">
            <v xml:space="preserve">Kas Kanpus                              </v>
          </cell>
          <cell r="N1362" t="str">
            <v xml:space="preserve">Kas Kanpus                              </v>
          </cell>
          <cell r="O1362" t="str">
            <v xml:space="preserve">KAS KANPUS                              </v>
          </cell>
          <cell r="R1362" t="str">
            <v>Belum TL</v>
          </cell>
          <cell r="S1362" t="str">
            <v>Belum TL</v>
          </cell>
          <cell r="T1362" t="str">
            <v>90170665 - Mutiara Ayuningtyas</v>
          </cell>
          <cell r="U1362" t="str">
            <v>"-"</v>
          </cell>
        </row>
        <row r="1363">
          <cell r="A1363">
            <v>46265</v>
          </cell>
          <cell r="B1363" t="str">
            <v xml:space="preserve">NURHAYATI                               </v>
          </cell>
          <cell r="C1363" t="str">
            <v>NDHT469</v>
          </cell>
          <cell r="D1363">
            <v>26601016746533</v>
          </cell>
          <cell r="E1363" t="str">
            <v>SEDANG</v>
          </cell>
          <cell r="F1363" t="str">
            <v>Tidak</v>
          </cell>
          <cell r="G1363" t="str">
            <v>Tidak</v>
          </cell>
          <cell r="H1363" t="str">
            <v>Tidak</v>
          </cell>
          <cell r="I1363" t="str">
            <v>Bandar Judol Withdrawal</v>
          </cell>
          <cell r="J1363">
            <v>50</v>
          </cell>
          <cell r="K1363" t="str">
            <v>86,88,87</v>
          </cell>
          <cell r="L1363" t="str">
            <v>Judi Online</v>
          </cell>
          <cell r="M1363" t="str">
            <v xml:space="preserve">Kas Kanpus                              </v>
          </cell>
          <cell r="N1363" t="str">
            <v xml:space="preserve">Kas Kanpus                              </v>
          </cell>
          <cell r="O1363" t="str">
            <v xml:space="preserve">KAS KANPUS                              </v>
          </cell>
          <cell r="R1363" t="str">
            <v>Belum TL</v>
          </cell>
          <cell r="S1363" t="str">
            <v>Belum TL</v>
          </cell>
          <cell r="T1363" t="str">
            <v>90171841 - Rifqi Aziz</v>
          </cell>
          <cell r="U1363" t="str">
            <v>"-"</v>
          </cell>
        </row>
        <row r="1364">
          <cell r="A1364">
            <v>46265</v>
          </cell>
          <cell r="B1364" t="str">
            <v xml:space="preserve">NOER SHOLIHIN                           </v>
          </cell>
          <cell r="C1364" t="str">
            <v>NDJG374</v>
          </cell>
          <cell r="D1364">
            <v>677001010607504</v>
          </cell>
          <cell r="F1364" t="str">
            <v>Tidak</v>
          </cell>
          <cell r="G1364" t="str">
            <v>Tidak</v>
          </cell>
          <cell r="I1364" t="str">
            <v>Jual Beli Rekening - E channel Trx</v>
          </cell>
          <cell r="J1364">
            <v>33</v>
          </cell>
          <cell r="K1364">
            <v>113</v>
          </cell>
          <cell r="L1364" t="str">
            <v>Narkotika/Judi Online/Penipuan</v>
          </cell>
          <cell r="M1364" t="str">
            <v xml:space="preserve">UNIT WINDUSARI MAGELANG                 </v>
          </cell>
          <cell r="N1364" t="str">
            <v xml:space="preserve">KC Magelang                             </v>
          </cell>
          <cell r="O1364" t="str">
            <v xml:space="preserve">Yogyakarta                              </v>
          </cell>
          <cell r="R1364" t="str">
            <v>Belum TL</v>
          </cell>
          <cell r="S1364" t="str">
            <v>Belum TL</v>
          </cell>
          <cell r="U1364" t="str">
            <v>"-"</v>
          </cell>
        </row>
        <row r="1365">
          <cell r="A1365">
            <v>46265</v>
          </cell>
          <cell r="B1365" t="str">
            <v xml:space="preserve">NORMAYANTI                              </v>
          </cell>
          <cell r="C1365" t="str">
            <v>NDJR706</v>
          </cell>
          <cell r="D1365">
            <v>1901150347501</v>
          </cell>
          <cell r="E1365" t="str">
            <v>SEDANG</v>
          </cell>
          <cell r="F1365" t="str">
            <v>Tidak</v>
          </cell>
          <cell r="G1365" t="str">
            <v>Tidak</v>
          </cell>
          <cell r="H1365" t="str">
            <v>Tidak</v>
          </cell>
          <cell r="I1365" t="str">
            <v>Bandar Judol Withdrawal</v>
          </cell>
          <cell r="J1365">
            <v>50</v>
          </cell>
          <cell r="K1365" t="str">
            <v>86,88,87</v>
          </cell>
          <cell r="L1365" t="str">
            <v>Judi Online</v>
          </cell>
          <cell r="M1365" t="str">
            <v xml:space="preserve">Kas Kanpus                              </v>
          </cell>
          <cell r="N1365" t="str">
            <v xml:space="preserve">Kas Kanpus                              </v>
          </cell>
          <cell r="O1365" t="str">
            <v xml:space="preserve">KAS KANPUS                              </v>
          </cell>
          <cell r="R1365" t="str">
            <v>Belum TL</v>
          </cell>
          <cell r="S1365" t="str">
            <v>Belum TL</v>
          </cell>
          <cell r="T1365" t="str">
            <v>90186790 - Muhammad Alfin Farha</v>
          </cell>
          <cell r="U1365" t="str">
            <v>"-"</v>
          </cell>
        </row>
        <row r="1366">
          <cell r="A1366">
            <v>46265</v>
          </cell>
          <cell r="B1366" t="str">
            <v xml:space="preserve">NUR SUHAEMI                             </v>
          </cell>
          <cell r="C1366" t="str">
            <v>NDL4790</v>
          </cell>
          <cell r="D1366">
            <v>18601026121103</v>
          </cell>
          <cell r="E1366" t="str">
            <v>SEDANG</v>
          </cell>
          <cell r="F1366" t="str">
            <v>Tidak</v>
          </cell>
          <cell r="G1366" t="str">
            <v>Tidak</v>
          </cell>
          <cell r="H1366" t="str">
            <v>Tidak</v>
          </cell>
          <cell r="I1366" t="str">
            <v>Korupsi - Loan View</v>
          </cell>
          <cell r="J1366">
            <v>53</v>
          </cell>
          <cell r="K1366">
            <v>15</v>
          </cell>
          <cell r="L1366" t="str">
            <v>Korupsi</v>
          </cell>
          <cell r="M1366" t="str">
            <v>Kas Kanpus</v>
          </cell>
          <cell r="N1366" t="str">
            <v>Kas Kanpus</v>
          </cell>
          <cell r="O1366" t="str">
            <v>KAS KANPUS</v>
          </cell>
          <cell r="R1366" t="str">
            <v>Belum TL</v>
          </cell>
          <cell r="S1366" t="str">
            <v>Belum TL</v>
          </cell>
          <cell r="T1366" t="str">
            <v>90185537 - Moh.Khoerul Fajar Ar</v>
          </cell>
          <cell r="U1366" t="str">
            <v>"-"</v>
          </cell>
        </row>
        <row r="1367">
          <cell r="A1367">
            <v>46265</v>
          </cell>
          <cell r="B1367" t="str">
            <v xml:space="preserve">NANANG DWI PURNOMO                      </v>
          </cell>
          <cell r="C1367" t="str">
            <v>NCU3921</v>
          </cell>
          <cell r="D1367">
            <v>202901000258304</v>
          </cell>
          <cell r="E1367" t="str">
            <v>SEDANG</v>
          </cell>
          <cell r="F1367" t="str">
            <v>Tidak</v>
          </cell>
          <cell r="G1367" t="str">
            <v>Tidak</v>
          </cell>
          <cell r="H1367" t="str">
            <v>Tidak</v>
          </cell>
          <cell r="I1367" t="str">
            <v>Korupsi - Significant Trx View</v>
          </cell>
          <cell r="J1367">
            <v>48</v>
          </cell>
          <cell r="K1367">
            <v>1.19</v>
          </cell>
          <cell r="L1367" t="str">
            <v>Korupsi</v>
          </cell>
          <cell r="M1367" t="str">
            <v>Kas Kanpus</v>
          </cell>
          <cell r="N1367" t="str">
            <v>Kas Kanpus</v>
          </cell>
          <cell r="O1367" t="str">
            <v>KAS KANPUS</v>
          </cell>
          <cell r="R1367" t="str">
            <v>Belum TL</v>
          </cell>
          <cell r="S1367" t="str">
            <v>Belum TL</v>
          </cell>
          <cell r="T1367" t="str">
            <v>90170665 - Mutiara Ayuningtyas</v>
          </cell>
          <cell r="U1367" t="str">
            <v>"-"</v>
          </cell>
        </row>
        <row r="1368">
          <cell r="A1368">
            <v>46241</v>
          </cell>
          <cell r="B1368" t="str">
            <v xml:space="preserve">NENENG KURNIA                           </v>
          </cell>
          <cell r="C1368" t="str">
            <v>NCW0216</v>
          </cell>
          <cell r="D1368">
            <v>30201085834503</v>
          </cell>
          <cell r="E1368" t="str">
            <v>SEDANG</v>
          </cell>
          <cell r="F1368" t="str">
            <v>Tidak</v>
          </cell>
          <cell r="G1368" t="str">
            <v>Tidak</v>
          </cell>
          <cell r="I1368" t="str">
            <v>Teroris - Remark</v>
          </cell>
          <cell r="J1368">
            <v>168</v>
          </cell>
          <cell r="K1368">
            <v>50</v>
          </cell>
          <cell r="L1368" t="str">
            <v>Terorisme</v>
          </cell>
          <cell r="M1368" t="str">
            <v xml:space="preserve">Kas Kanpus                              </v>
          </cell>
          <cell r="N1368" t="str">
            <v xml:space="preserve">Kas Kanpus                              </v>
          </cell>
          <cell r="O1368" t="str">
            <v xml:space="preserve">KAS KANPUS                              </v>
          </cell>
          <cell r="R1368" t="str">
            <v>Belum TL</v>
          </cell>
          <cell r="S1368" t="str">
            <v>Belum TL</v>
          </cell>
          <cell r="T1368" t="str">
            <v>00394520 - Frida Akbar Rani</v>
          </cell>
          <cell r="U1368" t="str">
            <v>"-"</v>
          </cell>
        </row>
        <row r="1369">
          <cell r="A1369">
            <v>46265</v>
          </cell>
          <cell r="B1369" t="str">
            <v xml:space="preserve">NOVIANTI KUSUMA                         </v>
          </cell>
          <cell r="C1369" t="str">
            <v>NCZ8094</v>
          </cell>
          <cell r="D1369">
            <v>39429000002508</v>
          </cell>
          <cell r="E1369" t="str">
            <v>TINGGI</v>
          </cell>
          <cell r="F1369" t="str">
            <v>Ya</v>
          </cell>
          <cell r="G1369" t="str">
            <v>Tidak</v>
          </cell>
          <cell r="I1369" t="str">
            <v>Money Mules</v>
          </cell>
          <cell r="J1369">
            <v>67</v>
          </cell>
          <cell r="K1369">
            <v>79</v>
          </cell>
          <cell r="L1369" t="str">
            <v>Narkotika/Judi Online</v>
          </cell>
          <cell r="M1369" t="str">
            <v xml:space="preserve">Kas Kanpus                              </v>
          </cell>
          <cell r="N1369" t="str">
            <v xml:space="preserve">Kas Kanpus                              </v>
          </cell>
          <cell r="O1369" t="str">
            <v xml:space="preserve">KAS KANPUS                              </v>
          </cell>
          <cell r="R1369" t="str">
            <v>Belum TL</v>
          </cell>
          <cell r="S1369" t="str">
            <v>Belum TL</v>
          </cell>
          <cell r="T1369" t="str">
            <v>00394520 - Frida Akbar Rani</v>
          </cell>
          <cell r="U1369" t="str">
            <v>"-"</v>
          </cell>
        </row>
        <row r="1370">
          <cell r="A1370">
            <v>46241</v>
          </cell>
          <cell r="B1370" t="str">
            <v xml:space="preserve">NENY NURLINA SIAGIAN                    </v>
          </cell>
          <cell r="C1370" t="str">
            <v>NEA4727</v>
          </cell>
          <cell r="D1370">
            <v>361201043535531</v>
          </cell>
          <cell r="E1370" t="str">
            <v>SEDANG</v>
          </cell>
          <cell r="F1370" t="str">
            <v>Tidak</v>
          </cell>
          <cell r="G1370" t="str">
            <v>Tidak</v>
          </cell>
          <cell r="I1370" t="str">
            <v>Teroris - Remark</v>
          </cell>
          <cell r="J1370">
            <v>168</v>
          </cell>
          <cell r="K1370">
            <v>50</v>
          </cell>
          <cell r="L1370" t="str">
            <v>Terorisme</v>
          </cell>
          <cell r="M1370" t="str">
            <v xml:space="preserve">Kas Kanpus                              </v>
          </cell>
          <cell r="N1370" t="str">
            <v xml:space="preserve">Kas Kanpus                              </v>
          </cell>
          <cell r="O1370" t="str">
            <v xml:space="preserve">KAS KANPUS                              </v>
          </cell>
          <cell r="R1370" t="str">
            <v>Belum TL</v>
          </cell>
          <cell r="S1370" t="str">
            <v>Belum TL</v>
          </cell>
          <cell r="T1370" t="str">
            <v>00394521 - Muhammad Hibbanduta</v>
          </cell>
          <cell r="U1370" t="str">
            <v>"-"</v>
          </cell>
        </row>
        <row r="1371">
          <cell r="A1371">
            <v>46265</v>
          </cell>
          <cell r="B1371" t="str">
            <v xml:space="preserve">NUR ASTRIYANI                           </v>
          </cell>
          <cell r="C1371" t="str">
            <v>NECD803</v>
          </cell>
          <cell r="D1371">
            <v>112801106092506</v>
          </cell>
          <cell r="E1371" t="str">
            <v>SEDANG</v>
          </cell>
          <cell r="F1371" t="str">
            <v>Tidak</v>
          </cell>
          <cell r="G1371" t="str">
            <v>Tidak</v>
          </cell>
          <cell r="H1371" t="str">
            <v>Tidak</v>
          </cell>
          <cell r="I1371" t="str">
            <v>Bandar Judol Withdrawal</v>
          </cell>
          <cell r="J1371">
            <v>50</v>
          </cell>
          <cell r="K1371" t="str">
            <v>86,88,87</v>
          </cell>
          <cell r="L1371" t="str">
            <v>Judi Online</v>
          </cell>
          <cell r="M1371" t="str">
            <v xml:space="preserve">Kas Kanpus                              </v>
          </cell>
          <cell r="N1371" t="str">
            <v xml:space="preserve">Kas Kanpus                              </v>
          </cell>
          <cell r="O1371" t="str">
            <v xml:space="preserve">KAS KANPUS                              </v>
          </cell>
          <cell r="R1371" t="str">
            <v>Belum TL</v>
          </cell>
          <cell r="S1371" t="str">
            <v>Belum TL</v>
          </cell>
          <cell r="T1371" t="str">
            <v>90150130 - Intan Aida Pratiwi</v>
          </cell>
          <cell r="U1371" t="str">
            <v>"-"</v>
          </cell>
        </row>
        <row r="1372">
          <cell r="A1372">
            <v>46265</v>
          </cell>
          <cell r="B1372" t="str">
            <v xml:space="preserve">NATALIA                                 </v>
          </cell>
          <cell r="C1372" t="str">
            <v>NEE0380</v>
          </cell>
          <cell r="D1372">
            <v>117201000782563</v>
          </cell>
          <cell r="E1372" t="str">
            <v>SEDANG</v>
          </cell>
          <cell r="F1372" t="str">
            <v>Tidak</v>
          </cell>
          <cell r="G1372" t="str">
            <v>Tidak</v>
          </cell>
          <cell r="H1372" t="str">
            <v>Tidak</v>
          </cell>
          <cell r="I1372" t="str">
            <v>Bandar Judol Withdrawal</v>
          </cell>
          <cell r="J1372">
            <v>50</v>
          </cell>
          <cell r="K1372" t="str">
            <v>86,88,87</v>
          </cell>
          <cell r="L1372" t="str">
            <v>Judi Online</v>
          </cell>
          <cell r="M1372" t="str">
            <v xml:space="preserve">Kas Kanpus                              </v>
          </cell>
          <cell r="N1372" t="str">
            <v xml:space="preserve">Kas Kanpus                              </v>
          </cell>
          <cell r="O1372" t="str">
            <v xml:space="preserve">KAS KANPUS                              </v>
          </cell>
          <cell r="R1372" t="str">
            <v>Belum TL</v>
          </cell>
          <cell r="S1372" t="str">
            <v>Belum TL</v>
          </cell>
          <cell r="T1372" t="str">
            <v>90185538 - Muhammad Fahikal Auz</v>
          </cell>
          <cell r="U1372" t="str">
            <v>"-"</v>
          </cell>
        </row>
        <row r="1373">
          <cell r="A1373">
            <v>46265</v>
          </cell>
          <cell r="B1373" t="str">
            <v xml:space="preserve">NURAFDILA FAUZIAH                       </v>
          </cell>
          <cell r="C1373" t="str">
            <v>NFJH803</v>
          </cell>
          <cell r="D1373">
            <v>39901057224501</v>
          </cell>
          <cell r="E1373" t="str">
            <v>SEDANG</v>
          </cell>
          <cell r="F1373" t="str">
            <v>Tidak</v>
          </cell>
          <cell r="G1373" t="str">
            <v>Tidak</v>
          </cell>
          <cell r="H1373" t="str">
            <v>Tidak</v>
          </cell>
          <cell r="I1373" t="str">
            <v>Bandar Judol Withdrawal</v>
          </cell>
          <cell r="J1373">
            <v>50</v>
          </cell>
          <cell r="K1373" t="str">
            <v>86,88,87</v>
          </cell>
          <cell r="L1373" t="str">
            <v>Judi Online</v>
          </cell>
          <cell r="M1373" t="str">
            <v xml:space="preserve">Kas Kanpus                              </v>
          </cell>
          <cell r="N1373" t="str">
            <v xml:space="preserve">Kas Kanpus                              </v>
          </cell>
          <cell r="O1373" t="str">
            <v xml:space="preserve">KAS KANPUS                              </v>
          </cell>
          <cell r="R1373" t="str">
            <v>Belum TL</v>
          </cell>
          <cell r="S1373" t="str">
            <v>Belum TL</v>
          </cell>
          <cell r="T1373" t="str">
            <v>90170665 - Mutiara Ayuningtyas</v>
          </cell>
          <cell r="U1373" t="str">
            <v>"-"</v>
          </cell>
        </row>
        <row r="1374">
          <cell r="A1374">
            <v>46265</v>
          </cell>
          <cell r="B1374" t="str">
            <v xml:space="preserve">NUSATAMA JAGAT SURYA                    </v>
          </cell>
          <cell r="C1374" t="str">
            <v>NFK2955</v>
          </cell>
          <cell r="D1374">
            <v>12201500790153</v>
          </cell>
          <cell r="E1374" t="str">
            <v>SEDANG</v>
          </cell>
          <cell r="F1374" t="str">
            <v>Tidak</v>
          </cell>
          <cell r="G1374" t="str">
            <v>Tidak</v>
          </cell>
          <cell r="H1374" t="str">
            <v>Tidak</v>
          </cell>
          <cell r="I1374" t="str">
            <v>Korupsi - Loan View</v>
          </cell>
          <cell r="J1374">
            <v>48</v>
          </cell>
          <cell r="K1374">
            <v>15</v>
          </cell>
          <cell r="L1374" t="str">
            <v>Korupsi</v>
          </cell>
          <cell r="M1374" t="str">
            <v>Kas Kanpus</v>
          </cell>
          <cell r="N1374" t="str">
            <v>Kas Kanpus</v>
          </cell>
          <cell r="O1374" t="str">
            <v>KAS KANPUS</v>
          </cell>
          <cell r="R1374" t="str">
            <v>Belum TL</v>
          </cell>
          <cell r="S1374" t="str">
            <v>Belum TL</v>
          </cell>
          <cell r="T1374" t="str">
            <v>90186796 - Devito Arya Wiradila</v>
          </cell>
          <cell r="U1374" t="str">
            <v>"-"</v>
          </cell>
        </row>
        <row r="1375">
          <cell r="A1375">
            <v>46265</v>
          </cell>
          <cell r="B1375" t="str">
            <v xml:space="preserve">NANANG YUDIAWAN                         </v>
          </cell>
          <cell r="C1375" t="str">
            <v>NFQS689</v>
          </cell>
          <cell r="D1375">
            <v>213401004991507</v>
          </cell>
          <cell r="E1375" t="str">
            <v>SEDANG</v>
          </cell>
          <cell r="F1375" t="str">
            <v>Tidak</v>
          </cell>
          <cell r="G1375" t="str">
            <v>Tidak</v>
          </cell>
          <cell r="H1375" t="str">
            <v>Ya</v>
          </cell>
          <cell r="I1375" t="str">
            <v>Bandar Judol Withdrawal</v>
          </cell>
          <cell r="J1375">
            <v>50</v>
          </cell>
          <cell r="K1375" t="str">
            <v>86,88,87</v>
          </cell>
          <cell r="L1375" t="str">
            <v>Judi Online</v>
          </cell>
          <cell r="M1375" t="str">
            <v xml:space="preserve">Kas Kanpus                              </v>
          </cell>
          <cell r="N1375" t="str">
            <v xml:space="preserve">Kas Kanpus                              </v>
          </cell>
          <cell r="O1375" t="str">
            <v xml:space="preserve">KAS KANPUS                              </v>
          </cell>
          <cell r="R1375" t="str">
            <v>Belum TL</v>
          </cell>
          <cell r="S1375" t="str">
            <v>Belum TL</v>
          </cell>
          <cell r="T1375" t="str">
            <v>00394520 - Frida Akbar Rani</v>
          </cell>
          <cell r="U1375" t="str">
            <v>"-"</v>
          </cell>
        </row>
        <row r="1376">
          <cell r="A1376">
            <v>46265</v>
          </cell>
          <cell r="B1376" t="str">
            <v xml:space="preserve">NUR MAULIDIYAH                          </v>
          </cell>
          <cell r="C1376" t="str">
            <v>NFQY424</v>
          </cell>
          <cell r="D1376">
            <v>114501002740560</v>
          </cell>
          <cell r="E1376" t="str">
            <v>SEDANG</v>
          </cell>
          <cell r="F1376" t="str">
            <v>Tidak</v>
          </cell>
          <cell r="G1376" t="str">
            <v>Tidak</v>
          </cell>
          <cell r="H1376" t="str">
            <v>Tidak</v>
          </cell>
          <cell r="I1376" t="str">
            <v>Bandar Judol Withdrawal</v>
          </cell>
          <cell r="J1376">
            <v>50</v>
          </cell>
          <cell r="K1376" t="str">
            <v>86,88,87</v>
          </cell>
          <cell r="L1376" t="str">
            <v>Judi Online</v>
          </cell>
          <cell r="M1376" t="str">
            <v xml:space="preserve">Kas Kanpus                              </v>
          </cell>
          <cell r="N1376" t="str">
            <v xml:space="preserve">Kas Kanpus                              </v>
          </cell>
          <cell r="O1376" t="str">
            <v xml:space="preserve">KAS KANPUS                              </v>
          </cell>
          <cell r="R1376" t="str">
            <v>Belum TL</v>
          </cell>
          <cell r="S1376" t="str">
            <v>Belum TL</v>
          </cell>
          <cell r="T1376" t="str">
            <v>90170665 - Mutiara Ayuningtyas</v>
          </cell>
          <cell r="U1376" t="str">
            <v>"-"</v>
          </cell>
        </row>
        <row r="1377">
          <cell r="A1377">
            <v>46265</v>
          </cell>
          <cell r="B1377" t="str">
            <v xml:space="preserve">NUR AENI                                </v>
          </cell>
          <cell r="C1377" t="str">
            <v>NEUU746</v>
          </cell>
          <cell r="D1377">
            <v>33201174928501</v>
          </cell>
          <cell r="E1377" t="str">
            <v>SEDANG</v>
          </cell>
          <cell r="F1377" t="str">
            <v>Tidak</v>
          </cell>
          <cell r="G1377" t="str">
            <v>Tidak</v>
          </cell>
          <cell r="H1377" t="str">
            <v>Tidak</v>
          </cell>
          <cell r="I1377" t="str">
            <v>Bandar Judol Withdrawal</v>
          </cell>
          <cell r="J1377">
            <v>50</v>
          </cell>
          <cell r="K1377" t="str">
            <v>86,88,87</v>
          </cell>
          <cell r="L1377" t="str">
            <v>Judi Online</v>
          </cell>
          <cell r="M1377" t="str">
            <v xml:space="preserve">Kas Kanpus                              </v>
          </cell>
          <cell r="N1377" t="str">
            <v xml:space="preserve">Kas Kanpus                              </v>
          </cell>
          <cell r="O1377" t="str">
            <v xml:space="preserve">KAS KANPUS                              </v>
          </cell>
          <cell r="R1377" t="str">
            <v>Belum TL</v>
          </cell>
          <cell r="S1377" t="str">
            <v>Belum TL</v>
          </cell>
          <cell r="T1377" t="str">
            <v>90150130 - Intan Aida Pratiwi</v>
          </cell>
          <cell r="U1377" t="str">
            <v>"-"</v>
          </cell>
        </row>
        <row r="1378">
          <cell r="A1378">
            <v>46265</v>
          </cell>
          <cell r="B1378" t="str">
            <v xml:space="preserve">NUGROHO SANTOSO                         </v>
          </cell>
          <cell r="C1378" t="str">
            <v>NEZE034</v>
          </cell>
          <cell r="D1378">
            <v>4359720217849400</v>
          </cell>
          <cell r="E1378" t="str">
            <v>SEDANG</v>
          </cell>
          <cell r="F1378" t="str">
            <v>Tidak</v>
          </cell>
          <cell r="G1378" t="str">
            <v>Tidak</v>
          </cell>
          <cell r="H1378" t="str">
            <v>Tidak</v>
          </cell>
          <cell r="I1378" t="str">
            <v>Penghindaran Pajak (Transaksi Fiktif)/Penyuapan CC</v>
          </cell>
          <cell r="J1378">
            <v>45</v>
          </cell>
          <cell r="K1378">
            <v>118</v>
          </cell>
          <cell r="L1378" t="str">
            <v>Penyuapan / Penghindaran Pajak CC View</v>
          </cell>
          <cell r="M1378" t="str">
            <v xml:space="preserve">Kas Kanpus                              </v>
          </cell>
          <cell r="N1378" t="str">
            <v xml:space="preserve">Kas Kanpus                              </v>
          </cell>
          <cell r="O1378" t="str">
            <v xml:space="preserve">KAS KANPUS                              </v>
          </cell>
          <cell r="R1378" t="str">
            <v>Belum TL</v>
          </cell>
          <cell r="S1378" t="str">
            <v>Belum TL</v>
          </cell>
          <cell r="T1378" t="str">
            <v>90170665 - Mutiara Ayuningtyas</v>
          </cell>
          <cell r="U1378" t="str">
            <v>"-"</v>
          </cell>
        </row>
        <row r="1379">
          <cell r="A1379">
            <v>46258</v>
          </cell>
          <cell r="B1379" t="str">
            <v xml:space="preserve">NOVITA LISA                             </v>
          </cell>
          <cell r="C1379" t="str">
            <v>NGCU795</v>
          </cell>
          <cell r="D1379">
            <v>220701011665504</v>
          </cell>
          <cell r="E1379" t="str">
            <v>SEDANG</v>
          </cell>
          <cell r="F1379" t="str">
            <v>Tidak</v>
          </cell>
          <cell r="G1379" t="str">
            <v>Tidak</v>
          </cell>
          <cell r="I1379" t="str">
            <v>Teroris - Remark</v>
          </cell>
          <cell r="J1379">
            <v>178</v>
          </cell>
          <cell r="K1379">
            <v>50</v>
          </cell>
          <cell r="L1379" t="str">
            <v>Terorisme</v>
          </cell>
          <cell r="M1379" t="str">
            <v xml:space="preserve">Kas Kanpus                              </v>
          </cell>
          <cell r="N1379" t="str">
            <v xml:space="preserve">Kas Kanpus                              </v>
          </cell>
          <cell r="O1379" t="str">
            <v xml:space="preserve">KAS KANPUS                              </v>
          </cell>
          <cell r="R1379" t="str">
            <v>Belum TL</v>
          </cell>
          <cell r="S1379" t="str">
            <v>Belum TL</v>
          </cell>
          <cell r="T1379" t="str">
            <v>00394521 - Muhammad Hibbanduta</v>
          </cell>
          <cell r="U1379" t="str">
            <v>"-"</v>
          </cell>
        </row>
        <row r="1380">
          <cell r="A1380">
            <v>46265</v>
          </cell>
          <cell r="B1380" t="str">
            <v xml:space="preserve">NAPIAN                                  </v>
          </cell>
          <cell r="C1380" t="str">
            <v>NGLK593</v>
          </cell>
          <cell r="D1380">
            <v>173101009555509</v>
          </cell>
          <cell r="E1380" t="str">
            <v>SEDANG</v>
          </cell>
          <cell r="F1380" t="str">
            <v>Tidak</v>
          </cell>
          <cell r="G1380" t="str">
            <v>Tidak</v>
          </cell>
          <cell r="H1380" t="str">
            <v>Tidak</v>
          </cell>
          <cell r="I1380" t="str">
            <v>Bandar Judol Withdrawal</v>
          </cell>
          <cell r="J1380">
            <v>50</v>
          </cell>
          <cell r="K1380" t="str">
            <v>86,88,87</v>
          </cell>
          <cell r="L1380" t="str">
            <v>Judi Online</v>
          </cell>
          <cell r="M1380" t="str">
            <v xml:space="preserve">Kas Kanpus                              </v>
          </cell>
          <cell r="N1380" t="str">
            <v xml:space="preserve">Kas Kanpus                              </v>
          </cell>
          <cell r="O1380" t="str">
            <v xml:space="preserve">KAS KANPUS                              </v>
          </cell>
          <cell r="R1380" t="str">
            <v>Belum TL</v>
          </cell>
          <cell r="S1380" t="str">
            <v>Belum TL</v>
          </cell>
          <cell r="T1380" t="str">
            <v>90185538 - Muhammad Fahikal Auz</v>
          </cell>
          <cell r="U1380" t="str">
            <v>"-"</v>
          </cell>
        </row>
        <row r="1381">
          <cell r="A1381">
            <v>46261</v>
          </cell>
          <cell r="B1381" t="str">
            <v xml:space="preserve">NURMA WANTO                             </v>
          </cell>
          <cell r="C1381" t="str">
            <v>NGUV397</v>
          </cell>
          <cell r="D1381">
            <v>366101056408538</v>
          </cell>
          <cell r="E1381" t="str">
            <v>SEDANG</v>
          </cell>
          <cell r="F1381" t="str">
            <v>Tidak</v>
          </cell>
          <cell r="G1381" t="str">
            <v>Tidak</v>
          </cell>
          <cell r="I1381" t="str">
            <v>Teroris - Remark</v>
          </cell>
          <cell r="J1381">
            <v>168</v>
          </cell>
          <cell r="K1381">
            <v>50</v>
          </cell>
          <cell r="L1381" t="str">
            <v>Terorisme</v>
          </cell>
          <cell r="M1381" t="str">
            <v xml:space="preserve">Kas Kanpus                              </v>
          </cell>
          <cell r="N1381" t="str">
            <v xml:space="preserve">Kas Kanpus                              </v>
          </cell>
          <cell r="O1381" t="str">
            <v xml:space="preserve">KAS KANPUS                              </v>
          </cell>
          <cell r="R1381" t="str">
            <v>Belum TL</v>
          </cell>
          <cell r="S1381" t="str">
            <v>Belum TL</v>
          </cell>
          <cell r="T1381" t="str">
            <v>00394520 - Frida Akbar Rani</v>
          </cell>
          <cell r="U1381" t="str">
            <v>"-"</v>
          </cell>
        </row>
        <row r="1382">
          <cell r="A1382">
            <v>46265</v>
          </cell>
          <cell r="B1382" t="str">
            <v xml:space="preserve">NINDITA RANNI PRASETIO                  </v>
          </cell>
          <cell r="C1382" t="str">
            <v>NHAV819</v>
          </cell>
          <cell r="D1382">
            <v>4359720212172500</v>
          </cell>
          <cell r="E1382" t="str">
            <v>SEDANG</v>
          </cell>
          <cell r="F1382" t="str">
            <v>Tidak</v>
          </cell>
          <cell r="G1382" t="str">
            <v>Tidak</v>
          </cell>
          <cell r="H1382" t="str">
            <v>Tidak</v>
          </cell>
          <cell r="I1382" t="str">
            <v>Penghindaran Pajak (Transaksi Fiktif)/Penyuapan CC</v>
          </cell>
          <cell r="J1382">
            <v>45</v>
          </cell>
          <cell r="K1382">
            <v>118</v>
          </cell>
          <cell r="L1382" t="str">
            <v>Penyuapan / Penghindaran Pajak CC View</v>
          </cell>
          <cell r="M1382" t="str">
            <v xml:space="preserve">Kas Kanpus                              </v>
          </cell>
          <cell r="N1382" t="str">
            <v xml:space="preserve">Kas Kanpus                              </v>
          </cell>
          <cell r="O1382" t="str">
            <v xml:space="preserve">KAS KANPUS                              </v>
          </cell>
          <cell r="R1382" t="str">
            <v>Belum TL</v>
          </cell>
          <cell r="S1382" t="str">
            <v>Belum TL</v>
          </cell>
          <cell r="T1382" t="str">
            <v>00336949 - Mochammad Al Farabi</v>
          </cell>
          <cell r="U1382" t="str">
            <v>"-"</v>
          </cell>
        </row>
        <row r="1383">
          <cell r="A1383">
            <v>46265</v>
          </cell>
          <cell r="B1383" t="str">
            <v xml:space="preserve">NUR ALIFIATURROHMANIYAH                 </v>
          </cell>
          <cell r="C1383" t="str">
            <v>NHAW967</v>
          </cell>
          <cell r="D1383">
            <v>600701000029563</v>
          </cell>
          <cell r="E1383" t="str">
            <v>SEDANG</v>
          </cell>
          <cell r="F1383" t="str">
            <v>Tidak</v>
          </cell>
          <cell r="G1383" t="str">
            <v>Tidak</v>
          </cell>
          <cell r="H1383" t="str">
            <v>Tidak</v>
          </cell>
          <cell r="I1383" t="str">
            <v>Bandar Judol Depo</v>
          </cell>
          <cell r="J1383">
            <v>50</v>
          </cell>
          <cell r="K1383" t="str">
            <v>86,74,87</v>
          </cell>
          <cell r="L1383" t="str">
            <v>Judi Online</v>
          </cell>
          <cell r="M1383" t="str">
            <v xml:space="preserve">Kas Kanpus                              </v>
          </cell>
          <cell r="N1383" t="str">
            <v xml:space="preserve">Kas Kanpus                              </v>
          </cell>
          <cell r="O1383" t="str">
            <v xml:space="preserve">KAS KANPUS                              </v>
          </cell>
          <cell r="R1383" t="str">
            <v>Belum TL</v>
          </cell>
          <cell r="S1383" t="str">
            <v>Belum TL</v>
          </cell>
          <cell r="T1383" t="str">
            <v>90185537 - Moh.Khoerul Fajar Ar</v>
          </cell>
          <cell r="U1383" t="str">
            <v>"-"</v>
          </cell>
        </row>
        <row r="1384">
          <cell r="A1384">
            <v>46265</v>
          </cell>
          <cell r="B1384" t="str">
            <v xml:space="preserve">NOFRIANSYAH                             </v>
          </cell>
          <cell r="C1384" t="str">
            <v>NHB1931</v>
          </cell>
          <cell r="D1384">
            <v>34601055572503</v>
          </cell>
          <cell r="E1384" t="str">
            <v>RENDAH</v>
          </cell>
          <cell r="F1384" t="str">
            <v>Tidak</v>
          </cell>
          <cell r="G1384" t="str">
            <v>Tidak</v>
          </cell>
          <cell r="H1384" t="str">
            <v>Tidak</v>
          </cell>
          <cell r="I1384" t="str">
            <v>Bandar Judol Withdrawal</v>
          </cell>
          <cell r="J1384">
            <v>35</v>
          </cell>
          <cell r="K1384" t="str">
            <v>86,88,87</v>
          </cell>
          <cell r="L1384" t="str">
            <v>Judi Online</v>
          </cell>
          <cell r="M1384" t="str">
            <v xml:space="preserve">Kas Kanpus                              </v>
          </cell>
          <cell r="N1384" t="str">
            <v xml:space="preserve">Kas Kanpus                              </v>
          </cell>
          <cell r="O1384" t="str">
            <v xml:space="preserve">KAS KANPUS                              </v>
          </cell>
          <cell r="R1384" t="str">
            <v>Belum TL</v>
          </cell>
          <cell r="S1384" t="str">
            <v>Belum TL</v>
          </cell>
          <cell r="T1384" t="str">
            <v>00336949 - Mochammad Al Farabi</v>
          </cell>
          <cell r="U1384" t="str">
            <v>"-"</v>
          </cell>
        </row>
        <row r="1385">
          <cell r="A1385">
            <v>46265</v>
          </cell>
          <cell r="B1385" t="str">
            <v xml:space="preserve">NURJANAH                                </v>
          </cell>
          <cell r="C1385" t="str">
            <v>NHO5985</v>
          </cell>
          <cell r="D1385">
            <v>39601030793501</v>
          </cell>
          <cell r="E1385" t="str">
            <v>SEDANG</v>
          </cell>
          <cell r="F1385" t="str">
            <v>Tidak</v>
          </cell>
          <cell r="G1385" t="str">
            <v>Tidak</v>
          </cell>
          <cell r="H1385" t="str">
            <v>Tidak</v>
          </cell>
          <cell r="I1385" t="str">
            <v>Bandar Judol Withdrawal</v>
          </cell>
          <cell r="J1385">
            <v>50</v>
          </cell>
          <cell r="K1385" t="str">
            <v>86,88,87</v>
          </cell>
          <cell r="L1385" t="str">
            <v>Judi Online</v>
          </cell>
          <cell r="M1385" t="str">
            <v xml:space="preserve">Kas Kanpus                              </v>
          </cell>
          <cell r="N1385" t="str">
            <v xml:space="preserve">Kas Kanpus                              </v>
          </cell>
          <cell r="O1385" t="str">
            <v xml:space="preserve">KAS KANPUS                              </v>
          </cell>
          <cell r="R1385" t="str">
            <v>Belum TL</v>
          </cell>
          <cell r="S1385" t="str">
            <v>Belum TL</v>
          </cell>
          <cell r="T1385" t="str">
            <v>90185537 - Moh.Khoerul Fajar Ar</v>
          </cell>
          <cell r="U1385" t="str">
            <v>"-"</v>
          </cell>
        </row>
        <row r="1386">
          <cell r="A1386">
            <v>46265</v>
          </cell>
          <cell r="B1386" t="str">
            <v xml:space="preserve">NOOR ROZAQ                              </v>
          </cell>
          <cell r="C1386" t="str">
            <v>NHSZ791</v>
          </cell>
          <cell r="D1386">
            <v>592201054791537</v>
          </cell>
          <cell r="E1386" t="str">
            <v>SEDANG</v>
          </cell>
          <cell r="F1386" t="str">
            <v>Tidak</v>
          </cell>
          <cell r="G1386" t="str">
            <v>Tidak</v>
          </cell>
          <cell r="H1386" t="str">
            <v>Tidak</v>
          </cell>
          <cell r="I1386" t="str">
            <v>Narkotika - Area Lapas</v>
          </cell>
          <cell r="J1386">
            <v>53</v>
          </cell>
          <cell r="K1386">
            <v>46</v>
          </cell>
          <cell r="L1386" t="str">
            <v>Narkotika</v>
          </cell>
          <cell r="M1386" t="str">
            <v>UNIT DAWE KUDUS</v>
          </cell>
          <cell r="N1386" t="str">
            <v>KC Kudus</v>
          </cell>
          <cell r="O1386" t="str">
            <v>Semarang</v>
          </cell>
          <cell r="R1386" t="str">
            <v>Belum TL</v>
          </cell>
          <cell r="S1386" t="str">
            <v>Belum TL</v>
          </cell>
          <cell r="T1386" t="str">
            <v>90185538 - Muhammad Fahikal Auz</v>
          </cell>
          <cell r="U1386" t="str">
            <v>"-"</v>
          </cell>
        </row>
        <row r="1387">
          <cell r="A1387">
            <v>46265</v>
          </cell>
          <cell r="B1387" t="str">
            <v xml:space="preserve">NOVITA SARI                             </v>
          </cell>
          <cell r="C1387" t="str">
            <v>NHUE728</v>
          </cell>
          <cell r="D1387">
            <v>526001001975504</v>
          </cell>
          <cell r="E1387" t="str">
            <v>SEDANG</v>
          </cell>
          <cell r="F1387" t="str">
            <v>Tidak</v>
          </cell>
          <cell r="G1387" t="str">
            <v>Tidak</v>
          </cell>
          <cell r="H1387" t="str">
            <v>Ya</v>
          </cell>
          <cell r="I1387" t="str">
            <v>Bandar Judol Withdrawal</v>
          </cell>
          <cell r="J1387">
            <v>50</v>
          </cell>
          <cell r="K1387" t="str">
            <v>86,88,87</v>
          </cell>
          <cell r="L1387" t="str">
            <v>Judi Online</v>
          </cell>
          <cell r="M1387" t="str">
            <v xml:space="preserve">Kas Kanpus                              </v>
          </cell>
          <cell r="N1387" t="str">
            <v xml:space="preserve">Kas Kanpus                              </v>
          </cell>
          <cell r="O1387" t="str">
            <v xml:space="preserve">KAS KANPUS                              </v>
          </cell>
          <cell r="R1387" t="str">
            <v>Belum TL</v>
          </cell>
          <cell r="S1387" t="str">
            <v>Belum TL</v>
          </cell>
          <cell r="T1387" t="str">
            <v>90185537 - Moh.Khoerul Fajar Ar</v>
          </cell>
          <cell r="U1387" t="str">
            <v>"-"</v>
          </cell>
        </row>
        <row r="1388">
          <cell r="A1388">
            <v>46265</v>
          </cell>
          <cell r="B1388" t="str">
            <v xml:space="preserve">NUR FADILA                              </v>
          </cell>
          <cell r="C1388" t="str">
            <v>NHZG377</v>
          </cell>
          <cell r="D1388">
            <v>487801005545501</v>
          </cell>
          <cell r="E1388" t="str">
            <v>SEDANG</v>
          </cell>
          <cell r="F1388" t="str">
            <v>Tidak</v>
          </cell>
          <cell r="G1388" t="str">
            <v>Tidak</v>
          </cell>
          <cell r="H1388" t="str">
            <v>Tidak</v>
          </cell>
          <cell r="I1388" t="str">
            <v>Bandar Judol Withdrawal</v>
          </cell>
          <cell r="J1388">
            <v>50</v>
          </cell>
          <cell r="K1388" t="str">
            <v>86,88,87</v>
          </cell>
          <cell r="L1388" t="str">
            <v>Judi Online</v>
          </cell>
          <cell r="M1388" t="str">
            <v xml:space="preserve">Kas Kanpus                              </v>
          </cell>
          <cell r="N1388" t="str">
            <v xml:space="preserve">Kas Kanpus                              </v>
          </cell>
          <cell r="O1388" t="str">
            <v xml:space="preserve">KAS KANPUS                              </v>
          </cell>
          <cell r="R1388" t="str">
            <v>Belum TL</v>
          </cell>
          <cell r="S1388" t="str">
            <v>Belum TL</v>
          </cell>
          <cell r="T1388" t="str">
            <v>90150130 - Intan Aida Pratiwi</v>
          </cell>
          <cell r="U1388" t="str">
            <v>"-"</v>
          </cell>
        </row>
        <row r="1389">
          <cell r="A1389">
            <v>46265</v>
          </cell>
          <cell r="B1389" t="str">
            <v xml:space="preserve">NUR'AINI                                </v>
          </cell>
          <cell r="C1389" t="str">
            <v>NIA4889</v>
          </cell>
          <cell r="D1389">
            <v>337901088546531</v>
          </cell>
          <cell r="E1389" t="str">
            <v>SEDANG</v>
          </cell>
          <cell r="F1389" t="str">
            <v>Tidak</v>
          </cell>
          <cell r="G1389" t="str">
            <v>Tidak</v>
          </cell>
          <cell r="H1389" t="str">
            <v>Tidak</v>
          </cell>
          <cell r="I1389" t="str">
            <v>Bandar Judol Depo</v>
          </cell>
          <cell r="J1389">
            <v>50</v>
          </cell>
          <cell r="K1389" t="str">
            <v>86,74,87</v>
          </cell>
          <cell r="L1389" t="str">
            <v>Judi Online</v>
          </cell>
          <cell r="M1389" t="str">
            <v xml:space="preserve">Kas Kanpus                              </v>
          </cell>
          <cell r="N1389" t="str">
            <v xml:space="preserve">Kas Kanpus                              </v>
          </cell>
          <cell r="O1389" t="str">
            <v xml:space="preserve">KAS KANPUS                              </v>
          </cell>
          <cell r="R1389" t="str">
            <v>Belum TL</v>
          </cell>
          <cell r="S1389" t="str">
            <v>Belum TL</v>
          </cell>
          <cell r="T1389" t="str">
            <v>90150130 - Intan Aida Pratiwi</v>
          </cell>
          <cell r="U1389" t="str">
            <v>"-"</v>
          </cell>
        </row>
        <row r="1390">
          <cell r="A1390">
            <v>46265</v>
          </cell>
          <cell r="B1390" t="str">
            <v xml:space="preserve">NATA AGUSTINA                           </v>
          </cell>
          <cell r="C1390" t="str">
            <v>NHV1061</v>
          </cell>
          <cell r="D1390">
            <v>4601056100509</v>
          </cell>
          <cell r="E1390" t="str">
            <v>SEDANG</v>
          </cell>
          <cell r="F1390" t="str">
            <v>Tidak</v>
          </cell>
          <cell r="G1390" t="str">
            <v>Tidak</v>
          </cell>
          <cell r="H1390" t="str">
            <v>Tidak</v>
          </cell>
          <cell r="I1390" t="str">
            <v>Bandar Judol Depo</v>
          </cell>
          <cell r="J1390">
            <v>50</v>
          </cell>
          <cell r="K1390" t="str">
            <v>86,74,87</v>
          </cell>
          <cell r="L1390" t="str">
            <v>Judi Online</v>
          </cell>
          <cell r="M1390" t="str">
            <v xml:space="preserve">Kas Kanpus                              </v>
          </cell>
          <cell r="N1390" t="str">
            <v xml:space="preserve">Kas Kanpus                              </v>
          </cell>
          <cell r="O1390" t="str">
            <v xml:space="preserve">KAS KANPUS                              </v>
          </cell>
          <cell r="R1390" t="str">
            <v>Belum TL</v>
          </cell>
          <cell r="S1390" t="str">
            <v>Belum TL</v>
          </cell>
          <cell r="T1390" t="str">
            <v>00394521 - Muhammad Hibbanduta</v>
          </cell>
          <cell r="U1390" t="str">
            <v>"-"</v>
          </cell>
        </row>
        <row r="1391">
          <cell r="A1391">
            <v>46252</v>
          </cell>
          <cell r="B1391" t="str">
            <v xml:space="preserve">NUR ROHMATUL FAISAH                     </v>
          </cell>
          <cell r="C1391" t="str">
            <v>NINP157</v>
          </cell>
          <cell r="D1391">
            <v>4401142160508</v>
          </cell>
          <cell r="E1391" t="str">
            <v>SEDANG</v>
          </cell>
          <cell r="F1391" t="str">
            <v>Tidak</v>
          </cell>
          <cell r="G1391" t="str">
            <v>Tidak</v>
          </cell>
          <cell r="I1391" t="str">
            <v>Teroris - Remark</v>
          </cell>
          <cell r="J1391">
            <v>168</v>
          </cell>
          <cell r="K1391">
            <v>50</v>
          </cell>
          <cell r="L1391" t="str">
            <v>Terorisme</v>
          </cell>
          <cell r="M1391" t="str">
            <v xml:space="preserve">Kas Kanpus                              </v>
          </cell>
          <cell r="N1391" t="str">
            <v xml:space="preserve">Kas Kanpus                              </v>
          </cell>
          <cell r="O1391" t="str">
            <v xml:space="preserve">KAS KANPUS                              </v>
          </cell>
          <cell r="R1391" t="str">
            <v>Belum TL</v>
          </cell>
          <cell r="S1391" t="str">
            <v>Belum TL</v>
          </cell>
          <cell r="T1391" t="str">
            <v>00394520 - Frida Akbar Rani</v>
          </cell>
          <cell r="U1391" t="str">
            <v>"-"</v>
          </cell>
        </row>
        <row r="1392">
          <cell r="A1392">
            <v>46265</v>
          </cell>
          <cell r="B1392" t="str">
            <v xml:space="preserve">NURSIA ABD RAJAK                        </v>
          </cell>
          <cell r="C1392" t="str">
            <v>NIRA012</v>
          </cell>
          <cell r="D1392">
            <v>28001027446102</v>
          </cell>
          <cell r="E1392" t="str">
            <v>RENDAH</v>
          </cell>
          <cell r="F1392" t="str">
            <v>Tidak</v>
          </cell>
          <cell r="G1392" t="str">
            <v>Tidak</v>
          </cell>
          <cell r="H1392" t="str">
            <v>Tidak</v>
          </cell>
          <cell r="I1392" t="str">
            <v>Korupsi - Loan View</v>
          </cell>
          <cell r="J1392">
            <v>33</v>
          </cell>
          <cell r="K1392">
            <v>15</v>
          </cell>
          <cell r="L1392" t="str">
            <v>Korupsi</v>
          </cell>
          <cell r="M1392" t="str">
            <v>Kas Kanpus</v>
          </cell>
          <cell r="N1392" t="str">
            <v>Kas Kanpus</v>
          </cell>
          <cell r="O1392" t="str">
            <v>KAS KANPUS</v>
          </cell>
          <cell r="R1392" t="str">
            <v>Belum TL</v>
          </cell>
          <cell r="S1392" t="str">
            <v>Belum TL</v>
          </cell>
          <cell r="T1392" t="str">
            <v>90186790 - Muhammad Alfin Farha</v>
          </cell>
          <cell r="U1392" t="str">
            <v>"-"</v>
          </cell>
        </row>
        <row r="1393">
          <cell r="A1393">
            <v>46265</v>
          </cell>
          <cell r="B1393" t="str">
            <v xml:space="preserve">NISVA SYABINA                           </v>
          </cell>
          <cell r="C1393" t="str">
            <v>NIUJ794</v>
          </cell>
          <cell r="D1393">
            <v>173101007299505</v>
          </cell>
          <cell r="E1393" t="str">
            <v>SEDANG</v>
          </cell>
          <cell r="F1393" t="str">
            <v>Tidak</v>
          </cell>
          <cell r="G1393" t="str">
            <v>Tidak</v>
          </cell>
          <cell r="H1393" t="str">
            <v>Tidak</v>
          </cell>
          <cell r="I1393" t="str">
            <v>Bandar Judol Withdrawal</v>
          </cell>
          <cell r="J1393">
            <v>50</v>
          </cell>
          <cell r="K1393" t="str">
            <v>86,88,87</v>
          </cell>
          <cell r="L1393" t="str">
            <v>Judi Online</v>
          </cell>
          <cell r="M1393" t="str">
            <v xml:space="preserve">Kas Kanpus                              </v>
          </cell>
          <cell r="N1393" t="str">
            <v xml:space="preserve">Kas Kanpus                              </v>
          </cell>
          <cell r="O1393" t="str">
            <v xml:space="preserve">KAS KANPUS                              </v>
          </cell>
          <cell r="R1393" t="str">
            <v>Belum TL</v>
          </cell>
          <cell r="S1393" t="str">
            <v>Belum TL</v>
          </cell>
          <cell r="T1393" t="str">
            <v>00394520 - Frida Akbar Rani</v>
          </cell>
          <cell r="U1393" t="str">
            <v>"-"</v>
          </cell>
        </row>
        <row r="1394">
          <cell r="A1394">
            <v>46265</v>
          </cell>
          <cell r="B1394" t="str">
            <v xml:space="preserve">NOVIERLY                                </v>
          </cell>
          <cell r="C1394" t="str">
            <v>NIX4161</v>
          </cell>
          <cell r="D1394">
            <v>109901091491503</v>
          </cell>
          <cell r="E1394" t="str">
            <v>SEDANG</v>
          </cell>
          <cell r="F1394" t="str">
            <v>Tidak</v>
          </cell>
          <cell r="G1394" t="str">
            <v>Tidak</v>
          </cell>
          <cell r="H1394" t="str">
            <v>Tidak</v>
          </cell>
          <cell r="I1394" t="str">
            <v>Korupsi - Cash &amp; Amount</v>
          </cell>
          <cell r="J1394">
            <v>48</v>
          </cell>
          <cell r="K1394" t="str">
            <v>1,2,20</v>
          </cell>
          <cell r="L1394" t="str">
            <v>Korupsi</v>
          </cell>
          <cell r="M1394" t="str">
            <v>Kas Kanpus</v>
          </cell>
          <cell r="N1394" t="str">
            <v>Kas Kanpus</v>
          </cell>
          <cell r="O1394" t="str">
            <v>KAS KANPUS</v>
          </cell>
          <cell r="R1394" t="str">
            <v>Belum TL</v>
          </cell>
          <cell r="S1394" t="str">
            <v>Belum TL</v>
          </cell>
          <cell r="T1394" t="str">
            <v>90186790 - Muhammad Alfin Farha</v>
          </cell>
          <cell r="U1394" t="str">
            <v>"-"</v>
          </cell>
        </row>
        <row r="1395">
          <cell r="A1395">
            <v>46265</v>
          </cell>
          <cell r="B1395" t="str">
            <v xml:space="preserve">NURMA YUSTINA                           </v>
          </cell>
          <cell r="C1395" t="str">
            <v>NIXE453</v>
          </cell>
          <cell r="D1395">
            <v>4359720283308100</v>
          </cell>
          <cell r="E1395" t="str">
            <v>SEDANG</v>
          </cell>
          <cell r="F1395" t="str">
            <v>Tidak</v>
          </cell>
          <cell r="G1395" t="str">
            <v>Tidak</v>
          </cell>
          <cell r="H1395" t="str">
            <v>Tidak</v>
          </cell>
          <cell r="I1395" t="str">
            <v>Penghindaran Pajak (Transaksi Fiktif)/Penyuapan CC</v>
          </cell>
          <cell r="J1395">
            <v>45</v>
          </cell>
          <cell r="K1395">
            <v>118</v>
          </cell>
          <cell r="L1395" t="str">
            <v>Penyuapan / Penghindaran Pajak CC View</v>
          </cell>
          <cell r="M1395" t="str">
            <v xml:space="preserve">Kas Kanpus                              </v>
          </cell>
          <cell r="N1395" t="str">
            <v xml:space="preserve">Kas Kanpus                              </v>
          </cell>
          <cell r="O1395" t="str">
            <v xml:space="preserve">KAS KANPUS                              </v>
          </cell>
          <cell r="R1395" t="str">
            <v>Belum TL</v>
          </cell>
          <cell r="S1395" t="str">
            <v>Belum TL</v>
          </cell>
          <cell r="T1395" t="str">
            <v>90186790 - Muhammad Alfin Farha</v>
          </cell>
          <cell r="U1395" t="str">
            <v>"-"</v>
          </cell>
        </row>
        <row r="1396">
          <cell r="A1396">
            <v>46265</v>
          </cell>
          <cell r="B1396" t="str">
            <v xml:space="preserve">NAMIRA BANGKALAN JAYA                   </v>
          </cell>
          <cell r="C1396" t="str">
            <v>NJHF963</v>
          </cell>
          <cell r="D1396">
            <v>68401343434302</v>
          </cell>
          <cell r="E1396" t="str">
            <v>SEDANG</v>
          </cell>
          <cell r="F1396" t="str">
            <v>Tidak</v>
          </cell>
          <cell r="G1396" t="str">
            <v>Tidak</v>
          </cell>
          <cell r="H1396" t="str">
            <v>Tidak</v>
          </cell>
          <cell r="I1396" t="str">
            <v>Perpajakan</v>
          </cell>
          <cell r="J1396">
            <v>53</v>
          </cell>
          <cell r="K1396">
            <v>41</v>
          </cell>
          <cell r="L1396" t="str">
            <v>Perpajakan</v>
          </cell>
          <cell r="M1396" t="str">
            <v xml:space="preserve">KC Waru                                 </v>
          </cell>
          <cell r="N1396" t="str">
            <v xml:space="preserve">KC Waru                                 </v>
          </cell>
          <cell r="O1396" t="str">
            <v xml:space="preserve">Surabaya                                </v>
          </cell>
          <cell r="R1396" t="str">
            <v>Belum TL</v>
          </cell>
          <cell r="S1396" t="str">
            <v>Belum TL</v>
          </cell>
          <cell r="T1396" t="str">
            <v>90185538 - Muhammad Fahikal Auz</v>
          </cell>
          <cell r="U1396" t="str">
            <v>"-"</v>
          </cell>
        </row>
        <row r="1397">
          <cell r="A1397">
            <v>46265</v>
          </cell>
          <cell r="B1397" t="str">
            <v xml:space="preserve">NENDEN YULIANTI                         </v>
          </cell>
          <cell r="C1397" t="str">
            <v>NJO9540</v>
          </cell>
          <cell r="D1397">
            <v>4359720234660000</v>
          </cell>
          <cell r="E1397" t="str">
            <v>SEDANG</v>
          </cell>
          <cell r="F1397" t="str">
            <v>Tidak</v>
          </cell>
          <cell r="G1397" t="str">
            <v>Tidak</v>
          </cell>
          <cell r="H1397" t="str">
            <v>Tidak</v>
          </cell>
          <cell r="I1397" t="str">
            <v>Penghindaran Pajak (Transaksi Fiktif)/Penyuapan CC</v>
          </cell>
          <cell r="J1397">
            <v>45</v>
          </cell>
          <cell r="K1397">
            <v>118</v>
          </cell>
          <cell r="L1397" t="str">
            <v>Penyuapan / Penghindaran Pajak CC View</v>
          </cell>
          <cell r="M1397" t="str">
            <v xml:space="preserve">Kas Kanpus                              </v>
          </cell>
          <cell r="N1397" t="str">
            <v xml:space="preserve">Kas Kanpus                              </v>
          </cell>
          <cell r="O1397" t="str">
            <v xml:space="preserve">KAS KANPUS                              </v>
          </cell>
          <cell r="R1397" t="str">
            <v>Belum TL</v>
          </cell>
          <cell r="S1397" t="str">
            <v>Belum TL</v>
          </cell>
          <cell r="T1397" t="str">
            <v>90186796 - Devito Arya Wiradila</v>
          </cell>
          <cell r="U1397" t="str">
            <v>"-"</v>
          </cell>
        </row>
        <row r="1398">
          <cell r="A1398">
            <v>46265</v>
          </cell>
          <cell r="B1398" t="str">
            <v xml:space="preserve">NURUL MUCHAIMIN                         </v>
          </cell>
          <cell r="C1398" t="str">
            <v>NJUF980</v>
          </cell>
          <cell r="D1398">
            <v>59101005949531</v>
          </cell>
          <cell r="F1398" t="str">
            <v>Tidak</v>
          </cell>
          <cell r="G1398" t="str">
            <v>Tidak</v>
          </cell>
          <cell r="I1398" t="str">
            <v>Jual Beli Rekening - E channel Trx</v>
          </cell>
          <cell r="J1398">
            <v>33</v>
          </cell>
          <cell r="K1398">
            <v>113</v>
          </cell>
          <cell r="L1398" t="str">
            <v>Narkotika/Judi Online/Penipuan</v>
          </cell>
          <cell r="M1398" t="str">
            <v xml:space="preserve">KCP Undiknas                            </v>
          </cell>
          <cell r="N1398" t="str">
            <v xml:space="preserve">KC Denpasar Renon                       </v>
          </cell>
          <cell r="O1398" t="str">
            <v xml:space="preserve">Denpasar                                </v>
          </cell>
          <cell r="R1398" t="str">
            <v>Belum TL</v>
          </cell>
          <cell r="S1398" t="str">
            <v>Belum TL</v>
          </cell>
          <cell r="U1398" t="str">
            <v>"-"</v>
          </cell>
        </row>
        <row r="1399">
          <cell r="A1399">
            <v>46265</v>
          </cell>
          <cell r="B1399" t="str">
            <v xml:space="preserve">NURUL AULIA USMAN                       </v>
          </cell>
          <cell r="C1399" t="str">
            <v>NKDQ533</v>
          </cell>
          <cell r="D1399">
            <v>53101017299500</v>
          </cell>
          <cell r="F1399" t="str">
            <v>Tidak</v>
          </cell>
          <cell r="G1399" t="str">
            <v>Tidak</v>
          </cell>
          <cell r="H1399" t="str">
            <v>Tidak</v>
          </cell>
          <cell r="I1399" t="str">
            <v>Bandar Judol Withdrawal</v>
          </cell>
          <cell r="J1399">
            <v>35</v>
          </cell>
          <cell r="K1399" t="str">
            <v>86,88,87</v>
          </cell>
          <cell r="L1399" t="str">
            <v>Judi Online</v>
          </cell>
          <cell r="M1399" t="str">
            <v xml:space="preserve">Kas Kanpus                              </v>
          </cell>
          <cell r="N1399" t="str">
            <v xml:space="preserve">Kas Kanpus                              </v>
          </cell>
          <cell r="O1399" t="str">
            <v xml:space="preserve">KAS KANPUS                              </v>
          </cell>
          <cell r="R1399" t="str">
            <v>Belum TL</v>
          </cell>
          <cell r="S1399" t="str">
            <v>Belum TL</v>
          </cell>
          <cell r="T1399" t="str">
            <v>00394521 - Muhammad Hibbanduta</v>
          </cell>
          <cell r="U1399" t="str">
            <v>"-"</v>
          </cell>
        </row>
        <row r="1400">
          <cell r="A1400">
            <v>46265</v>
          </cell>
          <cell r="B1400" t="str">
            <v xml:space="preserve">NAKASANA CEMERLANG                      </v>
          </cell>
          <cell r="C1400" t="str">
            <v>NKE9069</v>
          </cell>
          <cell r="D1400">
            <v>12201002046301</v>
          </cell>
          <cell r="E1400" t="str">
            <v>SEDANG</v>
          </cell>
          <cell r="F1400" t="str">
            <v>Tidak</v>
          </cell>
          <cell r="G1400" t="str">
            <v>Tidak</v>
          </cell>
          <cell r="H1400" t="str">
            <v>Tidak</v>
          </cell>
          <cell r="I1400" t="str">
            <v>Korupsi - Cash &amp; Amount</v>
          </cell>
          <cell r="J1400">
            <v>48</v>
          </cell>
          <cell r="K1400" t="str">
            <v>1,2,20</v>
          </cell>
          <cell r="L1400" t="str">
            <v>Korupsi</v>
          </cell>
          <cell r="M1400" t="str">
            <v>Kas Kanpus</v>
          </cell>
          <cell r="N1400" t="str">
            <v>Kas Kanpus</v>
          </cell>
          <cell r="O1400" t="str">
            <v>KAS KANPUS</v>
          </cell>
          <cell r="R1400" t="str">
            <v>Belum TL</v>
          </cell>
          <cell r="S1400" t="str">
            <v>Belum TL</v>
          </cell>
          <cell r="T1400" t="str">
            <v>90171841 - Rifqi Aziz</v>
          </cell>
          <cell r="U1400" t="str">
            <v>"-"</v>
          </cell>
        </row>
        <row r="1401">
          <cell r="A1401">
            <v>46265</v>
          </cell>
          <cell r="B1401" t="str">
            <v xml:space="preserve">NOVI INDRIYANTI                         </v>
          </cell>
          <cell r="C1401" t="str">
            <v>NKEL510</v>
          </cell>
          <cell r="D1401">
            <v>112901009457532</v>
          </cell>
          <cell r="F1401" t="str">
            <v>Tidak</v>
          </cell>
          <cell r="G1401" t="str">
            <v>Tidak</v>
          </cell>
          <cell r="H1401" t="str">
            <v>Tidak</v>
          </cell>
          <cell r="I1401" t="str">
            <v>Bandar Judol Withdrawal</v>
          </cell>
          <cell r="J1401">
            <v>35</v>
          </cell>
          <cell r="K1401" t="str">
            <v>86,88,87</v>
          </cell>
          <cell r="L1401" t="str">
            <v>Judi Online</v>
          </cell>
          <cell r="M1401" t="str">
            <v xml:space="preserve">Kas Kanpus                              </v>
          </cell>
          <cell r="N1401" t="str">
            <v xml:space="preserve">Kas Kanpus                              </v>
          </cell>
          <cell r="O1401" t="str">
            <v xml:space="preserve">KAS KANPUS                              </v>
          </cell>
          <cell r="R1401" t="str">
            <v>Belum TL</v>
          </cell>
          <cell r="S1401" t="str">
            <v>Belum TL</v>
          </cell>
          <cell r="T1401" t="str">
            <v>90185537 - Moh.Khoerul Fajar Ar</v>
          </cell>
          <cell r="U1401" t="str">
            <v>"-"</v>
          </cell>
        </row>
        <row r="1402">
          <cell r="A1402">
            <v>46265</v>
          </cell>
          <cell r="B1402" t="str">
            <v xml:space="preserve">NAZARUDDIN                              </v>
          </cell>
          <cell r="C1402" t="str">
            <v>NKG7420</v>
          </cell>
          <cell r="D1402">
            <v>63701002632105</v>
          </cell>
          <cell r="E1402" t="str">
            <v>TINGGI</v>
          </cell>
          <cell r="F1402" t="str">
            <v>Tidak</v>
          </cell>
          <cell r="G1402" t="str">
            <v>Tidak</v>
          </cell>
          <cell r="H1402" t="str">
            <v>Tidak</v>
          </cell>
          <cell r="I1402" t="str">
            <v>Korupsi - Loan View</v>
          </cell>
          <cell r="J1402">
            <v>73</v>
          </cell>
          <cell r="K1402">
            <v>15</v>
          </cell>
          <cell r="L1402" t="str">
            <v>Korupsi</v>
          </cell>
          <cell r="M1402" t="str">
            <v>Kas Kanpus</v>
          </cell>
          <cell r="N1402" t="str">
            <v>Kas Kanpus</v>
          </cell>
          <cell r="O1402" t="str">
            <v>KAS KANPUS</v>
          </cell>
          <cell r="R1402" t="str">
            <v>Belum TL</v>
          </cell>
          <cell r="S1402" t="str">
            <v>Belum TL</v>
          </cell>
          <cell r="T1402" t="str">
            <v>00394521 - Muhammad Hibbanduta</v>
          </cell>
          <cell r="U1402" t="str">
            <v>"-"</v>
          </cell>
        </row>
        <row r="1403">
          <cell r="A1403">
            <v>46265</v>
          </cell>
          <cell r="B1403" t="str">
            <v xml:space="preserve">NURDIN DG SUTTE                         </v>
          </cell>
          <cell r="C1403" t="str">
            <v>NKG8431</v>
          </cell>
          <cell r="D1403">
            <v>25001036027108</v>
          </cell>
          <cell r="E1403" t="str">
            <v>SEDANG</v>
          </cell>
          <cell r="F1403" t="str">
            <v>Tidak</v>
          </cell>
          <cell r="G1403" t="str">
            <v>Tidak</v>
          </cell>
          <cell r="H1403" t="str">
            <v>Tidak</v>
          </cell>
          <cell r="I1403" t="str">
            <v>Korupsi - Loan View</v>
          </cell>
          <cell r="J1403">
            <v>48</v>
          </cell>
          <cell r="K1403">
            <v>15</v>
          </cell>
          <cell r="L1403" t="str">
            <v>Korupsi</v>
          </cell>
          <cell r="M1403" t="str">
            <v>Kas Kanpus</v>
          </cell>
          <cell r="N1403" t="str">
            <v>Kas Kanpus</v>
          </cell>
          <cell r="O1403" t="str">
            <v>KAS KANPUS</v>
          </cell>
          <cell r="R1403" t="str">
            <v>Belum TL</v>
          </cell>
          <cell r="S1403" t="str">
            <v>Belum TL</v>
          </cell>
          <cell r="T1403" t="str">
            <v>90185537 - Moh.Khoerul Fajar Ar</v>
          </cell>
          <cell r="U1403" t="str">
            <v>"-"</v>
          </cell>
        </row>
        <row r="1404">
          <cell r="A1404">
            <v>46265</v>
          </cell>
          <cell r="B1404" t="str">
            <v xml:space="preserve">NUR HASAN                               </v>
          </cell>
          <cell r="C1404" t="str">
            <v>NKKP641</v>
          </cell>
          <cell r="D1404">
            <v>32901002433560</v>
          </cell>
          <cell r="F1404" t="str">
            <v>Tidak</v>
          </cell>
          <cell r="G1404" t="str">
            <v>Tidak</v>
          </cell>
          <cell r="H1404" t="str">
            <v>Tidak</v>
          </cell>
          <cell r="I1404" t="str">
            <v>Bandar Judol Withdrawal</v>
          </cell>
          <cell r="J1404">
            <v>35</v>
          </cell>
          <cell r="K1404" t="str">
            <v>86,88,87</v>
          </cell>
          <cell r="L1404" t="str">
            <v>Judi Online</v>
          </cell>
          <cell r="M1404" t="str">
            <v xml:space="preserve">Kas Kanpus                              </v>
          </cell>
          <cell r="N1404" t="str">
            <v xml:space="preserve">Kas Kanpus                              </v>
          </cell>
          <cell r="O1404" t="str">
            <v xml:space="preserve">KAS KANPUS                              </v>
          </cell>
          <cell r="R1404" t="str">
            <v>Belum TL</v>
          </cell>
          <cell r="S1404" t="str">
            <v>Belum TL</v>
          </cell>
          <cell r="T1404" t="str">
            <v>90185538 - Muhammad Fahikal Auz</v>
          </cell>
          <cell r="U1404" t="str">
            <v>"-"</v>
          </cell>
        </row>
        <row r="1405">
          <cell r="A1405">
            <v>46265</v>
          </cell>
          <cell r="B1405" t="str">
            <v xml:space="preserve">NUR ALISAH ANDRIYANI                    </v>
          </cell>
          <cell r="C1405" t="str">
            <v>NKSJ237</v>
          </cell>
          <cell r="D1405">
            <v>1901190087501</v>
          </cell>
          <cell r="F1405" t="str">
            <v>Tidak</v>
          </cell>
          <cell r="G1405" t="str">
            <v>Tidak</v>
          </cell>
          <cell r="H1405" t="str">
            <v>Tidak</v>
          </cell>
          <cell r="I1405" t="str">
            <v>Bandar Judol Withdrawal</v>
          </cell>
          <cell r="J1405">
            <v>35</v>
          </cell>
          <cell r="K1405" t="str">
            <v>86,88,87</v>
          </cell>
          <cell r="L1405" t="str">
            <v>Judi Online</v>
          </cell>
          <cell r="M1405" t="str">
            <v xml:space="preserve">Kas Kanpus                              </v>
          </cell>
          <cell r="N1405" t="str">
            <v xml:space="preserve">Kas Kanpus                              </v>
          </cell>
          <cell r="O1405" t="str">
            <v xml:space="preserve">KAS KANPUS                              </v>
          </cell>
          <cell r="R1405" t="str">
            <v>Belum TL</v>
          </cell>
          <cell r="S1405" t="str">
            <v>Belum TL</v>
          </cell>
          <cell r="T1405" t="str">
            <v>90185537 - Moh.Khoerul Fajar Ar</v>
          </cell>
          <cell r="U1405" t="str">
            <v>"-"</v>
          </cell>
        </row>
        <row r="1406">
          <cell r="A1406">
            <v>46265</v>
          </cell>
          <cell r="B1406" t="str">
            <v xml:space="preserve">NICO LEKSONO SAPUTRA BUDI SUTRISNO      </v>
          </cell>
          <cell r="C1406" t="str">
            <v>NKUG481</v>
          </cell>
          <cell r="D1406">
            <v>4359720230245000</v>
          </cell>
          <cell r="F1406" t="str">
            <v>Tidak</v>
          </cell>
          <cell r="G1406" t="str">
            <v>Tidak</v>
          </cell>
          <cell r="H1406" t="str">
            <v>Tidak</v>
          </cell>
          <cell r="I1406" t="str">
            <v>Penghindaran Pajak (Transaksi Fiktif)/Penyuapan CC</v>
          </cell>
          <cell r="J1406">
            <v>30</v>
          </cell>
          <cell r="K1406">
            <v>118</v>
          </cell>
          <cell r="L1406" t="str">
            <v>Penyuapan / Penghindaran Pajak CC View</v>
          </cell>
          <cell r="M1406" t="str">
            <v xml:space="preserve">Kas Kanpus                              </v>
          </cell>
          <cell r="N1406" t="str">
            <v xml:space="preserve">Kas Kanpus                              </v>
          </cell>
          <cell r="O1406" t="str">
            <v xml:space="preserve">KAS KANPUS                              </v>
          </cell>
          <cell r="R1406" t="str">
            <v>Belum TL</v>
          </cell>
          <cell r="S1406" t="str">
            <v>Belum TL</v>
          </cell>
          <cell r="T1406" t="str">
            <v>90186790 - Muhammad Alfin Farha</v>
          </cell>
          <cell r="U1406" t="str">
            <v>"-"</v>
          </cell>
        </row>
        <row r="1407">
          <cell r="A1407">
            <v>46265</v>
          </cell>
          <cell r="B1407" t="str">
            <v xml:space="preserve">NENENG                                  </v>
          </cell>
          <cell r="C1407" t="str">
            <v>NLCN871</v>
          </cell>
          <cell r="D1407">
            <v>90901021777503</v>
          </cell>
          <cell r="F1407" t="str">
            <v>Tidak</v>
          </cell>
          <cell r="G1407" t="str">
            <v>Tidak</v>
          </cell>
          <cell r="H1407" t="str">
            <v>Tidak</v>
          </cell>
          <cell r="I1407" t="str">
            <v>Bandar Judol Withdrawal</v>
          </cell>
          <cell r="J1407">
            <v>35</v>
          </cell>
          <cell r="K1407" t="str">
            <v>86,88,87</v>
          </cell>
          <cell r="L1407" t="str">
            <v>Judi Online</v>
          </cell>
          <cell r="M1407" t="str">
            <v xml:space="preserve">Kas Kanpus                              </v>
          </cell>
          <cell r="N1407" t="str">
            <v xml:space="preserve">Kas Kanpus                              </v>
          </cell>
          <cell r="O1407" t="str">
            <v xml:space="preserve">KAS KANPUS                              </v>
          </cell>
          <cell r="R1407" t="str">
            <v>Belum TL</v>
          </cell>
          <cell r="S1407" t="str">
            <v>Belum TL</v>
          </cell>
          <cell r="T1407" t="str">
            <v>90185538 - Muhammad Fahikal Auz</v>
          </cell>
          <cell r="U1407" t="str">
            <v>"-"</v>
          </cell>
        </row>
        <row r="1408">
          <cell r="A1408">
            <v>46265</v>
          </cell>
          <cell r="B1408" t="str">
            <v xml:space="preserve">NATHANIELLA CHRISTYUZ BUDI              </v>
          </cell>
          <cell r="C1408" t="str">
            <v>NLCU431</v>
          </cell>
          <cell r="D1408">
            <v>224801007012503</v>
          </cell>
          <cell r="F1408" t="str">
            <v>Tidak</v>
          </cell>
          <cell r="G1408" t="str">
            <v>Tidak</v>
          </cell>
          <cell r="H1408" t="str">
            <v>Tidak</v>
          </cell>
          <cell r="I1408" t="str">
            <v>Bandar Judol Withdrawal</v>
          </cell>
          <cell r="J1408">
            <v>35</v>
          </cell>
          <cell r="K1408" t="str">
            <v>86,88,87</v>
          </cell>
          <cell r="L1408" t="str">
            <v>Judi Online</v>
          </cell>
          <cell r="M1408" t="str">
            <v xml:space="preserve">Kas Kanpus                              </v>
          </cell>
          <cell r="N1408" t="str">
            <v xml:space="preserve">Kas Kanpus                              </v>
          </cell>
          <cell r="O1408" t="str">
            <v xml:space="preserve">KAS KANPUS                              </v>
          </cell>
          <cell r="R1408" t="str">
            <v>Belum TL</v>
          </cell>
          <cell r="S1408" t="str">
            <v>Belum TL</v>
          </cell>
          <cell r="T1408" t="str">
            <v>90185537 - Moh.Khoerul Fajar Ar</v>
          </cell>
          <cell r="U1408" t="str">
            <v>"-"</v>
          </cell>
        </row>
        <row r="1409">
          <cell r="A1409">
            <v>46265</v>
          </cell>
          <cell r="B1409" t="str">
            <v xml:space="preserve">MUHAMMAD HARIS TAUFIK                   </v>
          </cell>
          <cell r="C1409" t="str">
            <v>NLFK213</v>
          </cell>
          <cell r="D1409">
            <v>784601025550506</v>
          </cell>
          <cell r="F1409" t="str">
            <v>Tidak</v>
          </cell>
          <cell r="G1409" t="str">
            <v>Tidak</v>
          </cell>
          <cell r="H1409" t="str">
            <v>Tidak</v>
          </cell>
          <cell r="I1409" t="str">
            <v>Bandar Judol Withdrawal</v>
          </cell>
          <cell r="J1409">
            <v>35</v>
          </cell>
          <cell r="K1409" t="str">
            <v>86,88,87</v>
          </cell>
          <cell r="L1409" t="str">
            <v>Judi Online</v>
          </cell>
          <cell r="M1409" t="str">
            <v xml:space="preserve">Kas Kanpus                              </v>
          </cell>
          <cell r="N1409" t="str">
            <v xml:space="preserve">Kas Kanpus                              </v>
          </cell>
          <cell r="O1409" t="str">
            <v xml:space="preserve">KAS KANPUS                              </v>
          </cell>
          <cell r="R1409" t="str">
            <v>Belum TL</v>
          </cell>
          <cell r="S1409" t="str">
            <v>Belum TL</v>
          </cell>
          <cell r="T1409" t="str">
            <v>90170665 - Mutiara Ayuningtyas</v>
          </cell>
          <cell r="U1409" t="str">
            <v>"-"</v>
          </cell>
        </row>
        <row r="1410">
          <cell r="A1410">
            <v>46265</v>
          </cell>
          <cell r="B1410" t="str">
            <v xml:space="preserve">NUR SAVITRI                             </v>
          </cell>
          <cell r="C1410" t="str">
            <v>NLID364</v>
          </cell>
          <cell r="D1410">
            <v>4359720233645800</v>
          </cell>
          <cell r="F1410" t="str">
            <v>Tidak</v>
          </cell>
          <cell r="G1410" t="str">
            <v>Tidak</v>
          </cell>
          <cell r="H1410" t="str">
            <v>Tidak</v>
          </cell>
          <cell r="I1410" t="str">
            <v>Penghindaran Pajak (Transaksi Fiktif)/Penyuapan CC</v>
          </cell>
          <cell r="J1410">
            <v>30</v>
          </cell>
          <cell r="K1410">
            <v>118</v>
          </cell>
          <cell r="L1410" t="str">
            <v>Penyuapan / Penghindaran Pajak CC View</v>
          </cell>
          <cell r="M1410" t="str">
            <v xml:space="preserve">Kas Kanpus                              </v>
          </cell>
          <cell r="N1410" t="str">
            <v xml:space="preserve">Kas Kanpus                              </v>
          </cell>
          <cell r="O1410" t="str">
            <v xml:space="preserve">KAS KANPUS                              </v>
          </cell>
          <cell r="R1410" t="str">
            <v>Belum TL</v>
          </cell>
          <cell r="S1410" t="str">
            <v>Belum TL</v>
          </cell>
          <cell r="T1410" t="str">
            <v>90186790 - Muhammad Alfin Farha</v>
          </cell>
          <cell r="U1410" t="str">
            <v>"-"</v>
          </cell>
        </row>
        <row r="1411">
          <cell r="A1411">
            <v>46265</v>
          </cell>
          <cell r="B1411" t="str">
            <v xml:space="preserve">NURWAHIDATUL MASRIA                     </v>
          </cell>
          <cell r="C1411" t="str">
            <v>NLN2794</v>
          </cell>
          <cell r="D1411">
            <v>4359720235975000</v>
          </cell>
          <cell r="E1411" t="str">
            <v>SEDANG</v>
          </cell>
          <cell r="F1411" t="str">
            <v>Tidak</v>
          </cell>
          <cell r="G1411" t="str">
            <v>Tidak</v>
          </cell>
          <cell r="H1411" t="str">
            <v>Tidak</v>
          </cell>
          <cell r="I1411" t="str">
            <v>Penghindaran Pajak (Transaksi Fiktif)/Penyuapan CC</v>
          </cell>
          <cell r="J1411">
            <v>45</v>
          </cell>
          <cell r="K1411">
            <v>118</v>
          </cell>
          <cell r="L1411" t="str">
            <v>Penyuapan / Penghindaran Pajak CC View</v>
          </cell>
          <cell r="M1411" t="str">
            <v xml:space="preserve">Kas Kanpus                              </v>
          </cell>
          <cell r="N1411" t="str">
            <v xml:space="preserve">Kas Kanpus                              </v>
          </cell>
          <cell r="O1411" t="str">
            <v xml:space="preserve">KAS KANPUS                              </v>
          </cell>
          <cell r="R1411" t="str">
            <v>Belum TL</v>
          </cell>
          <cell r="S1411" t="str">
            <v>Belum TL</v>
          </cell>
          <cell r="T1411" t="str">
            <v>90150130 - Intan Aida Pratiwi</v>
          </cell>
          <cell r="U1411" t="str">
            <v>"-"</v>
          </cell>
        </row>
        <row r="1412">
          <cell r="A1412">
            <v>46265</v>
          </cell>
          <cell r="B1412" t="str">
            <v xml:space="preserve">NABILA AYU SETYOWATI                    </v>
          </cell>
          <cell r="C1412" t="str">
            <v>NLZQ110</v>
          </cell>
          <cell r="D1412">
            <v>12001289348500</v>
          </cell>
          <cell r="F1412" t="str">
            <v>Tidak</v>
          </cell>
          <cell r="G1412" t="str">
            <v>Tidak</v>
          </cell>
          <cell r="H1412" t="str">
            <v>Tidak</v>
          </cell>
          <cell r="I1412" t="str">
            <v>Bandar Judol Withdrawal</v>
          </cell>
          <cell r="J1412">
            <v>35</v>
          </cell>
          <cell r="K1412" t="str">
            <v>86,88,87</v>
          </cell>
          <cell r="L1412" t="str">
            <v>Judi Online</v>
          </cell>
          <cell r="M1412" t="str">
            <v xml:space="preserve">Kas Kanpus                              </v>
          </cell>
          <cell r="N1412" t="str">
            <v xml:space="preserve">Kas Kanpus                              </v>
          </cell>
          <cell r="O1412" t="str">
            <v xml:space="preserve">KAS KANPUS                              </v>
          </cell>
          <cell r="R1412" t="str">
            <v>Belum TL</v>
          </cell>
          <cell r="S1412" t="str">
            <v>Belum TL</v>
          </cell>
          <cell r="T1412" t="str">
            <v>90185538 - Muhammad Fahikal Auz</v>
          </cell>
          <cell r="U1412" t="str">
            <v>"-"</v>
          </cell>
        </row>
        <row r="1413">
          <cell r="A1413">
            <v>46265</v>
          </cell>
          <cell r="B1413" t="str">
            <v xml:space="preserve">NURUL HADI                              </v>
          </cell>
          <cell r="C1413" t="str">
            <v>NMBS662</v>
          </cell>
          <cell r="D1413">
            <v>115401034791502</v>
          </cell>
          <cell r="F1413" t="str">
            <v>Tidak</v>
          </cell>
          <cell r="G1413" t="str">
            <v>Tidak</v>
          </cell>
          <cell r="I1413" t="str">
            <v>Jual Beli Rekening - E channel Trx</v>
          </cell>
          <cell r="J1413">
            <v>33</v>
          </cell>
          <cell r="K1413">
            <v>113</v>
          </cell>
          <cell r="L1413" t="str">
            <v>Narkotika/Judi Online/Penipuan</v>
          </cell>
          <cell r="M1413" t="str">
            <v xml:space="preserve">KCP DISKI                               </v>
          </cell>
          <cell r="N1413" t="str">
            <v xml:space="preserve">KC Binjai                               </v>
          </cell>
          <cell r="O1413" t="str">
            <v xml:space="preserve">Medan                                   </v>
          </cell>
          <cell r="R1413" t="str">
            <v>Belum TL</v>
          </cell>
          <cell r="S1413" t="str">
            <v>Belum TL</v>
          </cell>
          <cell r="U1413" t="str">
            <v>"-"</v>
          </cell>
        </row>
        <row r="1414">
          <cell r="A1414">
            <v>46265</v>
          </cell>
          <cell r="B1414" t="str">
            <v xml:space="preserve">NADIN ARIN NAJWA                        </v>
          </cell>
          <cell r="C1414" t="str">
            <v>NMDE959</v>
          </cell>
          <cell r="D1414">
            <v>2201003092307</v>
          </cell>
          <cell r="F1414" t="str">
            <v>Tidak</v>
          </cell>
          <cell r="G1414" t="str">
            <v>Tidak</v>
          </cell>
          <cell r="H1414" t="str">
            <v>Tidak</v>
          </cell>
          <cell r="I1414" t="str">
            <v>Perpajakan</v>
          </cell>
          <cell r="J1414">
            <v>35</v>
          </cell>
          <cell r="K1414">
            <v>1.33</v>
          </cell>
          <cell r="L1414" t="str">
            <v>Perpajakan</v>
          </cell>
          <cell r="M1414" t="str">
            <v xml:space="preserve">KC Jepara                               </v>
          </cell>
          <cell r="N1414" t="str">
            <v xml:space="preserve">KC Jepara                               </v>
          </cell>
          <cell r="O1414" t="str">
            <v xml:space="preserve">Semarang                                </v>
          </cell>
          <cell r="R1414" t="str">
            <v>Belum TL</v>
          </cell>
          <cell r="S1414" t="str">
            <v>Belum TL</v>
          </cell>
          <cell r="T1414" t="str">
            <v>90170665 - Mutiara Ayuningtyas</v>
          </cell>
          <cell r="U1414" t="str">
            <v>"-"</v>
          </cell>
        </row>
        <row r="1415">
          <cell r="A1415">
            <v>46265</v>
          </cell>
          <cell r="B1415" t="str">
            <v xml:space="preserve">NURJANAH                                </v>
          </cell>
          <cell r="C1415" t="str">
            <v>NMDQ794</v>
          </cell>
          <cell r="D1415">
            <v>40401083695501</v>
          </cell>
          <cell r="F1415" t="str">
            <v>Tidak</v>
          </cell>
          <cell r="G1415" t="str">
            <v>Tidak</v>
          </cell>
          <cell r="H1415" t="str">
            <v>Tidak</v>
          </cell>
          <cell r="I1415" t="str">
            <v>Bandar Judol Depo</v>
          </cell>
          <cell r="J1415">
            <v>35</v>
          </cell>
          <cell r="K1415" t="str">
            <v>86,74,87</v>
          </cell>
          <cell r="L1415" t="str">
            <v>Judi Online</v>
          </cell>
          <cell r="M1415" t="str">
            <v xml:space="preserve">Kas Kanpus                              </v>
          </cell>
          <cell r="N1415" t="str">
            <v xml:space="preserve">Kas Kanpus                              </v>
          </cell>
          <cell r="O1415" t="str">
            <v xml:space="preserve">KAS KANPUS                              </v>
          </cell>
          <cell r="R1415" t="str">
            <v>Belum TL</v>
          </cell>
          <cell r="S1415" t="str">
            <v>Belum TL</v>
          </cell>
          <cell r="T1415" t="str">
            <v>90150130 - Intan Aida Pratiwi</v>
          </cell>
          <cell r="U1415" t="str">
            <v>"-"</v>
          </cell>
        </row>
        <row r="1416">
          <cell r="A1416">
            <v>46265</v>
          </cell>
          <cell r="B1416" t="str">
            <v xml:space="preserve">NUR SOHIDDAH RENA                       </v>
          </cell>
          <cell r="C1416" t="str">
            <v>NMDZ057</v>
          </cell>
          <cell r="D1416">
            <v>1901216587502</v>
          </cell>
          <cell r="F1416" t="str">
            <v>Tidak</v>
          </cell>
          <cell r="G1416" t="str">
            <v>Tidak</v>
          </cell>
          <cell r="H1416" t="str">
            <v>Tidak</v>
          </cell>
          <cell r="I1416" t="str">
            <v>Bandar Judol Withdrawal</v>
          </cell>
          <cell r="J1416">
            <v>35</v>
          </cell>
          <cell r="K1416" t="str">
            <v>86,88,87</v>
          </cell>
          <cell r="L1416" t="str">
            <v>Judi Online</v>
          </cell>
          <cell r="M1416" t="str">
            <v xml:space="preserve">Kas Kanpus                              </v>
          </cell>
          <cell r="N1416" t="str">
            <v xml:space="preserve">Kas Kanpus                              </v>
          </cell>
          <cell r="O1416" t="str">
            <v xml:space="preserve">KAS KANPUS                              </v>
          </cell>
          <cell r="R1416" t="str">
            <v>Belum TL</v>
          </cell>
          <cell r="S1416" t="str">
            <v>Belum TL</v>
          </cell>
          <cell r="T1416" t="str">
            <v>00394520 - Frida Akbar Rani</v>
          </cell>
          <cell r="U1416" t="str">
            <v>"-"</v>
          </cell>
        </row>
        <row r="1417">
          <cell r="A1417">
            <v>46265</v>
          </cell>
          <cell r="B1417" t="str">
            <v xml:space="preserve">NURLELI                                 </v>
          </cell>
          <cell r="C1417" t="str">
            <v>NMGK973</v>
          </cell>
          <cell r="D1417">
            <v>32301113656502</v>
          </cell>
          <cell r="F1417" t="str">
            <v>Tidak</v>
          </cell>
          <cell r="G1417" t="str">
            <v>Tidak</v>
          </cell>
          <cell r="H1417" t="str">
            <v>Tidak</v>
          </cell>
          <cell r="I1417" t="str">
            <v>Bandar Judol Withdrawal</v>
          </cell>
          <cell r="J1417">
            <v>35</v>
          </cell>
          <cell r="K1417" t="str">
            <v>86,88,87</v>
          </cell>
          <cell r="L1417" t="str">
            <v>Judi Online</v>
          </cell>
          <cell r="M1417" t="str">
            <v xml:space="preserve">Kas Kanpus                              </v>
          </cell>
          <cell r="N1417" t="str">
            <v xml:space="preserve">Kas Kanpus                              </v>
          </cell>
          <cell r="O1417" t="str">
            <v xml:space="preserve">KAS KANPUS                              </v>
          </cell>
          <cell r="R1417" t="str">
            <v>Belum TL</v>
          </cell>
          <cell r="S1417" t="str">
            <v>Belum TL</v>
          </cell>
          <cell r="T1417" t="str">
            <v>90170665 - Mutiara Ayuningtyas</v>
          </cell>
          <cell r="U1417" t="str">
            <v>"-"</v>
          </cell>
        </row>
        <row r="1418">
          <cell r="A1418">
            <v>46265</v>
          </cell>
          <cell r="B1418" t="str">
            <v xml:space="preserve">NICKHOLAS JEFFRY BUNGARAN BATUBARA      </v>
          </cell>
          <cell r="C1418" t="str">
            <v>NMNF995</v>
          </cell>
          <cell r="D1418">
            <v>108701018921504</v>
          </cell>
          <cell r="F1418" t="str">
            <v>Tidak</v>
          </cell>
          <cell r="G1418" t="str">
            <v>Tidak</v>
          </cell>
          <cell r="I1418" t="str">
            <v>Jual Beli Rekening - E channel Trx</v>
          </cell>
          <cell r="J1418">
            <v>33</v>
          </cell>
          <cell r="K1418">
            <v>113</v>
          </cell>
          <cell r="L1418" t="str">
            <v>Narkotika/Judi Online/Penipuan</v>
          </cell>
          <cell r="M1418" t="str">
            <v xml:space="preserve">KCP GADJAHMADA                          </v>
          </cell>
          <cell r="N1418" t="str">
            <v xml:space="preserve">KC Medan Iskandar Muda                  </v>
          </cell>
          <cell r="O1418" t="str">
            <v xml:space="preserve">Medan                                   </v>
          </cell>
          <cell r="R1418" t="str">
            <v>Belum TL</v>
          </cell>
          <cell r="S1418" t="str">
            <v>Belum TL</v>
          </cell>
          <cell r="U1418" t="str">
            <v>"-"</v>
          </cell>
        </row>
        <row r="1419">
          <cell r="A1419">
            <v>46265</v>
          </cell>
          <cell r="B1419" t="str">
            <v xml:space="preserve">NUZULSYAH RAMADHONA LUBIS               </v>
          </cell>
          <cell r="C1419" t="str">
            <v>NMPF223</v>
          </cell>
          <cell r="D1419">
            <v>36701005048562</v>
          </cell>
          <cell r="F1419" t="str">
            <v>Tidak</v>
          </cell>
          <cell r="G1419" t="str">
            <v>Tidak</v>
          </cell>
          <cell r="H1419" t="str">
            <v>Tidak</v>
          </cell>
          <cell r="I1419" t="str">
            <v>Bandar Judol Withdrawal</v>
          </cell>
          <cell r="J1419">
            <v>35</v>
          </cell>
          <cell r="K1419" t="str">
            <v>86,88,87</v>
          </cell>
          <cell r="L1419" t="str">
            <v>Judi Online</v>
          </cell>
          <cell r="M1419" t="str">
            <v xml:space="preserve">Kas Kanpus                              </v>
          </cell>
          <cell r="N1419" t="str">
            <v xml:space="preserve">Kas Kanpus                              </v>
          </cell>
          <cell r="O1419" t="str">
            <v xml:space="preserve">KAS KANPUS                              </v>
          </cell>
          <cell r="R1419" t="str">
            <v>Belum TL</v>
          </cell>
          <cell r="S1419" t="str">
            <v>Belum TL</v>
          </cell>
          <cell r="T1419" t="str">
            <v>90186790 - Muhammad Alfin Farha</v>
          </cell>
          <cell r="U1419" t="str">
            <v>"-"</v>
          </cell>
        </row>
        <row r="1420">
          <cell r="A1420">
            <v>46265</v>
          </cell>
          <cell r="B1420" t="str">
            <v xml:space="preserve">NAUFAL HAFIZ HADWAN                     </v>
          </cell>
          <cell r="C1420" t="str">
            <v>NMSV393</v>
          </cell>
          <cell r="D1420">
            <v>701801011321504</v>
          </cell>
          <cell r="F1420" t="str">
            <v>Tidak</v>
          </cell>
          <cell r="G1420" t="str">
            <v>Tidak</v>
          </cell>
          <cell r="H1420" t="str">
            <v>Tidak</v>
          </cell>
          <cell r="I1420" t="str">
            <v>Bandar Judol Withdrawal</v>
          </cell>
          <cell r="J1420">
            <v>35</v>
          </cell>
          <cell r="K1420" t="str">
            <v>86,88,87</v>
          </cell>
          <cell r="L1420" t="str">
            <v>Judi Online</v>
          </cell>
          <cell r="M1420" t="str">
            <v xml:space="preserve">Kas Kanpus                              </v>
          </cell>
          <cell r="N1420" t="str">
            <v xml:space="preserve">Kas Kanpus                              </v>
          </cell>
          <cell r="O1420" t="str">
            <v xml:space="preserve">KAS KANPUS                              </v>
          </cell>
          <cell r="R1420" t="str">
            <v>Belum TL</v>
          </cell>
          <cell r="S1420" t="str">
            <v>Belum TL</v>
          </cell>
          <cell r="T1420" t="str">
            <v>90185538 - Muhammad Fahikal Auz</v>
          </cell>
          <cell r="U1420" t="str">
            <v>"-"</v>
          </cell>
        </row>
        <row r="1421">
          <cell r="A1421">
            <v>46265</v>
          </cell>
          <cell r="B1421" t="str">
            <v xml:space="preserve">NATAL ARIANSYAH                         </v>
          </cell>
          <cell r="C1421" t="str">
            <v>NMVT676</v>
          </cell>
          <cell r="D1421">
            <v>574201023497500</v>
          </cell>
          <cell r="F1421" t="str">
            <v>Tidak</v>
          </cell>
          <cell r="G1421" t="str">
            <v>Tidak</v>
          </cell>
          <cell r="I1421" t="str">
            <v>Jual Beli Rekening - E channel Trx</v>
          </cell>
          <cell r="J1421">
            <v>33</v>
          </cell>
          <cell r="K1421">
            <v>113</v>
          </cell>
          <cell r="L1421" t="str">
            <v>Narkotika/Judi Online/Penipuan</v>
          </cell>
          <cell r="M1421" t="str">
            <v xml:space="preserve">UNIT 5 ULU PALEMBANG A RIVAI            </v>
          </cell>
          <cell r="N1421" t="str">
            <v xml:space="preserve">KC Palembang A. Rivai                   </v>
          </cell>
          <cell r="O1421" t="str">
            <v xml:space="preserve">Palembang                               </v>
          </cell>
          <cell r="R1421" t="str">
            <v>Belum TL</v>
          </cell>
          <cell r="S1421" t="str">
            <v>Belum TL</v>
          </cell>
          <cell r="U1421" t="str">
            <v>"-"</v>
          </cell>
        </row>
        <row r="1422">
          <cell r="A1422">
            <v>46265</v>
          </cell>
          <cell r="B1422" t="str">
            <v xml:space="preserve">NURUL FATTAH TARIGAN                    </v>
          </cell>
          <cell r="C1422" t="str">
            <v>NMXH104</v>
          </cell>
          <cell r="D1422">
            <v>40401090940507</v>
          </cell>
          <cell r="F1422" t="str">
            <v>Tidak</v>
          </cell>
          <cell r="G1422" t="str">
            <v>Tidak</v>
          </cell>
          <cell r="H1422" t="str">
            <v>Tidak</v>
          </cell>
          <cell r="I1422" t="str">
            <v>Bandar Judol Withdrawal</v>
          </cell>
          <cell r="J1422">
            <v>35</v>
          </cell>
          <cell r="K1422" t="str">
            <v>86,88,87</v>
          </cell>
          <cell r="L1422" t="str">
            <v>Judi Online</v>
          </cell>
          <cell r="M1422" t="str">
            <v xml:space="preserve">Kas Kanpus                              </v>
          </cell>
          <cell r="N1422" t="str">
            <v xml:space="preserve">Kas Kanpus                              </v>
          </cell>
          <cell r="O1422" t="str">
            <v xml:space="preserve">KAS KANPUS                              </v>
          </cell>
          <cell r="R1422" t="str">
            <v>Belum TL</v>
          </cell>
          <cell r="S1422" t="str">
            <v>Belum TL</v>
          </cell>
          <cell r="T1422" t="str">
            <v>90186796 - Devito Arya Wiradila</v>
          </cell>
          <cell r="U1422" t="str">
            <v>"-"</v>
          </cell>
        </row>
        <row r="1423">
          <cell r="A1423">
            <v>46265</v>
          </cell>
          <cell r="B1423" t="str">
            <v xml:space="preserve">NASRUL                                  </v>
          </cell>
          <cell r="C1423" t="str">
            <v>NNHD278</v>
          </cell>
          <cell r="D1423">
            <v>58801037387506</v>
          </cell>
          <cell r="F1423" t="str">
            <v>Tidak</v>
          </cell>
          <cell r="G1423" t="str">
            <v>Tidak</v>
          </cell>
          <cell r="H1423" t="str">
            <v>Tidak</v>
          </cell>
          <cell r="I1423" t="str">
            <v>Bandar Judol Withdrawal</v>
          </cell>
          <cell r="J1423">
            <v>35</v>
          </cell>
          <cell r="K1423" t="str">
            <v>86,88,87</v>
          </cell>
          <cell r="L1423" t="str">
            <v>Judi Online</v>
          </cell>
          <cell r="M1423" t="str">
            <v xml:space="preserve">Kas Kanpus                              </v>
          </cell>
          <cell r="N1423" t="str">
            <v xml:space="preserve">Kas Kanpus                              </v>
          </cell>
          <cell r="O1423" t="str">
            <v xml:space="preserve">KAS KANPUS                              </v>
          </cell>
          <cell r="R1423" t="str">
            <v>Belum TL</v>
          </cell>
          <cell r="S1423" t="str">
            <v>Belum TL</v>
          </cell>
          <cell r="T1423" t="str">
            <v>90150130 - Intan Aida Pratiwi</v>
          </cell>
          <cell r="U1423" t="str">
            <v>"-"</v>
          </cell>
        </row>
        <row r="1424">
          <cell r="A1424">
            <v>46265</v>
          </cell>
          <cell r="B1424" t="str">
            <v xml:space="preserve">NUR ELISAH BR HASIBUAN                  </v>
          </cell>
          <cell r="C1424" t="str">
            <v>NNY2817</v>
          </cell>
          <cell r="D1424">
            <v>337501073914531</v>
          </cell>
          <cell r="F1424" t="str">
            <v>Tidak</v>
          </cell>
          <cell r="G1424" t="str">
            <v>Tidak</v>
          </cell>
          <cell r="I1424" t="str">
            <v>Jual Beli Rekening - E channel Trx</v>
          </cell>
          <cell r="J1424">
            <v>33</v>
          </cell>
          <cell r="K1424">
            <v>113</v>
          </cell>
          <cell r="L1424" t="str">
            <v>Narkotika/Judi Online/Penipuan</v>
          </cell>
          <cell r="M1424" t="str">
            <v xml:space="preserve">UNIT JATINEGARA BINJAI                  </v>
          </cell>
          <cell r="N1424" t="str">
            <v xml:space="preserve">KC Binjai                               </v>
          </cell>
          <cell r="O1424" t="str">
            <v xml:space="preserve">Medan                                   </v>
          </cell>
          <cell r="R1424" t="str">
            <v>Belum TL</v>
          </cell>
          <cell r="S1424" t="str">
            <v>Belum TL</v>
          </cell>
          <cell r="U1424" t="str">
            <v>"-"</v>
          </cell>
        </row>
        <row r="1425">
          <cell r="A1425">
            <v>46265</v>
          </cell>
          <cell r="B1425" t="str">
            <v xml:space="preserve">NUR RAHMAD MANSUR                       </v>
          </cell>
          <cell r="C1425" t="str">
            <v>NO75187</v>
          </cell>
          <cell r="D1425">
            <v>36002000047307</v>
          </cell>
          <cell r="E1425" t="str">
            <v>TINGGI</v>
          </cell>
          <cell r="F1425" t="str">
            <v>Tidak</v>
          </cell>
          <cell r="G1425" t="str">
            <v>Tidak</v>
          </cell>
          <cell r="I1425" t="str">
            <v>Money Mules</v>
          </cell>
          <cell r="J1425">
            <v>67</v>
          </cell>
          <cell r="K1425">
            <v>79</v>
          </cell>
          <cell r="L1425" t="str">
            <v>Narkotika/Judi Online</v>
          </cell>
          <cell r="M1425" t="str">
            <v xml:space="preserve">Kas Kanpus                              </v>
          </cell>
          <cell r="N1425" t="str">
            <v xml:space="preserve">Kas Kanpus                              </v>
          </cell>
          <cell r="O1425" t="str">
            <v xml:space="preserve">KAS KANPUS                              </v>
          </cell>
          <cell r="R1425" t="str">
            <v>Belum TL</v>
          </cell>
          <cell r="S1425" t="str">
            <v>Belum TL</v>
          </cell>
          <cell r="T1425" t="str">
            <v>90150130 - Intan Aida Pratiwi</v>
          </cell>
          <cell r="U1425" t="str">
            <v>"-"</v>
          </cell>
        </row>
        <row r="1426">
          <cell r="A1426">
            <v>46265</v>
          </cell>
          <cell r="B1426" t="str">
            <v xml:space="preserve">NURPADILA                               </v>
          </cell>
          <cell r="C1426" t="str">
            <v>NOC0416</v>
          </cell>
          <cell r="D1426">
            <v>503901003705524</v>
          </cell>
          <cell r="E1426" t="str">
            <v>RENDAH</v>
          </cell>
          <cell r="F1426" t="str">
            <v>Tidak</v>
          </cell>
          <cell r="G1426" t="str">
            <v>Tidak</v>
          </cell>
          <cell r="H1426" t="str">
            <v>Tidak</v>
          </cell>
          <cell r="I1426" t="str">
            <v>Narkotika - Area Lapas</v>
          </cell>
          <cell r="J1426">
            <v>35</v>
          </cell>
          <cell r="K1426">
            <v>46</v>
          </cell>
          <cell r="L1426" t="str">
            <v>Narkotika</v>
          </cell>
          <cell r="M1426" t="str">
            <v>UNIT TINAMBUNG MAJENE</v>
          </cell>
          <cell r="N1426" t="str">
            <v>KC Majene</v>
          </cell>
          <cell r="O1426" t="str">
            <v>Makassar</v>
          </cell>
          <cell r="R1426" t="str">
            <v>Belum TL</v>
          </cell>
          <cell r="S1426" t="str">
            <v>Belum TL</v>
          </cell>
          <cell r="T1426" t="str">
            <v>90170665 - Mutiara Ayuningtyas</v>
          </cell>
          <cell r="U1426" t="str">
            <v>"-"</v>
          </cell>
        </row>
        <row r="1427">
          <cell r="A1427">
            <v>46265</v>
          </cell>
          <cell r="B1427" t="str">
            <v xml:space="preserve">NATALIA MARIA DEBBY                     </v>
          </cell>
          <cell r="C1427" t="str">
            <v>NPH2047</v>
          </cell>
          <cell r="D1427">
            <v>576101054967538</v>
          </cell>
          <cell r="E1427" t="str">
            <v>SEDANG</v>
          </cell>
          <cell r="F1427" t="str">
            <v>Tidak</v>
          </cell>
          <cell r="G1427" t="str">
            <v>Tidak</v>
          </cell>
          <cell r="H1427" t="str">
            <v>Tidak</v>
          </cell>
          <cell r="I1427" t="str">
            <v>Bandar Judol Depo</v>
          </cell>
          <cell r="J1427">
            <v>50</v>
          </cell>
          <cell r="K1427" t="str">
            <v>86,74,87</v>
          </cell>
          <cell r="L1427" t="str">
            <v>Judi Online</v>
          </cell>
          <cell r="M1427" t="str">
            <v xml:space="preserve">Kas Kanpus                              </v>
          </cell>
          <cell r="N1427" t="str">
            <v xml:space="preserve">Kas Kanpus                              </v>
          </cell>
          <cell r="O1427" t="str">
            <v xml:space="preserve">KAS KANPUS                              </v>
          </cell>
          <cell r="R1427" t="str">
            <v>Belum TL</v>
          </cell>
          <cell r="S1427" t="str">
            <v>Belum TL</v>
          </cell>
          <cell r="T1427" t="str">
            <v>90171841 - Rifqi Aziz</v>
          </cell>
          <cell r="U1427" t="str">
            <v>"-"</v>
          </cell>
        </row>
        <row r="1428">
          <cell r="A1428">
            <v>46265</v>
          </cell>
          <cell r="B1428" t="str">
            <v xml:space="preserve">NUR JANAH                               </v>
          </cell>
          <cell r="C1428" t="str">
            <v>NQQ0408</v>
          </cell>
          <cell r="D1428">
            <v>598101013437506</v>
          </cell>
          <cell r="E1428" t="str">
            <v>SEDANG</v>
          </cell>
          <cell r="F1428" t="str">
            <v>Tidak</v>
          </cell>
          <cell r="G1428" t="str">
            <v>Tidak</v>
          </cell>
          <cell r="H1428" t="str">
            <v>Tidak</v>
          </cell>
          <cell r="I1428" t="str">
            <v>Bandar Judol Depo</v>
          </cell>
          <cell r="J1428">
            <v>50</v>
          </cell>
          <cell r="K1428" t="str">
            <v>86,74,87</v>
          </cell>
          <cell r="L1428" t="str">
            <v>Judi Online</v>
          </cell>
          <cell r="M1428" t="str">
            <v xml:space="preserve">Kas Kanpus                              </v>
          </cell>
          <cell r="N1428" t="str">
            <v xml:space="preserve">Kas Kanpus                              </v>
          </cell>
          <cell r="O1428" t="str">
            <v xml:space="preserve">KAS KANPUS                              </v>
          </cell>
          <cell r="R1428" t="str">
            <v>Belum TL</v>
          </cell>
          <cell r="S1428" t="str">
            <v>Belum TL</v>
          </cell>
          <cell r="T1428" t="str">
            <v>00394520 - Frida Akbar Rani</v>
          </cell>
          <cell r="U1428" t="str">
            <v>"-"</v>
          </cell>
        </row>
        <row r="1429">
          <cell r="A1429">
            <v>46265</v>
          </cell>
          <cell r="B1429" t="str">
            <v xml:space="preserve">NI KETUT MANIS                          </v>
          </cell>
          <cell r="C1429" t="str">
            <v>NSB2993</v>
          </cell>
          <cell r="D1429">
            <v>468801079393535</v>
          </cell>
          <cell r="E1429" t="str">
            <v>SEDANG</v>
          </cell>
          <cell r="F1429" t="str">
            <v>Tidak</v>
          </cell>
          <cell r="G1429" t="str">
            <v>Tidak</v>
          </cell>
          <cell r="H1429" t="str">
            <v>Tidak</v>
          </cell>
          <cell r="I1429" t="str">
            <v>Narkotika - Area Lapas</v>
          </cell>
          <cell r="J1429">
            <v>50</v>
          </cell>
          <cell r="K1429">
            <v>46</v>
          </cell>
          <cell r="L1429" t="str">
            <v>Narkotika</v>
          </cell>
          <cell r="M1429" t="str">
            <v>UNIT NARMADA MATARAM</v>
          </cell>
          <cell r="N1429" t="str">
            <v>KC Mataram</v>
          </cell>
          <cell r="O1429" t="str">
            <v>Denpasar</v>
          </cell>
          <cell r="R1429" t="str">
            <v>Belum TL</v>
          </cell>
          <cell r="S1429" t="str">
            <v>Belum TL</v>
          </cell>
          <cell r="T1429" t="str">
            <v>90150130 - Intan Aida Pratiwi</v>
          </cell>
          <cell r="U1429" t="str">
            <v>"-"</v>
          </cell>
        </row>
        <row r="1430">
          <cell r="A1430">
            <v>46265</v>
          </cell>
          <cell r="B1430" t="str">
            <v xml:space="preserve">NASRIM PAINTU                           </v>
          </cell>
          <cell r="C1430" t="str">
            <v>NT80664</v>
          </cell>
          <cell r="D1430">
            <v>27901050593109</v>
          </cell>
          <cell r="E1430" t="str">
            <v>SEDANG</v>
          </cell>
          <cell r="F1430" t="str">
            <v>Tidak</v>
          </cell>
          <cell r="G1430" t="str">
            <v>Tidak</v>
          </cell>
          <cell r="H1430" t="str">
            <v>Tidak</v>
          </cell>
          <cell r="I1430" t="str">
            <v>Korupsi - Loan View</v>
          </cell>
          <cell r="J1430">
            <v>48</v>
          </cell>
          <cell r="K1430">
            <v>15</v>
          </cell>
          <cell r="L1430" t="str">
            <v>Korupsi</v>
          </cell>
          <cell r="M1430" t="str">
            <v>Kas Kanpus</v>
          </cell>
          <cell r="N1430" t="str">
            <v>Kas Kanpus</v>
          </cell>
          <cell r="O1430" t="str">
            <v>KAS KANPUS</v>
          </cell>
          <cell r="R1430" t="str">
            <v>Belum TL</v>
          </cell>
          <cell r="S1430" t="str">
            <v>Belum TL</v>
          </cell>
          <cell r="T1430" t="str">
            <v>90170665 - Mutiara Ayuningtyas</v>
          </cell>
          <cell r="U1430" t="str">
            <v>"-"</v>
          </cell>
        </row>
        <row r="1431">
          <cell r="A1431">
            <v>46265</v>
          </cell>
          <cell r="B1431" t="str">
            <v xml:space="preserve">NADIRA KAMELIA                          </v>
          </cell>
          <cell r="C1431" t="str">
            <v>NUB8840</v>
          </cell>
          <cell r="D1431">
            <v>43801070902508</v>
          </cell>
          <cell r="E1431" t="str">
            <v>SEDANG</v>
          </cell>
          <cell r="F1431" t="str">
            <v>Tidak</v>
          </cell>
          <cell r="G1431" t="str">
            <v>Tidak</v>
          </cell>
          <cell r="H1431" t="str">
            <v>Tidak</v>
          </cell>
          <cell r="I1431" t="str">
            <v>Bandar Judol Depo</v>
          </cell>
          <cell r="J1431">
            <v>50</v>
          </cell>
          <cell r="K1431" t="str">
            <v>86,74,87</v>
          </cell>
          <cell r="L1431" t="str">
            <v>Judi Online</v>
          </cell>
          <cell r="M1431" t="str">
            <v xml:space="preserve">Kas Kanpus                              </v>
          </cell>
          <cell r="N1431" t="str">
            <v xml:space="preserve">Kas Kanpus                              </v>
          </cell>
          <cell r="O1431" t="str">
            <v xml:space="preserve">KAS KANPUS                              </v>
          </cell>
          <cell r="R1431" t="str">
            <v>Belum TL</v>
          </cell>
          <cell r="S1431" t="str">
            <v>Belum TL</v>
          </cell>
          <cell r="T1431" t="str">
            <v>90150130 - Intan Aida Pratiwi</v>
          </cell>
          <cell r="U1431" t="str">
            <v>"-"</v>
          </cell>
        </row>
        <row r="1432">
          <cell r="A1432">
            <v>46265</v>
          </cell>
          <cell r="B1432" t="str">
            <v xml:space="preserve">NIZAR RIFANI                            </v>
          </cell>
          <cell r="C1432" t="str">
            <v>NVP7708</v>
          </cell>
          <cell r="D1432">
            <v>206001005866506</v>
          </cell>
          <cell r="E1432" t="str">
            <v>SEDANG</v>
          </cell>
          <cell r="F1432" t="str">
            <v>Tidak</v>
          </cell>
          <cell r="G1432" t="str">
            <v>Tidak</v>
          </cell>
          <cell r="H1432" t="str">
            <v>Tidak</v>
          </cell>
          <cell r="I1432" t="str">
            <v>Narkotika - Area Lapas</v>
          </cell>
          <cell r="J1432">
            <v>51</v>
          </cell>
          <cell r="K1432">
            <v>48</v>
          </cell>
          <cell r="L1432" t="str">
            <v>Narkotika</v>
          </cell>
          <cell r="M1432" t="str">
            <v>KCP KATINGAN</v>
          </cell>
          <cell r="N1432" t="str">
            <v>KC Palangkaraya</v>
          </cell>
          <cell r="O1432" t="str">
            <v>Banjarmasin</v>
          </cell>
          <cell r="R1432" t="str">
            <v>Belum TL</v>
          </cell>
          <cell r="S1432" t="str">
            <v>Belum TL</v>
          </cell>
          <cell r="T1432" t="str">
            <v>90185537 - Moh.Khoerul Fajar Ar</v>
          </cell>
          <cell r="U1432" t="str">
            <v>"-"</v>
          </cell>
        </row>
        <row r="1433">
          <cell r="A1433">
            <v>46265</v>
          </cell>
          <cell r="B1433" t="str">
            <v xml:space="preserve">NASRULLAH SULTAN                        </v>
          </cell>
          <cell r="C1433" t="str">
            <v>NVV8084</v>
          </cell>
          <cell r="D1433">
            <v>214301008828535</v>
          </cell>
          <cell r="E1433" t="str">
            <v>SEDANG</v>
          </cell>
          <cell r="F1433" t="str">
            <v>Tidak</v>
          </cell>
          <cell r="G1433" t="str">
            <v>Tidak</v>
          </cell>
          <cell r="H1433" t="str">
            <v>Tidak</v>
          </cell>
          <cell r="I1433" t="str">
            <v>Bandar Judol Depo</v>
          </cell>
          <cell r="J1433">
            <v>50</v>
          </cell>
          <cell r="K1433" t="str">
            <v>86,74,87</v>
          </cell>
          <cell r="L1433" t="str">
            <v>Judi Online</v>
          </cell>
          <cell r="M1433" t="str">
            <v xml:space="preserve">Kas Kanpus                              </v>
          </cell>
          <cell r="N1433" t="str">
            <v xml:space="preserve">Kas Kanpus                              </v>
          </cell>
          <cell r="O1433" t="str">
            <v xml:space="preserve">KAS KANPUS                              </v>
          </cell>
          <cell r="R1433" t="str">
            <v>Belum TL</v>
          </cell>
          <cell r="S1433" t="str">
            <v>Belum TL</v>
          </cell>
          <cell r="T1433" t="str">
            <v>90185538 - Muhammad Fahikal Auz</v>
          </cell>
          <cell r="U1433" t="str">
            <v>"-"</v>
          </cell>
        </row>
        <row r="1434">
          <cell r="A1434">
            <v>46265</v>
          </cell>
          <cell r="B1434" t="str">
            <v xml:space="preserve">NURUL ANDINI                            </v>
          </cell>
          <cell r="C1434" t="str">
            <v>NZY5636</v>
          </cell>
          <cell r="D1434">
            <v>33201174406509</v>
          </cell>
          <cell r="E1434" t="str">
            <v>SEDANG</v>
          </cell>
          <cell r="F1434" t="str">
            <v>Tidak</v>
          </cell>
          <cell r="G1434" t="str">
            <v>Tidak</v>
          </cell>
          <cell r="H1434" t="str">
            <v>Tidak</v>
          </cell>
          <cell r="I1434" t="str">
            <v>Bandar Judol Withdrawal</v>
          </cell>
          <cell r="J1434">
            <v>50</v>
          </cell>
          <cell r="K1434" t="str">
            <v>86,88,87</v>
          </cell>
          <cell r="L1434" t="str">
            <v>Judi Online</v>
          </cell>
          <cell r="M1434" t="str">
            <v xml:space="preserve">Kas Kanpus                              </v>
          </cell>
          <cell r="N1434" t="str">
            <v xml:space="preserve">Kas Kanpus                              </v>
          </cell>
          <cell r="O1434" t="str">
            <v xml:space="preserve">KAS KANPUS                              </v>
          </cell>
          <cell r="R1434" t="str">
            <v>Belum TL</v>
          </cell>
          <cell r="S1434" t="str">
            <v>Belum TL</v>
          </cell>
          <cell r="T1434" t="str">
            <v>00394520 - Frida Akbar Rani</v>
          </cell>
          <cell r="U1434" t="str">
            <v>"-"</v>
          </cell>
        </row>
        <row r="1435">
          <cell r="A1435">
            <v>46265</v>
          </cell>
          <cell r="B1435" t="str">
            <v xml:space="preserve">OLOHETA HAREFA                          </v>
          </cell>
          <cell r="C1435" t="str">
            <v>O108817</v>
          </cell>
          <cell r="D1435">
            <v>17601017933104</v>
          </cell>
          <cell r="E1435" t="str">
            <v>SEDANG</v>
          </cell>
          <cell r="F1435" t="str">
            <v>Tidak</v>
          </cell>
          <cell r="G1435" t="str">
            <v>Tidak</v>
          </cell>
          <cell r="H1435" t="str">
            <v>Tidak</v>
          </cell>
          <cell r="I1435" t="str">
            <v>Korupsi - Loan View</v>
          </cell>
          <cell r="J1435">
            <v>48</v>
          </cell>
          <cell r="K1435">
            <v>15</v>
          </cell>
          <cell r="L1435" t="str">
            <v>Korupsi</v>
          </cell>
          <cell r="M1435" t="str">
            <v>Kas Kanpus</v>
          </cell>
          <cell r="N1435" t="str">
            <v>Kas Kanpus</v>
          </cell>
          <cell r="O1435" t="str">
            <v>KAS KANPUS</v>
          </cell>
          <cell r="R1435" t="str">
            <v>Belum TL</v>
          </cell>
          <cell r="S1435" t="str">
            <v>Belum TL</v>
          </cell>
          <cell r="T1435" t="str">
            <v>90171841 - Rifqi Aziz</v>
          </cell>
          <cell r="U1435" t="str">
            <v>"-"</v>
          </cell>
        </row>
        <row r="1436">
          <cell r="A1436">
            <v>46265</v>
          </cell>
          <cell r="B1436" t="str">
            <v xml:space="preserve">OKTOFIANUS KATU                         </v>
          </cell>
          <cell r="C1436" t="str">
            <v>O347168</v>
          </cell>
          <cell r="D1436">
            <v>217601000555155</v>
          </cell>
          <cell r="E1436" t="str">
            <v>RENDAH</v>
          </cell>
          <cell r="F1436" t="str">
            <v>Tidak</v>
          </cell>
          <cell r="G1436" t="str">
            <v>Tidak</v>
          </cell>
          <cell r="H1436" t="str">
            <v>Tidak</v>
          </cell>
          <cell r="I1436" t="str">
            <v>Korupsi - Loan View</v>
          </cell>
          <cell r="J1436">
            <v>33</v>
          </cell>
          <cell r="K1436">
            <v>15</v>
          </cell>
          <cell r="L1436" t="str">
            <v>Korupsi</v>
          </cell>
          <cell r="M1436" t="str">
            <v>Kas Kanpus</v>
          </cell>
          <cell r="N1436" t="str">
            <v>Kas Kanpus</v>
          </cell>
          <cell r="O1436" t="str">
            <v>KAS KANPUS</v>
          </cell>
          <cell r="R1436" t="str">
            <v>Belum TL</v>
          </cell>
          <cell r="S1436" t="str">
            <v>Belum TL</v>
          </cell>
          <cell r="T1436" t="str">
            <v>90170665 - Mutiara Ayuningtyas</v>
          </cell>
          <cell r="U1436" t="str">
            <v>"-"</v>
          </cell>
        </row>
        <row r="1437">
          <cell r="A1437">
            <v>46265</v>
          </cell>
          <cell r="B1437" t="str">
            <v xml:space="preserve">OKTAVIANUS KOMILE                       </v>
          </cell>
          <cell r="C1437" t="str">
            <v>O349014</v>
          </cell>
          <cell r="D1437">
            <v>3901039468103</v>
          </cell>
          <cell r="E1437" t="str">
            <v>SEDANG</v>
          </cell>
          <cell r="F1437" t="str">
            <v>Tidak</v>
          </cell>
          <cell r="G1437" t="str">
            <v>Tidak</v>
          </cell>
          <cell r="H1437" t="str">
            <v>Tidak</v>
          </cell>
          <cell r="I1437" t="str">
            <v>Korupsi - Loan View</v>
          </cell>
          <cell r="J1437">
            <v>53</v>
          </cell>
          <cell r="K1437">
            <v>15</v>
          </cell>
          <cell r="L1437" t="str">
            <v>Korupsi</v>
          </cell>
          <cell r="M1437" t="str">
            <v>Kas Kanpus</v>
          </cell>
          <cell r="N1437" t="str">
            <v>Kas Kanpus</v>
          </cell>
          <cell r="O1437" t="str">
            <v>KAS KANPUS</v>
          </cell>
          <cell r="R1437" t="str">
            <v>Belum TL</v>
          </cell>
          <cell r="S1437" t="str">
            <v>Belum TL</v>
          </cell>
          <cell r="T1437" t="str">
            <v>00394520 - Frida Akbar Rani</v>
          </cell>
          <cell r="U1437" t="str">
            <v>"-"</v>
          </cell>
        </row>
        <row r="1438">
          <cell r="A1438">
            <v>46265</v>
          </cell>
          <cell r="B1438" t="str">
            <v xml:space="preserve">NAZRUL AZMI RANGKUTI                    </v>
          </cell>
          <cell r="C1438" t="str">
            <v>NYJ6290</v>
          </cell>
          <cell r="D1438">
            <v>108501021305503</v>
          </cell>
          <cell r="E1438" t="str">
            <v>SEDANG</v>
          </cell>
          <cell r="F1438" t="str">
            <v>Tidak</v>
          </cell>
          <cell r="G1438" t="str">
            <v>Tidak</v>
          </cell>
          <cell r="H1438" t="str">
            <v>Tidak</v>
          </cell>
          <cell r="I1438" t="str">
            <v>Bandar Judol Withdrawal</v>
          </cell>
          <cell r="J1438">
            <v>50</v>
          </cell>
          <cell r="K1438" t="str">
            <v>86,88,87</v>
          </cell>
          <cell r="L1438" t="str">
            <v>Judi Online</v>
          </cell>
          <cell r="M1438" t="str">
            <v xml:space="preserve">Kas Kanpus                              </v>
          </cell>
          <cell r="N1438" t="str">
            <v xml:space="preserve">Kas Kanpus                              </v>
          </cell>
          <cell r="O1438" t="str">
            <v xml:space="preserve">KAS KANPUS                              </v>
          </cell>
          <cell r="R1438" t="str">
            <v>Belum TL</v>
          </cell>
          <cell r="S1438" t="str">
            <v>Belum TL</v>
          </cell>
          <cell r="T1438" t="str">
            <v>00336949 - Mochammad Al Farabi</v>
          </cell>
          <cell r="U1438" t="str">
            <v>"-"</v>
          </cell>
        </row>
        <row r="1439">
          <cell r="A1439">
            <v>46265</v>
          </cell>
          <cell r="B1439" t="str">
            <v xml:space="preserve">OKTAVIANUS SERAN BEREK                  </v>
          </cell>
          <cell r="C1439" t="str">
            <v>O518339</v>
          </cell>
          <cell r="D1439">
            <v>26701015469108</v>
          </cell>
          <cell r="E1439" t="str">
            <v>RENDAH</v>
          </cell>
          <cell r="F1439" t="str">
            <v>Tidak</v>
          </cell>
          <cell r="G1439" t="str">
            <v>Tidak</v>
          </cell>
          <cell r="H1439" t="str">
            <v>Tidak</v>
          </cell>
          <cell r="I1439" t="str">
            <v>Korupsi - Loan View</v>
          </cell>
          <cell r="J1439">
            <v>33</v>
          </cell>
          <cell r="K1439">
            <v>15</v>
          </cell>
          <cell r="L1439" t="str">
            <v>Korupsi</v>
          </cell>
          <cell r="M1439" t="str">
            <v>Kas Kanpus</v>
          </cell>
          <cell r="N1439" t="str">
            <v>Kas Kanpus</v>
          </cell>
          <cell r="O1439" t="str">
            <v>KAS KANPUS</v>
          </cell>
          <cell r="R1439" t="str">
            <v>Belum TL</v>
          </cell>
          <cell r="S1439" t="str">
            <v>Belum TL</v>
          </cell>
          <cell r="T1439" t="str">
            <v>00394521 - Muhammad Hibbanduta</v>
          </cell>
          <cell r="U1439" t="str">
            <v>"-"</v>
          </cell>
        </row>
        <row r="1440">
          <cell r="A1440">
            <v>46265</v>
          </cell>
          <cell r="B1440" t="str">
            <v xml:space="preserve">OKTARINO HS                             </v>
          </cell>
          <cell r="C1440" t="str">
            <v>O629984</v>
          </cell>
          <cell r="D1440">
            <v>565701012800105</v>
          </cell>
          <cell r="E1440" t="str">
            <v>SEDANG</v>
          </cell>
          <cell r="F1440" t="str">
            <v>Tidak</v>
          </cell>
          <cell r="G1440" t="str">
            <v>Tidak</v>
          </cell>
          <cell r="H1440" t="str">
            <v>Tidak</v>
          </cell>
          <cell r="I1440" t="str">
            <v>Korupsi - Loan View</v>
          </cell>
          <cell r="J1440">
            <v>48</v>
          </cell>
          <cell r="K1440">
            <v>15</v>
          </cell>
          <cell r="L1440" t="str">
            <v>Korupsi</v>
          </cell>
          <cell r="M1440" t="str">
            <v>Kas Kanpus</v>
          </cell>
          <cell r="N1440" t="str">
            <v>Kas Kanpus</v>
          </cell>
          <cell r="O1440" t="str">
            <v>KAS KANPUS</v>
          </cell>
          <cell r="R1440" t="str">
            <v>Belum TL</v>
          </cell>
          <cell r="S1440" t="str">
            <v>Belum TL</v>
          </cell>
          <cell r="T1440" t="str">
            <v>90186790 - Muhammad Alfin Farha</v>
          </cell>
          <cell r="U1440" t="str">
            <v>"-"</v>
          </cell>
        </row>
        <row r="1441">
          <cell r="A1441">
            <v>46265</v>
          </cell>
          <cell r="B1441" t="str">
            <v xml:space="preserve">OKTOVIANUS MEHO                         </v>
          </cell>
          <cell r="C1441" t="str">
            <v>OA80319</v>
          </cell>
          <cell r="D1441">
            <v>362701016933101</v>
          </cell>
          <cell r="E1441" t="str">
            <v>SEDANG</v>
          </cell>
          <cell r="F1441" t="str">
            <v>Tidak</v>
          </cell>
          <cell r="G1441" t="str">
            <v>Tidak</v>
          </cell>
          <cell r="H1441" t="str">
            <v>Tidak</v>
          </cell>
          <cell r="I1441" t="str">
            <v>Korupsi - Loan View</v>
          </cell>
          <cell r="J1441">
            <v>48</v>
          </cell>
          <cell r="K1441">
            <v>15</v>
          </cell>
          <cell r="L1441" t="str">
            <v>Korupsi</v>
          </cell>
          <cell r="M1441" t="str">
            <v>Kas Kanpus</v>
          </cell>
          <cell r="N1441" t="str">
            <v>Kas Kanpus</v>
          </cell>
          <cell r="O1441" t="str">
            <v>KAS KANPUS</v>
          </cell>
          <cell r="R1441" t="str">
            <v>Belum TL</v>
          </cell>
          <cell r="S1441" t="str">
            <v>Belum TL</v>
          </cell>
          <cell r="T1441" t="str">
            <v>90150130 - Intan Aida Pratiwi</v>
          </cell>
          <cell r="U1441" t="str">
            <v>"-"</v>
          </cell>
        </row>
        <row r="1442">
          <cell r="A1442">
            <v>46265</v>
          </cell>
          <cell r="B1442" t="str">
            <v xml:space="preserve">OGA ADIMAJA SARAGIH                     </v>
          </cell>
          <cell r="C1442" t="str">
            <v>OC30016</v>
          </cell>
          <cell r="D1442">
            <v>360701009920501</v>
          </cell>
          <cell r="E1442" t="str">
            <v>SEDANG</v>
          </cell>
          <cell r="F1442" t="str">
            <v>Tidak</v>
          </cell>
          <cell r="G1442" t="str">
            <v>Tidak</v>
          </cell>
          <cell r="H1442" t="str">
            <v>Tidak</v>
          </cell>
          <cell r="I1442" t="str">
            <v>Bandar Judol Depo</v>
          </cell>
          <cell r="J1442">
            <v>50</v>
          </cell>
          <cell r="K1442" t="str">
            <v>86,74,87</v>
          </cell>
          <cell r="L1442" t="str">
            <v>Judi Online</v>
          </cell>
          <cell r="M1442" t="str">
            <v xml:space="preserve">Kas Kanpus                              </v>
          </cell>
          <cell r="N1442" t="str">
            <v xml:space="preserve">Kas Kanpus                              </v>
          </cell>
          <cell r="O1442" t="str">
            <v xml:space="preserve">KAS KANPUS                              </v>
          </cell>
          <cell r="R1442" t="str">
            <v>Belum TL</v>
          </cell>
          <cell r="S1442" t="str">
            <v>Belum TL</v>
          </cell>
          <cell r="T1442" t="str">
            <v>90171841 - Rifqi Aziz</v>
          </cell>
          <cell r="U1442" t="str">
            <v>"-"</v>
          </cell>
        </row>
        <row r="1443">
          <cell r="A1443">
            <v>46265</v>
          </cell>
          <cell r="B1443" t="str">
            <v xml:space="preserve">OKKY SEPTIAN                            </v>
          </cell>
          <cell r="C1443" t="str">
            <v>OD05434</v>
          </cell>
          <cell r="D1443">
            <v>42401002005569</v>
          </cell>
          <cell r="E1443" t="str">
            <v>SEDANG</v>
          </cell>
          <cell r="F1443" t="str">
            <v>Tidak</v>
          </cell>
          <cell r="G1443" t="str">
            <v>Tidak</v>
          </cell>
          <cell r="H1443" t="str">
            <v>Tidak</v>
          </cell>
          <cell r="I1443" t="str">
            <v>Bandar Judol Withdrawal</v>
          </cell>
          <cell r="J1443">
            <v>50</v>
          </cell>
          <cell r="K1443" t="str">
            <v>86,88,87</v>
          </cell>
          <cell r="L1443" t="str">
            <v>Judi Online</v>
          </cell>
          <cell r="M1443" t="str">
            <v xml:space="preserve">Kas Kanpus                              </v>
          </cell>
          <cell r="N1443" t="str">
            <v xml:space="preserve">Kas Kanpus                              </v>
          </cell>
          <cell r="O1443" t="str">
            <v xml:space="preserve">KAS KANPUS                              </v>
          </cell>
          <cell r="R1443" t="str">
            <v>Belum TL</v>
          </cell>
          <cell r="S1443" t="str">
            <v>Belum TL</v>
          </cell>
          <cell r="T1443" t="str">
            <v>90185537 - Moh.Khoerul Fajar Ar</v>
          </cell>
          <cell r="U1443" t="str">
            <v>"-"</v>
          </cell>
        </row>
        <row r="1444">
          <cell r="A1444">
            <v>46265</v>
          </cell>
          <cell r="B1444" t="str">
            <v xml:space="preserve">OMAN ABDUL ROHMAN                       </v>
          </cell>
          <cell r="C1444" t="str">
            <v>OE63418</v>
          </cell>
          <cell r="D1444">
            <v>91501000037561</v>
          </cell>
          <cell r="F1444" t="str">
            <v>Tidak</v>
          </cell>
          <cell r="G1444" t="str">
            <v>Tidak</v>
          </cell>
          <cell r="H1444" t="str">
            <v>Tidak</v>
          </cell>
          <cell r="I1444" t="str">
            <v>Judi Online</v>
          </cell>
          <cell r="J1444">
            <v>35</v>
          </cell>
          <cell r="K1444" t="str">
            <v>73,76,34,74,6</v>
          </cell>
          <cell r="L1444" t="str">
            <v>Judi Online</v>
          </cell>
          <cell r="M1444" t="str">
            <v xml:space="preserve">Kas Kanpus                              </v>
          </cell>
          <cell r="N1444" t="str">
            <v xml:space="preserve">Kas Kanpus                              </v>
          </cell>
          <cell r="O1444" t="str">
            <v xml:space="preserve">KAS KANPUS                              </v>
          </cell>
          <cell r="R1444" t="str">
            <v>Belum TL</v>
          </cell>
          <cell r="S1444" t="str">
            <v>Belum TL</v>
          </cell>
          <cell r="T1444" t="str">
            <v>90170665 - Mutiara Ayuningtyas</v>
          </cell>
          <cell r="U1444" t="str">
            <v>"-"</v>
          </cell>
        </row>
        <row r="1445">
          <cell r="A1445">
            <v>46265</v>
          </cell>
          <cell r="B1445" t="str">
            <v xml:space="preserve">OMAN ABDUL ROHMAN                       </v>
          </cell>
          <cell r="C1445" t="str">
            <v>OE63418</v>
          </cell>
          <cell r="D1445">
            <v>91501000037561</v>
          </cell>
          <cell r="F1445" t="str">
            <v>Tidak</v>
          </cell>
          <cell r="G1445" t="str">
            <v>Tidak</v>
          </cell>
          <cell r="H1445" t="str">
            <v>Tidak</v>
          </cell>
          <cell r="I1445" t="str">
            <v>Bandar Judol Depo</v>
          </cell>
          <cell r="J1445">
            <v>35</v>
          </cell>
          <cell r="K1445" t="str">
            <v>86,74,87</v>
          </cell>
          <cell r="L1445" t="str">
            <v>Judi Online</v>
          </cell>
          <cell r="M1445" t="str">
            <v xml:space="preserve">Kas Kanpus                              </v>
          </cell>
          <cell r="N1445" t="str">
            <v xml:space="preserve">Kas Kanpus                              </v>
          </cell>
          <cell r="O1445" t="str">
            <v xml:space="preserve">KAS KANPUS                              </v>
          </cell>
          <cell r="R1445" t="str">
            <v>Belum TL</v>
          </cell>
          <cell r="S1445" t="str">
            <v>Belum TL</v>
          </cell>
          <cell r="T1445" t="str">
            <v>00394520 - Frida Akbar Rani</v>
          </cell>
          <cell r="U1445" t="str">
            <v>"-"</v>
          </cell>
        </row>
        <row r="1446">
          <cell r="A1446">
            <v>46265</v>
          </cell>
          <cell r="B1446" t="str">
            <v xml:space="preserve">OZI SAPUTRA                             </v>
          </cell>
          <cell r="C1446" t="str">
            <v>OF17497</v>
          </cell>
          <cell r="D1446">
            <v>43801004361562</v>
          </cell>
          <cell r="F1446" t="str">
            <v>Tidak</v>
          </cell>
          <cell r="G1446" t="str">
            <v>Tidak</v>
          </cell>
          <cell r="H1446" t="str">
            <v>Tidak</v>
          </cell>
          <cell r="I1446" t="str">
            <v>Bandar Judol Depo</v>
          </cell>
          <cell r="J1446">
            <v>35</v>
          </cell>
          <cell r="K1446" t="str">
            <v>86,74,87</v>
          </cell>
          <cell r="L1446" t="str">
            <v>Judi Online</v>
          </cell>
          <cell r="M1446" t="str">
            <v xml:space="preserve">Kas Kanpus                              </v>
          </cell>
          <cell r="N1446" t="str">
            <v xml:space="preserve">Kas Kanpus                              </v>
          </cell>
          <cell r="O1446" t="str">
            <v xml:space="preserve">KAS KANPUS                              </v>
          </cell>
          <cell r="R1446" t="str">
            <v>Belum TL</v>
          </cell>
          <cell r="S1446" t="str">
            <v>Belum TL</v>
          </cell>
          <cell r="T1446" t="str">
            <v>90186790 - Muhammad Alfin Farha</v>
          </cell>
          <cell r="U1446" t="str">
            <v>"-"</v>
          </cell>
        </row>
        <row r="1447">
          <cell r="A1447">
            <v>46265</v>
          </cell>
          <cell r="B1447" t="str">
            <v xml:space="preserve">OEY TJOA SENG                           </v>
          </cell>
          <cell r="C1447" t="str">
            <v>OF31261</v>
          </cell>
          <cell r="D1447">
            <v>78901003040506</v>
          </cell>
          <cell r="F1447" t="str">
            <v>Tidak</v>
          </cell>
          <cell r="G1447" t="str">
            <v>Tidak</v>
          </cell>
          <cell r="H1447" t="str">
            <v>Tidak</v>
          </cell>
          <cell r="I1447" t="str">
            <v>Bandar Judol Withdrawal</v>
          </cell>
          <cell r="J1447">
            <v>35</v>
          </cell>
          <cell r="K1447" t="str">
            <v>86,88,87</v>
          </cell>
          <cell r="L1447" t="str">
            <v>Judi Online</v>
          </cell>
          <cell r="M1447" t="str">
            <v xml:space="preserve">Kas Kanpus                              </v>
          </cell>
          <cell r="N1447" t="str">
            <v xml:space="preserve">Kas Kanpus                              </v>
          </cell>
          <cell r="O1447" t="str">
            <v xml:space="preserve">KAS KANPUS                              </v>
          </cell>
          <cell r="R1447" t="str">
            <v>Belum TL</v>
          </cell>
          <cell r="S1447" t="str">
            <v>Belum TL</v>
          </cell>
          <cell r="T1447" t="str">
            <v>00394521 - Muhammad Hibbanduta</v>
          </cell>
          <cell r="U1447" t="str">
            <v>"-"</v>
          </cell>
        </row>
        <row r="1448">
          <cell r="A1448">
            <v>46265</v>
          </cell>
          <cell r="B1448" t="str">
            <v xml:space="preserve">OPLIYANTO                               </v>
          </cell>
          <cell r="C1448" t="str">
            <v>OF35932</v>
          </cell>
          <cell r="D1448">
            <v>574201024321508</v>
          </cell>
          <cell r="F1448" t="str">
            <v>Tidak</v>
          </cell>
          <cell r="G1448" t="str">
            <v>Tidak</v>
          </cell>
          <cell r="I1448" t="str">
            <v>Jual Beli Rekening - E channel Trx</v>
          </cell>
          <cell r="J1448">
            <v>33</v>
          </cell>
          <cell r="K1448">
            <v>113</v>
          </cell>
          <cell r="L1448" t="str">
            <v>Narkotika/Judi Online/Penipuan</v>
          </cell>
          <cell r="M1448" t="str">
            <v xml:space="preserve">UNIT 5 ULU PALEMBANG A RIVAI            </v>
          </cell>
          <cell r="N1448" t="str">
            <v xml:space="preserve">KC Palembang A. Rivai                   </v>
          </cell>
          <cell r="O1448" t="str">
            <v xml:space="preserve">Palembang                               </v>
          </cell>
          <cell r="R1448" t="str">
            <v>Belum TL</v>
          </cell>
          <cell r="S1448" t="str">
            <v>Belum TL</v>
          </cell>
          <cell r="U1448" t="str">
            <v>"-"</v>
          </cell>
        </row>
        <row r="1449">
          <cell r="A1449">
            <v>46265</v>
          </cell>
          <cell r="B1449" t="str">
            <v xml:space="preserve">PT PEGADAIAN                            </v>
          </cell>
          <cell r="C1449" t="str">
            <v>P003771</v>
          </cell>
          <cell r="D1449">
            <v>33501500546157</v>
          </cell>
          <cell r="E1449" t="str">
            <v>SEDANG</v>
          </cell>
          <cell r="F1449" t="str">
            <v>Tidak</v>
          </cell>
          <cell r="G1449" t="str">
            <v>Tidak</v>
          </cell>
          <cell r="H1449" t="str">
            <v>Tidak</v>
          </cell>
          <cell r="I1449" t="str">
            <v>Korupsi - Loan View</v>
          </cell>
          <cell r="J1449">
            <v>48</v>
          </cell>
          <cell r="K1449">
            <v>15</v>
          </cell>
          <cell r="L1449" t="str">
            <v>Korupsi</v>
          </cell>
          <cell r="M1449" t="str">
            <v>Kas Kanpus</v>
          </cell>
          <cell r="N1449" t="str">
            <v>Kas Kanpus</v>
          </cell>
          <cell r="O1449" t="str">
            <v>KAS KANPUS</v>
          </cell>
          <cell r="R1449" t="str">
            <v>Belum TL</v>
          </cell>
          <cell r="S1449" t="str">
            <v>Belum TL</v>
          </cell>
          <cell r="T1449" t="str">
            <v>00394521 - Muhammad Hibbanduta</v>
          </cell>
          <cell r="U1449" t="str">
            <v>"-"</v>
          </cell>
        </row>
        <row r="1450">
          <cell r="A1450">
            <v>46265</v>
          </cell>
          <cell r="B1450" t="str">
            <v xml:space="preserve">PASARAYA NUSAKARYA PT.                  </v>
          </cell>
          <cell r="C1450" t="str">
            <v>P016537</v>
          </cell>
          <cell r="D1450">
            <v>19301500102151</v>
          </cell>
          <cell r="E1450" t="str">
            <v>SEDANG</v>
          </cell>
          <cell r="F1450" t="str">
            <v>Tidak</v>
          </cell>
          <cell r="G1450" t="str">
            <v>Tidak</v>
          </cell>
          <cell r="H1450" t="str">
            <v>Tidak</v>
          </cell>
          <cell r="I1450" t="str">
            <v>Korupsi - Loan View</v>
          </cell>
          <cell r="J1450">
            <v>48</v>
          </cell>
          <cell r="K1450">
            <v>15</v>
          </cell>
          <cell r="L1450" t="str">
            <v>Korupsi</v>
          </cell>
          <cell r="M1450" t="str">
            <v>Kas Kanpus</v>
          </cell>
          <cell r="N1450" t="str">
            <v>Kas Kanpus</v>
          </cell>
          <cell r="O1450" t="str">
            <v>KAS KANPUS</v>
          </cell>
          <cell r="R1450" t="str">
            <v>Belum TL</v>
          </cell>
          <cell r="S1450" t="str">
            <v>Belum TL</v>
          </cell>
          <cell r="T1450" t="str">
            <v>90150130 - Intan Aida Pratiwi</v>
          </cell>
          <cell r="U1450" t="str">
            <v>"-"</v>
          </cell>
        </row>
        <row r="1451">
          <cell r="A1451">
            <v>46265</v>
          </cell>
          <cell r="B1451" t="str">
            <v xml:space="preserve">PASARAYA TOSERSAJAYA PT                 </v>
          </cell>
          <cell r="C1451" t="str">
            <v>P016539</v>
          </cell>
          <cell r="D1451">
            <v>19301000383192</v>
          </cell>
          <cell r="E1451" t="str">
            <v>SEDANG</v>
          </cell>
          <cell r="F1451" t="str">
            <v>Tidak</v>
          </cell>
          <cell r="G1451" t="str">
            <v>Tidak</v>
          </cell>
          <cell r="H1451" t="str">
            <v>Tidak</v>
          </cell>
          <cell r="I1451" t="str">
            <v>Korupsi - Loan View</v>
          </cell>
          <cell r="J1451">
            <v>48</v>
          </cell>
          <cell r="K1451">
            <v>15</v>
          </cell>
          <cell r="L1451" t="str">
            <v>Korupsi</v>
          </cell>
          <cell r="M1451" t="str">
            <v>Kas Kanpus</v>
          </cell>
          <cell r="N1451" t="str">
            <v>Kas Kanpus</v>
          </cell>
          <cell r="O1451" t="str">
            <v>KAS KANPUS</v>
          </cell>
          <cell r="R1451" t="str">
            <v>Belum TL</v>
          </cell>
          <cell r="S1451" t="str">
            <v>Belum TL</v>
          </cell>
          <cell r="T1451" t="str">
            <v>90170665 - Mutiara Ayuningtyas</v>
          </cell>
          <cell r="U1451" t="str">
            <v>"-"</v>
          </cell>
        </row>
        <row r="1452">
          <cell r="A1452">
            <v>46265</v>
          </cell>
          <cell r="B1452" t="str">
            <v xml:space="preserve">PURWO HARJITO                           </v>
          </cell>
          <cell r="C1452" t="str">
            <v>P207859</v>
          </cell>
          <cell r="D1452">
            <v>730201009064105</v>
          </cell>
          <cell r="E1452" t="str">
            <v>SEDANG</v>
          </cell>
          <cell r="F1452" t="str">
            <v>Tidak</v>
          </cell>
          <cell r="G1452" t="str">
            <v>Tidak</v>
          </cell>
          <cell r="H1452" t="str">
            <v>Tidak</v>
          </cell>
          <cell r="I1452" t="str">
            <v>Korupsi - Loan View</v>
          </cell>
          <cell r="J1452">
            <v>48</v>
          </cell>
          <cell r="K1452">
            <v>15</v>
          </cell>
          <cell r="L1452" t="str">
            <v>Korupsi</v>
          </cell>
          <cell r="M1452" t="str">
            <v>Kas Kanpus</v>
          </cell>
          <cell r="N1452" t="str">
            <v>Kas Kanpus</v>
          </cell>
          <cell r="O1452" t="str">
            <v>KAS KANPUS</v>
          </cell>
          <cell r="R1452" t="str">
            <v>Belum TL</v>
          </cell>
          <cell r="S1452" t="str">
            <v>Belum TL</v>
          </cell>
          <cell r="T1452" t="str">
            <v>00394521 - Muhammad Hibbanduta</v>
          </cell>
          <cell r="U1452" t="str">
            <v>"-"</v>
          </cell>
        </row>
        <row r="1453">
          <cell r="A1453">
            <v>46265</v>
          </cell>
          <cell r="B1453" t="str">
            <v xml:space="preserve">PEKAS YONIF TUJUH DUA ENAM BULU JAYA    </v>
          </cell>
          <cell r="C1453" t="str">
            <v>P241501</v>
          </cell>
          <cell r="D1453">
            <v>25001000046304</v>
          </cell>
          <cell r="E1453" t="str">
            <v>RENDAH</v>
          </cell>
          <cell r="F1453" t="str">
            <v>Tidak</v>
          </cell>
          <cell r="G1453" t="str">
            <v>Tidak</v>
          </cell>
          <cell r="H1453" t="str">
            <v>Tidak</v>
          </cell>
          <cell r="I1453" t="str">
            <v>Korupsi - Payroll View</v>
          </cell>
          <cell r="J1453">
            <v>40</v>
          </cell>
          <cell r="K1453">
            <v>84</v>
          </cell>
          <cell r="L1453" t="str">
            <v>Korupsi</v>
          </cell>
          <cell r="M1453" t="str">
            <v>Kas Kanpus</v>
          </cell>
          <cell r="N1453" t="str">
            <v>Kas Kanpus</v>
          </cell>
          <cell r="O1453" t="str">
            <v>KAS KANPUS</v>
          </cell>
          <cell r="R1453" t="str">
            <v>Belum TL</v>
          </cell>
          <cell r="S1453" t="str">
            <v>Belum TL</v>
          </cell>
          <cell r="T1453" t="str">
            <v>00394521 - Muhammad Hibbanduta</v>
          </cell>
          <cell r="U1453" t="str">
            <v>"-"</v>
          </cell>
        </row>
        <row r="1454">
          <cell r="A1454">
            <v>46265</v>
          </cell>
          <cell r="B1454" t="str">
            <v xml:space="preserve">PRIMA KARYA SARANA SEJAHTERA            </v>
          </cell>
          <cell r="C1454" t="str">
            <v>P290578</v>
          </cell>
          <cell r="D1454">
            <v>36201501476158</v>
          </cell>
          <cell r="E1454" t="str">
            <v>TINGGI</v>
          </cell>
          <cell r="F1454" t="str">
            <v>Tidak</v>
          </cell>
          <cell r="G1454" t="str">
            <v>Tidak</v>
          </cell>
          <cell r="H1454" t="str">
            <v>Tidak</v>
          </cell>
          <cell r="I1454" t="str">
            <v>Korupsi - Loan View</v>
          </cell>
          <cell r="J1454">
            <v>63</v>
          </cell>
          <cell r="K1454">
            <v>15</v>
          </cell>
          <cell r="L1454" t="str">
            <v>Korupsi</v>
          </cell>
          <cell r="M1454" t="str">
            <v>Kas Kanpus</v>
          </cell>
          <cell r="N1454" t="str">
            <v>Kas Kanpus</v>
          </cell>
          <cell r="O1454" t="str">
            <v>KAS KANPUS</v>
          </cell>
          <cell r="R1454" t="str">
            <v>Belum TL</v>
          </cell>
          <cell r="S1454" t="str">
            <v>Belum TL</v>
          </cell>
          <cell r="T1454" t="str">
            <v>00394520 - Frida Akbar Rani</v>
          </cell>
          <cell r="U1454" t="str">
            <v>"-"</v>
          </cell>
        </row>
        <row r="1455">
          <cell r="A1455">
            <v>46265</v>
          </cell>
          <cell r="B1455" t="str">
            <v xml:space="preserve">PT.MODERN WIDYA TEHNICAL                </v>
          </cell>
          <cell r="C1455" t="str">
            <v>P408027</v>
          </cell>
          <cell r="D1455">
            <v>30701000533302</v>
          </cell>
          <cell r="E1455" t="str">
            <v>SEDANG</v>
          </cell>
          <cell r="F1455" t="str">
            <v>Tidak</v>
          </cell>
          <cell r="G1455" t="str">
            <v>Tidak</v>
          </cell>
          <cell r="H1455" t="str">
            <v>Tidak</v>
          </cell>
          <cell r="I1455" t="str">
            <v>Korupsi - Cash &amp; Amount</v>
          </cell>
          <cell r="J1455">
            <v>48</v>
          </cell>
          <cell r="K1455" t="str">
            <v>1,2,20</v>
          </cell>
          <cell r="L1455" t="str">
            <v>Korupsi</v>
          </cell>
          <cell r="M1455" t="str">
            <v>Kas Kanpus</v>
          </cell>
          <cell r="N1455" t="str">
            <v>Kas Kanpus</v>
          </cell>
          <cell r="O1455" t="str">
            <v>KAS KANPUS</v>
          </cell>
          <cell r="R1455" t="str">
            <v>Belum TL</v>
          </cell>
          <cell r="S1455" t="str">
            <v>Belum TL</v>
          </cell>
          <cell r="T1455" t="str">
            <v>90185537 - Moh.Khoerul Fajar Ar</v>
          </cell>
          <cell r="U1455" t="str">
            <v>"-"</v>
          </cell>
        </row>
        <row r="1456">
          <cell r="A1456">
            <v>46265</v>
          </cell>
          <cell r="B1456" t="str">
            <v xml:space="preserve">PALAQUIUM                               </v>
          </cell>
          <cell r="C1456" t="str">
            <v>PA69160</v>
          </cell>
          <cell r="D1456">
            <v>105701000008151</v>
          </cell>
          <cell r="E1456" t="str">
            <v>SEDANG</v>
          </cell>
          <cell r="F1456" t="str">
            <v>Tidak</v>
          </cell>
          <cell r="G1456" t="str">
            <v>Tidak</v>
          </cell>
          <cell r="H1456" t="str">
            <v>Tidak</v>
          </cell>
          <cell r="I1456" t="str">
            <v>Korupsi - Loan View</v>
          </cell>
          <cell r="J1456">
            <v>48</v>
          </cell>
          <cell r="K1456">
            <v>15</v>
          </cell>
          <cell r="L1456" t="str">
            <v>Korupsi</v>
          </cell>
          <cell r="M1456" t="str">
            <v>Kas Kanpus</v>
          </cell>
          <cell r="N1456" t="str">
            <v>Kas Kanpus</v>
          </cell>
          <cell r="O1456" t="str">
            <v>KAS KANPUS</v>
          </cell>
          <cell r="R1456" t="str">
            <v>Belum TL</v>
          </cell>
          <cell r="S1456" t="str">
            <v>Belum TL</v>
          </cell>
          <cell r="T1456" t="str">
            <v>90186790 - Muhammad Alfin Farha</v>
          </cell>
          <cell r="U1456" t="str">
            <v>"-"</v>
          </cell>
        </row>
        <row r="1457">
          <cell r="A1457">
            <v>46265</v>
          </cell>
          <cell r="B1457" t="str">
            <v xml:space="preserve">PUTRI SITI RAHAYU                       </v>
          </cell>
          <cell r="C1457" t="str">
            <v>PAL9677</v>
          </cell>
          <cell r="D1457">
            <v>310601003378508</v>
          </cell>
          <cell r="E1457" t="str">
            <v>SEDANG</v>
          </cell>
          <cell r="F1457" t="str">
            <v>Tidak</v>
          </cell>
          <cell r="G1457" t="str">
            <v>Tidak</v>
          </cell>
          <cell r="H1457" t="str">
            <v>Tidak</v>
          </cell>
          <cell r="I1457" t="str">
            <v>Bandar Judol Withdrawal</v>
          </cell>
          <cell r="J1457">
            <v>50</v>
          </cell>
          <cell r="K1457" t="str">
            <v>86,88,87</v>
          </cell>
          <cell r="L1457" t="str">
            <v>Judi Online</v>
          </cell>
          <cell r="M1457" t="str">
            <v xml:space="preserve">Kas Kanpus                              </v>
          </cell>
          <cell r="N1457" t="str">
            <v xml:space="preserve">Kas Kanpus                              </v>
          </cell>
          <cell r="O1457" t="str">
            <v xml:space="preserve">KAS KANPUS                              </v>
          </cell>
          <cell r="R1457" t="str">
            <v>Belum TL</v>
          </cell>
          <cell r="S1457" t="str">
            <v>Belum TL</v>
          </cell>
          <cell r="T1457" t="str">
            <v>90186796 - Devito Arya Wiradila</v>
          </cell>
          <cell r="U1457" t="str">
            <v>"-"</v>
          </cell>
        </row>
        <row r="1458">
          <cell r="A1458">
            <v>46265</v>
          </cell>
          <cell r="B1458" t="str">
            <v xml:space="preserve">PT PERDAS KENCANA SAKTI                 </v>
          </cell>
          <cell r="C1458" t="str">
            <v>P668165</v>
          </cell>
          <cell r="D1458">
            <v>63301000037159</v>
          </cell>
          <cell r="E1458" t="str">
            <v>SEDANG</v>
          </cell>
          <cell r="F1458" t="str">
            <v>Tidak</v>
          </cell>
          <cell r="G1458" t="str">
            <v>Tidak</v>
          </cell>
          <cell r="H1458" t="str">
            <v>Tidak</v>
          </cell>
          <cell r="I1458" t="str">
            <v>Korupsi - Loan View</v>
          </cell>
          <cell r="J1458">
            <v>48</v>
          </cell>
          <cell r="K1458">
            <v>15</v>
          </cell>
          <cell r="L1458" t="str">
            <v>Korupsi</v>
          </cell>
          <cell r="M1458" t="str">
            <v>Kas Kanpus</v>
          </cell>
          <cell r="N1458" t="str">
            <v>Kas Kanpus</v>
          </cell>
          <cell r="O1458" t="str">
            <v>KAS KANPUS</v>
          </cell>
          <cell r="R1458" t="str">
            <v>Belum TL</v>
          </cell>
          <cell r="S1458" t="str">
            <v>Belum TL</v>
          </cell>
          <cell r="T1458" t="str">
            <v>90185537 - Moh.Khoerul Fajar Ar</v>
          </cell>
          <cell r="U1458" t="str">
            <v>"-"</v>
          </cell>
        </row>
        <row r="1459">
          <cell r="A1459">
            <v>46265</v>
          </cell>
          <cell r="B1459" t="str">
            <v xml:space="preserve">PUTRI EKA AYUNINGTYAS                   </v>
          </cell>
          <cell r="C1459" t="str">
            <v>PBI5557</v>
          </cell>
          <cell r="D1459">
            <v>7701166544507</v>
          </cell>
          <cell r="E1459" t="str">
            <v>SEDANG</v>
          </cell>
          <cell r="F1459" t="str">
            <v>Tidak</v>
          </cell>
          <cell r="G1459" t="str">
            <v>Tidak</v>
          </cell>
          <cell r="H1459" t="str">
            <v>Tidak</v>
          </cell>
          <cell r="I1459" t="str">
            <v>Bandar Judol Withdrawal</v>
          </cell>
          <cell r="J1459">
            <v>50</v>
          </cell>
          <cell r="K1459" t="str">
            <v>86,88,87</v>
          </cell>
          <cell r="L1459" t="str">
            <v>Judi Online</v>
          </cell>
          <cell r="M1459" t="str">
            <v xml:space="preserve">Kas Kanpus                              </v>
          </cell>
          <cell r="N1459" t="str">
            <v xml:space="preserve">Kas Kanpus                              </v>
          </cell>
          <cell r="O1459" t="str">
            <v xml:space="preserve">KAS KANPUS                              </v>
          </cell>
          <cell r="R1459" t="str">
            <v>Belum TL</v>
          </cell>
          <cell r="S1459" t="str">
            <v>Belum TL</v>
          </cell>
          <cell r="T1459" t="str">
            <v>90185538 - Muhammad Fahikal Auz</v>
          </cell>
          <cell r="U1459" t="str">
            <v>"-"</v>
          </cell>
        </row>
        <row r="1460">
          <cell r="A1460">
            <v>46265</v>
          </cell>
          <cell r="B1460" t="str">
            <v xml:space="preserve">PRIYATNO, SH, M.KN                      </v>
          </cell>
          <cell r="C1460" t="str">
            <v>PBM7182</v>
          </cell>
          <cell r="D1460">
            <v>42301001085562</v>
          </cell>
          <cell r="E1460" t="str">
            <v>SEDANG</v>
          </cell>
          <cell r="F1460" t="str">
            <v>Tidak</v>
          </cell>
          <cell r="G1460" t="str">
            <v>Tidak</v>
          </cell>
          <cell r="H1460" t="str">
            <v>Tidak</v>
          </cell>
          <cell r="I1460" t="str">
            <v>Korupsi - Significant Trx View</v>
          </cell>
          <cell r="J1460">
            <v>48</v>
          </cell>
          <cell r="K1460">
            <v>1.19</v>
          </cell>
          <cell r="L1460" t="str">
            <v>Korupsi</v>
          </cell>
          <cell r="M1460" t="str">
            <v>Kas Kanpus</v>
          </cell>
          <cell r="N1460" t="str">
            <v>Kas Kanpus</v>
          </cell>
          <cell r="O1460" t="str">
            <v>KAS KANPUS</v>
          </cell>
          <cell r="R1460" t="str">
            <v>Belum TL</v>
          </cell>
          <cell r="S1460" t="str">
            <v>Belum TL</v>
          </cell>
          <cell r="T1460" t="str">
            <v>90186796 - Devito Arya Wiradila</v>
          </cell>
          <cell r="U1460" t="str">
            <v>"-"</v>
          </cell>
        </row>
        <row r="1461">
          <cell r="A1461">
            <v>46265</v>
          </cell>
          <cell r="B1461" t="str">
            <v xml:space="preserve">PETRO NIAGA SOLUTIONS                   </v>
          </cell>
          <cell r="C1461" t="str">
            <v>PCJ6398</v>
          </cell>
          <cell r="D1461">
            <v>32901500657155</v>
          </cell>
          <cell r="E1461" t="str">
            <v>SEDANG</v>
          </cell>
          <cell r="F1461" t="str">
            <v>Tidak</v>
          </cell>
          <cell r="G1461" t="str">
            <v>Tidak</v>
          </cell>
          <cell r="H1461" t="str">
            <v>Tidak</v>
          </cell>
          <cell r="I1461" t="str">
            <v>Korupsi - Loan View</v>
          </cell>
          <cell r="J1461">
            <v>48</v>
          </cell>
          <cell r="K1461">
            <v>15</v>
          </cell>
          <cell r="L1461" t="str">
            <v>Korupsi</v>
          </cell>
          <cell r="M1461" t="str">
            <v>Kas Kanpus</v>
          </cell>
          <cell r="N1461" t="str">
            <v>Kas Kanpus</v>
          </cell>
          <cell r="O1461" t="str">
            <v>KAS KANPUS</v>
          </cell>
          <cell r="R1461" t="str">
            <v>Belum TL</v>
          </cell>
          <cell r="S1461" t="str">
            <v>Belum TL</v>
          </cell>
          <cell r="T1461" t="str">
            <v>00394520 - Frida Akbar Rani</v>
          </cell>
          <cell r="U1461" t="str">
            <v>"-"</v>
          </cell>
        </row>
        <row r="1462">
          <cell r="A1462">
            <v>46265</v>
          </cell>
          <cell r="B1462" t="str">
            <v xml:space="preserve">PT BINTANG TERANG TUNGGAL               </v>
          </cell>
          <cell r="C1462" t="str">
            <v>PCK9879</v>
          </cell>
          <cell r="D1462">
            <v>28201502779159</v>
          </cell>
          <cell r="E1462" t="str">
            <v>SEDANG</v>
          </cell>
          <cell r="F1462" t="str">
            <v>Tidak</v>
          </cell>
          <cell r="G1462" t="str">
            <v>Tidak</v>
          </cell>
          <cell r="H1462" t="str">
            <v>Tidak</v>
          </cell>
          <cell r="I1462" t="str">
            <v>Korupsi - Loan View</v>
          </cell>
          <cell r="J1462">
            <v>48</v>
          </cell>
          <cell r="K1462">
            <v>15</v>
          </cell>
          <cell r="L1462" t="str">
            <v>Korupsi</v>
          </cell>
          <cell r="M1462" t="str">
            <v>Kas Kanpus</v>
          </cell>
          <cell r="N1462" t="str">
            <v>Kas Kanpus</v>
          </cell>
          <cell r="O1462" t="str">
            <v>KAS KANPUS</v>
          </cell>
          <cell r="R1462" t="str">
            <v>Belum TL</v>
          </cell>
          <cell r="S1462" t="str">
            <v>Belum TL</v>
          </cell>
          <cell r="T1462" t="str">
            <v>90150130 - Intan Aida Pratiwi</v>
          </cell>
          <cell r="U1462" t="str">
            <v>"-"</v>
          </cell>
        </row>
        <row r="1463">
          <cell r="A1463">
            <v>46265</v>
          </cell>
          <cell r="B1463" t="str">
            <v xml:space="preserve">PT KONDANG SEHAT KASIHIBU               </v>
          </cell>
          <cell r="C1463" t="str">
            <v>PCS4615</v>
          </cell>
          <cell r="D1463">
            <v>106301000553307</v>
          </cell>
          <cell r="E1463" t="str">
            <v>SEDANG</v>
          </cell>
          <cell r="F1463" t="str">
            <v>Tidak</v>
          </cell>
          <cell r="G1463" t="str">
            <v>Tidak</v>
          </cell>
          <cell r="H1463" t="str">
            <v>Tidak</v>
          </cell>
          <cell r="I1463" t="str">
            <v>Perpajakan</v>
          </cell>
          <cell r="J1463">
            <v>48</v>
          </cell>
          <cell r="K1463">
            <v>41</v>
          </cell>
          <cell r="L1463" t="str">
            <v>Perpajakan</v>
          </cell>
          <cell r="M1463" t="str">
            <v xml:space="preserve">KC Solo Baru                            </v>
          </cell>
          <cell r="N1463" t="str">
            <v xml:space="preserve">KC Solo Baru                            </v>
          </cell>
          <cell r="O1463" t="str">
            <v xml:space="preserve">Yogyakarta                              </v>
          </cell>
          <cell r="R1463" t="str">
            <v>Belum TL</v>
          </cell>
          <cell r="S1463" t="str">
            <v>Belum TL</v>
          </cell>
          <cell r="T1463" t="str">
            <v>90170665 - Mutiara Ayuningtyas</v>
          </cell>
          <cell r="U1463" t="str">
            <v>"-"</v>
          </cell>
        </row>
        <row r="1464">
          <cell r="A1464">
            <v>46265</v>
          </cell>
          <cell r="B1464" t="str">
            <v xml:space="preserve">PUSPITASARI                             </v>
          </cell>
          <cell r="C1464" t="str">
            <v>PDB0110</v>
          </cell>
          <cell r="D1464">
            <v>59501046930509</v>
          </cell>
          <cell r="E1464" t="str">
            <v>TINGGI</v>
          </cell>
          <cell r="F1464" t="str">
            <v>Tidak</v>
          </cell>
          <cell r="G1464" t="str">
            <v>Tidak</v>
          </cell>
          <cell r="H1464" t="str">
            <v>Tidak</v>
          </cell>
          <cell r="I1464" t="str">
            <v>Bandar Judol Depo</v>
          </cell>
          <cell r="J1464">
            <v>65</v>
          </cell>
          <cell r="K1464" t="str">
            <v>86,74,87</v>
          </cell>
          <cell r="L1464" t="str">
            <v>Judi Online</v>
          </cell>
          <cell r="M1464" t="str">
            <v xml:space="preserve">Kas Kanpus                              </v>
          </cell>
          <cell r="N1464" t="str">
            <v xml:space="preserve">Kas Kanpus                              </v>
          </cell>
          <cell r="O1464" t="str">
            <v xml:space="preserve">KAS KANPUS                              </v>
          </cell>
          <cell r="R1464" t="str">
            <v>Belum TL</v>
          </cell>
          <cell r="S1464" t="str">
            <v>Belum TL</v>
          </cell>
          <cell r="T1464" t="str">
            <v>00336949 - Mochammad Al Farabi</v>
          </cell>
          <cell r="U1464" t="str">
            <v>"-"</v>
          </cell>
        </row>
        <row r="1465">
          <cell r="A1465">
            <v>46265</v>
          </cell>
          <cell r="B1465" t="str">
            <v xml:space="preserve">PT JAV PROPERTY NAYOTAMA                </v>
          </cell>
          <cell r="C1465" t="str">
            <v>PDD5399</v>
          </cell>
          <cell r="D1465">
            <v>204501000153156</v>
          </cell>
          <cell r="E1465" t="str">
            <v>SEDANG</v>
          </cell>
          <cell r="F1465" t="str">
            <v>Tidak</v>
          </cell>
          <cell r="G1465" t="str">
            <v>Tidak</v>
          </cell>
          <cell r="H1465" t="str">
            <v>Tidak</v>
          </cell>
          <cell r="I1465" t="str">
            <v>Korupsi - Loan View</v>
          </cell>
          <cell r="J1465">
            <v>48</v>
          </cell>
          <cell r="K1465">
            <v>15</v>
          </cell>
          <cell r="L1465" t="str">
            <v>Korupsi</v>
          </cell>
          <cell r="M1465" t="str">
            <v>Kas Kanpus</v>
          </cell>
          <cell r="N1465" t="str">
            <v>Kas Kanpus</v>
          </cell>
          <cell r="O1465" t="str">
            <v>KAS KANPUS</v>
          </cell>
          <cell r="R1465" t="str">
            <v>Belum TL</v>
          </cell>
          <cell r="S1465" t="str">
            <v>Belum TL</v>
          </cell>
          <cell r="T1465" t="str">
            <v>90150130 - Intan Aida Pratiwi</v>
          </cell>
          <cell r="U1465" t="str">
            <v>"-"</v>
          </cell>
        </row>
        <row r="1466">
          <cell r="A1466">
            <v>46265</v>
          </cell>
          <cell r="B1466" t="str">
            <v xml:space="preserve">PT SURYA BUMI PERMAI                    </v>
          </cell>
          <cell r="C1466" t="str">
            <v>PDH2776</v>
          </cell>
          <cell r="D1466">
            <v>9801003617306</v>
          </cell>
          <cell r="E1466" t="str">
            <v>SEDANG</v>
          </cell>
          <cell r="F1466" t="str">
            <v>Tidak</v>
          </cell>
          <cell r="G1466" t="str">
            <v>Tidak</v>
          </cell>
          <cell r="H1466" t="str">
            <v>Tidak</v>
          </cell>
          <cell r="I1466" t="str">
            <v>Perpajakan</v>
          </cell>
          <cell r="J1466">
            <v>49</v>
          </cell>
          <cell r="K1466">
            <v>1.33</v>
          </cell>
          <cell r="L1466" t="str">
            <v>Perpajakan</v>
          </cell>
          <cell r="M1466" t="str">
            <v xml:space="preserve">KC Tanjung Karang                       </v>
          </cell>
          <cell r="N1466" t="str">
            <v xml:space="preserve">KC Tanjung Karang                       </v>
          </cell>
          <cell r="O1466" t="str">
            <v xml:space="preserve">KANWIL BANDAR LAMPUNG                   </v>
          </cell>
          <cell r="R1466" t="str">
            <v>Belum TL</v>
          </cell>
          <cell r="S1466" t="str">
            <v>Belum TL</v>
          </cell>
          <cell r="T1466" t="str">
            <v>90185538 - Muhammad Fahikal Auz</v>
          </cell>
          <cell r="U1466" t="str">
            <v>"-"</v>
          </cell>
        </row>
        <row r="1467">
          <cell r="A1467">
            <v>46265</v>
          </cell>
          <cell r="B1467" t="str">
            <v xml:space="preserve">PEDRIL JUMADI                           </v>
          </cell>
          <cell r="C1467" t="str">
            <v>PDH4710</v>
          </cell>
          <cell r="D1467">
            <v>548401020132107</v>
          </cell>
          <cell r="E1467" t="str">
            <v>SEDANG</v>
          </cell>
          <cell r="F1467" t="str">
            <v>Tidak</v>
          </cell>
          <cell r="G1467" t="str">
            <v>Tidak</v>
          </cell>
          <cell r="H1467" t="str">
            <v>Tidak</v>
          </cell>
          <cell r="I1467" t="str">
            <v>Korupsi - Loan View</v>
          </cell>
          <cell r="J1467">
            <v>48</v>
          </cell>
          <cell r="K1467">
            <v>15</v>
          </cell>
          <cell r="L1467" t="str">
            <v>Korupsi</v>
          </cell>
          <cell r="M1467" t="str">
            <v>Kas Kanpus</v>
          </cell>
          <cell r="N1467" t="str">
            <v>Kas Kanpus</v>
          </cell>
          <cell r="O1467" t="str">
            <v>KAS KANPUS</v>
          </cell>
          <cell r="R1467" t="str">
            <v>Belum TL</v>
          </cell>
          <cell r="S1467" t="str">
            <v>Belum TL</v>
          </cell>
          <cell r="T1467" t="str">
            <v>90150130 - Intan Aida Pratiwi</v>
          </cell>
          <cell r="U1467" t="str">
            <v>"-"</v>
          </cell>
        </row>
        <row r="1468">
          <cell r="A1468">
            <v>46265</v>
          </cell>
          <cell r="B1468" t="str">
            <v xml:space="preserve">POSO ENERGI TIGA PAMONA                 </v>
          </cell>
          <cell r="C1468" t="str">
            <v>PDH8589</v>
          </cell>
          <cell r="D1468">
            <v>38401000908305</v>
          </cell>
          <cell r="E1468" t="str">
            <v>SEDANG</v>
          </cell>
          <cell r="F1468" t="str">
            <v>Tidak</v>
          </cell>
          <cell r="G1468" t="str">
            <v>Tidak</v>
          </cell>
          <cell r="H1468" t="str">
            <v>Tidak</v>
          </cell>
          <cell r="I1468" t="str">
            <v>Korupsi - Cash &amp; Amount</v>
          </cell>
          <cell r="J1468">
            <v>48</v>
          </cell>
          <cell r="K1468" t="str">
            <v>1,2,20</v>
          </cell>
          <cell r="L1468" t="str">
            <v>Korupsi</v>
          </cell>
          <cell r="M1468" t="str">
            <v>Kas Kanpus</v>
          </cell>
          <cell r="N1468" t="str">
            <v>Kas Kanpus</v>
          </cell>
          <cell r="O1468" t="str">
            <v>KAS KANPUS</v>
          </cell>
          <cell r="R1468" t="str">
            <v>Belum TL</v>
          </cell>
          <cell r="S1468" t="str">
            <v>Belum TL</v>
          </cell>
          <cell r="T1468" t="str">
            <v>90186790 - Muhammad Alfin Farha</v>
          </cell>
          <cell r="U1468" t="str">
            <v>"-"</v>
          </cell>
        </row>
        <row r="1469">
          <cell r="A1469">
            <v>46265</v>
          </cell>
          <cell r="B1469" t="str">
            <v xml:space="preserve">PUNGUT WIJIANTI                         </v>
          </cell>
          <cell r="C1469" t="str">
            <v>PDN0778</v>
          </cell>
          <cell r="D1469">
            <v>8201003676565</v>
          </cell>
          <cell r="E1469" t="str">
            <v>SEDANG</v>
          </cell>
          <cell r="F1469" t="str">
            <v>Tidak</v>
          </cell>
          <cell r="G1469" t="str">
            <v>Tidak</v>
          </cell>
          <cell r="H1469" t="str">
            <v>Tidak</v>
          </cell>
          <cell r="I1469" t="str">
            <v>Bandar Judol Withdrawal</v>
          </cell>
          <cell r="J1469">
            <v>50</v>
          </cell>
          <cell r="K1469" t="str">
            <v>86,88,87</v>
          </cell>
          <cell r="L1469" t="str">
            <v>Judi Online</v>
          </cell>
          <cell r="M1469" t="str">
            <v xml:space="preserve">Kas Kanpus                              </v>
          </cell>
          <cell r="N1469" t="str">
            <v xml:space="preserve">Kas Kanpus                              </v>
          </cell>
          <cell r="O1469" t="str">
            <v xml:space="preserve">KAS KANPUS                              </v>
          </cell>
          <cell r="R1469" t="str">
            <v>Belum TL</v>
          </cell>
          <cell r="S1469" t="str">
            <v>Belum TL</v>
          </cell>
          <cell r="T1469" t="str">
            <v>00394520 - Frida Akbar Rani</v>
          </cell>
          <cell r="U1469" t="str">
            <v>"-"</v>
          </cell>
        </row>
        <row r="1470">
          <cell r="A1470">
            <v>46265</v>
          </cell>
          <cell r="B1470" t="str">
            <v xml:space="preserve">PT SATRYA REKSA BINAGUNA                </v>
          </cell>
          <cell r="C1470" t="str">
            <v>PDP7219</v>
          </cell>
          <cell r="D1470">
            <v>5401502229157</v>
          </cell>
          <cell r="E1470" t="str">
            <v>SEDANG</v>
          </cell>
          <cell r="F1470" t="str">
            <v>Tidak</v>
          </cell>
          <cell r="G1470" t="str">
            <v>Tidak</v>
          </cell>
          <cell r="H1470" t="str">
            <v>Tidak</v>
          </cell>
          <cell r="I1470" t="str">
            <v>Korupsi - Loan View</v>
          </cell>
          <cell r="J1470">
            <v>48</v>
          </cell>
          <cell r="K1470">
            <v>15</v>
          </cell>
          <cell r="L1470" t="str">
            <v>Korupsi</v>
          </cell>
          <cell r="M1470" t="str">
            <v>Kas Kanpus</v>
          </cell>
          <cell r="N1470" t="str">
            <v>Kas Kanpus</v>
          </cell>
          <cell r="O1470" t="str">
            <v>KAS KANPUS</v>
          </cell>
          <cell r="R1470" t="str">
            <v>Belum TL</v>
          </cell>
          <cell r="S1470" t="str">
            <v>Belum TL</v>
          </cell>
          <cell r="T1470" t="str">
            <v>00336949 - Mochammad Al Farabi</v>
          </cell>
          <cell r="U1470" t="str">
            <v>"-"</v>
          </cell>
        </row>
        <row r="1471">
          <cell r="A1471">
            <v>46265</v>
          </cell>
          <cell r="B1471" t="str">
            <v xml:space="preserve">BINTANG DUTA MITRA                      </v>
          </cell>
          <cell r="C1471" t="str">
            <v>PDS2994</v>
          </cell>
          <cell r="D1471">
            <v>12801501366155</v>
          </cell>
          <cell r="E1471" t="str">
            <v>SEDANG</v>
          </cell>
          <cell r="F1471" t="str">
            <v>Tidak</v>
          </cell>
          <cell r="G1471" t="str">
            <v>Tidak</v>
          </cell>
          <cell r="H1471" t="str">
            <v>Tidak</v>
          </cell>
          <cell r="I1471" t="str">
            <v>Korupsi - Loan View</v>
          </cell>
          <cell r="J1471">
            <v>48</v>
          </cell>
          <cell r="K1471">
            <v>15</v>
          </cell>
          <cell r="L1471" t="str">
            <v>Korupsi</v>
          </cell>
          <cell r="M1471" t="str">
            <v>Kas Kanpus</v>
          </cell>
          <cell r="N1471" t="str">
            <v>Kas Kanpus</v>
          </cell>
          <cell r="O1471" t="str">
            <v>KAS KANPUS</v>
          </cell>
          <cell r="R1471" t="str">
            <v>Belum TL</v>
          </cell>
          <cell r="S1471" t="str">
            <v>Belum TL</v>
          </cell>
          <cell r="T1471" t="str">
            <v>90170665 - Mutiara Ayuningtyas</v>
          </cell>
          <cell r="U1471" t="str">
            <v>"-"</v>
          </cell>
        </row>
        <row r="1472">
          <cell r="A1472">
            <v>46265</v>
          </cell>
          <cell r="B1472" t="str">
            <v xml:space="preserve">PT NIAGA NUSA ABADI                     </v>
          </cell>
          <cell r="C1472" t="str">
            <v>PCH8695</v>
          </cell>
          <cell r="D1472">
            <v>38601000997564</v>
          </cell>
          <cell r="E1472" t="str">
            <v>SEDANG</v>
          </cell>
          <cell r="F1472" t="str">
            <v>Tidak</v>
          </cell>
          <cell r="G1472" t="str">
            <v>Tidak</v>
          </cell>
          <cell r="H1472" t="str">
            <v>Tidak</v>
          </cell>
          <cell r="I1472" t="str">
            <v>Perpajakan</v>
          </cell>
          <cell r="J1472">
            <v>48</v>
          </cell>
          <cell r="K1472">
            <v>1.33</v>
          </cell>
          <cell r="L1472" t="str">
            <v>Perpajakan</v>
          </cell>
          <cell r="M1472" t="str">
            <v xml:space="preserve">KC JAKARTA RAWAMANGUN                   </v>
          </cell>
          <cell r="N1472" t="str">
            <v xml:space="preserve">KC JAKARTA RAWAMANGUN                   </v>
          </cell>
          <cell r="O1472" t="str">
            <v xml:space="preserve">DKI                                     </v>
          </cell>
          <cell r="R1472" t="str">
            <v>Belum TL</v>
          </cell>
          <cell r="S1472" t="str">
            <v>Belum TL</v>
          </cell>
          <cell r="T1472" t="str">
            <v>90150130 - Intan Aida Pratiwi</v>
          </cell>
          <cell r="U1472" t="str">
            <v>"-"</v>
          </cell>
        </row>
        <row r="1473">
          <cell r="A1473">
            <v>46265</v>
          </cell>
          <cell r="B1473" t="str">
            <v xml:space="preserve">PT. TRIO MOTOR                          </v>
          </cell>
          <cell r="C1473" t="str">
            <v>PE29242</v>
          </cell>
          <cell r="D1473">
            <v>301001278303</v>
          </cell>
          <cell r="E1473" t="str">
            <v>SEDANG</v>
          </cell>
          <cell r="F1473" t="str">
            <v>Tidak</v>
          </cell>
          <cell r="G1473" t="str">
            <v>Tidak</v>
          </cell>
          <cell r="H1473" t="str">
            <v>Tidak</v>
          </cell>
          <cell r="I1473" t="str">
            <v>Korupsi - Cash &amp; Amount</v>
          </cell>
          <cell r="J1473">
            <v>50</v>
          </cell>
          <cell r="K1473" t="str">
            <v>1,2,20</v>
          </cell>
          <cell r="L1473" t="str">
            <v>Korupsi</v>
          </cell>
          <cell r="M1473" t="str">
            <v>Kas Kanpus</v>
          </cell>
          <cell r="N1473" t="str">
            <v>Kas Kanpus</v>
          </cell>
          <cell r="O1473" t="str">
            <v>KAS KANPUS</v>
          </cell>
          <cell r="R1473" t="str">
            <v>Belum TL</v>
          </cell>
          <cell r="S1473" t="str">
            <v>Belum TL</v>
          </cell>
          <cell r="T1473" t="str">
            <v>90185538 - Muhammad Fahikal Auz</v>
          </cell>
          <cell r="U1473" t="str">
            <v>"-"</v>
          </cell>
        </row>
        <row r="1474">
          <cell r="A1474">
            <v>46265</v>
          </cell>
          <cell r="B1474" t="str">
            <v xml:space="preserve">PT BPR BKK PURWODADI (PERSERODA)        </v>
          </cell>
          <cell r="C1474" t="str">
            <v>PE49505</v>
          </cell>
          <cell r="D1474">
            <v>7601004756303</v>
          </cell>
          <cell r="E1474" t="str">
            <v>SEDANG</v>
          </cell>
          <cell r="F1474" t="str">
            <v>Tidak</v>
          </cell>
          <cell r="G1474" t="str">
            <v>Tidak</v>
          </cell>
          <cell r="H1474" t="str">
            <v>Tidak</v>
          </cell>
          <cell r="I1474" t="str">
            <v>Korupsi - Cash &amp; Amount</v>
          </cell>
          <cell r="J1474">
            <v>50</v>
          </cell>
          <cell r="K1474" t="str">
            <v>1,2,20</v>
          </cell>
          <cell r="L1474" t="str">
            <v>Korupsi</v>
          </cell>
          <cell r="M1474" t="str">
            <v>Kas Kanpus</v>
          </cell>
          <cell r="N1474" t="str">
            <v>Kas Kanpus</v>
          </cell>
          <cell r="O1474" t="str">
            <v>KAS KANPUS</v>
          </cell>
          <cell r="R1474" t="str">
            <v>Belum TL</v>
          </cell>
          <cell r="S1474" t="str">
            <v>Belum TL</v>
          </cell>
          <cell r="T1474" t="str">
            <v>90171841 - Rifqi Aziz</v>
          </cell>
          <cell r="U1474" t="str">
            <v>"-"</v>
          </cell>
        </row>
        <row r="1475">
          <cell r="A1475">
            <v>46265</v>
          </cell>
          <cell r="B1475" t="str">
            <v xml:space="preserve">PT WIDYA DHARMA SHANTI                  </v>
          </cell>
          <cell r="C1475" t="str">
            <v>PDX5609</v>
          </cell>
          <cell r="D1475">
            <v>1701019759106</v>
          </cell>
          <cell r="E1475" t="str">
            <v>SEDANG</v>
          </cell>
          <cell r="F1475" t="str">
            <v>Tidak</v>
          </cell>
          <cell r="G1475" t="str">
            <v>Tidak</v>
          </cell>
          <cell r="H1475" t="str">
            <v>Tidak</v>
          </cell>
          <cell r="I1475" t="str">
            <v>Korupsi - Loan View</v>
          </cell>
          <cell r="J1475">
            <v>48</v>
          </cell>
          <cell r="K1475">
            <v>15</v>
          </cell>
          <cell r="L1475" t="str">
            <v>Korupsi</v>
          </cell>
          <cell r="M1475" t="str">
            <v>Kas Kanpus</v>
          </cell>
          <cell r="N1475" t="str">
            <v>Kas Kanpus</v>
          </cell>
          <cell r="O1475" t="str">
            <v>KAS KANPUS</v>
          </cell>
          <cell r="R1475" t="str">
            <v>Belum TL</v>
          </cell>
          <cell r="S1475" t="str">
            <v>Belum TL</v>
          </cell>
          <cell r="T1475" t="str">
            <v>90150130 - Intan Aida Pratiwi</v>
          </cell>
          <cell r="U1475" t="str">
            <v>"-"</v>
          </cell>
        </row>
        <row r="1476">
          <cell r="A1476">
            <v>46265</v>
          </cell>
          <cell r="B1476" t="str">
            <v xml:space="preserve">PUTRI SARTIKA                           </v>
          </cell>
          <cell r="C1476" t="str">
            <v>PEE4058</v>
          </cell>
          <cell r="D1476">
            <v>529501024902539</v>
          </cell>
          <cell r="E1476" t="str">
            <v>SEDANG</v>
          </cell>
          <cell r="F1476" t="str">
            <v>Tidak</v>
          </cell>
          <cell r="G1476" t="str">
            <v>Tidak</v>
          </cell>
          <cell r="H1476" t="str">
            <v>Tidak</v>
          </cell>
          <cell r="I1476" t="str">
            <v>Bandar Judol Withdrawal</v>
          </cell>
          <cell r="J1476">
            <v>50</v>
          </cell>
          <cell r="K1476" t="str">
            <v>86,88,87</v>
          </cell>
          <cell r="L1476" t="str">
            <v>Judi Online</v>
          </cell>
          <cell r="M1476" t="str">
            <v xml:space="preserve">Kas Kanpus                              </v>
          </cell>
          <cell r="N1476" t="str">
            <v xml:space="preserve">Kas Kanpus                              </v>
          </cell>
          <cell r="O1476" t="str">
            <v xml:space="preserve">KAS KANPUS                              </v>
          </cell>
          <cell r="R1476" t="str">
            <v>Belum TL</v>
          </cell>
          <cell r="S1476" t="str">
            <v>Belum TL</v>
          </cell>
          <cell r="T1476" t="str">
            <v>90185538 - Muhammad Fahikal Auz</v>
          </cell>
          <cell r="U1476" t="str">
            <v>"-"</v>
          </cell>
        </row>
        <row r="1477">
          <cell r="A1477">
            <v>46265</v>
          </cell>
          <cell r="B1477" t="str">
            <v xml:space="preserve">SATU SEMBILAN                           </v>
          </cell>
          <cell r="C1477" t="str">
            <v>PEG0180</v>
          </cell>
          <cell r="D1477">
            <v>17201502084155</v>
          </cell>
          <cell r="E1477" t="str">
            <v>SEDANG</v>
          </cell>
          <cell r="F1477" t="str">
            <v>Tidak</v>
          </cell>
          <cell r="G1477" t="str">
            <v>Tidak</v>
          </cell>
          <cell r="H1477" t="str">
            <v>Tidak</v>
          </cell>
          <cell r="I1477" t="str">
            <v>Korupsi - Loan View</v>
          </cell>
          <cell r="J1477">
            <v>48</v>
          </cell>
          <cell r="K1477">
            <v>15</v>
          </cell>
          <cell r="L1477" t="str">
            <v>Korupsi</v>
          </cell>
          <cell r="M1477" t="str">
            <v>Kas Kanpus</v>
          </cell>
          <cell r="N1477" t="str">
            <v>Kas Kanpus</v>
          </cell>
          <cell r="O1477" t="str">
            <v>KAS KANPUS</v>
          </cell>
          <cell r="R1477" t="str">
            <v>Belum TL</v>
          </cell>
          <cell r="S1477" t="str">
            <v>Belum TL</v>
          </cell>
          <cell r="T1477" t="str">
            <v>90185537 - Moh.Khoerul Fajar Ar</v>
          </cell>
          <cell r="U1477" t="str">
            <v>"-"</v>
          </cell>
        </row>
        <row r="1478">
          <cell r="A1478">
            <v>46265</v>
          </cell>
          <cell r="B1478" t="str">
            <v xml:space="preserve">PT CAHYA BAGUS MANDIRI                  </v>
          </cell>
          <cell r="C1478" t="str">
            <v>PEL1801</v>
          </cell>
          <cell r="D1478">
            <v>9801005859302</v>
          </cell>
          <cell r="E1478" t="str">
            <v>SEDANG</v>
          </cell>
          <cell r="F1478" t="str">
            <v>Tidak</v>
          </cell>
          <cell r="G1478" t="str">
            <v>Tidak</v>
          </cell>
          <cell r="H1478" t="str">
            <v>Tidak</v>
          </cell>
          <cell r="I1478" t="str">
            <v>Green Financial Crime (GFC)</v>
          </cell>
          <cell r="J1478">
            <v>50</v>
          </cell>
          <cell r="K1478">
            <v>45</v>
          </cell>
          <cell r="L1478" t="str">
            <v>Green Financial Crime</v>
          </cell>
          <cell r="M1478" t="str">
            <v xml:space="preserve">KC Tanjung Karang                       </v>
          </cell>
          <cell r="N1478" t="str">
            <v xml:space="preserve">KC Tanjung Karang                       </v>
          </cell>
          <cell r="O1478" t="str">
            <v xml:space="preserve">KANWIL BANDAR LAMPUNG                   </v>
          </cell>
          <cell r="R1478" t="str">
            <v>Belum TL</v>
          </cell>
          <cell r="S1478" t="str">
            <v>Belum TL</v>
          </cell>
          <cell r="T1478" t="str">
            <v>00336949 - Mochammad Al Farabi</v>
          </cell>
          <cell r="U1478" t="str">
            <v>PEP :M ALFAYYAD RYANDIKA</v>
          </cell>
        </row>
        <row r="1479">
          <cell r="A1479">
            <v>46265</v>
          </cell>
          <cell r="B1479" t="str">
            <v xml:space="preserve">NEBRASKA PRATAMA                        </v>
          </cell>
          <cell r="C1479" t="str">
            <v>PEV5339</v>
          </cell>
          <cell r="D1479">
            <v>44301001228158</v>
          </cell>
          <cell r="E1479" t="str">
            <v>SEDANG</v>
          </cell>
          <cell r="F1479" t="str">
            <v>Tidak</v>
          </cell>
          <cell r="G1479" t="str">
            <v>Tidak</v>
          </cell>
          <cell r="H1479" t="str">
            <v>Tidak</v>
          </cell>
          <cell r="I1479" t="str">
            <v>Korupsi - Loan View</v>
          </cell>
          <cell r="J1479">
            <v>48</v>
          </cell>
          <cell r="K1479">
            <v>15</v>
          </cell>
          <cell r="L1479" t="str">
            <v>Korupsi</v>
          </cell>
          <cell r="M1479" t="str">
            <v>Kas Kanpus</v>
          </cell>
          <cell r="N1479" t="str">
            <v>Kas Kanpus</v>
          </cell>
          <cell r="O1479" t="str">
            <v>KAS KANPUS</v>
          </cell>
          <cell r="R1479" t="str">
            <v>Belum TL</v>
          </cell>
          <cell r="S1479" t="str">
            <v>Belum TL</v>
          </cell>
          <cell r="T1479" t="str">
            <v>90185538 - Muhammad Fahikal Auz</v>
          </cell>
          <cell r="U1479" t="str">
            <v>"-"</v>
          </cell>
        </row>
        <row r="1480">
          <cell r="A1480">
            <v>46265</v>
          </cell>
          <cell r="B1480" t="str">
            <v xml:space="preserve">PT. POLA PENAWAR BANGUN SEMESTA         </v>
          </cell>
          <cell r="C1480" t="str">
            <v>PF57896</v>
          </cell>
          <cell r="D1480">
            <v>37801001039306</v>
          </cell>
          <cell r="E1480" t="str">
            <v>SEDANG</v>
          </cell>
          <cell r="F1480" t="str">
            <v>Tidak</v>
          </cell>
          <cell r="G1480" t="str">
            <v>Tidak</v>
          </cell>
          <cell r="H1480" t="str">
            <v>Tidak</v>
          </cell>
          <cell r="I1480" t="str">
            <v>Perpajakan</v>
          </cell>
          <cell r="J1480">
            <v>48</v>
          </cell>
          <cell r="K1480">
            <v>41</v>
          </cell>
          <cell r="L1480" t="str">
            <v>Perpajakan</v>
          </cell>
          <cell r="M1480" t="str">
            <v xml:space="preserve">KC Jakarta Rasuna Said                  </v>
          </cell>
          <cell r="N1480" t="str">
            <v xml:space="preserve">KC Jakarta Rasuna Said                  </v>
          </cell>
          <cell r="O1480" t="str">
            <v xml:space="preserve">DKI2                                    </v>
          </cell>
          <cell r="R1480" t="str">
            <v>Belum TL</v>
          </cell>
          <cell r="S1480" t="str">
            <v>Belum TL</v>
          </cell>
          <cell r="T1480" t="str">
            <v>00394520 - Frida Akbar Rani</v>
          </cell>
          <cell r="U1480" t="str">
            <v>"-"</v>
          </cell>
        </row>
        <row r="1481">
          <cell r="A1481">
            <v>46265</v>
          </cell>
          <cell r="B1481" t="str">
            <v xml:space="preserve">PUTRA PANGKE MANDIRI                    </v>
          </cell>
          <cell r="C1481" t="str">
            <v>PFO7318</v>
          </cell>
          <cell r="D1481">
            <v>61801001267565</v>
          </cell>
          <cell r="E1481" t="str">
            <v>SEDANG</v>
          </cell>
          <cell r="F1481" t="str">
            <v>Tidak</v>
          </cell>
          <cell r="G1481" t="str">
            <v>Tidak</v>
          </cell>
          <cell r="H1481" t="str">
            <v>Tidak</v>
          </cell>
          <cell r="I1481" t="str">
            <v>Korupsi - Cash &amp; Amount</v>
          </cell>
          <cell r="J1481">
            <v>48</v>
          </cell>
          <cell r="K1481" t="str">
            <v>1,2,20</v>
          </cell>
          <cell r="L1481" t="str">
            <v>Korupsi</v>
          </cell>
          <cell r="M1481" t="str">
            <v>Kas Kanpus</v>
          </cell>
          <cell r="N1481" t="str">
            <v>Kas Kanpus</v>
          </cell>
          <cell r="O1481" t="str">
            <v>KAS KANPUS</v>
          </cell>
          <cell r="R1481" t="str">
            <v>Belum TL</v>
          </cell>
          <cell r="S1481" t="str">
            <v>Belum TL</v>
          </cell>
          <cell r="T1481" t="str">
            <v>90150130 - Intan Aida Pratiwi</v>
          </cell>
          <cell r="U1481" t="str">
            <v>"-"</v>
          </cell>
        </row>
        <row r="1482">
          <cell r="A1482">
            <v>46265</v>
          </cell>
          <cell r="B1482" t="str">
            <v xml:space="preserve">PERDI SINURAYA                          </v>
          </cell>
          <cell r="C1482" t="str">
            <v>PFR1559</v>
          </cell>
          <cell r="D1482">
            <v>526201016121538</v>
          </cell>
          <cell r="E1482" t="str">
            <v>SEDANG</v>
          </cell>
          <cell r="F1482" t="str">
            <v>Tidak</v>
          </cell>
          <cell r="G1482" t="str">
            <v>Tidak</v>
          </cell>
          <cell r="H1482" t="str">
            <v>Tidak</v>
          </cell>
          <cell r="I1482" t="str">
            <v>Bandar Judol Withdrawal</v>
          </cell>
          <cell r="J1482">
            <v>50</v>
          </cell>
          <cell r="K1482" t="str">
            <v>86,88,87</v>
          </cell>
          <cell r="L1482" t="str">
            <v>Judi Online</v>
          </cell>
          <cell r="M1482" t="str">
            <v xml:space="preserve">Kas Kanpus                              </v>
          </cell>
          <cell r="N1482" t="str">
            <v xml:space="preserve">Kas Kanpus                              </v>
          </cell>
          <cell r="O1482" t="str">
            <v xml:space="preserve">KAS KANPUS                              </v>
          </cell>
          <cell r="R1482" t="str">
            <v>Belum TL</v>
          </cell>
          <cell r="S1482" t="str">
            <v>Belum TL</v>
          </cell>
          <cell r="T1482" t="str">
            <v>00394521 - Muhammad Hibbanduta</v>
          </cell>
          <cell r="U1482" t="str">
            <v>"-"</v>
          </cell>
        </row>
        <row r="1483">
          <cell r="A1483">
            <v>46265</v>
          </cell>
          <cell r="B1483" t="str">
            <v xml:space="preserve">PURWANINGSIH                            </v>
          </cell>
          <cell r="C1483" t="str">
            <v>PG81093</v>
          </cell>
          <cell r="D1483">
            <v>20601373914104</v>
          </cell>
          <cell r="E1483" t="str">
            <v>SEDANG</v>
          </cell>
          <cell r="F1483" t="str">
            <v>Tidak</v>
          </cell>
          <cell r="G1483" t="str">
            <v>Tidak</v>
          </cell>
          <cell r="H1483" t="str">
            <v>Tidak</v>
          </cell>
          <cell r="I1483" t="str">
            <v>Korupsi - Loan View</v>
          </cell>
          <cell r="J1483">
            <v>48</v>
          </cell>
          <cell r="K1483">
            <v>15</v>
          </cell>
          <cell r="L1483" t="str">
            <v>Korupsi</v>
          </cell>
          <cell r="M1483" t="str">
            <v>Kas Kanpus</v>
          </cell>
          <cell r="N1483" t="str">
            <v>Kas Kanpus</v>
          </cell>
          <cell r="O1483" t="str">
            <v>KAS KANPUS</v>
          </cell>
          <cell r="R1483" t="str">
            <v>Belum TL</v>
          </cell>
          <cell r="S1483" t="str">
            <v>Belum TL</v>
          </cell>
          <cell r="T1483" t="str">
            <v>90150130 - Intan Aida Pratiwi</v>
          </cell>
          <cell r="U1483" t="str">
            <v>"-"</v>
          </cell>
        </row>
        <row r="1484">
          <cell r="A1484">
            <v>46265</v>
          </cell>
          <cell r="B1484" t="str">
            <v xml:space="preserve">GLOBAL COMMUNITY BORNEO                 </v>
          </cell>
          <cell r="C1484" t="str">
            <v>PG96895</v>
          </cell>
          <cell r="D1484">
            <v>14301500311153</v>
          </cell>
          <cell r="E1484" t="str">
            <v>SEDANG</v>
          </cell>
          <cell r="F1484" t="str">
            <v>Tidak</v>
          </cell>
          <cell r="G1484" t="str">
            <v>Tidak</v>
          </cell>
          <cell r="H1484" t="str">
            <v>Tidak</v>
          </cell>
          <cell r="I1484" t="str">
            <v>Korupsi - Loan View</v>
          </cell>
          <cell r="J1484">
            <v>48</v>
          </cell>
          <cell r="K1484">
            <v>15</v>
          </cell>
          <cell r="L1484" t="str">
            <v>Korupsi</v>
          </cell>
          <cell r="M1484" t="str">
            <v>Kas Kanpus</v>
          </cell>
          <cell r="N1484" t="str">
            <v>Kas Kanpus</v>
          </cell>
          <cell r="O1484" t="str">
            <v>KAS KANPUS</v>
          </cell>
          <cell r="R1484" t="str">
            <v>Belum TL</v>
          </cell>
          <cell r="S1484" t="str">
            <v>Belum TL</v>
          </cell>
          <cell r="T1484" t="str">
            <v>90170665 - Mutiara Ayuningtyas</v>
          </cell>
          <cell r="U1484" t="str">
            <v>"-"</v>
          </cell>
        </row>
        <row r="1485">
          <cell r="A1485">
            <v>46265</v>
          </cell>
          <cell r="B1485" t="str">
            <v xml:space="preserve">PT KHARISMA MAJU ABADI                  </v>
          </cell>
          <cell r="C1485" t="str">
            <v>PGN2660</v>
          </cell>
          <cell r="D1485">
            <v>202001000270300</v>
          </cell>
          <cell r="E1485" t="str">
            <v>SEDANG</v>
          </cell>
          <cell r="F1485" t="str">
            <v>Tidak</v>
          </cell>
          <cell r="G1485" t="str">
            <v>Tidak</v>
          </cell>
          <cell r="H1485" t="str">
            <v>Tidak</v>
          </cell>
          <cell r="I1485" t="str">
            <v>Perpajakan</v>
          </cell>
          <cell r="J1485">
            <v>50</v>
          </cell>
          <cell r="K1485">
            <v>41</v>
          </cell>
          <cell r="L1485" t="str">
            <v>Perpajakan</v>
          </cell>
          <cell r="M1485" t="str">
            <v xml:space="preserve">KCP KEMENTRIAN BUMN                     </v>
          </cell>
          <cell r="N1485" t="str">
            <v xml:space="preserve">KC Jakarta Veteran                      </v>
          </cell>
          <cell r="O1485" t="str">
            <v xml:space="preserve">DKI                                     </v>
          </cell>
          <cell r="R1485" t="str">
            <v>Belum TL</v>
          </cell>
          <cell r="S1485" t="str">
            <v>Belum TL</v>
          </cell>
          <cell r="T1485" t="str">
            <v>00394520 - Frida Akbar Rani</v>
          </cell>
          <cell r="U1485" t="str">
            <v>"-"</v>
          </cell>
        </row>
        <row r="1486">
          <cell r="A1486">
            <v>46265</v>
          </cell>
          <cell r="B1486" t="str">
            <v xml:space="preserve">PT SEKAR SARIDANA                       </v>
          </cell>
          <cell r="C1486" t="str">
            <v>PGN2671</v>
          </cell>
          <cell r="D1486">
            <v>202001000271306</v>
          </cell>
          <cell r="E1486" t="str">
            <v>SEDANG</v>
          </cell>
          <cell r="F1486" t="str">
            <v>Tidak</v>
          </cell>
          <cell r="G1486" t="str">
            <v>Tidak</v>
          </cell>
          <cell r="H1486" t="str">
            <v>Tidak</v>
          </cell>
          <cell r="I1486" t="str">
            <v>Perpajakan</v>
          </cell>
          <cell r="J1486">
            <v>48</v>
          </cell>
          <cell r="K1486">
            <v>41</v>
          </cell>
          <cell r="L1486" t="str">
            <v>Perpajakan</v>
          </cell>
          <cell r="M1486" t="str">
            <v xml:space="preserve">KCP KEMENTRIAN BUMN                     </v>
          </cell>
          <cell r="N1486" t="str">
            <v xml:space="preserve">KC Jakarta Veteran                      </v>
          </cell>
          <cell r="O1486" t="str">
            <v xml:space="preserve">DKI                                     </v>
          </cell>
          <cell r="R1486" t="str">
            <v>Belum TL</v>
          </cell>
          <cell r="S1486" t="str">
            <v>Belum TL</v>
          </cell>
          <cell r="T1486" t="str">
            <v>90186790 - Muhammad Alfin Farha</v>
          </cell>
          <cell r="U1486" t="str">
            <v>"-"</v>
          </cell>
        </row>
        <row r="1487">
          <cell r="A1487">
            <v>46265</v>
          </cell>
          <cell r="B1487" t="str">
            <v xml:space="preserve">PT GADING ADIPERMAI                     </v>
          </cell>
          <cell r="C1487" t="str">
            <v>PGN2683</v>
          </cell>
          <cell r="D1487">
            <v>202001000272302</v>
          </cell>
          <cell r="E1487" t="str">
            <v>SEDANG</v>
          </cell>
          <cell r="F1487" t="str">
            <v>Tidak</v>
          </cell>
          <cell r="G1487" t="str">
            <v>Tidak</v>
          </cell>
          <cell r="H1487" t="str">
            <v>Tidak</v>
          </cell>
          <cell r="I1487" t="str">
            <v>Perpajakan</v>
          </cell>
          <cell r="J1487">
            <v>50</v>
          </cell>
          <cell r="K1487">
            <v>41</v>
          </cell>
          <cell r="L1487" t="str">
            <v>Perpajakan</v>
          </cell>
          <cell r="M1487" t="str">
            <v xml:space="preserve">KCP KEMENTRIAN BUMN                     </v>
          </cell>
          <cell r="N1487" t="str">
            <v xml:space="preserve">KC Jakarta Veteran                      </v>
          </cell>
          <cell r="O1487" t="str">
            <v xml:space="preserve">DKI                                     </v>
          </cell>
          <cell r="R1487" t="str">
            <v>Belum TL</v>
          </cell>
          <cell r="S1487" t="str">
            <v>Belum TL</v>
          </cell>
          <cell r="T1487" t="str">
            <v>90186796 - Devito Arya Wiradila</v>
          </cell>
          <cell r="U1487" t="str">
            <v>"-"</v>
          </cell>
        </row>
        <row r="1488">
          <cell r="A1488">
            <v>46265</v>
          </cell>
          <cell r="B1488" t="str">
            <v xml:space="preserve">PT KARTIKA INSANI RAYA                  </v>
          </cell>
          <cell r="C1488" t="str">
            <v>PGN3129</v>
          </cell>
          <cell r="D1488">
            <v>202001000273308</v>
          </cell>
          <cell r="E1488" t="str">
            <v>SEDANG</v>
          </cell>
          <cell r="F1488" t="str">
            <v>Tidak</v>
          </cell>
          <cell r="G1488" t="str">
            <v>Tidak</v>
          </cell>
          <cell r="H1488" t="str">
            <v>Tidak</v>
          </cell>
          <cell r="I1488" t="str">
            <v>Perpajakan</v>
          </cell>
          <cell r="J1488">
            <v>50</v>
          </cell>
          <cell r="K1488">
            <v>41</v>
          </cell>
          <cell r="L1488" t="str">
            <v>Perpajakan</v>
          </cell>
          <cell r="M1488" t="str">
            <v xml:space="preserve">KCP KEMENTRIAN BUMN                     </v>
          </cell>
          <cell r="N1488" t="str">
            <v xml:space="preserve">KC Jakarta Veteran                      </v>
          </cell>
          <cell r="O1488" t="str">
            <v xml:space="preserve">DKI                                     </v>
          </cell>
          <cell r="R1488" t="str">
            <v>Belum TL</v>
          </cell>
          <cell r="S1488" t="str">
            <v>Belum TL</v>
          </cell>
          <cell r="T1488" t="str">
            <v>00394521 - Muhammad Hibbanduta</v>
          </cell>
          <cell r="U1488" t="str">
            <v>"-"</v>
          </cell>
        </row>
        <row r="1489">
          <cell r="A1489">
            <v>46265</v>
          </cell>
          <cell r="B1489" t="str">
            <v xml:space="preserve">PT LIA ANUGRAH SEMESTA                  </v>
          </cell>
          <cell r="C1489" t="str">
            <v>PGU0899</v>
          </cell>
          <cell r="D1489">
            <v>202001000279304</v>
          </cell>
          <cell r="E1489" t="str">
            <v>SEDANG</v>
          </cell>
          <cell r="F1489" t="str">
            <v>Tidak</v>
          </cell>
          <cell r="G1489" t="str">
            <v>Tidak</v>
          </cell>
          <cell r="H1489" t="str">
            <v>Tidak</v>
          </cell>
          <cell r="I1489" t="str">
            <v>Perpajakan</v>
          </cell>
          <cell r="J1489">
            <v>50</v>
          </cell>
          <cell r="K1489">
            <v>41</v>
          </cell>
          <cell r="L1489" t="str">
            <v>Perpajakan</v>
          </cell>
          <cell r="M1489" t="str">
            <v xml:space="preserve">KCP KEMENTRIAN BUMN                     </v>
          </cell>
          <cell r="N1489" t="str">
            <v xml:space="preserve">KC Jakarta Veteran                      </v>
          </cell>
          <cell r="O1489" t="str">
            <v xml:space="preserve">DKI                                     </v>
          </cell>
          <cell r="R1489" t="str">
            <v>Belum TL</v>
          </cell>
          <cell r="S1489" t="str">
            <v>Belum TL</v>
          </cell>
          <cell r="T1489" t="str">
            <v>90150130 - Intan Aida Pratiwi</v>
          </cell>
          <cell r="U1489" t="str">
            <v>"-"</v>
          </cell>
        </row>
        <row r="1490">
          <cell r="A1490">
            <v>46265</v>
          </cell>
          <cell r="B1490" t="str">
            <v xml:space="preserve">PT. BHAKTI KESEHATAN MASYARAKAT         </v>
          </cell>
          <cell r="C1490" t="str">
            <v>PHD3698</v>
          </cell>
          <cell r="D1490">
            <v>27001015519102</v>
          </cell>
          <cell r="E1490" t="str">
            <v>SEDANG</v>
          </cell>
          <cell r="F1490" t="str">
            <v>Tidak</v>
          </cell>
          <cell r="G1490" t="str">
            <v>Tidak</v>
          </cell>
          <cell r="H1490" t="str">
            <v>Tidak</v>
          </cell>
          <cell r="I1490" t="str">
            <v>Korupsi - Loan View</v>
          </cell>
          <cell r="J1490">
            <v>48</v>
          </cell>
          <cell r="K1490">
            <v>15</v>
          </cell>
          <cell r="L1490" t="str">
            <v>Korupsi</v>
          </cell>
          <cell r="M1490" t="str">
            <v>Kas Kanpus</v>
          </cell>
          <cell r="N1490" t="str">
            <v>Kas Kanpus</v>
          </cell>
          <cell r="O1490" t="str">
            <v>KAS KANPUS</v>
          </cell>
          <cell r="R1490" t="str">
            <v>Belum TL</v>
          </cell>
          <cell r="S1490" t="str">
            <v>Belum TL</v>
          </cell>
          <cell r="T1490" t="str">
            <v>90170665 - Mutiara Ayuningtyas</v>
          </cell>
          <cell r="U1490" t="str">
            <v>"-"</v>
          </cell>
        </row>
        <row r="1491">
          <cell r="A1491">
            <v>46265</v>
          </cell>
          <cell r="B1491" t="str">
            <v xml:space="preserve">PUTRI SOVIA GANIA                       </v>
          </cell>
          <cell r="C1491" t="str">
            <v>PHF2053</v>
          </cell>
          <cell r="D1491">
            <v>402001000012560</v>
          </cell>
          <cell r="F1491" t="str">
            <v>Tidak</v>
          </cell>
          <cell r="G1491" t="str">
            <v>Tidak</v>
          </cell>
          <cell r="I1491" t="str">
            <v>Jual Beli Rekening - E channel Trx</v>
          </cell>
          <cell r="J1491">
            <v>33</v>
          </cell>
          <cell r="K1491">
            <v>113</v>
          </cell>
          <cell r="L1491" t="str">
            <v>Narkotika/Judi Online/Penipuan</v>
          </cell>
          <cell r="M1491" t="str">
            <v xml:space="preserve">UNIT CISAGA BANJAR                      </v>
          </cell>
          <cell r="N1491" t="str">
            <v xml:space="preserve">KC Banjar                               </v>
          </cell>
          <cell r="O1491" t="str">
            <v xml:space="preserve">Bandung                                 </v>
          </cell>
          <cell r="R1491" t="str">
            <v>Belum TL</v>
          </cell>
          <cell r="S1491" t="str">
            <v>Belum TL</v>
          </cell>
          <cell r="U1491" t="str">
            <v>"-"</v>
          </cell>
        </row>
        <row r="1492">
          <cell r="A1492">
            <v>46265</v>
          </cell>
          <cell r="B1492" t="str">
            <v xml:space="preserve">PT. PUTRA SEJATI BERKARYA               </v>
          </cell>
          <cell r="C1492" t="str">
            <v>PHI1652</v>
          </cell>
          <cell r="D1492">
            <v>28601501578158</v>
          </cell>
          <cell r="E1492" t="str">
            <v>SEDANG</v>
          </cell>
          <cell r="F1492" t="str">
            <v>Tidak</v>
          </cell>
          <cell r="G1492" t="str">
            <v>Tidak</v>
          </cell>
          <cell r="H1492" t="str">
            <v>Tidak</v>
          </cell>
          <cell r="I1492" t="str">
            <v>Korupsi - Loan View</v>
          </cell>
          <cell r="J1492">
            <v>48</v>
          </cell>
          <cell r="K1492">
            <v>15</v>
          </cell>
          <cell r="L1492" t="str">
            <v>Korupsi</v>
          </cell>
          <cell r="M1492" t="str">
            <v>Kas Kanpus</v>
          </cell>
          <cell r="N1492" t="str">
            <v>Kas Kanpus</v>
          </cell>
          <cell r="O1492" t="str">
            <v>KAS KANPUS</v>
          </cell>
          <cell r="R1492" t="str">
            <v>Belum TL</v>
          </cell>
          <cell r="S1492" t="str">
            <v>Belum TL</v>
          </cell>
          <cell r="T1492" t="str">
            <v>90150130 - Intan Aida Pratiwi</v>
          </cell>
          <cell r="U1492" t="str">
            <v>"-"</v>
          </cell>
        </row>
        <row r="1493">
          <cell r="A1493">
            <v>46265</v>
          </cell>
          <cell r="B1493" t="str">
            <v xml:space="preserve">ALLO JAYA                               </v>
          </cell>
          <cell r="C1493" t="str">
            <v>PHM4732</v>
          </cell>
          <cell r="D1493">
            <v>33301501727156</v>
          </cell>
          <cell r="E1493" t="str">
            <v>SEDANG</v>
          </cell>
          <cell r="F1493" t="str">
            <v>Tidak</v>
          </cell>
          <cell r="G1493" t="str">
            <v>Tidak</v>
          </cell>
          <cell r="H1493" t="str">
            <v>Tidak</v>
          </cell>
          <cell r="I1493" t="str">
            <v>Korupsi - Loan View</v>
          </cell>
          <cell r="J1493">
            <v>48</v>
          </cell>
          <cell r="K1493">
            <v>15</v>
          </cell>
          <cell r="L1493" t="str">
            <v>Korupsi</v>
          </cell>
          <cell r="M1493" t="str">
            <v>Kas Kanpus</v>
          </cell>
          <cell r="N1493" t="str">
            <v>Kas Kanpus</v>
          </cell>
          <cell r="O1493" t="str">
            <v>KAS KANPUS</v>
          </cell>
          <cell r="R1493" t="str">
            <v>Belum TL</v>
          </cell>
          <cell r="S1493" t="str">
            <v>Belum TL</v>
          </cell>
          <cell r="T1493" t="str">
            <v>90186790 - Muhammad Alfin Farha</v>
          </cell>
          <cell r="U1493" t="str">
            <v>"-"</v>
          </cell>
        </row>
        <row r="1494">
          <cell r="A1494">
            <v>46265</v>
          </cell>
          <cell r="B1494" t="str">
            <v xml:space="preserve">PT SUMA RAYA PERKASA                    </v>
          </cell>
          <cell r="C1494" t="str">
            <v>PHM6616</v>
          </cell>
          <cell r="D1494">
            <v>21301501295155</v>
          </cell>
          <cell r="E1494" t="str">
            <v>SEDANG</v>
          </cell>
          <cell r="F1494" t="str">
            <v>Tidak</v>
          </cell>
          <cell r="G1494" t="str">
            <v>Tidak</v>
          </cell>
          <cell r="H1494" t="str">
            <v>Tidak</v>
          </cell>
          <cell r="I1494" t="str">
            <v>Korupsi - Loan View</v>
          </cell>
          <cell r="J1494">
            <v>48</v>
          </cell>
          <cell r="K1494">
            <v>15</v>
          </cell>
          <cell r="L1494" t="str">
            <v>Korupsi</v>
          </cell>
          <cell r="M1494" t="str">
            <v>Kas Kanpus</v>
          </cell>
          <cell r="N1494" t="str">
            <v>Kas Kanpus</v>
          </cell>
          <cell r="O1494" t="str">
            <v>KAS KANPUS</v>
          </cell>
          <cell r="R1494" t="str">
            <v>Belum TL</v>
          </cell>
          <cell r="S1494" t="str">
            <v>Belum TL</v>
          </cell>
          <cell r="T1494" t="str">
            <v>90186790 - Muhammad Alfin Farha</v>
          </cell>
          <cell r="U1494" t="str">
            <v>"-"</v>
          </cell>
        </row>
        <row r="1495">
          <cell r="A1495">
            <v>46265</v>
          </cell>
          <cell r="B1495" t="str">
            <v xml:space="preserve">PT. ILHAM JAYA LESTARI                  </v>
          </cell>
          <cell r="C1495" t="str">
            <v>PHQ7494</v>
          </cell>
          <cell r="D1495">
            <v>34201501262155</v>
          </cell>
          <cell r="E1495" t="str">
            <v>SEDANG</v>
          </cell>
          <cell r="F1495" t="str">
            <v>Tidak</v>
          </cell>
          <cell r="G1495" t="str">
            <v>Tidak</v>
          </cell>
          <cell r="H1495" t="str">
            <v>Tidak</v>
          </cell>
          <cell r="I1495" t="str">
            <v>Korupsi - Loan View</v>
          </cell>
          <cell r="J1495">
            <v>48</v>
          </cell>
          <cell r="K1495">
            <v>15</v>
          </cell>
          <cell r="L1495" t="str">
            <v>Korupsi</v>
          </cell>
          <cell r="M1495" t="str">
            <v>Kas Kanpus</v>
          </cell>
          <cell r="N1495" t="str">
            <v>Kas Kanpus</v>
          </cell>
          <cell r="O1495" t="str">
            <v>KAS KANPUS</v>
          </cell>
          <cell r="R1495" t="str">
            <v>Belum TL</v>
          </cell>
          <cell r="S1495" t="str">
            <v>Belum TL</v>
          </cell>
          <cell r="T1495" t="str">
            <v>90186796 - Devito Arya Wiradila</v>
          </cell>
          <cell r="U1495" t="str">
            <v>"-"</v>
          </cell>
        </row>
        <row r="1496">
          <cell r="A1496">
            <v>46265</v>
          </cell>
          <cell r="B1496" t="str">
            <v xml:space="preserve">PERTAMINA PATRA NIAGA BRI AREA 2        </v>
          </cell>
          <cell r="C1496" t="str">
            <v>PHR9328</v>
          </cell>
          <cell r="D1496">
            <v>32901004612306</v>
          </cell>
          <cell r="E1496" t="str">
            <v>SEDANG</v>
          </cell>
          <cell r="F1496" t="str">
            <v>Tidak</v>
          </cell>
          <cell r="G1496" t="str">
            <v>Tidak</v>
          </cell>
          <cell r="H1496" t="str">
            <v>Tidak</v>
          </cell>
          <cell r="I1496" t="str">
            <v>Perpajakan</v>
          </cell>
          <cell r="J1496">
            <v>50</v>
          </cell>
          <cell r="K1496">
            <v>1.33</v>
          </cell>
          <cell r="L1496" t="str">
            <v>Perpajakan</v>
          </cell>
          <cell r="M1496" t="str">
            <v xml:space="preserve">KC Jakarta Veteran                      </v>
          </cell>
          <cell r="N1496" t="str">
            <v xml:space="preserve">KC Jakarta Veteran                      </v>
          </cell>
          <cell r="O1496" t="str">
            <v xml:space="preserve">DKI                                     </v>
          </cell>
          <cell r="R1496" t="str">
            <v>Belum TL</v>
          </cell>
          <cell r="S1496" t="str">
            <v>Belum TL</v>
          </cell>
          <cell r="T1496" t="str">
            <v>00394521 - Muhammad Hibbanduta</v>
          </cell>
          <cell r="U1496" t="str">
            <v>"-"</v>
          </cell>
        </row>
        <row r="1497">
          <cell r="A1497">
            <v>46265</v>
          </cell>
          <cell r="B1497" t="str">
            <v xml:space="preserve">PT. CHEISA MANDIRI UTAMA                </v>
          </cell>
          <cell r="C1497" t="str">
            <v>PHS2660</v>
          </cell>
          <cell r="D1497">
            <v>62801000822153</v>
          </cell>
          <cell r="E1497" t="str">
            <v>SEDANG</v>
          </cell>
          <cell r="F1497" t="str">
            <v>Tidak</v>
          </cell>
          <cell r="G1497" t="str">
            <v>Tidak</v>
          </cell>
          <cell r="H1497" t="str">
            <v>Tidak</v>
          </cell>
          <cell r="I1497" t="str">
            <v>Korupsi - Loan View</v>
          </cell>
          <cell r="J1497">
            <v>48</v>
          </cell>
          <cell r="K1497">
            <v>15</v>
          </cell>
          <cell r="L1497" t="str">
            <v>Korupsi</v>
          </cell>
          <cell r="M1497" t="str">
            <v>Kas Kanpus</v>
          </cell>
          <cell r="N1497" t="str">
            <v>Kas Kanpus</v>
          </cell>
          <cell r="O1497" t="str">
            <v>KAS KANPUS</v>
          </cell>
          <cell r="R1497" t="str">
            <v>Belum TL</v>
          </cell>
          <cell r="S1497" t="str">
            <v>Belum TL</v>
          </cell>
          <cell r="T1497" t="str">
            <v>90170665 - Mutiara Ayuningtyas</v>
          </cell>
          <cell r="U1497" t="str">
            <v>"-"</v>
          </cell>
        </row>
        <row r="1498">
          <cell r="A1498">
            <v>46265</v>
          </cell>
          <cell r="B1498" t="str">
            <v xml:space="preserve">PRIMA PUTRA AGUNG                       </v>
          </cell>
          <cell r="C1498" t="str">
            <v>PHS7632</v>
          </cell>
          <cell r="D1498">
            <v>43001000881306</v>
          </cell>
          <cell r="E1498" t="str">
            <v>SEDANG</v>
          </cell>
          <cell r="F1498" t="str">
            <v>Tidak</v>
          </cell>
          <cell r="G1498" t="str">
            <v>Tidak</v>
          </cell>
          <cell r="H1498" t="str">
            <v>Tidak</v>
          </cell>
          <cell r="I1498" t="str">
            <v>Korupsi - Cash &amp; Amount</v>
          </cell>
          <cell r="J1498">
            <v>50</v>
          </cell>
          <cell r="K1498" t="str">
            <v>1,2,20</v>
          </cell>
          <cell r="L1498" t="str">
            <v>Korupsi</v>
          </cell>
          <cell r="M1498" t="str">
            <v>Kas Kanpus</v>
          </cell>
          <cell r="N1498" t="str">
            <v>Kas Kanpus</v>
          </cell>
          <cell r="O1498" t="str">
            <v>KAS KANPUS</v>
          </cell>
          <cell r="R1498" t="str">
            <v>Belum TL</v>
          </cell>
          <cell r="S1498" t="str">
            <v>Belum TL</v>
          </cell>
          <cell r="T1498" t="str">
            <v>90170665 - Mutiara Ayuningtyas</v>
          </cell>
          <cell r="U1498" t="str">
            <v>"-"</v>
          </cell>
        </row>
        <row r="1499">
          <cell r="A1499">
            <v>46265</v>
          </cell>
          <cell r="B1499" t="str">
            <v xml:space="preserve">PRIMA POWER PARAHIYANGAN                </v>
          </cell>
          <cell r="C1499" t="str">
            <v>PHZ1201</v>
          </cell>
          <cell r="D1499">
            <v>38901000515152</v>
          </cell>
          <cell r="E1499" t="str">
            <v>SEDANG</v>
          </cell>
          <cell r="F1499" t="str">
            <v>Tidak</v>
          </cell>
          <cell r="G1499" t="str">
            <v>Tidak</v>
          </cell>
          <cell r="H1499" t="str">
            <v>Tidak</v>
          </cell>
          <cell r="I1499" t="str">
            <v>Korupsi - Loan View</v>
          </cell>
          <cell r="J1499">
            <v>48</v>
          </cell>
          <cell r="K1499">
            <v>15</v>
          </cell>
          <cell r="L1499" t="str">
            <v>Korupsi</v>
          </cell>
          <cell r="M1499" t="str">
            <v>Kas Kanpus</v>
          </cell>
          <cell r="N1499" t="str">
            <v>Kas Kanpus</v>
          </cell>
          <cell r="O1499" t="str">
            <v>KAS KANPUS</v>
          </cell>
          <cell r="R1499" t="str">
            <v>Belum TL</v>
          </cell>
          <cell r="S1499" t="str">
            <v>Belum TL</v>
          </cell>
          <cell r="T1499" t="str">
            <v>90186796 - Devito Arya Wiradila</v>
          </cell>
          <cell r="U1499" t="str">
            <v>"-"</v>
          </cell>
        </row>
        <row r="1500">
          <cell r="A1500">
            <v>46265</v>
          </cell>
          <cell r="B1500" t="str">
            <v xml:space="preserve">PT TRIMEGAH BANGUN PERSADA TBK          </v>
          </cell>
          <cell r="C1500" t="str">
            <v>PI21049</v>
          </cell>
          <cell r="D1500">
            <v>10301001076301</v>
          </cell>
          <cell r="E1500" t="str">
            <v>SEDANG</v>
          </cell>
          <cell r="F1500" t="str">
            <v>Tidak</v>
          </cell>
          <cell r="G1500" t="str">
            <v>Tidak</v>
          </cell>
          <cell r="H1500" t="str">
            <v>Tidak</v>
          </cell>
          <cell r="I1500" t="str">
            <v>Korupsi - Cash &amp; Amount</v>
          </cell>
          <cell r="J1500">
            <v>48</v>
          </cell>
          <cell r="K1500" t="str">
            <v>1,2,20</v>
          </cell>
          <cell r="L1500" t="str">
            <v>Korupsi</v>
          </cell>
          <cell r="M1500" t="str">
            <v>Kas Kanpus</v>
          </cell>
          <cell r="N1500" t="str">
            <v>Kas Kanpus</v>
          </cell>
          <cell r="O1500" t="str">
            <v>KAS KANPUS</v>
          </cell>
          <cell r="R1500" t="str">
            <v>Belum TL</v>
          </cell>
          <cell r="S1500" t="str">
            <v>Belum TL</v>
          </cell>
          <cell r="T1500" t="str">
            <v>90185538 - Muhammad Fahikal Auz</v>
          </cell>
          <cell r="U1500" t="str">
            <v>"-"</v>
          </cell>
        </row>
        <row r="1501">
          <cell r="A1501">
            <v>46265</v>
          </cell>
          <cell r="B1501" t="str">
            <v xml:space="preserve">PT TIRTA WIJAYA KARYA                   </v>
          </cell>
          <cell r="C1501" t="str">
            <v>PI73364</v>
          </cell>
          <cell r="D1501">
            <v>12301502222150</v>
          </cell>
          <cell r="E1501" t="str">
            <v>SEDANG</v>
          </cell>
          <cell r="F1501" t="str">
            <v>Tidak</v>
          </cell>
          <cell r="G1501" t="str">
            <v>Tidak</v>
          </cell>
          <cell r="H1501" t="str">
            <v>Tidak</v>
          </cell>
          <cell r="I1501" t="str">
            <v>Korupsi - Loan View</v>
          </cell>
          <cell r="J1501">
            <v>48</v>
          </cell>
          <cell r="K1501">
            <v>15</v>
          </cell>
          <cell r="L1501" t="str">
            <v>Korupsi</v>
          </cell>
          <cell r="M1501" t="str">
            <v>Kas Kanpus</v>
          </cell>
          <cell r="N1501" t="str">
            <v>Kas Kanpus</v>
          </cell>
          <cell r="O1501" t="str">
            <v>KAS KANPUS</v>
          </cell>
          <cell r="R1501" t="str">
            <v>Belum TL</v>
          </cell>
          <cell r="S1501" t="str">
            <v>Belum TL</v>
          </cell>
          <cell r="T1501" t="str">
            <v>90185538 - Muhammad Fahikal Auz</v>
          </cell>
          <cell r="U1501" t="str">
            <v>"-"</v>
          </cell>
        </row>
        <row r="1502">
          <cell r="A1502">
            <v>46265</v>
          </cell>
          <cell r="B1502" t="str">
            <v xml:space="preserve">PUSKOPTI JAWA BARAT                     </v>
          </cell>
          <cell r="C1502" t="str">
            <v>PIK4280</v>
          </cell>
          <cell r="D1502">
            <v>40101000703155</v>
          </cell>
          <cell r="E1502" t="str">
            <v>SEDANG</v>
          </cell>
          <cell r="F1502" t="str">
            <v>Tidak</v>
          </cell>
          <cell r="G1502" t="str">
            <v>Tidak</v>
          </cell>
          <cell r="H1502" t="str">
            <v>Tidak</v>
          </cell>
          <cell r="I1502" t="str">
            <v>Korupsi - Loan View</v>
          </cell>
          <cell r="J1502">
            <v>48</v>
          </cell>
          <cell r="K1502">
            <v>15</v>
          </cell>
          <cell r="L1502" t="str">
            <v>Korupsi</v>
          </cell>
          <cell r="M1502" t="str">
            <v>Kas Kanpus</v>
          </cell>
          <cell r="N1502" t="str">
            <v>Kas Kanpus</v>
          </cell>
          <cell r="O1502" t="str">
            <v>KAS KANPUS</v>
          </cell>
          <cell r="R1502" t="str">
            <v>Belum TL</v>
          </cell>
          <cell r="S1502" t="str">
            <v>Belum TL</v>
          </cell>
          <cell r="T1502" t="str">
            <v>90185538 - Muhammad Fahikal Auz</v>
          </cell>
          <cell r="U1502" t="str">
            <v>"-"</v>
          </cell>
        </row>
        <row r="1503">
          <cell r="A1503">
            <v>46265</v>
          </cell>
          <cell r="B1503" t="str">
            <v xml:space="preserve">NAMURA JAYA MANRU                       </v>
          </cell>
          <cell r="C1503" t="str">
            <v>PHG0068</v>
          </cell>
          <cell r="D1503">
            <v>44401000952156</v>
          </cell>
          <cell r="E1503" t="str">
            <v>SEDANG</v>
          </cell>
          <cell r="F1503" t="str">
            <v>Tidak</v>
          </cell>
          <cell r="G1503" t="str">
            <v>Tidak</v>
          </cell>
          <cell r="H1503" t="str">
            <v>Tidak</v>
          </cell>
          <cell r="I1503" t="str">
            <v>Korupsi - Loan View</v>
          </cell>
          <cell r="J1503">
            <v>48</v>
          </cell>
          <cell r="K1503">
            <v>15</v>
          </cell>
          <cell r="L1503" t="str">
            <v>Korupsi</v>
          </cell>
          <cell r="M1503" t="str">
            <v>Kas Kanpus</v>
          </cell>
          <cell r="N1503" t="str">
            <v>Kas Kanpus</v>
          </cell>
          <cell r="O1503" t="str">
            <v>KAS KANPUS</v>
          </cell>
          <cell r="R1503" t="str">
            <v>Belum TL</v>
          </cell>
          <cell r="S1503" t="str">
            <v>Belum TL</v>
          </cell>
          <cell r="T1503" t="str">
            <v>00394520 - Frida Akbar Rani</v>
          </cell>
          <cell r="U1503" t="str">
            <v>"-"</v>
          </cell>
        </row>
        <row r="1504">
          <cell r="A1504">
            <v>46265</v>
          </cell>
          <cell r="B1504" t="str">
            <v xml:space="preserve">DEWADARU KARYAUTAMA JAYA                </v>
          </cell>
          <cell r="C1504" t="str">
            <v>PIT5251</v>
          </cell>
          <cell r="D1504">
            <v>12101502004156</v>
          </cell>
          <cell r="E1504" t="str">
            <v>SEDANG</v>
          </cell>
          <cell r="F1504" t="str">
            <v>Tidak</v>
          </cell>
          <cell r="G1504" t="str">
            <v>Tidak</v>
          </cell>
          <cell r="H1504" t="str">
            <v>Tidak</v>
          </cell>
          <cell r="I1504" t="str">
            <v>Korupsi - Loan View</v>
          </cell>
          <cell r="J1504">
            <v>48</v>
          </cell>
          <cell r="K1504">
            <v>15</v>
          </cell>
          <cell r="L1504" t="str">
            <v>Korupsi</v>
          </cell>
          <cell r="M1504" t="str">
            <v>Kas Kanpus</v>
          </cell>
          <cell r="N1504" t="str">
            <v>Kas Kanpus</v>
          </cell>
          <cell r="O1504" t="str">
            <v>KAS KANPUS</v>
          </cell>
          <cell r="R1504" t="str">
            <v>Belum TL</v>
          </cell>
          <cell r="S1504" t="str">
            <v>Belum TL</v>
          </cell>
          <cell r="T1504" t="str">
            <v>90186790 - Muhammad Alfin Farha</v>
          </cell>
          <cell r="U1504" t="str">
            <v>"-"</v>
          </cell>
        </row>
        <row r="1505">
          <cell r="A1505">
            <v>46265</v>
          </cell>
          <cell r="B1505" t="str">
            <v xml:space="preserve">PIPIT VIDRIANTI                         </v>
          </cell>
          <cell r="C1505" t="str">
            <v>PJC1989</v>
          </cell>
          <cell r="D1505">
            <v>332301010311505</v>
          </cell>
          <cell r="F1505" t="str">
            <v>Tidak</v>
          </cell>
          <cell r="G1505" t="str">
            <v>Tidak</v>
          </cell>
          <cell r="I1505" t="str">
            <v>Jual Beli Rekening - E channel Trx</v>
          </cell>
          <cell r="J1505">
            <v>33</v>
          </cell>
          <cell r="K1505">
            <v>113</v>
          </cell>
          <cell r="L1505" t="str">
            <v>Narkotika/Judi Online/Penipuan</v>
          </cell>
          <cell r="M1505" t="str">
            <v xml:space="preserve">UNIT KEDOYA JAKARTA                     </v>
          </cell>
          <cell r="N1505" t="str">
            <v xml:space="preserve">KC Jakarta Daan Mogot                   </v>
          </cell>
          <cell r="O1505" t="str">
            <v xml:space="preserve">KANWIL JAKARTA 3                        </v>
          </cell>
          <cell r="R1505" t="str">
            <v>Belum TL</v>
          </cell>
          <cell r="S1505" t="str">
            <v>Belum TL</v>
          </cell>
          <cell r="U1505" t="str">
            <v>"-"</v>
          </cell>
        </row>
        <row r="1506">
          <cell r="A1506">
            <v>46265</v>
          </cell>
          <cell r="B1506" t="str">
            <v xml:space="preserve">PUSPITA RAMADANTI                       </v>
          </cell>
          <cell r="C1506" t="str">
            <v>PJE7406</v>
          </cell>
          <cell r="D1506">
            <v>1201305769500</v>
          </cell>
          <cell r="E1506" t="str">
            <v>SEDANG</v>
          </cell>
          <cell r="F1506" t="str">
            <v>Tidak</v>
          </cell>
          <cell r="G1506" t="str">
            <v>Tidak</v>
          </cell>
          <cell r="H1506" t="str">
            <v>Tidak</v>
          </cell>
          <cell r="I1506" t="str">
            <v>Bandar Judol Depo</v>
          </cell>
          <cell r="J1506">
            <v>50</v>
          </cell>
          <cell r="K1506" t="str">
            <v>86,74,87</v>
          </cell>
          <cell r="L1506" t="str">
            <v>Judi Online</v>
          </cell>
          <cell r="M1506" t="str">
            <v xml:space="preserve">Kas Kanpus                              </v>
          </cell>
          <cell r="N1506" t="str">
            <v xml:space="preserve">Kas Kanpus                              </v>
          </cell>
          <cell r="O1506" t="str">
            <v xml:space="preserve">KAS KANPUS                              </v>
          </cell>
          <cell r="R1506" t="str">
            <v>Belum TL</v>
          </cell>
          <cell r="S1506" t="str">
            <v>Belum TL</v>
          </cell>
          <cell r="T1506" t="str">
            <v>00336949 - Mochammad Al Farabi</v>
          </cell>
          <cell r="U1506" t="str">
            <v>"-"</v>
          </cell>
        </row>
        <row r="1507">
          <cell r="A1507">
            <v>46247</v>
          </cell>
          <cell r="B1507" t="str">
            <v xml:space="preserve">PADLI                                   </v>
          </cell>
          <cell r="C1507" t="str">
            <v>PJF9061</v>
          </cell>
          <cell r="D1507">
            <v>815301010424534</v>
          </cell>
          <cell r="E1507" t="str">
            <v>SEDANG</v>
          </cell>
          <cell r="F1507" t="str">
            <v>Tidak</v>
          </cell>
          <cell r="G1507" t="str">
            <v>Tidak</v>
          </cell>
          <cell r="I1507" t="str">
            <v>Teroris - Remark</v>
          </cell>
          <cell r="J1507">
            <v>168</v>
          </cell>
          <cell r="K1507">
            <v>50</v>
          </cell>
          <cell r="L1507" t="str">
            <v>Terorisme</v>
          </cell>
          <cell r="M1507" t="str">
            <v xml:space="preserve">Kas Kanpus                              </v>
          </cell>
          <cell r="N1507" t="str">
            <v xml:space="preserve">Kas Kanpus                              </v>
          </cell>
          <cell r="O1507" t="str">
            <v xml:space="preserve">KAS KANPUS                              </v>
          </cell>
          <cell r="R1507" t="str">
            <v>Belum TL</v>
          </cell>
          <cell r="S1507" t="str">
            <v>Belum TL</v>
          </cell>
          <cell r="T1507" t="str">
            <v>90171841 - Rifqi Aziz</v>
          </cell>
          <cell r="U1507" t="str">
            <v>"-"</v>
          </cell>
        </row>
        <row r="1508">
          <cell r="A1508">
            <v>46265</v>
          </cell>
          <cell r="B1508" t="str">
            <v xml:space="preserve">REJANG JAYA SEJAHTERA                   </v>
          </cell>
          <cell r="C1508" t="str">
            <v>PJG5056</v>
          </cell>
          <cell r="D1508">
            <v>547001036597532</v>
          </cell>
          <cell r="E1508" t="str">
            <v>SEDANG</v>
          </cell>
          <cell r="F1508" t="str">
            <v>Ya</v>
          </cell>
          <cell r="G1508" t="str">
            <v>Tidak</v>
          </cell>
          <cell r="H1508" t="str">
            <v>Tidak</v>
          </cell>
          <cell r="I1508" t="str">
            <v>Perpajakan</v>
          </cell>
          <cell r="J1508">
            <v>49</v>
          </cell>
          <cell r="K1508">
            <v>1.33</v>
          </cell>
          <cell r="L1508" t="str">
            <v>Perpajakan</v>
          </cell>
          <cell r="M1508" t="str">
            <v xml:space="preserve">UNIT LUBUK BUAYA KHATIB S               </v>
          </cell>
          <cell r="N1508" t="str">
            <v xml:space="preserve">KC Khatib Sulaiman                      </v>
          </cell>
          <cell r="O1508" t="str">
            <v xml:space="preserve">Padang                                  </v>
          </cell>
          <cell r="R1508" t="str">
            <v>Belum TL</v>
          </cell>
          <cell r="S1508" t="str">
            <v>Belum TL</v>
          </cell>
          <cell r="T1508" t="str">
            <v>90185538 - Muhammad Fahikal Auz</v>
          </cell>
          <cell r="U1508" t="str">
            <v>"-"</v>
          </cell>
        </row>
        <row r="1509">
          <cell r="A1509">
            <v>46265</v>
          </cell>
          <cell r="B1509" t="str">
            <v xml:space="preserve">PUJA PUTRI JUNINDA                      </v>
          </cell>
          <cell r="C1509" t="str">
            <v>PJT7446</v>
          </cell>
          <cell r="D1509">
            <v>4359720232662000</v>
          </cell>
          <cell r="E1509" t="str">
            <v>SEDANG</v>
          </cell>
          <cell r="F1509" t="str">
            <v>Tidak</v>
          </cell>
          <cell r="G1509" t="str">
            <v>Tidak</v>
          </cell>
          <cell r="H1509" t="str">
            <v>Tidak</v>
          </cell>
          <cell r="I1509" t="str">
            <v>Penghindaran Pajak (Transaksi Fiktif)/Penyuapan CC</v>
          </cell>
          <cell r="J1509">
            <v>45</v>
          </cell>
          <cell r="K1509">
            <v>118</v>
          </cell>
          <cell r="L1509" t="str">
            <v>Penyuapan / Penghindaran Pajak CC View</v>
          </cell>
          <cell r="M1509" t="str">
            <v xml:space="preserve">Kas Kanpus                              </v>
          </cell>
          <cell r="N1509" t="str">
            <v xml:space="preserve">Kas Kanpus                              </v>
          </cell>
          <cell r="O1509" t="str">
            <v xml:space="preserve">KAS KANPUS                              </v>
          </cell>
          <cell r="R1509" t="str">
            <v>Belum TL</v>
          </cell>
          <cell r="S1509" t="str">
            <v>Belum TL</v>
          </cell>
          <cell r="T1509" t="str">
            <v>00394520 - Frida Akbar Rani</v>
          </cell>
          <cell r="U1509" t="str">
            <v>"-"</v>
          </cell>
        </row>
        <row r="1510">
          <cell r="A1510">
            <v>46265</v>
          </cell>
          <cell r="B1510" t="str">
            <v xml:space="preserve">PURWANTI                                </v>
          </cell>
          <cell r="C1510" t="str">
            <v>PJZ8831</v>
          </cell>
          <cell r="D1510">
            <v>530401050508538</v>
          </cell>
          <cell r="E1510" t="str">
            <v>SEDANG</v>
          </cell>
          <cell r="F1510" t="str">
            <v>Tidak</v>
          </cell>
          <cell r="G1510" t="str">
            <v>Tidak</v>
          </cell>
          <cell r="H1510" t="str">
            <v>Tidak</v>
          </cell>
          <cell r="I1510" t="str">
            <v>Bandar Judol Withdrawal</v>
          </cell>
          <cell r="J1510">
            <v>50</v>
          </cell>
          <cell r="K1510" t="str">
            <v>86,88,87</v>
          </cell>
          <cell r="L1510" t="str">
            <v>Judi Online</v>
          </cell>
          <cell r="M1510" t="str">
            <v xml:space="preserve">Kas Kanpus                              </v>
          </cell>
          <cell r="N1510" t="str">
            <v xml:space="preserve">Kas Kanpus                              </v>
          </cell>
          <cell r="O1510" t="str">
            <v xml:space="preserve">KAS KANPUS                              </v>
          </cell>
          <cell r="R1510" t="str">
            <v>Belum TL</v>
          </cell>
          <cell r="S1510" t="str">
            <v>Belum TL</v>
          </cell>
          <cell r="T1510" t="str">
            <v>00336949 - Mochammad Al Farabi</v>
          </cell>
          <cell r="U1510" t="str">
            <v>"-"</v>
          </cell>
        </row>
        <row r="1511">
          <cell r="A1511">
            <v>46265</v>
          </cell>
          <cell r="B1511" t="str">
            <v xml:space="preserve">PUTRI SRI DAYANTI                       </v>
          </cell>
          <cell r="C1511" t="str">
            <v>PKF9251</v>
          </cell>
          <cell r="D1511">
            <v>95401016669532</v>
          </cell>
          <cell r="E1511" t="str">
            <v>SEDANG</v>
          </cell>
          <cell r="F1511" t="str">
            <v>Tidak</v>
          </cell>
          <cell r="G1511" t="str">
            <v>Tidak</v>
          </cell>
          <cell r="H1511" t="str">
            <v>Tidak</v>
          </cell>
          <cell r="I1511" t="str">
            <v>Bandar Judol Withdrawal</v>
          </cell>
          <cell r="J1511">
            <v>50</v>
          </cell>
          <cell r="K1511" t="str">
            <v>86,88,87</v>
          </cell>
          <cell r="L1511" t="str">
            <v>Judi Online</v>
          </cell>
          <cell r="M1511" t="str">
            <v xml:space="preserve">Kas Kanpus                              </v>
          </cell>
          <cell r="N1511" t="str">
            <v xml:space="preserve">Kas Kanpus                              </v>
          </cell>
          <cell r="O1511" t="str">
            <v xml:space="preserve">KAS KANPUS                              </v>
          </cell>
          <cell r="R1511" t="str">
            <v>Belum TL</v>
          </cell>
          <cell r="S1511" t="str">
            <v>Belum TL</v>
          </cell>
          <cell r="T1511" t="str">
            <v>90186790 - Muhammad Alfin Farha</v>
          </cell>
          <cell r="U1511" t="str">
            <v>"-"</v>
          </cell>
        </row>
        <row r="1512">
          <cell r="A1512">
            <v>46265</v>
          </cell>
          <cell r="B1512" t="str">
            <v xml:space="preserve">PT MULTI SARANA JAYA SEMESTA            </v>
          </cell>
          <cell r="C1512" t="str">
            <v>PKG7013</v>
          </cell>
          <cell r="D1512">
            <v>115901000809155</v>
          </cell>
          <cell r="E1512" t="str">
            <v>SEDANG</v>
          </cell>
          <cell r="F1512" t="str">
            <v>Tidak</v>
          </cell>
          <cell r="G1512" t="str">
            <v>Tidak</v>
          </cell>
          <cell r="H1512" t="str">
            <v>Tidak</v>
          </cell>
          <cell r="I1512" t="str">
            <v>Korupsi - Loan View</v>
          </cell>
          <cell r="J1512">
            <v>48</v>
          </cell>
          <cell r="K1512">
            <v>15</v>
          </cell>
          <cell r="L1512" t="str">
            <v>Korupsi</v>
          </cell>
          <cell r="M1512" t="str">
            <v>Kas Kanpus</v>
          </cell>
          <cell r="N1512" t="str">
            <v>Kas Kanpus</v>
          </cell>
          <cell r="O1512" t="str">
            <v>KAS KANPUS</v>
          </cell>
          <cell r="R1512" t="str">
            <v>Belum TL</v>
          </cell>
          <cell r="S1512" t="str">
            <v>Belum TL</v>
          </cell>
          <cell r="T1512" t="str">
            <v>00336949 - Mochammad Al Farabi</v>
          </cell>
          <cell r="U1512" t="str">
            <v>"-"</v>
          </cell>
        </row>
        <row r="1513">
          <cell r="A1513">
            <v>46265</v>
          </cell>
          <cell r="B1513" t="str">
            <v xml:space="preserve">PT PNM MEKAAR SOCAH                     </v>
          </cell>
          <cell r="C1513" t="str">
            <v>PKJ4265</v>
          </cell>
          <cell r="D1513">
            <v>610801033056531</v>
          </cell>
          <cell r="E1513" t="str">
            <v>SEDANG</v>
          </cell>
          <cell r="F1513" t="str">
            <v>Tidak</v>
          </cell>
          <cell r="G1513" t="str">
            <v>Tidak</v>
          </cell>
          <cell r="H1513" t="str">
            <v>Tidak</v>
          </cell>
          <cell r="I1513" t="str">
            <v>Perikanan dan Kelautan</v>
          </cell>
          <cell r="J1513">
            <v>50</v>
          </cell>
          <cell r="K1513">
            <v>100</v>
          </cell>
          <cell r="L1513" t="str">
            <v>Perikanan dan Kelautan</v>
          </cell>
          <cell r="M1513" t="str">
            <v xml:space="preserve">UNIT SULTAN KADIRUN BANGKALAN           </v>
          </cell>
          <cell r="N1513" t="str">
            <v xml:space="preserve">KC Bangkalan                            </v>
          </cell>
          <cell r="O1513" t="str">
            <v xml:space="preserve">Surabaya                                </v>
          </cell>
          <cell r="R1513" t="str">
            <v>Belum TL</v>
          </cell>
          <cell r="S1513" t="str">
            <v>Belum TL</v>
          </cell>
          <cell r="T1513" t="str">
            <v>90185538 - Muhammad Fahikal Auz</v>
          </cell>
          <cell r="U1513" t="str">
            <v>"-"</v>
          </cell>
        </row>
        <row r="1514">
          <cell r="A1514">
            <v>46265</v>
          </cell>
          <cell r="B1514" t="str">
            <v xml:space="preserve">PT SPEKTRA INDAHPRATAMA                 </v>
          </cell>
          <cell r="C1514" t="str">
            <v>PKK2450</v>
          </cell>
          <cell r="D1514">
            <v>116001000545300</v>
          </cell>
          <cell r="E1514" t="str">
            <v>SEDANG</v>
          </cell>
          <cell r="F1514" t="str">
            <v>Tidak</v>
          </cell>
          <cell r="G1514" t="str">
            <v>Tidak</v>
          </cell>
          <cell r="H1514" t="str">
            <v>Tidak</v>
          </cell>
          <cell r="I1514" t="str">
            <v>Perpajakan</v>
          </cell>
          <cell r="J1514">
            <v>48</v>
          </cell>
          <cell r="K1514">
            <v>41</v>
          </cell>
          <cell r="L1514" t="str">
            <v>Perpajakan</v>
          </cell>
          <cell r="M1514" t="str">
            <v xml:space="preserve">KCP PNDOK CANDRA                        </v>
          </cell>
          <cell r="N1514" t="str">
            <v xml:space="preserve">KC Waru                                 </v>
          </cell>
          <cell r="O1514" t="str">
            <v xml:space="preserve">Surabaya                                </v>
          </cell>
          <cell r="R1514" t="str">
            <v>Belum TL</v>
          </cell>
          <cell r="S1514" t="str">
            <v>Belum TL</v>
          </cell>
          <cell r="T1514" t="str">
            <v>90170665 - Mutiara Ayuningtyas</v>
          </cell>
          <cell r="U1514" t="str">
            <v>"-"</v>
          </cell>
        </row>
        <row r="1515">
          <cell r="A1515">
            <v>46265</v>
          </cell>
          <cell r="B1515" t="str">
            <v xml:space="preserve">PILAR BARAT ABADI                       </v>
          </cell>
          <cell r="C1515" t="str">
            <v>PKL5949</v>
          </cell>
          <cell r="D1515">
            <v>31901001540159</v>
          </cell>
          <cell r="E1515" t="str">
            <v>SEDANG</v>
          </cell>
          <cell r="F1515" t="str">
            <v>Tidak</v>
          </cell>
          <cell r="G1515" t="str">
            <v>Tidak</v>
          </cell>
          <cell r="H1515" t="str">
            <v>Tidak</v>
          </cell>
          <cell r="I1515" t="str">
            <v>Korupsi - Loan View</v>
          </cell>
          <cell r="J1515">
            <v>48</v>
          </cell>
          <cell r="K1515">
            <v>15</v>
          </cell>
          <cell r="L1515" t="str">
            <v>Korupsi</v>
          </cell>
          <cell r="M1515" t="str">
            <v>Kas Kanpus</v>
          </cell>
          <cell r="N1515" t="str">
            <v>Kas Kanpus</v>
          </cell>
          <cell r="O1515" t="str">
            <v>KAS KANPUS</v>
          </cell>
          <cell r="R1515" t="str">
            <v>Belum TL</v>
          </cell>
          <cell r="S1515" t="str">
            <v>Belum TL</v>
          </cell>
          <cell r="T1515" t="str">
            <v>90186790 - Muhammad Alfin Farha</v>
          </cell>
          <cell r="U1515" t="str">
            <v>"-"</v>
          </cell>
        </row>
        <row r="1516">
          <cell r="A1516">
            <v>46265</v>
          </cell>
          <cell r="B1516" t="str">
            <v xml:space="preserve">POETRA SAKTI MAKMUR                     </v>
          </cell>
          <cell r="C1516" t="str">
            <v>PKQ9443</v>
          </cell>
          <cell r="D1516">
            <v>34401118899309</v>
          </cell>
          <cell r="E1516" t="str">
            <v>TINGGI</v>
          </cell>
          <cell r="F1516" t="str">
            <v>Tidak</v>
          </cell>
          <cell r="G1516" t="str">
            <v>Tidak</v>
          </cell>
          <cell r="H1516" t="str">
            <v>Tidak</v>
          </cell>
          <cell r="I1516" t="str">
            <v>Korupsi - Cash &amp; Amount</v>
          </cell>
          <cell r="J1516">
            <v>64</v>
          </cell>
          <cell r="K1516" t="str">
            <v>1,2,20</v>
          </cell>
          <cell r="L1516" t="str">
            <v>Korupsi</v>
          </cell>
          <cell r="M1516" t="str">
            <v>Kas Kanpus</v>
          </cell>
          <cell r="N1516" t="str">
            <v>Kas Kanpus</v>
          </cell>
          <cell r="O1516" t="str">
            <v>KAS KANPUS</v>
          </cell>
          <cell r="R1516" t="str">
            <v>Belum TL</v>
          </cell>
          <cell r="S1516" t="str">
            <v>Belum TL</v>
          </cell>
          <cell r="T1516" t="str">
            <v>00336949 - Mochammad Al Farabi</v>
          </cell>
          <cell r="U1516" t="str">
            <v>"-"</v>
          </cell>
        </row>
        <row r="1517">
          <cell r="A1517">
            <v>46265</v>
          </cell>
          <cell r="B1517" t="str">
            <v xml:space="preserve">PT LIDAH SAMPANA                        </v>
          </cell>
          <cell r="C1517" t="str">
            <v>PL25442</v>
          </cell>
          <cell r="D1517">
            <v>17501501959155</v>
          </cell>
          <cell r="E1517" t="str">
            <v>SEDANG</v>
          </cell>
          <cell r="F1517" t="str">
            <v>Tidak</v>
          </cell>
          <cell r="G1517" t="str">
            <v>Tidak</v>
          </cell>
          <cell r="H1517" t="str">
            <v>Tidak</v>
          </cell>
          <cell r="I1517" t="str">
            <v>Korupsi - Loan View</v>
          </cell>
          <cell r="J1517">
            <v>48</v>
          </cell>
          <cell r="K1517">
            <v>15</v>
          </cell>
          <cell r="L1517" t="str">
            <v>Korupsi</v>
          </cell>
          <cell r="M1517" t="str">
            <v>Kas Kanpus</v>
          </cell>
          <cell r="N1517" t="str">
            <v>Kas Kanpus</v>
          </cell>
          <cell r="O1517" t="str">
            <v>KAS KANPUS</v>
          </cell>
          <cell r="R1517" t="str">
            <v>Belum TL</v>
          </cell>
          <cell r="S1517" t="str">
            <v>Belum TL</v>
          </cell>
          <cell r="T1517" t="str">
            <v>90171841 - Rifqi Aziz</v>
          </cell>
          <cell r="U1517" t="str">
            <v>"-"</v>
          </cell>
        </row>
        <row r="1518">
          <cell r="A1518">
            <v>46265</v>
          </cell>
          <cell r="B1518" t="str">
            <v xml:space="preserve">PT SINGOSARI TIMUR JAYA                 </v>
          </cell>
          <cell r="C1518" t="str">
            <v>PL39284</v>
          </cell>
          <cell r="D1518">
            <v>5001501787156</v>
          </cell>
          <cell r="E1518" t="str">
            <v>SEDANG</v>
          </cell>
          <cell r="F1518" t="str">
            <v>Tidak</v>
          </cell>
          <cell r="G1518" t="str">
            <v>Tidak</v>
          </cell>
          <cell r="H1518" t="str">
            <v>Tidak</v>
          </cell>
          <cell r="I1518" t="str">
            <v>Korupsi - Loan View</v>
          </cell>
          <cell r="J1518">
            <v>48</v>
          </cell>
          <cell r="K1518">
            <v>15</v>
          </cell>
          <cell r="L1518" t="str">
            <v>Korupsi</v>
          </cell>
          <cell r="M1518" t="str">
            <v>Kas Kanpus</v>
          </cell>
          <cell r="N1518" t="str">
            <v>Kas Kanpus</v>
          </cell>
          <cell r="O1518" t="str">
            <v>KAS KANPUS</v>
          </cell>
          <cell r="R1518" t="str">
            <v>Belum TL</v>
          </cell>
          <cell r="S1518" t="str">
            <v>Belum TL</v>
          </cell>
          <cell r="T1518" t="str">
            <v>90185538 - Muhammad Fahikal Auz</v>
          </cell>
          <cell r="U1518" t="str">
            <v>"-"</v>
          </cell>
        </row>
        <row r="1519">
          <cell r="A1519">
            <v>46265</v>
          </cell>
          <cell r="B1519" t="str">
            <v xml:space="preserve">PT MEGA BUANA INVESTINDO                </v>
          </cell>
          <cell r="C1519" t="str">
            <v>PL48438</v>
          </cell>
          <cell r="D1519">
            <v>64201000322155</v>
          </cell>
          <cell r="E1519" t="str">
            <v>SEDANG</v>
          </cell>
          <cell r="F1519" t="str">
            <v>Tidak</v>
          </cell>
          <cell r="G1519" t="str">
            <v>Tidak</v>
          </cell>
          <cell r="H1519" t="str">
            <v>Tidak</v>
          </cell>
          <cell r="I1519" t="str">
            <v>Korupsi - Loan View</v>
          </cell>
          <cell r="J1519">
            <v>48</v>
          </cell>
          <cell r="K1519">
            <v>15</v>
          </cell>
          <cell r="L1519" t="str">
            <v>Korupsi</v>
          </cell>
          <cell r="M1519" t="str">
            <v>Kas Kanpus</v>
          </cell>
          <cell r="N1519" t="str">
            <v>Kas Kanpus</v>
          </cell>
          <cell r="O1519" t="str">
            <v>KAS KANPUS</v>
          </cell>
          <cell r="R1519" t="str">
            <v>Belum TL</v>
          </cell>
          <cell r="S1519" t="str">
            <v>Belum TL</v>
          </cell>
          <cell r="T1519" t="str">
            <v>90170665 - Mutiara Ayuningtyas</v>
          </cell>
          <cell r="U1519" t="str">
            <v>"-"</v>
          </cell>
        </row>
        <row r="1520">
          <cell r="A1520">
            <v>46265</v>
          </cell>
          <cell r="B1520" t="str">
            <v xml:space="preserve">PERJUANGAN PANTE BIDARI                 </v>
          </cell>
          <cell r="C1520" t="str">
            <v>PL86085</v>
          </cell>
          <cell r="D1520">
            <v>40401000733152</v>
          </cell>
          <cell r="E1520" t="str">
            <v>SEDANG</v>
          </cell>
          <cell r="F1520" t="str">
            <v>Tidak</v>
          </cell>
          <cell r="G1520" t="str">
            <v>Tidak</v>
          </cell>
          <cell r="H1520" t="str">
            <v>Tidak</v>
          </cell>
          <cell r="I1520" t="str">
            <v>Korupsi - Loan View</v>
          </cell>
          <cell r="J1520">
            <v>48</v>
          </cell>
          <cell r="K1520">
            <v>15</v>
          </cell>
          <cell r="L1520" t="str">
            <v>Korupsi</v>
          </cell>
          <cell r="M1520" t="str">
            <v>Kas Kanpus</v>
          </cell>
          <cell r="N1520" t="str">
            <v>Kas Kanpus</v>
          </cell>
          <cell r="O1520" t="str">
            <v>KAS KANPUS</v>
          </cell>
          <cell r="R1520" t="str">
            <v>Belum TL</v>
          </cell>
          <cell r="S1520" t="str">
            <v>Belum TL</v>
          </cell>
          <cell r="T1520" t="str">
            <v>90171841 - Rifqi Aziz</v>
          </cell>
          <cell r="U1520" t="str">
            <v>"-"</v>
          </cell>
        </row>
        <row r="1521">
          <cell r="A1521">
            <v>46265</v>
          </cell>
          <cell r="B1521" t="str">
            <v xml:space="preserve">PERDANA TRANS LOGISTIK                  </v>
          </cell>
          <cell r="C1521" t="str">
            <v>PLA4098</v>
          </cell>
          <cell r="D1521">
            <v>112901000453109</v>
          </cell>
          <cell r="E1521" t="str">
            <v>SEDANG</v>
          </cell>
          <cell r="F1521" t="str">
            <v>Tidak</v>
          </cell>
          <cell r="G1521" t="str">
            <v>Tidak</v>
          </cell>
          <cell r="H1521" t="str">
            <v>Tidak</v>
          </cell>
          <cell r="I1521" t="str">
            <v>Korupsi - Loan View</v>
          </cell>
          <cell r="J1521">
            <v>48</v>
          </cell>
          <cell r="K1521">
            <v>15</v>
          </cell>
          <cell r="L1521" t="str">
            <v>Korupsi</v>
          </cell>
          <cell r="M1521" t="str">
            <v>Kas Kanpus</v>
          </cell>
          <cell r="N1521" t="str">
            <v>Kas Kanpus</v>
          </cell>
          <cell r="O1521" t="str">
            <v>KAS KANPUS</v>
          </cell>
          <cell r="R1521" t="str">
            <v>Belum TL</v>
          </cell>
          <cell r="S1521" t="str">
            <v>Belum TL</v>
          </cell>
          <cell r="T1521" t="str">
            <v>90186796 - Devito Arya Wiradila</v>
          </cell>
          <cell r="U1521" t="str">
            <v>"-"</v>
          </cell>
        </row>
        <row r="1522">
          <cell r="A1522">
            <v>46265</v>
          </cell>
          <cell r="B1522" t="str">
            <v xml:space="preserve">PT SINAR BALADO PAPUA                   </v>
          </cell>
          <cell r="C1522" t="str">
            <v>PLC7077</v>
          </cell>
          <cell r="D1522">
            <v>108201000909152</v>
          </cell>
          <cell r="E1522" t="str">
            <v>TINGGI</v>
          </cell>
          <cell r="F1522" t="str">
            <v>Ya</v>
          </cell>
          <cell r="G1522" t="str">
            <v>Tidak</v>
          </cell>
          <cell r="H1522" t="str">
            <v>Tidak</v>
          </cell>
          <cell r="I1522" t="str">
            <v>Korupsi - Loan View</v>
          </cell>
          <cell r="J1522">
            <v>63</v>
          </cell>
          <cell r="K1522">
            <v>15</v>
          </cell>
          <cell r="L1522" t="str">
            <v>Korupsi</v>
          </cell>
          <cell r="M1522" t="str">
            <v>Kas Kanpus</v>
          </cell>
          <cell r="N1522" t="str">
            <v>Kas Kanpus</v>
          </cell>
          <cell r="O1522" t="str">
            <v>KAS KANPUS</v>
          </cell>
          <cell r="R1522" t="str">
            <v>Belum TL</v>
          </cell>
          <cell r="S1522" t="str">
            <v>Belum TL</v>
          </cell>
          <cell r="T1522" t="str">
            <v>90150130 - Intan Aida Pratiwi</v>
          </cell>
          <cell r="U1522" t="str">
            <v>"-"</v>
          </cell>
        </row>
        <row r="1523">
          <cell r="A1523">
            <v>46265</v>
          </cell>
          <cell r="B1523" t="str">
            <v xml:space="preserve">PT FACHRI SYAFII AKBAR                  </v>
          </cell>
          <cell r="C1523" t="str">
            <v>PLR3014</v>
          </cell>
          <cell r="D1523">
            <v>34201501657156</v>
          </cell>
          <cell r="E1523" t="str">
            <v>SEDANG</v>
          </cell>
          <cell r="F1523" t="str">
            <v>Tidak</v>
          </cell>
          <cell r="G1523" t="str">
            <v>Tidak</v>
          </cell>
          <cell r="H1523" t="str">
            <v>Tidak</v>
          </cell>
          <cell r="I1523" t="str">
            <v>Korupsi - Loan View</v>
          </cell>
          <cell r="J1523">
            <v>48</v>
          </cell>
          <cell r="K1523">
            <v>15</v>
          </cell>
          <cell r="L1523" t="str">
            <v>Korupsi</v>
          </cell>
          <cell r="M1523" t="str">
            <v>Kas Kanpus</v>
          </cell>
          <cell r="N1523" t="str">
            <v>Kas Kanpus</v>
          </cell>
          <cell r="O1523" t="str">
            <v>KAS KANPUS</v>
          </cell>
          <cell r="R1523" t="str">
            <v>Belum TL</v>
          </cell>
          <cell r="S1523" t="str">
            <v>Belum TL</v>
          </cell>
          <cell r="T1523" t="str">
            <v>00394521 - Muhammad Hibbanduta</v>
          </cell>
          <cell r="U1523" t="str">
            <v>"-"</v>
          </cell>
        </row>
        <row r="1524">
          <cell r="A1524">
            <v>46265</v>
          </cell>
          <cell r="B1524" t="str">
            <v xml:space="preserve">PANDANARAN BERKAH JAYA                  </v>
          </cell>
          <cell r="C1524" t="str">
            <v>PKR9252</v>
          </cell>
          <cell r="D1524">
            <v>61201000395565</v>
          </cell>
          <cell r="E1524" t="str">
            <v>SEDANG</v>
          </cell>
          <cell r="F1524" t="str">
            <v>Tidak</v>
          </cell>
          <cell r="G1524" t="str">
            <v>Tidak</v>
          </cell>
          <cell r="H1524" t="str">
            <v>Tidak</v>
          </cell>
          <cell r="I1524" t="str">
            <v>Perpajakan</v>
          </cell>
          <cell r="J1524">
            <v>50</v>
          </cell>
          <cell r="K1524">
            <v>41</v>
          </cell>
          <cell r="L1524" t="str">
            <v>Perpajakan</v>
          </cell>
          <cell r="M1524" t="str">
            <v xml:space="preserve">KCP PEDAN                               </v>
          </cell>
          <cell r="N1524" t="str">
            <v xml:space="preserve">KC Klaten                               </v>
          </cell>
          <cell r="O1524" t="str">
            <v xml:space="preserve">Yogyakarta                              </v>
          </cell>
          <cell r="R1524" t="str">
            <v>Belum TL</v>
          </cell>
          <cell r="S1524" t="str">
            <v>Belum TL</v>
          </cell>
          <cell r="T1524" t="str">
            <v>00394520 - Frida Akbar Rani</v>
          </cell>
          <cell r="U1524" t="str">
            <v>"-"</v>
          </cell>
        </row>
        <row r="1525">
          <cell r="A1525">
            <v>46265</v>
          </cell>
          <cell r="B1525" t="str">
            <v xml:space="preserve">PUSAKA HIDUP                            </v>
          </cell>
          <cell r="C1525" t="str">
            <v>PKS3555</v>
          </cell>
          <cell r="D1525">
            <v>8301003905308</v>
          </cell>
          <cell r="E1525" t="str">
            <v>SEDANG</v>
          </cell>
          <cell r="F1525" t="str">
            <v>Tidak</v>
          </cell>
          <cell r="G1525" t="str">
            <v>Tidak</v>
          </cell>
          <cell r="H1525" t="str">
            <v>Tidak</v>
          </cell>
          <cell r="I1525" t="str">
            <v>Perpajakan</v>
          </cell>
          <cell r="J1525">
            <v>50</v>
          </cell>
          <cell r="K1525">
            <v>1.33</v>
          </cell>
          <cell r="L1525" t="str">
            <v>Perpajakan</v>
          </cell>
          <cell r="M1525" t="str">
            <v xml:space="preserve">KC Semarang Patimura                    </v>
          </cell>
          <cell r="N1525" t="str">
            <v xml:space="preserve">KC Semarang Patimura                    </v>
          </cell>
          <cell r="O1525" t="str">
            <v xml:space="preserve">Semarang                                </v>
          </cell>
          <cell r="R1525" t="str">
            <v>Belum TL</v>
          </cell>
          <cell r="S1525" t="str">
            <v>Belum TL</v>
          </cell>
          <cell r="T1525" t="str">
            <v>90171841 - Rifqi Aziz</v>
          </cell>
          <cell r="U1525" t="str">
            <v>"-"</v>
          </cell>
        </row>
        <row r="1526">
          <cell r="A1526">
            <v>46265</v>
          </cell>
          <cell r="B1526" t="str">
            <v xml:space="preserve">PT SINYO GLORI INVESTAMA                </v>
          </cell>
          <cell r="C1526" t="str">
            <v>PKX4240</v>
          </cell>
          <cell r="D1526">
            <v>11601502822153</v>
          </cell>
          <cell r="E1526" t="str">
            <v>SEDANG</v>
          </cell>
          <cell r="F1526" t="str">
            <v>Tidak</v>
          </cell>
          <cell r="G1526" t="str">
            <v>Tidak</v>
          </cell>
          <cell r="H1526" t="str">
            <v>Tidak</v>
          </cell>
          <cell r="I1526" t="str">
            <v>Korupsi - Loan View</v>
          </cell>
          <cell r="J1526">
            <v>48</v>
          </cell>
          <cell r="K1526">
            <v>15</v>
          </cell>
          <cell r="L1526" t="str">
            <v>Korupsi</v>
          </cell>
          <cell r="M1526" t="str">
            <v>Kas Kanpus</v>
          </cell>
          <cell r="N1526" t="str">
            <v>Kas Kanpus</v>
          </cell>
          <cell r="O1526" t="str">
            <v>KAS KANPUS</v>
          </cell>
          <cell r="R1526" t="str">
            <v>Belum TL</v>
          </cell>
          <cell r="S1526" t="str">
            <v>Belum TL</v>
          </cell>
          <cell r="T1526" t="str">
            <v>90186790 - Muhammad Alfin Farha</v>
          </cell>
          <cell r="U1526" t="str">
            <v>"-"</v>
          </cell>
        </row>
        <row r="1527">
          <cell r="A1527">
            <v>46265</v>
          </cell>
          <cell r="B1527" t="str">
            <v xml:space="preserve">RUMAH SAKIT UMUM SAWIT INDAH            </v>
          </cell>
          <cell r="C1527" t="str">
            <v>PK68945</v>
          </cell>
          <cell r="D1527">
            <v>353801000006305</v>
          </cell>
          <cell r="E1527" t="str">
            <v>SEDANG</v>
          </cell>
          <cell r="F1527" t="str">
            <v>Tidak</v>
          </cell>
          <cell r="G1527" t="str">
            <v>Tidak</v>
          </cell>
          <cell r="H1527" t="str">
            <v>Tidak</v>
          </cell>
          <cell r="I1527" t="str">
            <v>Perpajakan</v>
          </cell>
          <cell r="J1527">
            <v>48</v>
          </cell>
          <cell r="K1527">
            <v>41</v>
          </cell>
          <cell r="L1527" t="str">
            <v>Perpajakan</v>
          </cell>
          <cell r="M1527" t="str">
            <v xml:space="preserve">UNIT SEI RAMPAH TEBING TINGGI           </v>
          </cell>
          <cell r="N1527" t="str">
            <v xml:space="preserve">KC Tebing Tinggi                        </v>
          </cell>
          <cell r="O1527" t="str">
            <v xml:space="preserve">Medan                                   </v>
          </cell>
          <cell r="R1527" t="str">
            <v>Belum TL</v>
          </cell>
          <cell r="S1527" t="str">
            <v>Belum TL</v>
          </cell>
          <cell r="T1527" t="str">
            <v>90150130 - Intan Aida Pratiwi</v>
          </cell>
          <cell r="U1527" t="str">
            <v>"-"</v>
          </cell>
        </row>
        <row r="1528">
          <cell r="A1528">
            <v>46265</v>
          </cell>
          <cell r="B1528" t="str">
            <v xml:space="preserve">PT AWAL BROS CERIA CEMERLANG            </v>
          </cell>
          <cell r="C1528" t="str">
            <v>PLG2643</v>
          </cell>
          <cell r="D1528">
            <v>107901001590309</v>
          </cell>
          <cell r="E1528" t="str">
            <v>SEDANG</v>
          </cell>
          <cell r="F1528" t="str">
            <v>Tidak</v>
          </cell>
          <cell r="G1528" t="str">
            <v>Tidak</v>
          </cell>
          <cell r="H1528" t="str">
            <v>Tidak</v>
          </cell>
          <cell r="I1528" t="str">
            <v>Perpajakan</v>
          </cell>
          <cell r="J1528">
            <v>51</v>
          </cell>
          <cell r="K1528">
            <v>41</v>
          </cell>
          <cell r="L1528" t="str">
            <v>Perpajakan</v>
          </cell>
          <cell r="M1528" t="str">
            <v xml:space="preserve">KC Pekanbaru Lancang Kuning             </v>
          </cell>
          <cell r="N1528" t="str">
            <v xml:space="preserve">KC Pekanbaru Lancang Kuning             </v>
          </cell>
          <cell r="O1528" t="str">
            <v xml:space="preserve">KANWIL PEKANBARU                        </v>
          </cell>
          <cell r="R1528" t="str">
            <v>Belum TL</v>
          </cell>
          <cell r="S1528" t="str">
            <v>Belum TL</v>
          </cell>
          <cell r="T1528" t="str">
            <v>00394521 - Muhammad Hibbanduta</v>
          </cell>
          <cell r="U1528" t="str">
            <v>"-"</v>
          </cell>
        </row>
        <row r="1529">
          <cell r="A1529">
            <v>46265</v>
          </cell>
          <cell r="B1529" t="str">
            <v xml:space="preserve">PT BERLIAN TIMOR PROPERTINDO            </v>
          </cell>
          <cell r="C1529" t="str">
            <v>PLG6994</v>
          </cell>
          <cell r="D1529">
            <v>3901502270152</v>
          </cell>
          <cell r="E1529" t="str">
            <v>SEDANG</v>
          </cell>
          <cell r="F1529" t="str">
            <v>Tidak</v>
          </cell>
          <cell r="G1529" t="str">
            <v>Tidak</v>
          </cell>
          <cell r="H1529" t="str">
            <v>Tidak</v>
          </cell>
          <cell r="I1529" t="str">
            <v>Korupsi - Loan View</v>
          </cell>
          <cell r="J1529">
            <v>48</v>
          </cell>
          <cell r="K1529">
            <v>15</v>
          </cell>
          <cell r="L1529" t="str">
            <v>Korupsi</v>
          </cell>
          <cell r="M1529" t="str">
            <v>Kas Kanpus</v>
          </cell>
          <cell r="N1529" t="str">
            <v>Kas Kanpus</v>
          </cell>
          <cell r="O1529" t="str">
            <v>KAS KANPUS</v>
          </cell>
          <cell r="R1529" t="str">
            <v>Belum TL</v>
          </cell>
          <cell r="S1529" t="str">
            <v>Belum TL</v>
          </cell>
          <cell r="T1529" t="str">
            <v>00336949 - Mochammad Al Farabi</v>
          </cell>
          <cell r="U1529" t="str">
            <v>"-"</v>
          </cell>
        </row>
        <row r="1530">
          <cell r="A1530">
            <v>46265</v>
          </cell>
          <cell r="B1530" t="str">
            <v xml:space="preserve">PERKUMPULAN PARSIBONA INDONESIA RAYA    </v>
          </cell>
          <cell r="C1530" t="str">
            <v>PLL4124</v>
          </cell>
          <cell r="D1530">
            <v>38601002682301</v>
          </cell>
          <cell r="E1530" t="str">
            <v>SEDANG</v>
          </cell>
          <cell r="F1530" t="str">
            <v>Tidak</v>
          </cell>
          <cell r="G1530" t="str">
            <v>Tidak</v>
          </cell>
          <cell r="H1530" t="str">
            <v>Tidak</v>
          </cell>
          <cell r="I1530" t="str">
            <v>Perpajakan</v>
          </cell>
          <cell r="J1530">
            <v>48</v>
          </cell>
          <cell r="K1530">
            <v>41</v>
          </cell>
          <cell r="L1530" t="str">
            <v>Perpajakan</v>
          </cell>
          <cell r="M1530" t="str">
            <v xml:space="preserve">KC JAKARTA RAWAMANGUN                   </v>
          </cell>
          <cell r="N1530" t="str">
            <v xml:space="preserve">KC JAKARTA RAWAMANGUN                   </v>
          </cell>
          <cell r="O1530" t="str">
            <v xml:space="preserve">DKI                                     </v>
          </cell>
          <cell r="R1530" t="str">
            <v>Belum TL</v>
          </cell>
          <cell r="S1530" t="str">
            <v>Belum TL</v>
          </cell>
          <cell r="T1530" t="str">
            <v>90171841 - Rifqi Aziz</v>
          </cell>
          <cell r="U1530" t="str">
            <v>"-"</v>
          </cell>
        </row>
        <row r="1531">
          <cell r="A1531">
            <v>46265</v>
          </cell>
          <cell r="B1531" t="str">
            <v xml:space="preserve">PT SUNGAI BUDI                          </v>
          </cell>
          <cell r="C1531" t="str">
            <v>PLL6209</v>
          </cell>
          <cell r="D1531">
            <v>28501002787303</v>
          </cell>
          <cell r="E1531" t="str">
            <v>SEDANG</v>
          </cell>
          <cell r="F1531" t="str">
            <v>Tidak</v>
          </cell>
          <cell r="G1531" t="str">
            <v>Tidak</v>
          </cell>
          <cell r="H1531" t="str">
            <v>Tidak</v>
          </cell>
          <cell r="I1531" t="str">
            <v>Korupsi - Cash &amp; Amount</v>
          </cell>
          <cell r="J1531">
            <v>48</v>
          </cell>
          <cell r="K1531" t="str">
            <v>1,2,20</v>
          </cell>
          <cell r="L1531" t="str">
            <v>Korupsi</v>
          </cell>
          <cell r="M1531" t="str">
            <v>Kas Kanpus</v>
          </cell>
          <cell r="N1531" t="str">
            <v>Kas Kanpus</v>
          </cell>
          <cell r="O1531" t="str">
            <v>KAS KANPUS</v>
          </cell>
          <cell r="R1531" t="str">
            <v>Belum TL</v>
          </cell>
          <cell r="S1531" t="str">
            <v>Belum TL</v>
          </cell>
          <cell r="T1531" t="str">
            <v>90185537 - Moh.Khoerul Fajar Ar</v>
          </cell>
          <cell r="U1531" t="str">
            <v>"-"</v>
          </cell>
        </row>
        <row r="1532">
          <cell r="A1532">
            <v>46265</v>
          </cell>
          <cell r="B1532" t="str">
            <v xml:space="preserve">PRAYUDA SAHPUTRA                        </v>
          </cell>
          <cell r="C1532" t="str">
            <v>PLT4422</v>
          </cell>
          <cell r="D1532">
            <v>23801101083506</v>
          </cell>
          <cell r="E1532" t="str">
            <v>SEDANG</v>
          </cell>
          <cell r="F1532" t="str">
            <v>Tidak</v>
          </cell>
          <cell r="G1532" t="str">
            <v>Tidak</v>
          </cell>
          <cell r="H1532" t="str">
            <v>Tidak</v>
          </cell>
          <cell r="I1532" t="str">
            <v>Bandar Judol Withdrawal</v>
          </cell>
          <cell r="J1532">
            <v>50</v>
          </cell>
          <cell r="K1532" t="str">
            <v>86,88,87</v>
          </cell>
          <cell r="L1532" t="str">
            <v>Judi Online</v>
          </cell>
          <cell r="M1532" t="str">
            <v xml:space="preserve">Kas Kanpus                              </v>
          </cell>
          <cell r="N1532" t="str">
            <v xml:space="preserve">Kas Kanpus                              </v>
          </cell>
          <cell r="O1532" t="str">
            <v xml:space="preserve">KAS KANPUS                              </v>
          </cell>
          <cell r="R1532" t="str">
            <v>Belum TL</v>
          </cell>
          <cell r="S1532" t="str">
            <v>Belum TL</v>
          </cell>
          <cell r="T1532" t="str">
            <v>90150130 - Intan Aida Pratiwi</v>
          </cell>
          <cell r="U1532" t="str">
            <v>"-"</v>
          </cell>
        </row>
        <row r="1533">
          <cell r="A1533">
            <v>46265</v>
          </cell>
          <cell r="B1533" t="str">
            <v xml:space="preserve">PUTRI RAMADHAN                          </v>
          </cell>
          <cell r="C1533" t="str">
            <v>PLW7381</v>
          </cell>
          <cell r="D1533">
            <v>35601092546508</v>
          </cell>
          <cell r="E1533" t="str">
            <v>SEDANG</v>
          </cell>
          <cell r="F1533" t="str">
            <v>Tidak</v>
          </cell>
          <cell r="G1533" t="str">
            <v>Tidak</v>
          </cell>
          <cell r="H1533" t="str">
            <v>Tidak</v>
          </cell>
          <cell r="I1533" t="str">
            <v>Bandar Judol Withdrawal</v>
          </cell>
          <cell r="J1533">
            <v>50</v>
          </cell>
          <cell r="K1533" t="str">
            <v>86,88,87</v>
          </cell>
          <cell r="L1533" t="str">
            <v>Judi Online</v>
          </cell>
          <cell r="M1533" t="str">
            <v xml:space="preserve">Kas Kanpus                              </v>
          </cell>
          <cell r="N1533" t="str">
            <v xml:space="preserve">Kas Kanpus                              </v>
          </cell>
          <cell r="O1533" t="str">
            <v xml:space="preserve">KAS KANPUS                              </v>
          </cell>
          <cell r="R1533" t="str">
            <v>Belum TL</v>
          </cell>
          <cell r="S1533" t="str">
            <v>Belum TL</v>
          </cell>
          <cell r="T1533" t="str">
            <v>90170665 - Mutiara Ayuningtyas</v>
          </cell>
          <cell r="U1533" t="str">
            <v>"-"</v>
          </cell>
        </row>
        <row r="1534">
          <cell r="A1534">
            <v>46265</v>
          </cell>
          <cell r="B1534" t="str">
            <v xml:space="preserve">PT ROYAL INTI NUSA                      </v>
          </cell>
          <cell r="C1534" t="str">
            <v>PLY8254</v>
          </cell>
          <cell r="D1534">
            <v>501111111300</v>
          </cell>
          <cell r="E1534" t="str">
            <v>SEDANG</v>
          </cell>
          <cell r="F1534" t="str">
            <v>Tidak</v>
          </cell>
          <cell r="G1534" t="str">
            <v>Tidak</v>
          </cell>
          <cell r="H1534" t="str">
            <v>Tidak</v>
          </cell>
          <cell r="I1534" t="str">
            <v>Perpajakan</v>
          </cell>
          <cell r="J1534">
            <v>53</v>
          </cell>
          <cell r="K1534">
            <v>41</v>
          </cell>
          <cell r="L1534" t="str">
            <v>Perpajakan</v>
          </cell>
          <cell r="M1534" t="str">
            <v xml:space="preserve">KC Bandung AA                           </v>
          </cell>
          <cell r="N1534" t="str">
            <v xml:space="preserve">KC Bandung AA                           </v>
          </cell>
          <cell r="O1534" t="str">
            <v xml:space="preserve">Bandung                                 </v>
          </cell>
          <cell r="R1534" t="str">
            <v>Belum TL</v>
          </cell>
          <cell r="S1534" t="str">
            <v>Belum TL</v>
          </cell>
          <cell r="T1534" t="str">
            <v>90186796 - Devito Arya Wiradila</v>
          </cell>
          <cell r="U1534" t="str">
            <v>"-"</v>
          </cell>
        </row>
        <row r="1535">
          <cell r="A1535">
            <v>46265</v>
          </cell>
          <cell r="B1535" t="str">
            <v xml:space="preserve">PERTAMINA PATRA NIAGA                   </v>
          </cell>
          <cell r="C1535" t="str">
            <v>PM30904</v>
          </cell>
          <cell r="D1535">
            <v>999102001184156</v>
          </cell>
          <cell r="E1535" t="str">
            <v>SEDANG</v>
          </cell>
          <cell r="F1535" t="str">
            <v>Tidak</v>
          </cell>
          <cell r="G1535" t="str">
            <v>Tidak</v>
          </cell>
          <cell r="H1535" t="str">
            <v>Tidak</v>
          </cell>
          <cell r="I1535" t="str">
            <v>Korupsi - Loan View</v>
          </cell>
          <cell r="J1535">
            <v>48</v>
          </cell>
          <cell r="K1535">
            <v>15</v>
          </cell>
          <cell r="L1535" t="str">
            <v>Korupsi</v>
          </cell>
          <cell r="M1535" t="str">
            <v>Kas Kanpus</v>
          </cell>
          <cell r="N1535" t="str">
            <v>Kas Kanpus</v>
          </cell>
          <cell r="O1535" t="str">
            <v>KAS KANPUS</v>
          </cell>
          <cell r="R1535" t="str">
            <v>Belum TL</v>
          </cell>
          <cell r="S1535" t="str">
            <v>Belum TL</v>
          </cell>
          <cell r="T1535" t="str">
            <v>90171841 - Rifqi Aziz</v>
          </cell>
          <cell r="U1535" t="str">
            <v>"-"</v>
          </cell>
        </row>
        <row r="1536">
          <cell r="A1536">
            <v>46265</v>
          </cell>
          <cell r="B1536" t="str">
            <v xml:space="preserve">BALI PAWIWAHAN                          </v>
          </cell>
          <cell r="C1536" t="str">
            <v>PM59472</v>
          </cell>
          <cell r="D1536">
            <v>55601000980302</v>
          </cell>
          <cell r="E1536" t="str">
            <v>TINGGI</v>
          </cell>
          <cell r="F1536" t="str">
            <v>Tidak</v>
          </cell>
          <cell r="G1536" t="str">
            <v>Tidak</v>
          </cell>
          <cell r="H1536" t="str">
            <v>Tidak</v>
          </cell>
          <cell r="I1536" t="str">
            <v>Perpajakan</v>
          </cell>
          <cell r="J1536">
            <v>65</v>
          </cell>
          <cell r="K1536">
            <v>1.33</v>
          </cell>
          <cell r="L1536" t="str">
            <v>Perpajakan</v>
          </cell>
          <cell r="M1536" t="str">
            <v xml:space="preserve">KC Kuta                                 </v>
          </cell>
          <cell r="N1536" t="str">
            <v xml:space="preserve">KC Kuta                                 </v>
          </cell>
          <cell r="O1536" t="str">
            <v xml:space="preserve">Denpasar                                </v>
          </cell>
          <cell r="R1536" t="str">
            <v>Belum TL</v>
          </cell>
          <cell r="S1536" t="str">
            <v>Belum TL</v>
          </cell>
          <cell r="T1536" t="str">
            <v>90150130 - Intan Aida Pratiwi</v>
          </cell>
          <cell r="U1536" t="str">
            <v>"-"</v>
          </cell>
        </row>
        <row r="1537">
          <cell r="A1537">
            <v>46265</v>
          </cell>
          <cell r="B1537" t="str">
            <v xml:space="preserve">PT ALDINA KRIDA TAMA                    </v>
          </cell>
          <cell r="C1537" t="str">
            <v>PM67556</v>
          </cell>
          <cell r="D1537">
            <v>42501000434156</v>
          </cell>
          <cell r="E1537" t="str">
            <v>SEDANG</v>
          </cell>
          <cell r="F1537" t="str">
            <v>Tidak</v>
          </cell>
          <cell r="G1537" t="str">
            <v>Tidak</v>
          </cell>
          <cell r="H1537" t="str">
            <v>Tidak</v>
          </cell>
          <cell r="I1537" t="str">
            <v>Korupsi - Loan View</v>
          </cell>
          <cell r="J1537">
            <v>48</v>
          </cell>
          <cell r="K1537">
            <v>15</v>
          </cell>
          <cell r="L1537" t="str">
            <v>Korupsi</v>
          </cell>
          <cell r="M1537" t="str">
            <v>Kas Kanpus</v>
          </cell>
          <cell r="N1537" t="str">
            <v>Kas Kanpus</v>
          </cell>
          <cell r="O1537" t="str">
            <v>KAS KANPUS</v>
          </cell>
          <cell r="R1537" t="str">
            <v>Belum TL</v>
          </cell>
          <cell r="S1537" t="str">
            <v>Belum TL</v>
          </cell>
          <cell r="T1537" t="str">
            <v>90185538 - Muhammad Fahikal Auz</v>
          </cell>
          <cell r="U1537" t="str">
            <v>"-"</v>
          </cell>
        </row>
        <row r="1538">
          <cell r="A1538">
            <v>46265</v>
          </cell>
          <cell r="B1538" t="str">
            <v xml:space="preserve">PT PELANGI SULUT                        </v>
          </cell>
          <cell r="C1538" t="str">
            <v>PM94210</v>
          </cell>
          <cell r="D1538">
            <v>200301000678156</v>
          </cell>
          <cell r="E1538" t="str">
            <v>TINGGI</v>
          </cell>
          <cell r="F1538" t="str">
            <v>Tidak</v>
          </cell>
          <cell r="G1538" t="str">
            <v>Tidak</v>
          </cell>
          <cell r="H1538" t="str">
            <v>Tidak</v>
          </cell>
          <cell r="I1538" t="str">
            <v>Korupsi - Loan View</v>
          </cell>
          <cell r="J1538">
            <v>63</v>
          </cell>
          <cell r="K1538">
            <v>15</v>
          </cell>
          <cell r="L1538" t="str">
            <v>Korupsi</v>
          </cell>
          <cell r="M1538" t="str">
            <v>Kas Kanpus</v>
          </cell>
          <cell r="N1538" t="str">
            <v>Kas Kanpus</v>
          </cell>
          <cell r="O1538" t="str">
            <v>KAS KANPUS</v>
          </cell>
          <cell r="R1538" t="str">
            <v>Belum TL</v>
          </cell>
          <cell r="S1538" t="str">
            <v>Belum TL</v>
          </cell>
          <cell r="T1538" t="str">
            <v>00336949 - Mochammad Al Farabi</v>
          </cell>
          <cell r="U1538" t="str">
            <v>"-"</v>
          </cell>
        </row>
        <row r="1539">
          <cell r="A1539">
            <v>46265</v>
          </cell>
          <cell r="B1539" t="str">
            <v xml:space="preserve">PT SASL AND SONS INDONESIA              </v>
          </cell>
          <cell r="C1539" t="str">
            <v>PMI7236</v>
          </cell>
          <cell r="D1539">
            <v>16701503380153</v>
          </cell>
          <cell r="E1539" t="str">
            <v>SEDANG</v>
          </cell>
          <cell r="F1539" t="str">
            <v>Tidak</v>
          </cell>
          <cell r="G1539" t="str">
            <v>Tidak</v>
          </cell>
          <cell r="H1539" t="str">
            <v>Tidak</v>
          </cell>
          <cell r="I1539" t="str">
            <v>Korupsi - Loan View</v>
          </cell>
          <cell r="J1539">
            <v>48</v>
          </cell>
          <cell r="K1539">
            <v>15</v>
          </cell>
          <cell r="L1539" t="str">
            <v>Korupsi</v>
          </cell>
          <cell r="M1539" t="str">
            <v>Kas Kanpus</v>
          </cell>
          <cell r="N1539" t="str">
            <v>Kas Kanpus</v>
          </cell>
          <cell r="O1539" t="str">
            <v>KAS KANPUS</v>
          </cell>
          <cell r="R1539" t="str">
            <v>Belum TL</v>
          </cell>
          <cell r="S1539" t="str">
            <v>Belum TL</v>
          </cell>
          <cell r="T1539" t="str">
            <v>90185537 - Moh.Khoerul Fajar Ar</v>
          </cell>
          <cell r="U1539" t="str">
            <v>"-"</v>
          </cell>
        </row>
        <row r="1540">
          <cell r="A1540">
            <v>46265</v>
          </cell>
          <cell r="B1540" t="str">
            <v xml:space="preserve">PUPUT YULITA                            </v>
          </cell>
          <cell r="C1540" t="str">
            <v>PMM2679</v>
          </cell>
          <cell r="D1540">
            <v>526401030679537</v>
          </cell>
          <cell r="E1540" t="str">
            <v>SEDANG</v>
          </cell>
          <cell r="F1540" t="str">
            <v>Tidak</v>
          </cell>
          <cell r="G1540" t="str">
            <v>Tidak</v>
          </cell>
          <cell r="H1540" t="str">
            <v>Tidak</v>
          </cell>
          <cell r="I1540" t="str">
            <v>Bandar Judol Withdrawal</v>
          </cell>
          <cell r="J1540">
            <v>50</v>
          </cell>
          <cell r="K1540" t="str">
            <v>86,88,87</v>
          </cell>
          <cell r="L1540" t="str">
            <v>Judi Online</v>
          </cell>
          <cell r="M1540" t="str">
            <v xml:space="preserve">Kas Kanpus                              </v>
          </cell>
          <cell r="N1540" t="str">
            <v xml:space="preserve">Kas Kanpus                              </v>
          </cell>
          <cell r="O1540" t="str">
            <v xml:space="preserve">KAS KANPUS                              </v>
          </cell>
          <cell r="R1540" t="str">
            <v>Belum TL</v>
          </cell>
          <cell r="S1540" t="str">
            <v>Belum TL</v>
          </cell>
          <cell r="T1540" t="str">
            <v>00394521 - Muhammad Hibbanduta</v>
          </cell>
          <cell r="U1540" t="str">
            <v>"-"</v>
          </cell>
        </row>
        <row r="1541">
          <cell r="A1541">
            <v>46265</v>
          </cell>
          <cell r="B1541" t="str">
            <v xml:space="preserve">PT RAGAMURTI INTIBOGA ARTO              </v>
          </cell>
          <cell r="C1541" t="str">
            <v>PMT8115</v>
          </cell>
          <cell r="D1541">
            <v>207901000188300</v>
          </cell>
          <cell r="E1541" t="str">
            <v>SEDANG</v>
          </cell>
          <cell r="F1541" t="str">
            <v>Tidak</v>
          </cell>
          <cell r="G1541" t="str">
            <v>Tidak</v>
          </cell>
          <cell r="H1541" t="str">
            <v>Tidak</v>
          </cell>
          <cell r="I1541" t="str">
            <v>Perpajakan</v>
          </cell>
          <cell r="J1541">
            <v>50</v>
          </cell>
          <cell r="K1541">
            <v>41</v>
          </cell>
          <cell r="L1541" t="str">
            <v>Perpajakan</v>
          </cell>
          <cell r="M1541" t="str">
            <v xml:space="preserve">KCP TASPEN                              </v>
          </cell>
          <cell r="N1541" t="str">
            <v xml:space="preserve">KC Jakarta Veteran                      </v>
          </cell>
          <cell r="O1541" t="str">
            <v xml:space="preserve">DKI                                     </v>
          </cell>
          <cell r="R1541" t="str">
            <v>Belum TL</v>
          </cell>
          <cell r="S1541" t="str">
            <v>Belum TL</v>
          </cell>
          <cell r="T1541" t="str">
            <v>90150130 - Intan Aida Pratiwi</v>
          </cell>
          <cell r="U1541" t="str">
            <v>"-"</v>
          </cell>
        </row>
        <row r="1542">
          <cell r="A1542">
            <v>46265</v>
          </cell>
          <cell r="B1542" t="str">
            <v xml:space="preserve">PRAYOGO BUDIMAN                         </v>
          </cell>
          <cell r="C1542" t="str">
            <v>PMU2967</v>
          </cell>
          <cell r="D1542">
            <v>4359720233201900</v>
          </cell>
          <cell r="E1542" t="str">
            <v>SEDANG</v>
          </cell>
          <cell r="F1542" t="str">
            <v>Tidak</v>
          </cell>
          <cell r="G1542" t="str">
            <v>Tidak</v>
          </cell>
          <cell r="H1542" t="str">
            <v>Tidak</v>
          </cell>
          <cell r="I1542" t="str">
            <v>Penyuapan - CC View</v>
          </cell>
          <cell r="J1542">
            <v>45</v>
          </cell>
          <cell r="K1542">
            <v>16.170000000000002</v>
          </cell>
          <cell r="L1542" t="str">
            <v>Penyuapan</v>
          </cell>
          <cell r="M1542" t="str">
            <v xml:space="preserve">Kas Kanpus                              </v>
          </cell>
          <cell r="N1542" t="str">
            <v xml:space="preserve">Kas Kanpus                              </v>
          </cell>
          <cell r="O1542" t="str">
            <v xml:space="preserve">KAS KANPUS                              </v>
          </cell>
          <cell r="R1542" t="str">
            <v>Belum TL</v>
          </cell>
          <cell r="S1542" t="str">
            <v>Belum TL</v>
          </cell>
          <cell r="T1542" t="str">
            <v>90186790 - Muhammad Alfin Farha</v>
          </cell>
          <cell r="U1542" t="str">
            <v>"-"</v>
          </cell>
        </row>
        <row r="1543">
          <cell r="A1543">
            <v>46265</v>
          </cell>
          <cell r="B1543" t="str">
            <v xml:space="preserve">PT BETA INDOKARYA GEMILANG              </v>
          </cell>
          <cell r="C1543" t="str">
            <v>PMZ1228</v>
          </cell>
          <cell r="D1543">
            <v>28501655665560</v>
          </cell>
          <cell r="F1543" t="str">
            <v>Tidak</v>
          </cell>
          <cell r="G1543" t="str">
            <v>Tidak</v>
          </cell>
          <cell r="H1543" t="str">
            <v>Tidak</v>
          </cell>
          <cell r="I1543" t="str">
            <v>Perpajakan</v>
          </cell>
          <cell r="J1543">
            <v>34</v>
          </cell>
          <cell r="K1543">
            <v>41</v>
          </cell>
          <cell r="L1543" t="str">
            <v>Perpajakan</v>
          </cell>
          <cell r="M1543" t="str">
            <v xml:space="preserve">KC Teluk Betung                         </v>
          </cell>
          <cell r="N1543" t="str">
            <v xml:space="preserve">KC Teluk Betung                         </v>
          </cell>
          <cell r="O1543" t="str">
            <v xml:space="preserve">KANWIL BANDAR LAMPUNG                   </v>
          </cell>
          <cell r="R1543" t="str">
            <v>Belum TL</v>
          </cell>
          <cell r="S1543" t="str">
            <v>Belum TL</v>
          </cell>
          <cell r="T1543" t="str">
            <v>90185538 - Muhammad Fahikal Auz</v>
          </cell>
          <cell r="U1543" t="str">
            <v>"-"</v>
          </cell>
        </row>
        <row r="1544">
          <cell r="A1544">
            <v>46265</v>
          </cell>
          <cell r="B1544" t="str">
            <v xml:space="preserve">PT KREASI CIPTA KORSEKINDO              </v>
          </cell>
          <cell r="C1544" t="str">
            <v>PNA4547</v>
          </cell>
          <cell r="D1544">
            <v>118801000304150</v>
          </cell>
          <cell r="F1544" t="str">
            <v>Tidak</v>
          </cell>
          <cell r="G1544" t="str">
            <v>Tidak</v>
          </cell>
          <cell r="H1544" t="str">
            <v>Tidak</v>
          </cell>
          <cell r="I1544" t="str">
            <v>Korupsi - Loan View</v>
          </cell>
          <cell r="J1544">
            <v>33</v>
          </cell>
          <cell r="K1544">
            <v>15</v>
          </cell>
          <cell r="L1544" t="str">
            <v>Korupsi</v>
          </cell>
          <cell r="M1544" t="str">
            <v>Kas Kanpus</v>
          </cell>
          <cell r="N1544" t="str">
            <v>Kas Kanpus</v>
          </cell>
          <cell r="O1544" t="str">
            <v>KAS KANPUS</v>
          </cell>
          <cell r="R1544" t="str">
            <v>Belum TL</v>
          </cell>
          <cell r="S1544" t="str">
            <v>Belum TL</v>
          </cell>
          <cell r="T1544" t="str">
            <v>90185538 - Muhammad Fahikal Auz</v>
          </cell>
          <cell r="U1544" t="str">
            <v>"-"</v>
          </cell>
        </row>
        <row r="1545">
          <cell r="A1545">
            <v>46265</v>
          </cell>
          <cell r="B1545" t="str">
            <v xml:space="preserve">PADLSYAH                                </v>
          </cell>
          <cell r="C1545" t="str">
            <v>PNC6209</v>
          </cell>
          <cell r="D1545">
            <v>65801026468504</v>
          </cell>
          <cell r="F1545" t="str">
            <v>Tidak</v>
          </cell>
          <cell r="G1545" t="str">
            <v>Tidak</v>
          </cell>
          <cell r="H1545" t="str">
            <v>Tidak</v>
          </cell>
          <cell r="I1545" t="str">
            <v>Bandar Judol Withdrawal</v>
          </cell>
          <cell r="J1545">
            <v>35</v>
          </cell>
          <cell r="K1545" t="str">
            <v>86,88,87</v>
          </cell>
          <cell r="L1545" t="str">
            <v>Judi Online</v>
          </cell>
          <cell r="M1545" t="str">
            <v xml:space="preserve">Kas Kanpus                              </v>
          </cell>
          <cell r="N1545" t="str">
            <v xml:space="preserve">Kas Kanpus                              </v>
          </cell>
          <cell r="O1545" t="str">
            <v xml:space="preserve">KAS KANPUS                              </v>
          </cell>
          <cell r="R1545" t="str">
            <v>Belum TL</v>
          </cell>
          <cell r="S1545" t="str">
            <v>Belum TL</v>
          </cell>
          <cell r="T1545" t="str">
            <v>90185538 - Muhammad Fahikal Auz</v>
          </cell>
          <cell r="U1545" t="str">
            <v>"-"</v>
          </cell>
        </row>
        <row r="1546">
          <cell r="A1546">
            <v>46265</v>
          </cell>
          <cell r="B1546" t="str">
            <v xml:space="preserve">PRIMA KARYA SARANA SEJAHTERA            </v>
          </cell>
          <cell r="C1546" t="str">
            <v>PND8041</v>
          </cell>
          <cell r="D1546">
            <v>36201501423155</v>
          </cell>
          <cell r="F1546" t="str">
            <v>Tidak</v>
          </cell>
          <cell r="G1546" t="str">
            <v>Tidak</v>
          </cell>
          <cell r="H1546" t="str">
            <v>Tidak</v>
          </cell>
          <cell r="I1546" t="str">
            <v>Korupsi - Loan View</v>
          </cell>
          <cell r="J1546">
            <v>33</v>
          </cell>
          <cell r="K1546">
            <v>15</v>
          </cell>
          <cell r="L1546" t="str">
            <v>Korupsi</v>
          </cell>
          <cell r="M1546" t="str">
            <v>Kas Kanpus</v>
          </cell>
          <cell r="N1546" t="str">
            <v>Kas Kanpus</v>
          </cell>
          <cell r="O1546" t="str">
            <v>KAS KANPUS</v>
          </cell>
          <cell r="R1546" t="str">
            <v>Belum TL</v>
          </cell>
          <cell r="S1546" t="str">
            <v>Belum TL</v>
          </cell>
          <cell r="T1546" t="str">
            <v>00336949 - Mochammad Al Farabi</v>
          </cell>
          <cell r="U1546" t="str">
            <v>"-"</v>
          </cell>
        </row>
        <row r="1547">
          <cell r="A1547">
            <v>46265</v>
          </cell>
          <cell r="B1547" t="str">
            <v xml:space="preserve">PUTERI ANETTA KOMARUDIN                 </v>
          </cell>
          <cell r="C1547" t="str">
            <v>PNF8896</v>
          </cell>
          <cell r="D1547">
            <v>20601009812565</v>
          </cell>
          <cell r="F1547" t="str">
            <v>Tidak</v>
          </cell>
          <cell r="G1547" t="str">
            <v>Tidak</v>
          </cell>
          <cell r="H1547" t="str">
            <v>Tidak</v>
          </cell>
          <cell r="I1547" t="str">
            <v>Korupsi - Significant Trx View</v>
          </cell>
          <cell r="J1547">
            <v>43</v>
          </cell>
          <cell r="K1547">
            <v>1.19</v>
          </cell>
          <cell r="L1547" t="str">
            <v>Korupsi</v>
          </cell>
          <cell r="M1547" t="str">
            <v>Kas Kanpus</v>
          </cell>
          <cell r="N1547" t="str">
            <v>Kas Kanpus</v>
          </cell>
          <cell r="O1547" t="str">
            <v>KAS KANPUS</v>
          </cell>
          <cell r="R1547" t="str">
            <v>Belum TL</v>
          </cell>
          <cell r="S1547" t="str">
            <v>Belum TL</v>
          </cell>
          <cell r="T1547" t="str">
            <v>90185537 - Moh.Khoerul Fajar Ar</v>
          </cell>
          <cell r="U1547" t="str">
            <v>"-"</v>
          </cell>
        </row>
        <row r="1548">
          <cell r="A1548">
            <v>46265</v>
          </cell>
          <cell r="B1548" t="str">
            <v xml:space="preserve">PONIRAN                                 </v>
          </cell>
          <cell r="C1548" t="str">
            <v>PNG6166</v>
          </cell>
          <cell r="D1548">
            <v>763201017617539</v>
          </cell>
          <cell r="F1548" t="str">
            <v>Tidak</v>
          </cell>
          <cell r="G1548" t="str">
            <v>Tidak</v>
          </cell>
          <cell r="H1548" t="str">
            <v>Tidak</v>
          </cell>
          <cell r="I1548" t="str">
            <v>Bandar Judol Withdrawal</v>
          </cell>
          <cell r="J1548">
            <v>35</v>
          </cell>
          <cell r="K1548" t="str">
            <v>86,88,87</v>
          </cell>
          <cell r="L1548" t="str">
            <v>Judi Online</v>
          </cell>
          <cell r="M1548" t="str">
            <v xml:space="preserve">Kas Kanpus                              </v>
          </cell>
          <cell r="N1548" t="str">
            <v xml:space="preserve">Kas Kanpus                              </v>
          </cell>
          <cell r="O1548" t="str">
            <v xml:space="preserve">KAS KANPUS                              </v>
          </cell>
          <cell r="R1548" t="str">
            <v>Belum TL</v>
          </cell>
          <cell r="S1548" t="str">
            <v>Belum TL</v>
          </cell>
          <cell r="T1548" t="str">
            <v>90170665 - Mutiara Ayuningtyas</v>
          </cell>
          <cell r="U1548" t="str">
            <v>"-"</v>
          </cell>
        </row>
        <row r="1549">
          <cell r="A1549">
            <v>46265</v>
          </cell>
          <cell r="B1549" t="str">
            <v xml:space="preserve">PANCA SETIAJI                           </v>
          </cell>
          <cell r="C1549" t="str">
            <v>PNG8159</v>
          </cell>
          <cell r="D1549">
            <v>44401050255504</v>
          </cell>
          <cell r="F1549" t="str">
            <v>Tidak</v>
          </cell>
          <cell r="G1549" t="str">
            <v>Tidak</v>
          </cell>
          <cell r="H1549" t="str">
            <v>Tidak</v>
          </cell>
          <cell r="I1549" t="str">
            <v>Bandar Judol Withdrawal</v>
          </cell>
          <cell r="J1549">
            <v>35</v>
          </cell>
          <cell r="K1549" t="str">
            <v>86,88,87</v>
          </cell>
          <cell r="L1549" t="str">
            <v>Judi Online</v>
          </cell>
          <cell r="M1549" t="str">
            <v xml:space="preserve">Kas Kanpus                              </v>
          </cell>
          <cell r="N1549" t="str">
            <v xml:space="preserve">Kas Kanpus                              </v>
          </cell>
          <cell r="O1549" t="str">
            <v xml:space="preserve">KAS KANPUS                              </v>
          </cell>
          <cell r="R1549" t="str">
            <v>Belum TL</v>
          </cell>
          <cell r="S1549" t="str">
            <v>Belum TL</v>
          </cell>
          <cell r="T1549" t="str">
            <v>90185537 - Moh.Khoerul Fajar Ar</v>
          </cell>
          <cell r="U1549" t="str">
            <v>"-"</v>
          </cell>
        </row>
        <row r="1550">
          <cell r="A1550">
            <v>46265</v>
          </cell>
          <cell r="B1550" t="str">
            <v xml:space="preserve">PRIMA KARYA SARANA SEJAHTERA            </v>
          </cell>
          <cell r="C1550" t="str">
            <v>PNH5516</v>
          </cell>
          <cell r="D1550">
            <v>39001000952157</v>
          </cell>
          <cell r="F1550" t="str">
            <v>Tidak</v>
          </cell>
          <cell r="G1550" t="str">
            <v>Tidak</v>
          </cell>
          <cell r="H1550" t="str">
            <v>Tidak</v>
          </cell>
          <cell r="I1550" t="str">
            <v>Korupsi - Loan View</v>
          </cell>
          <cell r="J1550">
            <v>33</v>
          </cell>
          <cell r="K1550">
            <v>15</v>
          </cell>
          <cell r="L1550" t="str">
            <v>Korupsi</v>
          </cell>
          <cell r="M1550" t="str">
            <v>Kas Kanpus</v>
          </cell>
          <cell r="N1550" t="str">
            <v>Kas Kanpus</v>
          </cell>
          <cell r="O1550" t="str">
            <v>KAS KANPUS</v>
          </cell>
          <cell r="R1550" t="str">
            <v>Belum TL</v>
          </cell>
          <cell r="S1550" t="str">
            <v>Belum TL</v>
          </cell>
          <cell r="T1550" t="str">
            <v>90186790 - Muhammad Alfin Farha</v>
          </cell>
          <cell r="U1550" t="str">
            <v>"-"</v>
          </cell>
        </row>
        <row r="1551">
          <cell r="A1551">
            <v>46265</v>
          </cell>
          <cell r="B1551" t="str">
            <v xml:space="preserve">PANDU RAHMAT EFENDI                     </v>
          </cell>
          <cell r="C1551" t="str">
            <v>PNR1183</v>
          </cell>
          <cell r="D1551">
            <v>442801061483538</v>
          </cell>
          <cell r="F1551" t="str">
            <v>Tidak</v>
          </cell>
          <cell r="G1551" t="str">
            <v>Tidak</v>
          </cell>
          <cell r="H1551" t="str">
            <v>Tidak</v>
          </cell>
          <cell r="I1551" t="str">
            <v>Bandar Judol Depo</v>
          </cell>
          <cell r="J1551">
            <v>35</v>
          </cell>
          <cell r="K1551" t="str">
            <v>86,74,87</v>
          </cell>
          <cell r="L1551" t="str">
            <v>Judi Online</v>
          </cell>
          <cell r="M1551" t="str">
            <v xml:space="preserve">Kas Kanpus                              </v>
          </cell>
          <cell r="N1551" t="str">
            <v xml:space="preserve">Kas Kanpus                              </v>
          </cell>
          <cell r="O1551" t="str">
            <v xml:space="preserve">KAS KANPUS                              </v>
          </cell>
          <cell r="R1551" t="str">
            <v>Belum TL</v>
          </cell>
          <cell r="S1551" t="str">
            <v>Belum TL</v>
          </cell>
          <cell r="T1551" t="str">
            <v>90150130 - Intan Aida Pratiwi</v>
          </cell>
          <cell r="U1551" t="str">
            <v>"-"</v>
          </cell>
        </row>
        <row r="1552">
          <cell r="A1552">
            <v>46265</v>
          </cell>
          <cell r="B1552" t="str">
            <v xml:space="preserve">PT SINUNUKAN ENERGI GEMILANG            </v>
          </cell>
          <cell r="C1552" t="str">
            <v>PNM6408</v>
          </cell>
          <cell r="D1552">
            <v>723401000014568</v>
          </cell>
          <cell r="F1552" t="str">
            <v>Tidak</v>
          </cell>
          <cell r="G1552" t="str">
            <v>Tidak</v>
          </cell>
          <cell r="H1552" t="str">
            <v>Tidak</v>
          </cell>
          <cell r="I1552" t="str">
            <v>Perpajakan</v>
          </cell>
          <cell r="J1552">
            <v>33</v>
          </cell>
          <cell r="K1552">
            <v>41</v>
          </cell>
          <cell r="L1552" t="str">
            <v>Perpajakan</v>
          </cell>
          <cell r="M1552" t="str">
            <v xml:space="preserve">UNIT SINUNUKAN PANYABUNGAN              </v>
          </cell>
          <cell r="N1552" t="str">
            <v xml:space="preserve">KC Panyabungan                          </v>
          </cell>
          <cell r="O1552" t="str">
            <v xml:space="preserve">Medan                                   </v>
          </cell>
          <cell r="R1552" t="str">
            <v>Belum TL</v>
          </cell>
          <cell r="S1552" t="str">
            <v>Belum TL</v>
          </cell>
          <cell r="T1552" t="str">
            <v>00394520 - Frida Akbar Rani</v>
          </cell>
          <cell r="U1552" t="str">
            <v>"-"</v>
          </cell>
        </row>
        <row r="1553">
          <cell r="A1553">
            <v>46265</v>
          </cell>
          <cell r="B1553" t="str">
            <v xml:space="preserve">PANITIA PEMBANGUNAN SEKOLAH KAA         </v>
          </cell>
          <cell r="C1553" t="str">
            <v>PNV9469</v>
          </cell>
          <cell r="D1553">
            <v>19201002583566</v>
          </cell>
          <cell r="F1553" t="str">
            <v>Tidak</v>
          </cell>
          <cell r="G1553" t="str">
            <v>Tidak</v>
          </cell>
          <cell r="H1553" t="str">
            <v>Tidak</v>
          </cell>
          <cell r="I1553" t="str">
            <v>Perpajakan</v>
          </cell>
          <cell r="J1553">
            <v>33</v>
          </cell>
          <cell r="K1553">
            <v>41</v>
          </cell>
          <cell r="L1553" t="str">
            <v>Perpajakan</v>
          </cell>
          <cell r="M1553" t="str">
            <v xml:space="preserve">KC Kendari Samratulangi                 </v>
          </cell>
          <cell r="N1553" t="str">
            <v xml:space="preserve">KC Kendari Samratulangi                 </v>
          </cell>
          <cell r="O1553" t="str">
            <v xml:space="preserve">Makassar                                </v>
          </cell>
          <cell r="R1553" t="str">
            <v>Belum TL</v>
          </cell>
          <cell r="S1553" t="str">
            <v>Belum TL</v>
          </cell>
          <cell r="T1553" t="str">
            <v>90186790 - Muhammad Alfin Farha</v>
          </cell>
          <cell r="U1553" t="str">
            <v>"-"</v>
          </cell>
        </row>
        <row r="1554">
          <cell r="A1554">
            <v>46265</v>
          </cell>
          <cell r="B1554" t="str">
            <v xml:space="preserve">PT GLORIA PAPUA PERMAI                  </v>
          </cell>
          <cell r="C1554" t="str">
            <v>PNW7560</v>
          </cell>
          <cell r="D1554">
            <v>30701020559100</v>
          </cell>
          <cell r="F1554" t="str">
            <v>Tidak</v>
          </cell>
          <cell r="G1554" t="str">
            <v>Tidak</v>
          </cell>
          <cell r="H1554" t="str">
            <v>Tidak</v>
          </cell>
          <cell r="I1554" t="str">
            <v>Korupsi - Loan View</v>
          </cell>
          <cell r="J1554">
            <v>33</v>
          </cell>
          <cell r="K1554">
            <v>15</v>
          </cell>
          <cell r="L1554" t="str">
            <v>Korupsi</v>
          </cell>
          <cell r="M1554" t="str">
            <v>Kas Kanpus</v>
          </cell>
          <cell r="N1554" t="str">
            <v>Kas Kanpus</v>
          </cell>
          <cell r="O1554" t="str">
            <v>KAS KANPUS</v>
          </cell>
          <cell r="R1554" t="str">
            <v>Belum TL</v>
          </cell>
          <cell r="S1554" t="str">
            <v>Belum TL</v>
          </cell>
          <cell r="T1554" t="str">
            <v>90150130 - Intan Aida Pratiwi</v>
          </cell>
          <cell r="U1554" t="str">
            <v>"-"</v>
          </cell>
        </row>
        <row r="1555">
          <cell r="A1555">
            <v>46265</v>
          </cell>
          <cell r="B1555" t="str">
            <v xml:space="preserve">PT CALVARY ABADI                        </v>
          </cell>
          <cell r="C1555" t="str">
            <v>PO84531</v>
          </cell>
          <cell r="D1555">
            <v>5501502392158</v>
          </cell>
          <cell r="E1555" t="str">
            <v>SEDANG</v>
          </cell>
          <cell r="F1555" t="str">
            <v>Tidak</v>
          </cell>
          <cell r="G1555" t="str">
            <v>Tidak</v>
          </cell>
          <cell r="H1555" t="str">
            <v>Tidak</v>
          </cell>
          <cell r="I1555" t="str">
            <v>Korupsi - Loan View</v>
          </cell>
          <cell r="J1555">
            <v>48</v>
          </cell>
          <cell r="K1555">
            <v>15</v>
          </cell>
          <cell r="L1555" t="str">
            <v>Korupsi</v>
          </cell>
          <cell r="M1555" t="str">
            <v>Kas Kanpus</v>
          </cell>
          <cell r="N1555" t="str">
            <v>Kas Kanpus</v>
          </cell>
          <cell r="O1555" t="str">
            <v>KAS KANPUS</v>
          </cell>
          <cell r="R1555" t="str">
            <v>Belum TL</v>
          </cell>
          <cell r="S1555" t="str">
            <v>Belum TL</v>
          </cell>
          <cell r="T1555" t="str">
            <v>90186796 - Devito Arya Wiradila</v>
          </cell>
          <cell r="U1555" t="str">
            <v>"-"</v>
          </cell>
        </row>
        <row r="1556">
          <cell r="A1556">
            <v>46265</v>
          </cell>
          <cell r="B1556" t="str">
            <v xml:space="preserve">PT HARDAYA INTI PLANTATIONS             </v>
          </cell>
          <cell r="C1556" t="str">
            <v>POG7708</v>
          </cell>
          <cell r="D1556">
            <v>37601998899568</v>
          </cell>
          <cell r="F1556" t="str">
            <v>Tidak</v>
          </cell>
          <cell r="G1556" t="str">
            <v>Tidak</v>
          </cell>
          <cell r="H1556" t="str">
            <v>Tidak</v>
          </cell>
          <cell r="I1556" t="str">
            <v>Perpajakan</v>
          </cell>
          <cell r="J1556">
            <v>33</v>
          </cell>
          <cell r="K1556">
            <v>41</v>
          </cell>
          <cell r="L1556" t="str">
            <v>Perpajakan</v>
          </cell>
          <cell r="M1556" t="str">
            <v xml:space="preserve">KC Jakarta Sudirman 1                   </v>
          </cell>
          <cell r="N1556" t="str">
            <v xml:space="preserve">KC Jakarta Sudirman 1                   </v>
          </cell>
          <cell r="O1556" t="str">
            <v xml:space="preserve">DKI2                                    </v>
          </cell>
          <cell r="R1556" t="str">
            <v>Belum TL</v>
          </cell>
          <cell r="S1556" t="str">
            <v>Belum TL</v>
          </cell>
          <cell r="T1556" t="str">
            <v>00394521 - Muhammad Hibbanduta</v>
          </cell>
          <cell r="U1556" t="str">
            <v>"-"</v>
          </cell>
        </row>
        <row r="1557">
          <cell r="A1557">
            <v>46265</v>
          </cell>
          <cell r="B1557" t="str">
            <v xml:space="preserve">PAHRI AGUS SETIAWAN                     </v>
          </cell>
          <cell r="C1557" t="str">
            <v>POG7725</v>
          </cell>
          <cell r="D1557">
            <v>117201009592509</v>
          </cell>
          <cell r="F1557" t="str">
            <v>Tidak</v>
          </cell>
          <cell r="G1557" t="str">
            <v>Tidak</v>
          </cell>
          <cell r="H1557" t="str">
            <v>Tidak</v>
          </cell>
          <cell r="I1557" t="str">
            <v>Bandar Judol Withdrawal</v>
          </cell>
          <cell r="J1557">
            <v>35</v>
          </cell>
          <cell r="K1557" t="str">
            <v>86,88,87</v>
          </cell>
          <cell r="L1557" t="str">
            <v>Judi Online</v>
          </cell>
          <cell r="M1557" t="str">
            <v xml:space="preserve">Kas Kanpus                              </v>
          </cell>
          <cell r="N1557" t="str">
            <v xml:space="preserve">Kas Kanpus                              </v>
          </cell>
          <cell r="O1557" t="str">
            <v xml:space="preserve">KAS KANPUS                              </v>
          </cell>
          <cell r="R1557" t="str">
            <v>Belum TL</v>
          </cell>
          <cell r="S1557" t="str">
            <v>Belum TL</v>
          </cell>
          <cell r="T1557" t="str">
            <v>00394520 - Frida Akbar Rani</v>
          </cell>
          <cell r="U1557" t="str">
            <v>"-"</v>
          </cell>
        </row>
        <row r="1558">
          <cell r="A1558">
            <v>46265</v>
          </cell>
          <cell r="B1558" t="str">
            <v xml:space="preserve">PT ANG TAN CORP                         </v>
          </cell>
          <cell r="C1558" t="str">
            <v>POH0662</v>
          </cell>
          <cell r="D1558">
            <v>25601002349304</v>
          </cell>
          <cell r="F1558" t="str">
            <v>Tidak</v>
          </cell>
          <cell r="G1558" t="str">
            <v>Tidak</v>
          </cell>
          <cell r="H1558" t="str">
            <v>Tidak</v>
          </cell>
          <cell r="I1558" t="str">
            <v>Business Email Compromise (BEC)</v>
          </cell>
          <cell r="J1558">
            <v>30</v>
          </cell>
          <cell r="K1558">
            <v>13</v>
          </cell>
          <cell r="L1558" t="str">
            <v>Penipuan</v>
          </cell>
          <cell r="M1558" t="str">
            <v xml:space="preserve">KC Bukittinggi                          </v>
          </cell>
          <cell r="N1558" t="str">
            <v xml:space="preserve">KC Bukittinggi                          </v>
          </cell>
          <cell r="O1558" t="str">
            <v xml:space="preserve">Padang                                  </v>
          </cell>
          <cell r="R1558" t="str">
            <v>Belum TL</v>
          </cell>
          <cell r="S1558" t="str">
            <v>Belum TL</v>
          </cell>
          <cell r="T1558" t="str">
            <v>90185538 - Muhammad Fahikal Auz</v>
          </cell>
          <cell r="U1558" t="str">
            <v>"-"</v>
          </cell>
        </row>
        <row r="1559">
          <cell r="A1559">
            <v>46265</v>
          </cell>
          <cell r="B1559" t="str">
            <v xml:space="preserve">PT MNJ MENJAGA INDO                     </v>
          </cell>
          <cell r="C1559" t="str">
            <v>POH1722</v>
          </cell>
          <cell r="D1559">
            <v>35601002355303</v>
          </cell>
          <cell r="F1559" t="str">
            <v>Tidak</v>
          </cell>
          <cell r="G1559" t="str">
            <v>Tidak</v>
          </cell>
          <cell r="H1559" t="str">
            <v>Tidak</v>
          </cell>
          <cell r="I1559" t="str">
            <v>Perpajakan</v>
          </cell>
          <cell r="J1559">
            <v>36</v>
          </cell>
          <cell r="K1559">
            <v>41</v>
          </cell>
          <cell r="L1559" t="str">
            <v>Perpajakan</v>
          </cell>
          <cell r="M1559" t="str">
            <v xml:space="preserve">KC JAKARTA KEMAYORAN                    </v>
          </cell>
          <cell r="N1559" t="str">
            <v xml:space="preserve">KC JAKARTA KEMAYORAN                    </v>
          </cell>
          <cell r="O1559" t="str">
            <v xml:space="preserve">DKI                                     </v>
          </cell>
          <cell r="R1559" t="str">
            <v>Belum TL</v>
          </cell>
          <cell r="S1559" t="str">
            <v>Belum TL</v>
          </cell>
          <cell r="T1559" t="str">
            <v>00394520 - Frida Akbar Rani</v>
          </cell>
          <cell r="U1559" t="str">
            <v>"-"</v>
          </cell>
        </row>
        <row r="1560">
          <cell r="A1560">
            <v>46265</v>
          </cell>
          <cell r="B1560" t="str">
            <v xml:space="preserve">PT AWAL BROS HEALTHCARE                 </v>
          </cell>
          <cell r="C1560" t="str">
            <v>POH7235</v>
          </cell>
          <cell r="D1560">
            <v>107901004327569</v>
          </cell>
          <cell r="F1560" t="str">
            <v>Tidak</v>
          </cell>
          <cell r="G1560" t="str">
            <v>Tidak</v>
          </cell>
          <cell r="H1560" t="str">
            <v>Tidak</v>
          </cell>
          <cell r="I1560" t="str">
            <v>Perpajakan</v>
          </cell>
          <cell r="J1560">
            <v>35</v>
          </cell>
          <cell r="K1560">
            <v>41</v>
          </cell>
          <cell r="L1560" t="str">
            <v>Perpajakan</v>
          </cell>
          <cell r="M1560" t="str">
            <v xml:space="preserve">KC Pekanbaru Lancang Kuning             </v>
          </cell>
          <cell r="N1560" t="str">
            <v xml:space="preserve">KC Pekanbaru Lancang Kuning             </v>
          </cell>
          <cell r="O1560" t="str">
            <v xml:space="preserve">KANWIL PEKANBARU                        </v>
          </cell>
          <cell r="R1560" t="str">
            <v>Belum TL</v>
          </cell>
          <cell r="S1560" t="str">
            <v>Belum TL</v>
          </cell>
          <cell r="T1560" t="str">
            <v>90186790 - Muhammad Alfin Farha</v>
          </cell>
          <cell r="U1560" t="str">
            <v>"-"</v>
          </cell>
        </row>
        <row r="1561">
          <cell r="A1561">
            <v>46265</v>
          </cell>
          <cell r="B1561" t="str">
            <v xml:space="preserve">PUTRA ANGGA NUGRAHA                     </v>
          </cell>
          <cell r="C1561" t="str">
            <v>POI3321</v>
          </cell>
          <cell r="D1561">
            <v>332501003160505</v>
          </cell>
          <cell r="F1561" t="str">
            <v>Tidak</v>
          </cell>
          <cell r="G1561" t="str">
            <v>Tidak</v>
          </cell>
          <cell r="H1561" t="str">
            <v>Tidak</v>
          </cell>
          <cell r="I1561" t="str">
            <v>Bandar Judol Withdrawal</v>
          </cell>
          <cell r="J1561">
            <v>35</v>
          </cell>
          <cell r="K1561" t="str">
            <v>86,88,87</v>
          </cell>
          <cell r="L1561" t="str">
            <v>Judi Online</v>
          </cell>
          <cell r="M1561" t="str">
            <v xml:space="preserve">Kas Kanpus                              </v>
          </cell>
          <cell r="N1561" t="str">
            <v xml:space="preserve">Kas Kanpus                              </v>
          </cell>
          <cell r="O1561" t="str">
            <v xml:space="preserve">KAS KANPUS                              </v>
          </cell>
          <cell r="R1561" t="str">
            <v>Belum TL</v>
          </cell>
          <cell r="S1561" t="str">
            <v>Belum TL</v>
          </cell>
          <cell r="T1561" t="str">
            <v>00336949 - Mochammad Al Farabi</v>
          </cell>
          <cell r="U1561" t="str">
            <v>"-"</v>
          </cell>
        </row>
        <row r="1562">
          <cell r="A1562">
            <v>46265</v>
          </cell>
          <cell r="B1562" t="str">
            <v xml:space="preserve">PUTRI ANANTA                            </v>
          </cell>
          <cell r="C1562" t="str">
            <v>POJ8446</v>
          </cell>
          <cell r="D1562">
            <v>109001048126501</v>
          </cell>
          <cell r="F1562" t="str">
            <v>Tidak</v>
          </cell>
          <cell r="G1562" t="str">
            <v>Tidak</v>
          </cell>
          <cell r="H1562" t="str">
            <v>Tidak</v>
          </cell>
          <cell r="I1562" t="str">
            <v>Bandar Judol Depo</v>
          </cell>
          <cell r="J1562">
            <v>35</v>
          </cell>
          <cell r="K1562" t="str">
            <v>86,74,87</v>
          </cell>
          <cell r="L1562" t="str">
            <v>Judi Online</v>
          </cell>
          <cell r="M1562" t="str">
            <v xml:space="preserve">Kas Kanpus                              </v>
          </cell>
          <cell r="N1562" t="str">
            <v xml:space="preserve">Kas Kanpus                              </v>
          </cell>
          <cell r="O1562" t="str">
            <v xml:space="preserve">KAS KANPUS                              </v>
          </cell>
          <cell r="R1562" t="str">
            <v>Belum TL</v>
          </cell>
          <cell r="S1562" t="str">
            <v>Belum TL</v>
          </cell>
          <cell r="T1562" t="str">
            <v>00394520 - Frida Akbar Rani</v>
          </cell>
          <cell r="U1562" t="str">
            <v>"-"</v>
          </cell>
        </row>
        <row r="1563">
          <cell r="A1563">
            <v>46265</v>
          </cell>
          <cell r="B1563" t="str">
            <v xml:space="preserve">PT YONG WEI INDONESIA                   </v>
          </cell>
          <cell r="C1563" t="str">
            <v>POK6690</v>
          </cell>
          <cell r="D1563">
            <v>66101002460309</v>
          </cell>
          <cell r="F1563" t="str">
            <v>Tidak</v>
          </cell>
          <cell r="G1563" t="str">
            <v>Tidak</v>
          </cell>
          <cell r="H1563" t="str">
            <v>Tidak</v>
          </cell>
          <cell r="I1563" t="str">
            <v>Korupsi - Cash &amp; Amount</v>
          </cell>
          <cell r="J1563">
            <v>33</v>
          </cell>
          <cell r="K1563" t="str">
            <v>1,2,20</v>
          </cell>
          <cell r="L1563" t="str">
            <v>Korupsi</v>
          </cell>
          <cell r="M1563" t="str">
            <v>Kas Kanpus</v>
          </cell>
          <cell r="N1563" t="str">
            <v>Kas Kanpus</v>
          </cell>
          <cell r="O1563" t="str">
            <v>KAS KANPUS</v>
          </cell>
          <cell r="R1563" t="str">
            <v>Belum TL</v>
          </cell>
          <cell r="S1563" t="str">
            <v>Belum TL</v>
          </cell>
          <cell r="T1563" t="str">
            <v>00336949 - Mochammad Al Farabi</v>
          </cell>
          <cell r="U1563" t="str">
            <v>"-"</v>
          </cell>
        </row>
        <row r="1564">
          <cell r="A1564">
            <v>46265</v>
          </cell>
          <cell r="B1564" t="str">
            <v xml:space="preserve">PANDI AHMAD                             </v>
          </cell>
          <cell r="C1564" t="str">
            <v>POL2825</v>
          </cell>
          <cell r="D1564">
            <v>109001048455502</v>
          </cell>
          <cell r="F1564" t="str">
            <v>Tidak</v>
          </cell>
          <cell r="G1564" t="str">
            <v>Tidak</v>
          </cell>
          <cell r="H1564" t="str">
            <v>Tidak</v>
          </cell>
          <cell r="I1564" t="str">
            <v>Bandar Judol Depo</v>
          </cell>
          <cell r="J1564">
            <v>35</v>
          </cell>
          <cell r="K1564" t="str">
            <v>86,74,87</v>
          </cell>
          <cell r="L1564" t="str">
            <v>Judi Online</v>
          </cell>
          <cell r="M1564" t="str">
            <v xml:space="preserve">Kas Kanpus                              </v>
          </cell>
          <cell r="N1564" t="str">
            <v xml:space="preserve">Kas Kanpus                              </v>
          </cell>
          <cell r="O1564" t="str">
            <v xml:space="preserve">KAS KANPUS                              </v>
          </cell>
          <cell r="R1564" t="str">
            <v>Belum TL</v>
          </cell>
          <cell r="S1564" t="str">
            <v>Belum TL</v>
          </cell>
          <cell r="T1564" t="str">
            <v>90185538 - Muhammad Fahikal Auz</v>
          </cell>
          <cell r="U1564" t="str">
            <v>"-"</v>
          </cell>
        </row>
        <row r="1565">
          <cell r="A1565">
            <v>46265</v>
          </cell>
          <cell r="B1565" t="str">
            <v xml:space="preserve">PANJI SETYO W                           </v>
          </cell>
          <cell r="C1565" t="str">
            <v>POM5252</v>
          </cell>
          <cell r="D1565">
            <v>65601039692500</v>
          </cell>
          <cell r="F1565" t="str">
            <v>Tidak</v>
          </cell>
          <cell r="G1565" t="str">
            <v>Tidak</v>
          </cell>
          <cell r="I1565" t="str">
            <v>Jual Beli Rekening - E channel Trx</v>
          </cell>
          <cell r="J1565">
            <v>33</v>
          </cell>
          <cell r="K1565">
            <v>113</v>
          </cell>
          <cell r="L1565" t="str">
            <v>Narkotika/Judi Online/Penipuan</v>
          </cell>
          <cell r="M1565" t="str">
            <v xml:space="preserve">KCP PADALARANG                          </v>
          </cell>
          <cell r="N1565" t="str">
            <v xml:space="preserve">KC Cimahi                               </v>
          </cell>
          <cell r="O1565" t="str">
            <v xml:space="preserve">Bandung                                 </v>
          </cell>
          <cell r="R1565" t="str">
            <v>Belum TL</v>
          </cell>
          <cell r="S1565" t="str">
            <v>Belum TL</v>
          </cell>
          <cell r="U1565" t="str">
            <v>"-"</v>
          </cell>
        </row>
        <row r="1566">
          <cell r="A1566">
            <v>46265</v>
          </cell>
          <cell r="B1566" t="str">
            <v xml:space="preserve">PILAR MEDIKA SELARAS                    </v>
          </cell>
          <cell r="C1566" t="str">
            <v>POM7563</v>
          </cell>
          <cell r="D1566">
            <v>38601003059307</v>
          </cell>
          <cell r="F1566" t="str">
            <v>Tidak</v>
          </cell>
          <cell r="G1566" t="str">
            <v>Tidak</v>
          </cell>
          <cell r="H1566" t="str">
            <v>Tidak</v>
          </cell>
          <cell r="I1566" t="str">
            <v>Perpajakan</v>
          </cell>
          <cell r="J1566">
            <v>33</v>
          </cell>
          <cell r="K1566">
            <v>41</v>
          </cell>
          <cell r="L1566" t="str">
            <v>Perpajakan</v>
          </cell>
          <cell r="M1566" t="str">
            <v xml:space="preserve">KC JAKARTA RAWAMANGUN                   </v>
          </cell>
          <cell r="N1566" t="str">
            <v xml:space="preserve">KC JAKARTA RAWAMANGUN                   </v>
          </cell>
          <cell r="O1566" t="str">
            <v xml:space="preserve">DKI                                     </v>
          </cell>
          <cell r="R1566" t="str">
            <v>Belum TL</v>
          </cell>
          <cell r="S1566" t="str">
            <v>Belum TL</v>
          </cell>
          <cell r="T1566" t="str">
            <v>00394520 - Frida Akbar Rani</v>
          </cell>
          <cell r="U1566" t="str">
            <v>"-"</v>
          </cell>
        </row>
        <row r="1567">
          <cell r="A1567">
            <v>46265</v>
          </cell>
          <cell r="B1567" t="str">
            <v xml:space="preserve">PUJI LESTARI                            </v>
          </cell>
          <cell r="C1567" t="str">
            <v>PQ56137</v>
          </cell>
          <cell r="D1567">
            <v>110901003303535</v>
          </cell>
          <cell r="E1567" t="str">
            <v>SEDANG</v>
          </cell>
          <cell r="F1567" t="str">
            <v>Tidak</v>
          </cell>
          <cell r="G1567" t="str">
            <v>Tidak</v>
          </cell>
          <cell r="H1567" t="str">
            <v>Tidak</v>
          </cell>
          <cell r="I1567" t="str">
            <v>Bandar Judol Depo</v>
          </cell>
          <cell r="J1567">
            <v>50</v>
          </cell>
          <cell r="K1567" t="str">
            <v>86,74,87</v>
          </cell>
          <cell r="L1567" t="str">
            <v>Judi Online</v>
          </cell>
          <cell r="M1567" t="str">
            <v xml:space="preserve">Kas Kanpus                              </v>
          </cell>
          <cell r="N1567" t="str">
            <v xml:space="preserve">Kas Kanpus                              </v>
          </cell>
          <cell r="O1567" t="str">
            <v xml:space="preserve">KAS KANPUS                              </v>
          </cell>
          <cell r="R1567" t="str">
            <v>Belum TL</v>
          </cell>
          <cell r="S1567" t="str">
            <v>Belum TL</v>
          </cell>
          <cell r="T1567" t="str">
            <v>90170665 - Mutiara Ayuningtyas</v>
          </cell>
          <cell r="U1567" t="str">
            <v>"-"</v>
          </cell>
        </row>
        <row r="1568">
          <cell r="A1568">
            <v>46265</v>
          </cell>
          <cell r="B1568" t="str">
            <v xml:space="preserve">PAULINA MARIA DAME ULI                  </v>
          </cell>
          <cell r="C1568" t="str">
            <v>PQ61574</v>
          </cell>
          <cell r="D1568">
            <v>35901030446560</v>
          </cell>
          <cell r="E1568" t="str">
            <v>SEDANG</v>
          </cell>
          <cell r="F1568" t="str">
            <v>Tidak</v>
          </cell>
          <cell r="G1568" t="str">
            <v>Tidak</v>
          </cell>
          <cell r="H1568" t="str">
            <v>Tidak</v>
          </cell>
          <cell r="I1568" t="str">
            <v>Korupsi - Significant Trx View</v>
          </cell>
          <cell r="J1568">
            <v>58</v>
          </cell>
          <cell r="K1568">
            <v>1.19</v>
          </cell>
          <cell r="L1568" t="str">
            <v>Korupsi</v>
          </cell>
          <cell r="M1568" t="str">
            <v>Kas Kanpus</v>
          </cell>
          <cell r="N1568" t="str">
            <v>Kas Kanpus</v>
          </cell>
          <cell r="O1568" t="str">
            <v>KAS KANPUS</v>
          </cell>
          <cell r="R1568" t="str">
            <v>Belum TL</v>
          </cell>
          <cell r="S1568" t="str">
            <v>Belum TL</v>
          </cell>
          <cell r="T1568" t="str">
            <v>00394521 - Muhammad Hibbanduta</v>
          </cell>
          <cell r="U1568" t="str">
            <v>"-"</v>
          </cell>
        </row>
        <row r="1569">
          <cell r="A1569">
            <v>46265</v>
          </cell>
          <cell r="B1569" t="str">
            <v xml:space="preserve">PT. MULTI DAYA GUNA                     </v>
          </cell>
          <cell r="C1569" t="str">
            <v>PR18240</v>
          </cell>
          <cell r="D1569">
            <v>58201000837154</v>
          </cell>
          <cell r="E1569" t="str">
            <v>TINGGI</v>
          </cell>
          <cell r="F1569" t="str">
            <v>Tidak</v>
          </cell>
          <cell r="G1569" t="str">
            <v>Tidak</v>
          </cell>
          <cell r="H1569" t="str">
            <v>Tidak</v>
          </cell>
          <cell r="I1569" t="str">
            <v>Korupsi - Loan View</v>
          </cell>
          <cell r="J1569">
            <v>63</v>
          </cell>
          <cell r="K1569">
            <v>15</v>
          </cell>
          <cell r="L1569" t="str">
            <v>Korupsi</v>
          </cell>
          <cell r="M1569" t="str">
            <v>Kas Kanpus</v>
          </cell>
          <cell r="N1569" t="str">
            <v>Kas Kanpus</v>
          </cell>
          <cell r="O1569" t="str">
            <v>KAS KANPUS</v>
          </cell>
          <cell r="R1569" t="str">
            <v>Belum TL</v>
          </cell>
          <cell r="S1569" t="str">
            <v>Belum TL</v>
          </cell>
          <cell r="T1569" t="str">
            <v>00336949 - Mochammad Al Farabi</v>
          </cell>
          <cell r="U1569" t="str">
            <v>"-"</v>
          </cell>
        </row>
        <row r="1570">
          <cell r="A1570">
            <v>46265</v>
          </cell>
          <cell r="B1570" t="str">
            <v xml:space="preserve">PATRIA APRILIGA                         </v>
          </cell>
          <cell r="C1570" t="str">
            <v>PR76833</v>
          </cell>
          <cell r="D1570">
            <v>20601375710108</v>
          </cell>
          <cell r="E1570" t="str">
            <v>SEDANG</v>
          </cell>
          <cell r="F1570" t="str">
            <v>Tidak</v>
          </cell>
          <cell r="G1570" t="str">
            <v>Ya</v>
          </cell>
          <cell r="H1570" t="str">
            <v>Tidak</v>
          </cell>
          <cell r="I1570" t="str">
            <v>Korupsi - Loan View</v>
          </cell>
          <cell r="J1570">
            <v>58</v>
          </cell>
          <cell r="K1570">
            <v>15</v>
          </cell>
          <cell r="L1570" t="str">
            <v>Korupsi</v>
          </cell>
          <cell r="M1570" t="str">
            <v>Kas Kanpus</v>
          </cell>
          <cell r="N1570" t="str">
            <v>Kas Kanpus</v>
          </cell>
          <cell r="O1570" t="str">
            <v>KAS KANPUS</v>
          </cell>
          <cell r="R1570" t="str">
            <v>Belum TL</v>
          </cell>
          <cell r="S1570" t="str">
            <v>Belum TL</v>
          </cell>
          <cell r="T1570" t="str">
            <v>90185537 - Moh.Khoerul Fajar Ar</v>
          </cell>
          <cell r="U1570" t="str">
            <v>"-"</v>
          </cell>
        </row>
        <row r="1571">
          <cell r="A1571">
            <v>46265</v>
          </cell>
          <cell r="B1571" t="str">
            <v xml:space="preserve">PT METRO EAST GRAHA WISATA              </v>
          </cell>
          <cell r="C1571" t="str">
            <v>PR93961</v>
          </cell>
          <cell r="D1571">
            <v>501036043103</v>
          </cell>
          <cell r="E1571" t="str">
            <v>TINGGI</v>
          </cell>
          <cell r="F1571" t="str">
            <v>Tidak</v>
          </cell>
          <cell r="G1571" t="str">
            <v>Tidak</v>
          </cell>
          <cell r="H1571" t="str">
            <v>Tidak</v>
          </cell>
          <cell r="I1571" t="str">
            <v>Korupsi - Loan View</v>
          </cell>
          <cell r="J1571">
            <v>63</v>
          </cell>
          <cell r="K1571">
            <v>15</v>
          </cell>
          <cell r="L1571" t="str">
            <v>Korupsi</v>
          </cell>
          <cell r="M1571" t="str">
            <v>Kas Kanpus</v>
          </cell>
          <cell r="N1571" t="str">
            <v>Kas Kanpus</v>
          </cell>
          <cell r="O1571" t="str">
            <v>KAS KANPUS</v>
          </cell>
          <cell r="R1571" t="str">
            <v>Belum TL</v>
          </cell>
          <cell r="S1571" t="str">
            <v>Belum TL</v>
          </cell>
          <cell r="T1571" t="str">
            <v>00394520 - Frida Akbar Rani</v>
          </cell>
          <cell r="U1571" t="str">
            <v>"-"</v>
          </cell>
        </row>
        <row r="1572">
          <cell r="A1572">
            <v>46265</v>
          </cell>
          <cell r="B1572" t="str">
            <v xml:space="preserve">PT KURNIA CIPTAMODA GEMILANG            </v>
          </cell>
          <cell r="C1572" t="str">
            <v>PS72810</v>
          </cell>
          <cell r="D1572">
            <v>43001000323308</v>
          </cell>
          <cell r="E1572" t="str">
            <v>SEDANG</v>
          </cell>
          <cell r="F1572" t="str">
            <v>Tidak</v>
          </cell>
          <cell r="G1572" t="str">
            <v>Tidak</v>
          </cell>
          <cell r="H1572" t="str">
            <v>Tidak</v>
          </cell>
          <cell r="I1572" t="str">
            <v>Korupsi - Cash &amp; Amount</v>
          </cell>
          <cell r="J1572">
            <v>50</v>
          </cell>
          <cell r="K1572" t="str">
            <v>1,2,20</v>
          </cell>
          <cell r="L1572" t="str">
            <v>Korupsi</v>
          </cell>
          <cell r="M1572" t="str">
            <v>Kas Kanpus</v>
          </cell>
          <cell r="N1572" t="str">
            <v>Kas Kanpus</v>
          </cell>
          <cell r="O1572" t="str">
            <v>KAS KANPUS</v>
          </cell>
          <cell r="R1572" t="str">
            <v>Belum TL</v>
          </cell>
          <cell r="S1572" t="str">
            <v>Belum TL</v>
          </cell>
          <cell r="T1572" t="str">
            <v>90150130 - Intan Aida Pratiwi</v>
          </cell>
          <cell r="U1572" t="str">
            <v>"-"</v>
          </cell>
        </row>
        <row r="1573">
          <cell r="A1573">
            <v>46265</v>
          </cell>
          <cell r="B1573" t="str">
            <v xml:space="preserve">PT. AJWA TRAVELINDO                     </v>
          </cell>
          <cell r="C1573" t="str">
            <v>PS74630</v>
          </cell>
          <cell r="D1573">
            <v>58001000146157</v>
          </cell>
          <cell r="E1573" t="str">
            <v>SEDANG</v>
          </cell>
          <cell r="F1573" t="str">
            <v>Tidak</v>
          </cell>
          <cell r="G1573" t="str">
            <v>Tidak</v>
          </cell>
          <cell r="H1573" t="str">
            <v>Tidak</v>
          </cell>
          <cell r="I1573" t="str">
            <v>Korupsi - Loan View</v>
          </cell>
          <cell r="J1573">
            <v>48</v>
          </cell>
          <cell r="K1573">
            <v>15</v>
          </cell>
          <cell r="L1573" t="str">
            <v>Korupsi</v>
          </cell>
          <cell r="M1573" t="str">
            <v>Kas Kanpus</v>
          </cell>
          <cell r="N1573" t="str">
            <v>Kas Kanpus</v>
          </cell>
          <cell r="O1573" t="str">
            <v>KAS KANPUS</v>
          </cell>
          <cell r="R1573" t="str">
            <v>Belum TL</v>
          </cell>
          <cell r="S1573" t="str">
            <v>Belum TL</v>
          </cell>
          <cell r="T1573" t="str">
            <v>00394521 - Muhammad Hibbanduta</v>
          </cell>
          <cell r="U1573" t="str">
            <v>"-"</v>
          </cell>
        </row>
        <row r="1574">
          <cell r="A1574">
            <v>46265</v>
          </cell>
          <cell r="B1574" t="str">
            <v xml:space="preserve">PRASETYO NENTO                          </v>
          </cell>
          <cell r="C1574" t="str">
            <v>PS85602</v>
          </cell>
          <cell r="D1574">
            <v>183801000061567</v>
          </cell>
          <cell r="E1574" t="str">
            <v>TINGGI</v>
          </cell>
          <cell r="F1574" t="str">
            <v>Tidak</v>
          </cell>
          <cell r="G1574" t="str">
            <v>Tidak</v>
          </cell>
          <cell r="H1574" t="str">
            <v>Tidak</v>
          </cell>
          <cell r="I1574" t="str">
            <v>Korupsi - Payroll View</v>
          </cell>
          <cell r="J1574">
            <v>73</v>
          </cell>
          <cell r="K1574">
            <v>84</v>
          </cell>
          <cell r="L1574" t="str">
            <v>Korupsi</v>
          </cell>
          <cell r="M1574" t="str">
            <v>Kas Kanpus</v>
          </cell>
          <cell r="N1574" t="str">
            <v>Kas Kanpus</v>
          </cell>
          <cell r="O1574" t="str">
            <v>KAS KANPUS</v>
          </cell>
          <cell r="R1574" t="str">
            <v>Belum TL</v>
          </cell>
          <cell r="S1574" t="str">
            <v>Belum TL</v>
          </cell>
          <cell r="T1574" t="str">
            <v>90186790 - Muhammad Alfin Farha</v>
          </cell>
          <cell r="U1574" t="str">
            <v>"-"</v>
          </cell>
        </row>
        <row r="1575">
          <cell r="A1575">
            <v>46265</v>
          </cell>
          <cell r="B1575" t="str">
            <v xml:space="preserve">PUJA ARYADI                             </v>
          </cell>
          <cell r="C1575" t="str">
            <v>PT29702</v>
          </cell>
          <cell r="D1575">
            <v>362401032154107</v>
          </cell>
          <cell r="E1575" t="str">
            <v>SEDANG</v>
          </cell>
          <cell r="F1575" t="str">
            <v>Tidak</v>
          </cell>
          <cell r="G1575" t="str">
            <v>Tidak</v>
          </cell>
          <cell r="H1575" t="str">
            <v>Tidak</v>
          </cell>
          <cell r="I1575" t="str">
            <v>Korupsi - Loan View</v>
          </cell>
          <cell r="J1575">
            <v>48</v>
          </cell>
          <cell r="K1575">
            <v>15</v>
          </cell>
          <cell r="L1575" t="str">
            <v>Korupsi</v>
          </cell>
          <cell r="M1575" t="str">
            <v>Kas Kanpus</v>
          </cell>
          <cell r="N1575" t="str">
            <v>Kas Kanpus</v>
          </cell>
          <cell r="O1575" t="str">
            <v>KAS KANPUS</v>
          </cell>
          <cell r="R1575" t="str">
            <v>Belum TL</v>
          </cell>
          <cell r="S1575" t="str">
            <v>Belum TL</v>
          </cell>
          <cell r="T1575" t="str">
            <v>90185537 - Moh.Khoerul Fajar Ar</v>
          </cell>
          <cell r="U1575" t="str">
            <v>"-"</v>
          </cell>
        </row>
        <row r="1576">
          <cell r="A1576">
            <v>46265</v>
          </cell>
          <cell r="B1576" t="str">
            <v xml:space="preserve">PERUMDA AIR MINUM TIRTA KEPRI           </v>
          </cell>
          <cell r="C1576" t="str">
            <v>POX5078</v>
          </cell>
          <cell r="D1576">
            <v>17401000107308</v>
          </cell>
          <cell r="F1576" t="str">
            <v>Tidak</v>
          </cell>
          <cell r="G1576" t="str">
            <v>Tidak</v>
          </cell>
          <cell r="H1576" t="str">
            <v>Tidak</v>
          </cell>
          <cell r="I1576" t="str">
            <v>Korupsi - Cash &amp; Amount</v>
          </cell>
          <cell r="J1576">
            <v>35</v>
          </cell>
          <cell r="K1576" t="str">
            <v>1,2,20</v>
          </cell>
          <cell r="L1576" t="str">
            <v>Korupsi</v>
          </cell>
          <cell r="M1576" t="str">
            <v>Kas Kanpus</v>
          </cell>
          <cell r="N1576" t="str">
            <v>Kas Kanpus</v>
          </cell>
          <cell r="O1576" t="str">
            <v>KAS KANPUS</v>
          </cell>
          <cell r="R1576" t="str">
            <v>Belum TL</v>
          </cell>
          <cell r="S1576" t="str">
            <v>Belum TL</v>
          </cell>
          <cell r="T1576" t="str">
            <v>90150130 - Intan Aida Pratiwi</v>
          </cell>
          <cell r="U1576" t="str">
            <v>"-"</v>
          </cell>
        </row>
        <row r="1577">
          <cell r="A1577">
            <v>46265</v>
          </cell>
          <cell r="B1577" t="str">
            <v xml:space="preserve">PT ASIA PARAGON INTRADE                 </v>
          </cell>
          <cell r="C1577" t="str">
            <v>PPA4400</v>
          </cell>
          <cell r="D1577">
            <v>17201003248561</v>
          </cell>
          <cell r="F1577" t="str">
            <v>Tidak</v>
          </cell>
          <cell r="G1577" t="str">
            <v>Tidak</v>
          </cell>
          <cell r="H1577" t="str">
            <v>Tidak</v>
          </cell>
          <cell r="I1577" t="str">
            <v>Korupsi - Cash &amp; Amount</v>
          </cell>
          <cell r="J1577">
            <v>33</v>
          </cell>
          <cell r="K1577" t="str">
            <v>1,2,20</v>
          </cell>
          <cell r="L1577" t="str">
            <v>Korupsi</v>
          </cell>
          <cell r="M1577" t="str">
            <v>Kas Kanpus</v>
          </cell>
          <cell r="N1577" t="str">
            <v>Kas Kanpus</v>
          </cell>
          <cell r="O1577" t="str">
            <v>KAS KANPUS</v>
          </cell>
          <cell r="R1577" t="str">
            <v>Belum TL</v>
          </cell>
          <cell r="S1577" t="str">
            <v>Belum TL</v>
          </cell>
          <cell r="T1577" t="str">
            <v>90185537 - Moh.Khoerul Fajar Ar</v>
          </cell>
          <cell r="U1577" t="str">
            <v>"-"</v>
          </cell>
        </row>
        <row r="1578">
          <cell r="A1578">
            <v>46265</v>
          </cell>
          <cell r="B1578" t="str">
            <v xml:space="preserve">PENAMPUNGAN BENCANA ALAM                </v>
          </cell>
          <cell r="C1578" t="str">
            <v>PPC5471</v>
          </cell>
          <cell r="D1578">
            <v>349001074263539</v>
          </cell>
          <cell r="F1578" t="str">
            <v>Tidak</v>
          </cell>
          <cell r="G1578" t="str">
            <v>Tidak</v>
          </cell>
          <cell r="H1578" t="str">
            <v>Tidak</v>
          </cell>
          <cell r="I1578" t="str">
            <v>Korupsi - Cash &amp; Amount</v>
          </cell>
          <cell r="J1578">
            <v>34</v>
          </cell>
          <cell r="K1578" t="str">
            <v>1,2,20</v>
          </cell>
          <cell r="L1578" t="str">
            <v>Korupsi</v>
          </cell>
          <cell r="M1578" t="str">
            <v>Kas Kanpus</v>
          </cell>
          <cell r="N1578" t="str">
            <v>Kas Kanpus</v>
          </cell>
          <cell r="O1578" t="str">
            <v>KAS KANPUS</v>
          </cell>
          <cell r="R1578" t="str">
            <v>Belum TL</v>
          </cell>
          <cell r="S1578" t="str">
            <v>Belum TL</v>
          </cell>
          <cell r="T1578" t="str">
            <v>90185538 - Muhammad Fahikal Auz</v>
          </cell>
          <cell r="U1578" t="str">
            <v>"-"</v>
          </cell>
        </row>
        <row r="1579">
          <cell r="A1579">
            <v>46265</v>
          </cell>
          <cell r="B1579" t="str">
            <v xml:space="preserve">PT ANUGERAH KENCANA CORP                </v>
          </cell>
          <cell r="C1579" t="str">
            <v>PPE1182</v>
          </cell>
          <cell r="D1579">
            <v>32301002943309</v>
          </cell>
          <cell r="F1579" t="str">
            <v>Tidak</v>
          </cell>
          <cell r="G1579" t="str">
            <v>Tidak</v>
          </cell>
          <cell r="H1579" t="str">
            <v>Tidak</v>
          </cell>
          <cell r="I1579" t="str">
            <v>Business Email Compromise (BEC)</v>
          </cell>
          <cell r="J1579">
            <v>30</v>
          </cell>
          <cell r="K1579">
            <v>13</v>
          </cell>
          <cell r="L1579" t="str">
            <v>Penipuan</v>
          </cell>
          <cell r="M1579" t="str">
            <v xml:space="preserve">KC Kisaran                              </v>
          </cell>
          <cell r="N1579" t="str">
            <v xml:space="preserve">KC Kisaran                              </v>
          </cell>
          <cell r="O1579" t="str">
            <v xml:space="preserve">Medan                                   </v>
          </cell>
          <cell r="R1579" t="str">
            <v>Belum TL</v>
          </cell>
          <cell r="S1579" t="str">
            <v>Belum TL</v>
          </cell>
          <cell r="T1579" t="str">
            <v>90186796 - Devito Arya Wiradila</v>
          </cell>
          <cell r="U1579" t="str">
            <v>"-"</v>
          </cell>
        </row>
        <row r="1580">
          <cell r="A1580">
            <v>46265</v>
          </cell>
          <cell r="B1580" t="str">
            <v xml:space="preserve">PEBRI RAMADAN                           </v>
          </cell>
          <cell r="C1580" t="str">
            <v>POQ4128</v>
          </cell>
          <cell r="D1580">
            <v>43801073336502</v>
          </cell>
          <cell r="F1580" t="str">
            <v>Tidak</v>
          </cell>
          <cell r="G1580" t="str">
            <v>Tidak</v>
          </cell>
          <cell r="H1580" t="str">
            <v>Tidak</v>
          </cell>
          <cell r="I1580" t="str">
            <v>Bandar Judol Withdrawal</v>
          </cell>
          <cell r="J1580">
            <v>35</v>
          </cell>
          <cell r="K1580" t="str">
            <v>86,88,87</v>
          </cell>
          <cell r="L1580" t="str">
            <v>Judi Online</v>
          </cell>
          <cell r="M1580" t="str">
            <v xml:space="preserve">Kas Kanpus                              </v>
          </cell>
          <cell r="N1580" t="str">
            <v xml:space="preserve">Kas Kanpus                              </v>
          </cell>
          <cell r="O1580" t="str">
            <v xml:space="preserve">KAS KANPUS                              </v>
          </cell>
          <cell r="R1580" t="str">
            <v>Belum TL</v>
          </cell>
          <cell r="S1580" t="str">
            <v>Belum TL</v>
          </cell>
          <cell r="T1580" t="str">
            <v>90186796 - Devito Arya Wiradila</v>
          </cell>
          <cell r="U1580" t="str">
            <v>"-"</v>
          </cell>
        </row>
        <row r="1581">
          <cell r="A1581">
            <v>46265</v>
          </cell>
          <cell r="B1581" t="str">
            <v xml:space="preserve">PRIMA KARYA ASIH                        </v>
          </cell>
          <cell r="C1581" t="str">
            <v>PT62555</v>
          </cell>
          <cell r="D1581">
            <v>33501024798105</v>
          </cell>
          <cell r="E1581" t="str">
            <v>SEDANG</v>
          </cell>
          <cell r="F1581" t="str">
            <v>Tidak</v>
          </cell>
          <cell r="G1581" t="str">
            <v>Tidak</v>
          </cell>
          <cell r="H1581" t="str">
            <v>Tidak</v>
          </cell>
          <cell r="I1581" t="str">
            <v>Korupsi - Loan View</v>
          </cell>
          <cell r="J1581">
            <v>48</v>
          </cell>
          <cell r="K1581">
            <v>15</v>
          </cell>
          <cell r="L1581" t="str">
            <v>Korupsi</v>
          </cell>
          <cell r="M1581" t="str">
            <v>Kas Kanpus</v>
          </cell>
          <cell r="N1581" t="str">
            <v>Kas Kanpus</v>
          </cell>
          <cell r="O1581" t="str">
            <v>KAS KANPUS</v>
          </cell>
          <cell r="R1581" t="str">
            <v>Belum TL</v>
          </cell>
          <cell r="S1581" t="str">
            <v>Belum TL</v>
          </cell>
          <cell r="T1581" t="str">
            <v>00394521 - Muhammad Hibbanduta</v>
          </cell>
          <cell r="U1581" t="str">
            <v>"-"</v>
          </cell>
        </row>
        <row r="1582">
          <cell r="A1582">
            <v>46249</v>
          </cell>
          <cell r="B1582" t="str">
            <v xml:space="preserve">PUTRA KARYA WIBAWA                      </v>
          </cell>
          <cell r="C1582" t="str">
            <v>PU45503</v>
          </cell>
          <cell r="D1582">
            <v>634701022437536</v>
          </cell>
          <cell r="E1582" t="str">
            <v>SEDANG</v>
          </cell>
          <cell r="F1582" t="str">
            <v>Tidak</v>
          </cell>
          <cell r="G1582" t="str">
            <v>Tidak</v>
          </cell>
          <cell r="I1582" t="str">
            <v>Teroris - Remark</v>
          </cell>
          <cell r="J1582">
            <v>168</v>
          </cell>
          <cell r="K1582">
            <v>50</v>
          </cell>
          <cell r="L1582" t="str">
            <v>Terorisme</v>
          </cell>
          <cell r="M1582" t="str">
            <v xml:space="preserve">Kas Kanpus                              </v>
          </cell>
          <cell r="N1582" t="str">
            <v xml:space="preserve">Kas Kanpus                              </v>
          </cell>
          <cell r="O1582" t="str">
            <v xml:space="preserve">KAS KANPUS                              </v>
          </cell>
          <cell r="R1582" t="str">
            <v>Belum TL</v>
          </cell>
          <cell r="S1582" t="str">
            <v>Belum TL</v>
          </cell>
          <cell r="T1582" t="str">
            <v>90150130 - Intan Aida Pratiwi</v>
          </cell>
          <cell r="U1582" t="str">
            <v>"-"</v>
          </cell>
        </row>
        <row r="1583">
          <cell r="A1583">
            <v>46265</v>
          </cell>
          <cell r="B1583" t="str">
            <v xml:space="preserve">PT FAJAR UTAMA KARYA                    </v>
          </cell>
          <cell r="C1583" t="str">
            <v>PU67553</v>
          </cell>
          <cell r="D1583">
            <v>19001502527151</v>
          </cell>
          <cell r="E1583" t="str">
            <v>SEDANG</v>
          </cell>
          <cell r="F1583" t="str">
            <v>Tidak</v>
          </cell>
          <cell r="G1583" t="str">
            <v>Tidak</v>
          </cell>
          <cell r="H1583" t="str">
            <v>Tidak</v>
          </cell>
          <cell r="I1583" t="str">
            <v>Korupsi - Loan View</v>
          </cell>
          <cell r="J1583">
            <v>48</v>
          </cell>
          <cell r="K1583">
            <v>15</v>
          </cell>
          <cell r="L1583" t="str">
            <v>Korupsi</v>
          </cell>
          <cell r="M1583" t="str">
            <v>Kas Kanpus</v>
          </cell>
          <cell r="N1583" t="str">
            <v>Kas Kanpus</v>
          </cell>
          <cell r="O1583" t="str">
            <v>KAS KANPUS</v>
          </cell>
          <cell r="R1583" t="str">
            <v>Belum TL</v>
          </cell>
          <cell r="S1583" t="str">
            <v>Belum TL</v>
          </cell>
          <cell r="T1583" t="str">
            <v>90185537 - Moh.Khoerul Fajar Ar</v>
          </cell>
          <cell r="U1583" t="str">
            <v>"-"</v>
          </cell>
        </row>
        <row r="1584">
          <cell r="A1584">
            <v>46265</v>
          </cell>
          <cell r="B1584" t="str">
            <v xml:space="preserve">PURNAMA SARI MANDIRI                    </v>
          </cell>
          <cell r="C1584" t="str">
            <v>PU79827</v>
          </cell>
          <cell r="D1584">
            <v>5901501473151</v>
          </cell>
          <cell r="E1584" t="str">
            <v>TINGGI</v>
          </cell>
          <cell r="F1584" t="str">
            <v>Tidak</v>
          </cell>
          <cell r="G1584" t="str">
            <v>Tidak</v>
          </cell>
          <cell r="H1584" t="str">
            <v>Tidak</v>
          </cell>
          <cell r="I1584" t="str">
            <v>Korupsi - Loan View</v>
          </cell>
          <cell r="J1584">
            <v>63</v>
          </cell>
          <cell r="K1584">
            <v>15</v>
          </cell>
          <cell r="L1584" t="str">
            <v>Korupsi</v>
          </cell>
          <cell r="M1584" t="str">
            <v>Kas Kanpus</v>
          </cell>
          <cell r="N1584" t="str">
            <v>Kas Kanpus</v>
          </cell>
          <cell r="O1584" t="str">
            <v>KAS KANPUS</v>
          </cell>
          <cell r="R1584" t="str">
            <v>Belum TL</v>
          </cell>
          <cell r="S1584" t="str">
            <v>Belum TL</v>
          </cell>
          <cell r="T1584" t="str">
            <v>90171841 - Rifqi Aziz</v>
          </cell>
          <cell r="U1584" t="str">
            <v>"-"</v>
          </cell>
        </row>
        <row r="1585">
          <cell r="A1585">
            <v>46265</v>
          </cell>
          <cell r="B1585" t="str">
            <v xml:space="preserve">PT PROPERTY TWENTYONE INDEV             </v>
          </cell>
          <cell r="C1585" t="str">
            <v>PW34899</v>
          </cell>
          <cell r="D1585">
            <v>9601013301109</v>
          </cell>
          <cell r="E1585" t="str">
            <v>SEDANG</v>
          </cell>
          <cell r="F1585" t="str">
            <v>Tidak</v>
          </cell>
          <cell r="G1585" t="str">
            <v>Tidak</v>
          </cell>
          <cell r="H1585" t="str">
            <v>Tidak</v>
          </cell>
          <cell r="I1585" t="str">
            <v>Korupsi - Loan View</v>
          </cell>
          <cell r="J1585">
            <v>48</v>
          </cell>
          <cell r="K1585">
            <v>15</v>
          </cell>
          <cell r="L1585" t="str">
            <v>Korupsi</v>
          </cell>
          <cell r="M1585" t="str">
            <v>Kas Kanpus</v>
          </cell>
          <cell r="N1585" t="str">
            <v>Kas Kanpus</v>
          </cell>
          <cell r="O1585" t="str">
            <v>KAS KANPUS</v>
          </cell>
          <cell r="R1585" t="str">
            <v>Belum TL</v>
          </cell>
          <cell r="S1585" t="str">
            <v>Belum TL</v>
          </cell>
          <cell r="T1585" t="str">
            <v>00394521 - Muhammad Hibbanduta</v>
          </cell>
          <cell r="U1585" t="str">
            <v>"-"</v>
          </cell>
        </row>
        <row r="1586">
          <cell r="A1586">
            <v>46265</v>
          </cell>
          <cell r="B1586" t="str">
            <v xml:space="preserve">PT HURIP UTAMA                          </v>
          </cell>
          <cell r="C1586" t="str">
            <v>PW80927</v>
          </cell>
          <cell r="D1586">
            <v>30201503250152</v>
          </cell>
          <cell r="E1586" t="str">
            <v>SEDANG</v>
          </cell>
          <cell r="F1586" t="str">
            <v>Tidak</v>
          </cell>
          <cell r="G1586" t="str">
            <v>Tidak</v>
          </cell>
          <cell r="H1586" t="str">
            <v>Tidak</v>
          </cell>
          <cell r="I1586" t="str">
            <v>Korupsi - Loan View</v>
          </cell>
          <cell r="J1586">
            <v>48</v>
          </cell>
          <cell r="K1586">
            <v>15</v>
          </cell>
          <cell r="L1586" t="str">
            <v>Korupsi</v>
          </cell>
          <cell r="M1586" t="str">
            <v>Kas Kanpus</v>
          </cell>
          <cell r="N1586" t="str">
            <v>Kas Kanpus</v>
          </cell>
          <cell r="O1586" t="str">
            <v>KAS KANPUS</v>
          </cell>
          <cell r="R1586" t="str">
            <v>Belum TL</v>
          </cell>
          <cell r="S1586" t="str">
            <v>Belum TL</v>
          </cell>
          <cell r="T1586" t="str">
            <v>90150130 - Intan Aida Pratiwi</v>
          </cell>
          <cell r="U1586" t="str">
            <v>"-"</v>
          </cell>
        </row>
        <row r="1587">
          <cell r="A1587">
            <v>46265</v>
          </cell>
          <cell r="B1587" t="str">
            <v xml:space="preserve">PT KARUNIA ALAM SENTOSA ABADI           </v>
          </cell>
          <cell r="C1587" t="str">
            <v>PX17914</v>
          </cell>
          <cell r="D1587">
            <v>35701501702158</v>
          </cell>
          <cell r="E1587" t="str">
            <v>SEDANG</v>
          </cell>
          <cell r="F1587" t="str">
            <v>Tidak</v>
          </cell>
          <cell r="G1587" t="str">
            <v>Tidak</v>
          </cell>
          <cell r="H1587" t="str">
            <v>Tidak</v>
          </cell>
          <cell r="I1587" t="str">
            <v>Korupsi - Loan View</v>
          </cell>
          <cell r="J1587">
            <v>48</v>
          </cell>
          <cell r="K1587">
            <v>15</v>
          </cell>
          <cell r="L1587" t="str">
            <v>Korupsi</v>
          </cell>
          <cell r="M1587" t="str">
            <v>Kas Kanpus</v>
          </cell>
          <cell r="N1587" t="str">
            <v>Kas Kanpus</v>
          </cell>
          <cell r="O1587" t="str">
            <v>KAS KANPUS</v>
          </cell>
          <cell r="R1587" t="str">
            <v>Belum TL</v>
          </cell>
          <cell r="S1587" t="str">
            <v>Belum TL</v>
          </cell>
          <cell r="T1587" t="str">
            <v>90185537 - Moh.Khoerul Fajar Ar</v>
          </cell>
          <cell r="U1587" t="str">
            <v>"-"</v>
          </cell>
        </row>
        <row r="1588">
          <cell r="A1588">
            <v>46265</v>
          </cell>
          <cell r="B1588" t="str">
            <v xml:space="preserve">PT DJINEM NAMBALANCAR                   </v>
          </cell>
          <cell r="C1588" t="str">
            <v>PY34276</v>
          </cell>
          <cell r="D1588">
            <v>5101502460159</v>
          </cell>
          <cell r="E1588" t="str">
            <v>SEDANG</v>
          </cell>
          <cell r="F1588" t="str">
            <v>Tidak</v>
          </cell>
          <cell r="G1588" t="str">
            <v>Tidak</v>
          </cell>
          <cell r="H1588" t="str">
            <v>Tidak</v>
          </cell>
          <cell r="I1588" t="str">
            <v>Korupsi - Loan View</v>
          </cell>
          <cell r="J1588">
            <v>48</v>
          </cell>
          <cell r="K1588">
            <v>15</v>
          </cell>
          <cell r="L1588" t="str">
            <v>Korupsi</v>
          </cell>
          <cell r="M1588" t="str">
            <v>Kas Kanpus</v>
          </cell>
          <cell r="N1588" t="str">
            <v>Kas Kanpus</v>
          </cell>
          <cell r="O1588" t="str">
            <v>KAS KANPUS</v>
          </cell>
          <cell r="R1588" t="str">
            <v>Belum TL</v>
          </cell>
          <cell r="S1588" t="str">
            <v>Belum TL</v>
          </cell>
          <cell r="T1588" t="str">
            <v>00394520 - Frida Akbar Rani</v>
          </cell>
          <cell r="U1588" t="str">
            <v>"-"</v>
          </cell>
        </row>
        <row r="1589">
          <cell r="A1589">
            <v>46265</v>
          </cell>
          <cell r="B1589" t="str">
            <v xml:space="preserve">RIVAN MAKALALAG                         </v>
          </cell>
          <cell r="C1589" t="str">
            <v>RAC9942</v>
          </cell>
          <cell r="D1589">
            <v>513001016760109</v>
          </cell>
          <cell r="E1589" t="str">
            <v>TINGGI</v>
          </cell>
          <cell r="F1589" t="str">
            <v>Tidak</v>
          </cell>
          <cell r="G1589" t="str">
            <v>Tidak</v>
          </cell>
          <cell r="H1589" t="str">
            <v>Tidak</v>
          </cell>
          <cell r="I1589" t="str">
            <v>Korupsi - Loan View</v>
          </cell>
          <cell r="J1589">
            <v>73</v>
          </cell>
          <cell r="K1589">
            <v>15</v>
          </cell>
          <cell r="L1589" t="str">
            <v>Korupsi</v>
          </cell>
          <cell r="M1589" t="str">
            <v>Kas Kanpus</v>
          </cell>
          <cell r="N1589" t="str">
            <v>Kas Kanpus</v>
          </cell>
          <cell r="O1589" t="str">
            <v>KAS KANPUS</v>
          </cell>
          <cell r="R1589" t="str">
            <v>Belum TL</v>
          </cell>
          <cell r="S1589" t="str">
            <v>Belum TL</v>
          </cell>
          <cell r="T1589" t="str">
            <v>90185537 - Moh.Khoerul Fajar Ar</v>
          </cell>
          <cell r="U1589" t="str">
            <v>"-"</v>
          </cell>
        </row>
        <row r="1590">
          <cell r="A1590">
            <v>46265</v>
          </cell>
          <cell r="B1590" t="str">
            <v xml:space="preserve">RAMUDA ERAGRAHA                         </v>
          </cell>
          <cell r="C1590" t="str">
            <v>RANU526</v>
          </cell>
          <cell r="D1590">
            <v>69601000810159</v>
          </cell>
          <cell r="E1590" t="str">
            <v>SEDANG</v>
          </cell>
          <cell r="F1590" t="str">
            <v>Tidak</v>
          </cell>
          <cell r="G1590" t="str">
            <v>Tidak</v>
          </cell>
          <cell r="H1590" t="str">
            <v>Tidak</v>
          </cell>
          <cell r="I1590" t="str">
            <v>Korupsi - Loan View</v>
          </cell>
          <cell r="J1590">
            <v>48</v>
          </cell>
          <cell r="K1590">
            <v>15</v>
          </cell>
          <cell r="L1590" t="str">
            <v>Korupsi</v>
          </cell>
          <cell r="M1590" t="str">
            <v>Kas Kanpus</v>
          </cell>
          <cell r="N1590" t="str">
            <v>Kas Kanpus</v>
          </cell>
          <cell r="O1590" t="str">
            <v>KAS KANPUS</v>
          </cell>
          <cell r="R1590" t="str">
            <v>Belum TL</v>
          </cell>
          <cell r="S1590" t="str">
            <v>Belum TL</v>
          </cell>
          <cell r="T1590" t="str">
            <v>90186796 - Devito Arya Wiradila</v>
          </cell>
          <cell r="U1590" t="str">
            <v>"-"</v>
          </cell>
        </row>
        <row r="1591">
          <cell r="A1591">
            <v>46265</v>
          </cell>
          <cell r="B1591" t="str">
            <v xml:space="preserve">RIZKY LANGIT RAMADHAN                   </v>
          </cell>
          <cell r="C1591" t="str">
            <v>RAXH818</v>
          </cell>
          <cell r="D1591">
            <v>4801112544500</v>
          </cell>
          <cell r="F1591" t="str">
            <v>Tidak</v>
          </cell>
          <cell r="G1591" t="str">
            <v>Tidak</v>
          </cell>
          <cell r="I1591" t="str">
            <v>Jual Beli Rekening - E channel Trx</v>
          </cell>
          <cell r="J1591">
            <v>33</v>
          </cell>
          <cell r="K1591">
            <v>113</v>
          </cell>
          <cell r="L1591" t="str">
            <v>Narkotika/Judi Online/Penipuan</v>
          </cell>
          <cell r="M1591" t="str">
            <v xml:space="preserve">KC Magelang                             </v>
          </cell>
          <cell r="N1591" t="str">
            <v xml:space="preserve">KC Magelang                             </v>
          </cell>
          <cell r="O1591" t="str">
            <v xml:space="preserve">Yogyakarta                              </v>
          </cell>
          <cell r="R1591" t="str">
            <v>Belum TL</v>
          </cell>
          <cell r="S1591" t="str">
            <v>Belum TL</v>
          </cell>
          <cell r="U1591" t="str">
            <v>"-"</v>
          </cell>
        </row>
        <row r="1592">
          <cell r="A1592">
            <v>46265</v>
          </cell>
          <cell r="B1592" t="str">
            <v xml:space="preserve">RUSMAN FAHRI                            </v>
          </cell>
          <cell r="C1592" t="str">
            <v>RAXP953</v>
          </cell>
          <cell r="D1592">
            <v>4359720224218200</v>
          </cell>
          <cell r="E1592" t="str">
            <v>RENDAH</v>
          </cell>
          <cell r="F1592" t="str">
            <v>Tidak</v>
          </cell>
          <cell r="G1592" t="str">
            <v>Tidak</v>
          </cell>
          <cell r="H1592" t="str">
            <v>Tidak</v>
          </cell>
          <cell r="I1592" t="str">
            <v>Penghindaran Pajak (Transaksi Fiktif)/Penyuapan CC</v>
          </cell>
          <cell r="J1592">
            <v>30</v>
          </cell>
          <cell r="K1592">
            <v>118</v>
          </cell>
          <cell r="L1592" t="str">
            <v>Penyuapan / Penghindaran Pajak CC View</v>
          </cell>
          <cell r="M1592" t="str">
            <v xml:space="preserve">Kas Kanpus                              </v>
          </cell>
          <cell r="N1592" t="str">
            <v xml:space="preserve">Kas Kanpus                              </v>
          </cell>
          <cell r="O1592" t="str">
            <v xml:space="preserve">KAS KANPUS                              </v>
          </cell>
          <cell r="R1592" t="str">
            <v>Belum TL</v>
          </cell>
          <cell r="S1592" t="str">
            <v>Belum TL</v>
          </cell>
          <cell r="T1592" t="str">
            <v>00394520 - Frida Akbar Rani</v>
          </cell>
          <cell r="U1592" t="str">
            <v>"-"</v>
          </cell>
        </row>
        <row r="1593">
          <cell r="A1593">
            <v>46265</v>
          </cell>
          <cell r="B1593" t="str">
            <v xml:space="preserve">RIFKI FADILLAH                          </v>
          </cell>
          <cell r="C1593" t="str">
            <v>RAYE826</v>
          </cell>
          <cell r="D1593">
            <v>11301161368502</v>
          </cell>
          <cell r="E1593" t="str">
            <v>SEDANG</v>
          </cell>
          <cell r="F1593" t="str">
            <v>Tidak</v>
          </cell>
          <cell r="G1593" t="str">
            <v>Tidak</v>
          </cell>
          <cell r="H1593" t="str">
            <v>Tidak</v>
          </cell>
          <cell r="I1593" t="str">
            <v>Bandar Judol Withdrawal</v>
          </cell>
          <cell r="J1593">
            <v>50</v>
          </cell>
          <cell r="K1593" t="str">
            <v>86,88,87</v>
          </cell>
          <cell r="L1593" t="str">
            <v>Judi Online</v>
          </cell>
          <cell r="M1593" t="str">
            <v xml:space="preserve">Kas Kanpus                              </v>
          </cell>
          <cell r="N1593" t="str">
            <v xml:space="preserve">Kas Kanpus                              </v>
          </cell>
          <cell r="O1593" t="str">
            <v xml:space="preserve">KAS KANPUS                              </v>
          </cell>
          <cell r="R1593" t="str">
            <v>Belum TL</v>
          </cell>
          <cell r="S1593" t="str">
            <v>Belum TL</v>
          </cell>
          <cell r="T1593" t="str">
            <v>00394520 - Frida Akbar Rani</v>
          </cell>
          <cell r="U1593" t="str">
            <v>"-"</v>
          </cell>
        </row>
        <row r="1594">
          <cell r="A1594">
            <v>46265</v>
          </cell>
          <cell r="B1594" t="str">
            <v xml:space="preserve">RACHMAT                                 </v>
          </cell>
          <cell r="C1594" t="str">
            <v>RBA9082</v>
          </cell>
          <cell r="D1594">
            <v>362401035355100</v>
          </cell>
          <cell r="E1594" t="str">
            <v>SEDANG</v>
          </cell>
          <cell r="F1594" t="str">
            <v>Tidak</v>
          </cell>
          <cell r="G1594" t="str">
            <v>Tidak</v>
          </cell>
          <cell r="H1594" t="str">
            <v>Tidak</v>
          </cell>
          <cell r="I1594" t="str">
            <v>Korupsi - Loan View</v>
          </cell>
          <cell r="J1594">
            <v>48</v>
          </cell>
          <cell r="K1594">
            <v>15</v>
          </cell>
          <cell r="L1594" t="str">
            <v>Korupsi</v>
          </cell>
          <cell r="M1594" t="str">
            <v>Kas Kanpus</v>
          </cell>
          <cell r="N1594" t="str">
            <v>Kas Kanpus</v>
          </cell>
          <cell r="O1594" t="str">
            <v>KAS KANPUS</v>
          </cell>
          <cell r="R1594" t="str">
            <v>Belum TL</v>
          </cell>
          <cell r="S1594" t="str">
            <v>Belum TL</v>
          </cell>
          <cell r="T1594" t="str">
            <v>90185538 - Muhammad Fahikal Auz</v>
          </cell>
          <cell r="U1594" t="str">
            <v>"-"</v>
          </cell>
        </row>
        <row r="1595">
          <cell r="A1595">
            <v>46265</v>
          </cell>
          <cell r="B1595" t="str">
            <v xml:space="preserve">RUSMIATI.R                              </v>
          </cell>
          <cell r="C1595" t="str">
            <v>RBDS026</v>
          </cell>
          <cell r="D1595">
            <v>15901011219100</v>
          </cell>
          <cell r="E1595" t="str">
            <v>TINGGI</v>
          </cell>
          <cell r="F1595" t="str">
            <v>Tidak</v>
          </cell>
          <cell r="G1595" t="str">
            <v>Tidak</v>
          </cell>
          <cell r="H1595" t="str">
            <v>Tidak</v>
          </cell>
          <cell r="I1595" t="str">
            <v>Korupsi - Loan View</v>
          </cell>
          <cell r="J1595">
            <v>68</v>
          </cell>
          <cell r="K1595">
            <v>15</v>
          </cell>
          <cell r="L1595" t="str">
            <v>Korupsi</v>
          </cell>
          <cell r="M1595" t="str">
            <v>Kas Kanpus</v>
          </cell>
          <cell r="N1595" t="str">
            <v>Kas Kanpus</v>
          </cell>
          <cell r="O1595" t="str">
            <v>KAS KANPUS</v>
          </cell>
          <cell r="R1595" t="str">
            <v>Belum TL</v>
          </cell>
          <cell r="S1595" t="str">
            <v>Belum TL</v>
          </cell>
          <cell r="T1595" t="str">
            <v>00394520 - Frida Akbar Rani</v>
          </cell>
          <cell r="U1595" t="str">
            <v>"-"</v>
          </cell>
        </row>
        <row r="1596">
          <cell r="A1596">
            <v>46265</v>
          </cell>
          <cell r="B1596" t="str">
            <v xml:space="preserve">RINALDI                                 </v>
          </cell>
          <cell r="C1596" t="str">
            <v>RBE4059</v>
          </cell>
          <cell r="D1596">
            <v>565701024021103</v>
          </cell>
          <cell r="E1596" t="str">
            <v>SEDANG</v>
          </cell>
          <cell r="F1596" t="str">
            <v>Tidak</v>
          </cell>
          <cell r="G1596" t="str">
            <v>Tidak</v>
          </cell>
          <cell r="H1596" t="str">
            <v>Tidak</v>
          </cell>
          <cell r="I1596" t="str">
            <v>Korupsi - Loan View</v>
          </cell>
          <cell r="J1596">
            <v>48</v>
          </cell>
          <cell r="K1596">
            <v>15</v>
          </cell>
          <cell r="L1596" t="str">
            <v>Korupsi</v>
          </cell>
          <cell r="M1596" t="str">
            <v>Kas Kanpus</v>
          </cell>
          <cell r="N1596" t="str">
            <v>Kas Kanpus</v>
          </cell>
          <cell r="O1596" t="str">
            <v>KAS KANPUS</v>
          </cell>
          <cell r="R1596" t="str">
            <v>Belum TL</v>
          </cell>
          <cell r="S1596" t="str">
            <v>Belum TL</v>
          </cell>
          <cell r="T1596" t="str">
            <v>00336949 - Mochammad Al Farabi</v>
          </cell>
          <cell r="U1596" t="str">
            <v>"-"</v>
          </cell>
        </row>
        <row r="1597">
          <cell r="A1597">
            <v>46265</v>
          </cell>
          <cell r="B1597" t="str">
            <v xml:space="preserve">RUDI SURIANSYAH                         </v>
          </cell>
          <cell r="C1597" t="str">
            <v>RBEL475</v>
          </cell>
          <cell r="D1597">
            <v>451001015582109</v>
          </cell>
          <cell r="E1597" t="str">
            <v>TINGGI</v>
          </cell>
          <cell r="F1597" t="str">
            <v>Tidak</v>
          </cell>
          <cell r="G1597" t="str">
            <v>Tidak</v>
          </cell>
          <cell r="H1597" t="str">
            <v>Tidak</v>
          </cell>
          <cell r="I1597" t="str">
            <v>Korupsi - Loan View</v>
          </cell>
          <cell r="J1597">
            <v>68</v>
          </cell>
          <cell r="K1597">
            <v>15</v>
          </cell>
          <cell r="L1597" t="str">
            <v>Korupsi</v>
          </cell>
          <cell r="M1597" t="str">
            <v>Kas Kanpus</v>
          </cell>
          <cell r="N1597" t="str">
            <v>Kas Kanpus</v>
          </cell>
          <cell r="O1597" t="str">
            <v>KAS KANPUS</v>
          </cell>
          <cell r="R1597" t="str">
            <v>Belum TL</v>
          </cell>
          <cell r="S1597" t="str">
            <v>Belum TL</v>
          </cell>
          <cell r="T1597" t="str">
            <v>00394520 - Frida Akbar Rani</v>
          </cell>
          <cell r="U1597" t="str">
            <v>"-"</v>
          </cell>
        </row>
        <row r="1598">
          <cell r="A1598">
            <v>46265</v>
          </cell>
          <cell r="B1598" t="str">
            <v xml:space="preserve">RAJAWALI PUTRAMAS MANDIRI               </v>
          </cell>
          <cell r="C1598" t="str">
            <v>RAUP534</v>
          </cell>
          <cell r="D1598">
            <v>13101001349307</v>
          </cell>
          <cell r="E1598" t="str">
            <v>SEDANG</v>
          </cell>
          <cell r="F1598" t="str">
            <v>Tidak</v>
          </cell>
          <cell r="G1598" t="str">
            <v>Tidak</v>
          </cell>
          <cell r="H1598" t="str">
            <v>Tidak</v>
          </cell>
          <cell r="I1598" t="str">
            <v>Perpajakan</v>
          </cell>
          <cell r="J1598">
            <v>48</v>
          </cell>
          <cell r="K1598">
            <v>41</v>
          </cell>
          <cell r="L1598" t="str">
            <v>Perpajakan</v>
          </cell>
          <cell r="M1598" t="str">
            <v xml:space="preserve">KC Tanjung Pandan                       </v>
          </cell>
          <cell r="N1598" t="str">
            <v xml:space="preserve">KC Tanjung Pandan                       </v>
          </cell>
          <cell r="O1598" t="str">
            <v xml:space="preserve">Palembang                               </v>
          </cell>
          <cell r="R1598" t="str">
            <v>Belum TL</v>
          </cell>
          <cell r="S1598" t="str">
            <v>Belum TL</v>
          </cell>
          <cell r="T1598" t="str">
            <v>90186790 - Muhammad Alfin Farha</v>
          </cell>
          <cell r="U1598" t="str">
            <v>"-"</v>
          </cell>
        </row>
        <row r="1599">
          <cell r="A1599">
            <v>46265</v>
          </cell>
          <cell r="B1599" t="str">
            <v xml:space="preserve">RINTO SITORUS                           </v>
          </cell>
          <cell r="C1599" t="str">
            <v>RAW4420</v>
          </cell>
          <cell r="D1599">
            <v>206301000679566</v>
          </cell>
          <cell r="E1599" t="str">
            <v>SEDANG</v>
          </cell>
          <cell r="F1599" t="str">
            <v>Ya</v>
          </cell>
          <cell r="G1599" t="str">
            <v>Tidak</v>
          </cell>
          <cell r="H1599" t="str">
            <v>Tidak</v>
          </cell>
          <cell r="I1599" t="str">
            <v>Korupsi - Significant Trx View</v>
          </cell>
          <cell r="J1599">
            <v>60</v>
          </cell>
          <cell r="K1599">
            <v>1.19</v>
          </cell>
          <cell r="L1599" t="str">
            <v>Korupsi</v>
          </cell>
          <cell r="M1599" t="str">
            <v>Kas Kanpus</v>
          </cell>
          <cell r="N1599" t="str">
            <v>Kas Kanpus</v>
          </cell>
          <cell r="O1599" t="str">
            <v>KAS KANPUS</v>
          </cell>
          <cell r="R1599" t="str">
            <v>Belum TL</v>
          </cell>
          <cell r="S1599" t="str">
            <v>Belum TL</v>
          </cell>
          <cell r="T1599" t="str">
            <v>90185537 - Moh.Khoerul Fajar Ar</v>
          </cell>
          <cell r="U1599" t="str">
            <v>"-"</v>
          </cell>
        </row>
        <row r="1600">
          <cell r="A1600">
            <v>46265</v>
          </cell>
          <cell r="B1600" t="str">
            <v xml:space="preserve">RUDIANTO                                </v>
          </cell>
          <cell r="C1600" t="str">
            <v>RBR5935</v>
          </cell>
          <cell r="D1600">
            <v>4359720200099400</v>
          </cell>
          <cell r="E1600" t="str">
            <v>SEDANG</v>
          </cell>
          <cell r="F1600" t="str">
            <v>Tidak</v>
          </cell>
          <cell r="G1600" t="str">
            <v>Tidak</v>
          </cell>
          <cell r="H1600" t="str">
            <v>Tidak</v>
          </cell>
          <cell r="I1600" t="str">
            <v>Penghindaran Pajak (Transaksi Fiktif)/Penyuapan CC</v>
          </cell>
          <cell r="J1600">
            <v>45</v>
          </cell>
          <cell r="K1600">
            <v>118</v>
          </cell>
          <cell r="L1600" t="str">
            <v>Penyuapan / Penghindaran Pajak CC View</v>
          </cell>
          <cell r="M1600" t="str">
            <v xml:space="preserve">Kas Kanpus                              </v>
          </cell>
          <cell r="N1600" t="str">
            <v xml:space="preserve">Kas Kanpus                              </v>
          </cell>
          <cell r="O1600" t="str">
            <v xml:space="preserve">KAS KANPUS                              </v>
          </cell>
          <cell r="R1600" t="str">
            <v>Belum TL</v>
          </cell>
          <cell r="S1600" t="str">
            <v>Belum TL</v>
          </cell>
          <cell r="T1600" t="str">
            <v>90150130 - Intan Aida Pratiwi</v>
          </cell>
          <cell r="U1600" t="str">
            <v>"-"</v>
          </cell>
        </row>
        <row r="1601">
          <cell r="A1601">
            <v>46265</v>
          </cell>
          <cell r="B1601" t="str">
            <v xml:space="preserve">RUDI                                    </v>
          </cell>
          <cell r="C1601" t="str">
            <v>RBXU027</v>
          </cell>
          <cell r="D1601">
            <v>492801024136104</v>
          </cell>
          <cell r="E1601" t="str">
            <v>RENDAH</v>
          </cell>
          <cell r="F1601" t="str">
            <v>Tidak</v>
          </cell>
          <cell r="G1601" t="str">
            <v>Tidak</v>
          </cell>
          <cell r="H1601" t="str">
            <v>Tidak</v>
          </cell>
          <cell r="I1601" t="str">
            <v>Korupsi - Loan View</v>
          </cell>
          <cell r="J1601">
            <v>33</v>
          </cell>
          <cell r="K1601">
            <v>15</v>
          </cell>
          <cell r="L1601" t="str">
            <v>Korupsi</v>
          </cell>
          <cell r="M1601" t="str">
            <v>Kas Kanpus</v>
          </cell>
          <cell r="N1601" t="str">
            <v>Kas Kanpus</v>
          </cell>
          <cell r="O1601" t="str">
            <v>KAS KANPUS</v>
          </cell>
          <cell r="R1601" t="str">
            <v>Belum TL</v>
          </cell>
          <cell r="S1601" t="str">
            <v>Belum TL</v>
          </cell>
          <cell r="T1601" t="str">
            <v>90185537 - Moh.Khoerul Fajar Ar</v>
          </cell>
          <cell r="U1601" t="str">
            <v>"-"</v>
          </cell>
        </row>
        <row r="1602">
          <cell r="A1602">
            <v>46265</v>
          </cell>
          <cell r="B1602" t="str">
            <v xml:space="preserve">RUDI ARDYANSYAH                         </v>
          </cell>
          <cell r="C1602" t="str">
            <v>RBZR879</v>
          </cell>
          <cell r="D1602">
            <v>731101002561503</v>
          </cell>
          <cell r="E1602" t="str">
            <v>SEDANG</v>
          </cell>
          <cell r="F1602" t="str">
            <v>Tidak</v>
          </cell>
          <cell r="G1602" t="str">
            <v>Tidak</v>
          </cell>
          <cell r="H1602" t="str">
            <v>Ya</v>
          </cell>
          <cell r="I1602" t="str">
            <v>Bandar Judol Withdrawal</v>
          </cell>
          <cell r="J1602">
            <v>50</v>
          </cell>
          <cell r="K1602" t="str">
            <v>86,88,87</v>
          </cell>
          <cell r="L1602" t="str">
            <v>Judi Online</v>
          </cell>
          <cell r="M1602" t="str">
            <v xml:space="preserve">Kas Kanpus                              </v>
          </cell>
          <cell r="N1602" t="str">
            <v xml:space="preserve">Kas Kanpus                              </v>
          </cell>
          <cell r="O1602" t="str">
            <v xml:space="preserve">KAS KANPUS                              </v>
          </cell>
          <cell r="R1602" t="str">
            <v>Belum TL</v>
          </cell>
          <cell r="S1602" t="str">
            <v>Belum TL</v>
          </cell>
          <cell r="T1602" t="str">
            <v>90186790 - Muhammad Alfin Farha</v>
          </cell>
          <cell r="U1602" t="str">
            <v>"-"</v>
          </cell>
        </row>
        <row r="1603">
          <cell r="A1603">
            <v>46265</v>
          </cell>
          <cell r="B1603" t="str">
            <v xml:space="preserve">RONALD CHRISTIONO                       </v>
          </cell>
          <cell r="C1603" t="str">
            <v>RBZS871</v>
          </cell>
          <cell r="D1603">
            <v>364601018385102</v>
          </cell>
          <cell r="E1603" t="str">
            <v>SEDANG</v>
          </cell>
          <cell r="F1603" t="str">
            <v>Tidak</v>
          </cell>
          <cell r="G1603" t="str">
            <v>Tidak</v>
          </cell>
          <cell r="H1603" t="str">
            <v>Tidak</v>
          </cell>
          <cell r="I1603" t="str">
            <v>Korupsi - Loan View</v>
          </cell>
          <cell r="J1603">
            <v>48</v>
          </cell>
          <cell r="K1603">
            <v>15</v>
          </cell>
          <cell r="L1603" t="str">
            <v>Korupsi</v>
          </cell>
          <cell r="M1603" t="str">
            <v>Kas Kanpus</v>
          </cell>
          <cell r="N1603" t="str">
            <v>Kas Kanpus</v>
          </cell>
          <cell r="O1603" t="str">
            <v>KAS KANPUS</v>
          </cell>
          <cell r="R1603" t="str">
            <v>Belum TL</v>
          </cell>
          <cell r="S1603" t="str">
            <v>Belum TL</v>
          </cell>
          <cell r="T1603" t="str">
            <v>00336949 - Mochammad Al Farabi</v>
          </cell>
          <cell r="U1603" t="str">
            <v>"-"</v>
          </cell>
        </row>
        <row r="1604">
          <cell r="A1604">
            <v>46265</v>
          </cell>
          <cell r="B1604" t="str">
            <v xml:space="preserve">RIADI                                   </v>
          </cell>
          <cell r="C1604" t="str">
            <v>RC01499</v>
          </cell>
          <cell r="D1604">
            <v>337901094765539</v>
          </cell>
          <cell r="E1604" t="str">
            <v>SEDANG</v>
          </cell>
          <cell r="F1604" t="str">
            <v>Tidak</v>
          </cell>
          <cell r="G1604" t="str">
            <v>Tidak</v>
          </cell>
          <cell r="H1604" t="str">
            <v>Tidak</v>
          </cell>
          <cell r="I1604" t="str">
            <v>Bandar Judol Withdrawal</v>
          </cell>
          <cell r="J1604">
            <v>50</v>
          </cell>
          <cell r="K1604" t="str">
            <v>86,88,87</v>
          </cell>
          <cell r="L1604" t="str">
            <v>Judi Online</v>
          </cell>
          <cell r="M1604" t="str">
            <v xml:space="preserve">Kas Kanpus                              </v>
          </cell>
          <cell r="N1604" t="str">
            <v xml:space="preserve">Kas Kanpus                              </v>
          </cell>
          <cell r="O1604" t="str">
            <v xml:space="preserve">KAS KANPUS                              </v>
          </cell>
          <cell r="R1604" t="str">
            <v>Belum TL</v>
          </cell>
          <cell r="S1604" t="str">
            <v>Belum TL</v>
          </cell>
          <cell r="T1604" t="str">
            <v>00336949 - Mochammad Al Farabi</v>
          </cell>
          <cell r="U1604" t="str">
            <v>"-"</v>
          </cell>
        </row>
        <row r="1605">
          <cell r="A1605">
            <v>46265</v>
          </cell>
          <cell r="B1605" t="str">
            <v xml:space="preserve">REIN ESTEFANUS SENEWE                   </v>
          </cell>
          <cell r="C1605" t="str">
            <v>RCA1921</v>
          </cell>
          <cell r="D1605">
            <v>486501017278103</v>
          </cell>
          <cell r="E1605" t="str">
            <v>SEDANG</v>
          </cell>
          <cell r="F1605" t="str">
            <v>Tidak</v>
          </cell>
          <cell r="G1605" t="str">
            <v>Tidak</v>
          </cell>
          <cell r="H1605" t="str">
            <v>Tidak</v>
          </cell>
          <cell r="I1605" t="str">
            <v>Korupsi - Loan View</v>
          </cell>
          <cell r="J1605">
            <v>48</v>
          </cell>
          <cell r="K1605">
            <v>15</v>
          </cell>
          <cell r="L1605" t="str">
            <v>Korupsi</v>
          </cell>
          <cell r="M1605" t="str">
            <v>Kas Kanpus</v>
          </cell>
          <cell r="N1605" t="str">
            <v>Kas Kanpus</v>
          </cell>
          <cell r="O1605" t="str">
            <v>KAS KANPUS</v>
          </cell>
          <cell r="R1605" t="str">
            <v>Belum TL</v>
          </cell>
          <cell r="S1605" t="str">
            <v>Belum TL</v>
          </cell>
          <cell r="T1605" t="str">
            <v>90186796 - Devito Arya Wiradila</v>
          </cell>
          <cell r="U1605" t="str">
            <v>"-"</v>
          </cell>
        </row>
        <row r="1606">
          <cell r="A1606">
            <v>46265</v>
          </cell>
          <cell r="B1606" t="str">
            <v xml:space="preserve">RHYAD HARYA SUGANDI                     </v>
          </cell>
          <cell r="C1606" t="str">
            <v>RCAT291</v>
          </cell>
          <cell r="D1606">
            <v>210101012921105</v>
          </cell>
          <cell r="E1606" t="str">
            <v>SEDANG</v>
          </cell>
          <cell r="F1606" t="str">
            <v>Tidak</v>
          </cell>
          <cell r="G1606" t="str">
            <v>Tidak</v>
          </cell>
          <cell r="H1606" t="str">
            <v>Tidak</v>
          </cell>
          <cell r="I1606" t="str">
            <v>Korupsi - Loan View</v>
          </cell>
          <cell r="J1606">
            <v>48</v>
          </cell>
          <cell r="K1606">
            <v>15</v>
          </cell>
          <cell r="L1606" t="str">
            <v>Korupsi</v>
          </cell>
          <cell r="M1606" t="str">
            <v>Kas Kanpus</v>
          </cell>
          <cell r="N1606" t="str">
            <v>Kas Kanpus</v>
          </cell>
          <cell r="O1606" t="str">
            <v>KAS KANPUS</v>
          </cell>
          <cell r="R1606" t="str">
            <v>Belum TL</v>
          </cell>
          <cell r="S1606" t="str">
            <v>Belum TL</v>
          </cell>
          <cell r="T1606" t="str">
            <v>90170665 - Mutiara Ayuningtyas</v>
          </cell>
          <cell r="U1606" t="str">
            <v>"-"</v>
          </cell>
        </row>
        <row r="1607">
          <cell r="A1607">
            <v>46265</v>
          </cell>
          <cell r="B1607" t="str">
            <v xml:space="preserve">RESTU RAHMA AULIA                       </v>
          </cell>
          <cell r="C1607" t="str">
            <v>RBPL029</v>
          </cell>
          <cell r="D1607">
            <v>592701011976500</v>
          </cell>
          <cell r="F1607" t="str">
            <v>Tidak</v>
          </cell>
          <cell r="G1607" t="str">
            <v>Tidak</v>
          </cell>
          <cell r="I1607" t="str">
            <v>Jual Beli Rekening - E channel Trx</v>
          </cell>
          <cell r="J1607">
            <v>33</v>
          </cell>
          <cell r="K1607">
            <v>113</v>
          </cell>
          <cell r="L1607" t="str">
            <v>Narkotika/Judi Online/Penipuan</v>
          </cell>
          <cell r="M1607" t="str">
            <v xml:space="preserve">UNIT NGETUK KUDUS                       </v>
          </cell>
          <cell r="N1607" t="str">
            <v xml:space="preserve">KC Kudus                                </v>
          </cell>
          <cell r="O1607" t="str">
            <v xml:space="preserve">Semarang                                </v>
          </cell>
          <cell r="R1607" t="str">
            <v>Belum TL</v>
          </cell>
          <cell r="S1607" t="str">
            <v>Belum TL</v>
          </cell>
          <cell r="U1607" t="str">
            <v>"-"</v>
          </cell>
        </row>
        <row r="1608">
          <cell r="A1608">
            <v>46265</v>
          </cell>
          <cell r="B1608" t="str">
            <v xml:space="preserve">REINHARD PIETER NATALIUS KELANIT        </v>
          </cell>
          <cell r="C1608" t="str">
            <v>RCJN177</v>
          </cell>
          <cell r="D1608">
            <v>489701014780108</v>
          </cell>
          <cell r="E1608" t="str">
            <v>SEDANG</v>
          </cell>
          <cell r="F1608" t="str">
            <v>Tidak</v>
          </cell>
          <cell r="G1608" t="str">
            <v>Tidak</v>
          </cell>
          <cell r="H1608" t="str">
            <v>Tidak</v>
          </cell>
          <cell r="I1608" t="str">
            <v>Korupsi - Loan View</v>
          </cell>
          <cell r="J1608">
            <v>48</v>
          </cell>
          <cell r="K1608">
            <v>15</v>
          </cell>
          <cell r="L1608" t="str">
            <v>Korupsi</v>
          </cell>
          <cell r="M1608" t="str">
            <v>Kas Kanpus</v>
          </cell>
          <cell r="N1608" t="str">
            <v>Kas Kanpus</v>
          </cell>
          <cell r="O1608" t="str">
            <v>KAS KANPUS</v>
          </cell>
          <cell r="R1608" t="str">
            <v>Belum TL</v>
          </cell>
          <cell r="S1608" t="str">
            <v>Belum TL</v>
          </cell>
          <cell r="T1608" t="str">
            <v>00394521 - Muhammad Hibbanduta</v>
          </cell>
          <cell r="U1608" t="str">
            <v>"-"</v>
          </cell>
        </row>
        <row r="1609">
          <cell r="A1609">
            <v>46265</v>
          </cell>
          <cell r="B1609" t="str">
            <v xml:space="preserve">RION RIANTO SCHULTZ                     </v>
          </cell>
          <cell r="C1609" t="str">
            <v>RCR8722</v>
          </cell>
          <cell r="D1609">
            <v>489701020427104</v>
          </cell>
          <cell r="E1609" t="str">
            <v>SEDANG</v>
          </cell>
          <cell r="F1609" t="str">
            <v>Tidak</v>
          </cell>
          <cell r="G1609" t="str">
            <v>Tidak</v>
          </cell>
          <cell r="H1609" t="str">
            <v>Tidak</v>
          </cell>
          <cell r="I1609" t="str">
            <v>Korupsi - Loan View</v>
          </cell>
          <cell r="J1609">
            <v>48</v>
          </cell>
          <cell r="K1609">
            <v>15</v>
          </cell>
          <cell r="L1609" t="str">
            <v>Korupsi</v>
          </cell>
          <cell r="M1609" t="str">
            <v>Kas Kanpus</v>
          </cell>
          <cell r="N1609" t="str">
            <v>Kas Kanpus</v>
          </cell>
          <cell r="O1609" t="str">
            <v>KAS KANPUS</v>
          </cell>
          <cell r="R1609" t="str">
            <v>Belum TL</v>
          </cell>
          <cell r="S1609" t="str">
            <v>Belum TL</v>
          </cell>
          <cell r="T1609" t="str">
            <v>90150130 - Intan Aida Pratiwi</v>
          </cell>
          <cell r="U1609" t="str">
            <v>"-"</v>
          </cell>
        </row>
        <row r="1610">
          <cell r="A1610">
            <v>46265</v>
          </cell>
          <cell r="B1610" t="str">
            <v xml:space="preserve">RUDI HADI SUWARNO                       </v>
          </cell>
          <cell r="C1610" t="str">
            <v>RCZP717</v>
          </cell>
          <cell r="D1610">
            <v>1201262485506</v>
          </cell>
          <cell r="E1610" t="str">
            <v>TINGGI</v>
          </cell>
          <cell r="F1610" t="str">
            <v>Tidak</v>
          </cell>
          <cell r="G1610" t="str">
            <v>Tidak</v>
          </cell>
          <cell r="H1610" t="str">
            <v>Tidak</v>
          </cell>
          <cell r="I1610" t="str">
            <v>Narkotika - Area Lapas</v>
          </cell>
          <cell r="J1610">
            <v>65</v>
          </cell>
          <cell r="K1610">
            <v>48</v>
          </cell>
          <cell r="L1610" t="str">
            <v>Narkotika</v>
          </cell>
          <cell r="M1610" t="str">
            <v>KC Bogor</v>
          </cell>
          <cell r="N1610" t="str">
            <v>KC Bogor</v>
          </cell>
          <cell r="O1610" t="str">
            <v>DKI2</v>
          </cell>
          <cell r="R1610" t="str">
            <v>Belum TL</v>
          </cell>
          <cell r="S1610" t="str">
            <v>Belum TL</v>
          </cell>
          <cell r="T1610" t="str">
            <v>90186796 - Devito Arya Wiradila</v>
          </cell>
          <cell r="U1610" t="str">
            <v>"-"</v>
          </cell>
        </row>
        <row r="1611">
          <cell r="A1611">
            <v>46265</v>
          </cell>
          <cell r="B1611" t="str">
            <v xml:space="preserve">REBEKKA L MORINA                        </v>
          </cell>
          <cell r="C1611" t="str">
            <v>RD61904</v>
          </cell>
          <cell r="D1611">
            <v>337601060764535</v>
          </cell>
          <cell r="E1611" t="str">
            <v>SEDANG</v>
          </cell>
          <cell r="F1611" t="str">
            <v>Tidak</v>
          </cell>
          <cell r="G1611" t="str">
            <v>Tidak</v>
          </cell>
          <cell r="H1611" t="str">
            <v>Tidak</v>
          </cell>
          <cell r="I1611" t="str">
            <v>Bandar Judol Withdrawal</v>
          </cell>
          <cell r="J1611">
            <v>50</v>
          </cell>
          <cell r="K1611" t="str">
            <v>86,88,87</v>
          </cell>
          <cell r="L1611" t="str">
            <v>Judi Online</v>
          </cell>
          <cell r="M1611" t="str">
            <v xml:space="preserve">Kas Kanpus                              </v>
          </cell>
          <cell r="N1611" t="str">
            <v xml:space="preserve">Kas Kanpus                              </v>
          </cell>
          <cell r="O1611" t="str">
            <v xml:space="preserve">KAS KANPUS                              </v>
          </cell>
          <cell r="R1611" t="str">
            <v>Belum TL</v>
          </cell>
          <cell r="S1611" t="str">
            <v>Belum TL</v>
          </cell>
          <cell r="T1611" t="str">
            <v>00336949 - Mochammad Al Farabi</v>
          </cell>
          <cell r="U1611" t="str">
            <v>"-"</v>
          </cell>
        </row>
        <row r="1612">
          <cell r="A1612">
            <v>46265</v>
          </cell>
          <cell r="B1612" t="str">
            <v xml:space="preserve">RIZAL ASRI                              </v>
          </cell>
          <cell r="C1612" t="str">
            <v>RDBK906</v>
          </cell>
          <cell r="D1612">
            <v>349001016345101</v>
          </cell>
          <cell r="E1612" t="str">
            <v>SEDANG</v>
          </cell>
          <cell r="F1612" t="str">
            <v>Tidak</v>
          </cell>
          <cell r="G1612" t="str">
            <v>Tidak</v>
          </cell>
          <cell r="H1612" t="str">
            <v>Tidak</v>
          </cell>
          <cell r="I1612" t="str">
            <v>Korupsi - Loan View</v>
          </cell>
          <cell r="J1612">
            <v>48</v>
          </cell>
          <cell r="K1612">
            <v>15</v>
          </cell>
          <cell r="L1612" t="str">
            <v>Korupsi</v>
          </cell>
          <cell r="M1612" t="str">
            <v>Kas Kanpus</v>
          </cell>
          <cell r="N1612" t="str">
            <v>Kas Kanpus</v>
          </cell>
          <cell r="O1612" t="str">
            <v>KAS KANPUS</v>
          </cell>
          <cell r="R1612" t="str">
            <v>Belum TL</v>
          </cell>
          <cell r="S1612" t="str">
            <v>Belum TL</v>
          </cell>
          <cell r="T1612" t="str">
            <v>90186790 - Muhammad Alfin Farha</v>
          </cell>
          <cell r="U1612" t="str">
            <v>"-"</v>
          </cell>
        </row>
        <row r="1613">
          <cell r="A1613">
            <v>46265</v>
          </cell>
          <cell r="B1613" t="str">
            <v xml:space="preserve">R SY BAGOES HARYANTO                    </v>
          </cell>
          <cell r="C1613" t="str">
            <v>RDJF485</v>
          </cell>
          <cell r="D1613">
            <v>565101028201109</v>
          </cell>
          <cell r="E1613" t="str">
            <v>SEDANG</v>
          </cell>
          <cell r="F1613" t="str">
            <v>Tidak</v>
          </cell>
          <cell r="G1613" t="str">
            <v>Tidak</v>
          </cell>
          <cell r="H1613" t="str">
            <v>Tidak</v>
          </cell>
          <cell r="I1613" t="str">
            <v>Korupsi - Loan View</v>
          </cell>
          <cell r="J1613">
            <v>48</v>
          </cell>
          <cell r="K1613">
            <v>15</v>
          </cell>
          <cell r="L1613" t="str">
            <v>Korupsi</v>
          </cell>
          <cell r="M1613" t="str">
            <v>Kas Kanpus</v>
          </cell>
          <cell r="N1613" t="str">
            <v>Kas Kanpus</v>
          </cell>
          <cell r="O1613" t="str">
            <v>KAS KANPUS</v>
          </cell>
          <cell r="R1613" t="str">
            <v>Belum TL</v>
          </cell>
          <cell r="S1613" t="str">
            <v>Belum TL</v>
          </cell>
          <cell r="T1613" t="str">
            <v>00394520 - Frida Akbar Rani</v>
          </cell>
          <cell r="U1613" t="str">
            <v>"-"</v>
          </cell>
        </row>
        <row r="1614">
          <cell r="A1614">
            <v>46265</v>
          </cell>
          <cell r="B1614" t="str">
            <v xml:space="preserve">RATNA DEWI                              </v>
          </cell>
          <cell r="C1614" t="str">
            <v>RDKV771</v>
          </cell>
          <cell r="D1614">
            <v>525901018002531</v>
          </cell>
          <cell r="E1614" t="str">
            <v>SEDANG</v>
          </cell>
          <cell r="F1614" t="str">
            <v>Tidak</v>
          </cell>
          <cell r="G1614" t="str">
            <v>Tidak</v>
          </cell>
          <cell r="H1614" t="str">
            <v>Tidak</v>
          </cell>
          <cell r="I1614" t="str">
            <v>Bandar Judol Withdrawal</v>
          </cell>
          <cell r="J1614">
            <v>50</v>
          </cell>
          <cell r="K1614" t="str">
            <v>86,88,87</v>
          </cell>
          <cell r="L1614" t="str">
            <v>Judi Online</v>
          </cell>
          <cell r="M1614" t="str">
            <v xml:space="preserve">Kas Kanpus                              </v>
          </cell>
          <cell r="N1614" t="str">
            <v xml:space="preserve">Kas Kanpus                              </v>
          </cell>
          <cell r="O1614" t="str">
            <v xml:space="preserve">KAS KANPUS                              </v>
          </cell>
          <cell r="R1614" t="str">
            <v>Belum TL</v>
          </cell>
          <cell r="S1614" t="str">
            <v>Belum TL</v>
          </cell>
          <cell r="T1614" t="str">
            <v>90186796 - Devito Arya Wiradila</v>
          </cell>
          <cell r="U1614" t="str">
            <v>"-"</v>
          </cell>
        </row>
        <row r="1615">
          <cell r="A1615">
            <v>46237</v>
          </cell>
          <cell r="B1615" t="str">
            <v xml:space="preserve">RIFAI SANTOSO                           </v>
          </cell>
          <cell r="C1615" t="str">
            <v>RDL0906</v>
          </cell>
          <cell r="D1615">
            <v>671001000458501</v>
          </cell>
          <cell r="E1615" t="str">
            <v>SEDANG</v>
          </cell>
          <cell r="F1615" t="str">
            <v>Tidak</v>
          </cell>
          <cell r="G1615" t="str">
            <v>Tidak</v>
          </cell>
          <cell r="I1615" t="str">
            <v>Teroris - Remark</v>
          </cell>
          <cell r="J1615">
            <v>168</v>
          </cell>
          <cell r="K1615">
            <v>50</v>
          </cell>
          <cell r="L1615" t="str">
            <v>Terorisme</v>
          </cell>
          <cell r="M1615" t="str">
            <v xml:space="preserve">Kas Kanpus                              </v>
          </cell>
          <cell r="N1615" t="str">
            <v xml:space="preserve">Kas Kanpus                              </v>
          </cell>
          <cell r="O1615" t="str">
            <v xml:space="preserve">KAS KANPUS                              </v>
          </cell>
          <cell r="R1615" t="str">
            <v>Belum TL</v>
          </cell>
          <cell r="S1615" t="str">
            <v>Belum TL</v>
          </cell>
          <cell r="T1615" t="str">
            <v>00394520 - Frida Akbar Rani</v>
          </cell>
          <cell r="U1615" t="str">
            <v>"-"</v>
          </cell>
        </row>
        <row r="1616">
          <cell r="A1616">
            <v>46265</v>
          </cell>
          <cell r="B1616" t="str">
            <v xml:space="preserve">ROMI MULYADI                            </v>
          </cell>
          <cell r="C1616" t="str">
            <v>RDL8123</v>
          </cell>
          <cell r="D1616">
            <v>563501023684108</v>
          </cell>
          <cell r="E1616" t="str">
            <v>RENDAH</v>
          </cell>
          <cell r="F1616" t="str">
            <v>Tidak</v>
          </cell>
          <cell r="G1616" t="str">
            <v>Tidak</v>
          </cell>
          <cell r="H1616" t="str">
            <v>Tidak</v>
          </cell>
          <cell r="I1616" t="str">
            <v>Korupsi - Loan View</v>
          </cell>
          <cell r="J1616">
            <v>33</v>
          </cell>
          <cell r="K1616">
            <v>15</v>
          </cell>
          <cell r="L1616" t="str">
            <v>Korupsi</v>
          </cell>
          <cell r="M1616" t="str">
            <v>Kas Kanpus</v>
          </cell>
          <cell r="N1616" t="str">
            <v>Kas Kanpus</v>
          </cell>
          <cell r="O1616" t="str">
            <v>KAS KANPUS</v>
          </cell>
          <cell r="R1616" t="str">
            <v>Belum TL</v>
          </cell>
          <cell r="S1616" t="str">
            <v>Belum TL</v>
          </cell>
          <cell r="T1616" t="str">
            <v>90186796 - Devito Arya Wiradila</v>
          </cell>
          <cell r="U1616" t="str">
            <v>"-"</v>
          </cell>
        </row>
        <row r="1617">
          <cell r="A1617">
            <v>46265</v>
          </cell>
          <cell r="B1617" t="str">
            <v xml:space="preserve">RESTIA MAULANA                          </v>
          </cell>
          <cell r="C1617" t="str">
            <v>RDLG871</v>
          </cell>
          <cell r="D1617">
            <v>81001061076534</v>
          </cell>
          <cell r="E1617" t="str">
            <v>SEDANG</v>
          </cell>
          <cell r="F1617" t="str">
            <v>Tidak</v>
          </cell>
          <cell r="G1617" t="str">
            <v>Tidak</v>
          </cell>
          <cell r="H1617" t="str">
            <v>Tidak</v>
          </cell>
          <cell r="I1617" t="str">
            <v>Bandar Judol Withdrawal</v>
          </cell>
          <cell r="J1617">
            <v>50</v>
          </cell>
          <cell r="K1617" t="str">
            <v>86,88,87</v>
          </cell>
          <cell r="L1617" t="str">
            <v>Judi Online</v>
          </cell>
          <cell r="M1617" t="str">
            <v xml:space="preserve">Kas Kanpus                              </v>
          </cell>
          <cell r="N1617" t="str">
            <v xml:space="preserve">Kas Kanpus                              </v>
          </cell>
          <cell r="O1617" t="str">
            <v xml:space="preserve">KAS KANPUS                              </v>
          </cell>
          <cell r="R1617" t="str">
            <v>Belum TL</v>
          </cell>
          <cell r="S1617" t="str">
            <v>Belum TL</v>
          </cell>
          <cell r="T1617" t="str">
            <v>90186790 - Muhammad Alfin Farha</v>
          </cell>
          <cell r="U1617" t="str">
            <v>"-"</v>
          </cell>
        </row>
        <row r="1618">
          <cell r="A1618">
            <v>46254</v>
          </cell>
          <cell r="B1618" t="str">
            <v xml:space="preserve">RIFA'I                                  </v>
          </cell>
          <cell r="C1618" t="str">
            <v>RDQ1168</v>
          </cell>
          <cell r="D1618">
            <v>561501016393532</v>
          </cell>
          <cell r="E1618" t="str">
            <v>SEDANG</v>
          </cell>
          <cell r="F1618" t="str">
            <v>Tidak</v>
          </cell>
          <cell r="G1618" t="str">
            <v>Tidak</v>
          </cell>
          <cell r="I1618" t="str">
            <v>Teroris - Remark</v>
          </cell>
          <cell r="J1618">
            <v>168</v>
          </cell>
          <cell r="K1618">
            <v>50</v>
          </cell>
          <cell r="L1618" t="str">
            <v>Terorisme</v>
          </cell>
          <cell r="M1618" t="str">
            <v xml:space="preserve">Kas Kanpus                              </v>
          </cell>
          <cell r="N1618" t="str">
            <v xml:space="preserve">Kas Kanpus                              </v>
          </cell>
          <cell r="O1618" t="str">
            <v xml:space="preserve">KAS KANPUS                              </v>
          </cell>
          <cell r="R1618" t="str">
            <v>Belum TL</v>
          </cell>
          <cell r="S1618" t="str">
            <v>Belum TL</v>
          </cell>
          <cell r="T1618" t="str">
            <v>00394521 - Muhammad Hibbanduta</v>
          </cell>
          <cell r="U1618" t="str">
            <v>"-"</v>
          </cell>
        </row>
        <row r="1619">
          <cell r="A1619">
            <v>46265</v>
          </cell>
          <cell r="B1619" t="str">
            <v xml:space="preserve">RISCHARD SPENGKY STEWARD NELWAN         </v>
          </cell>
          <cell r="C1619" t="str">
            <v>RDT8248</v>
          </cell>
          <cell r="D1619">
            <v>364601017310104</v>
          </cell>
          <cell r="E1619" t="str">
            <v>SEDANG</v>
          </cell>
          <cell r="F1619" t="str">
            <v>Tidak</v>
          </cell>
          <cell r="G1619" t="str">
            <v>Tidak</v>
          </cell>
          <cell r="H1619" t="str">
            <v>Tidak</v>
          </cell>
          <cell r="I1619" t="str">
            <v>Korupsi - Loan View</v>
          </cell>
          <cell r="J1619">
            <v>48</v>
          </cell>
          <cell r="K1619">
            <v>15</v>
          </cell>
          <cell r="L1619" t="str">
            <v>Korupsi</v>
          </cell>
          <cell r="M1619" t="str">
            <v>Kas Kanpus</v>
          </cell>
          <cell r="N1619" t="str">
            <v>Kas Kanpus</v>
          </cell>
          <cell r="O1619" t="str">
            <v>KAS KANPUS</v>
          </cell>
          <cell r="R1619" t="str">
            <v>Belum TL</v>
          </cell>
          <cell r="S1619" t="str">
            <v>Belum TL</v>
          </cell>
          <cell r="T1619" t="str">
            <v>90186790 - Muhammad Alfin Farha</v>
          </cell>
          <cell r="U1619" t="str">
            <v>"-"</v>
          </cell>
        </row>
        <row r="1620">
          <cell r="A1620">
            <v>46265</v>
          </cell>
          <cell r="B1620" t="str">
            <v xml:space="preserve">RINI BUDI NINGSIH SALEMPA A MD          </v>
          </cell>
          <cell r="C1620" t="str">
            <v>RDY6031</v>
          </cell>
          <cell r="D1620">
            <v>34301033050109</v>
          </cell>
          <cell r="E1620" t="str">
            <v>SEDANG</v>
          </cell>
          <cell r="F1620" t="str">
            <v>Tidak</v>
          </cell>
          <cell r="G1620" t="str">
            <v>Tidak</v>
          </cell>
          <cell r="H1620" t="str">
            <v>Tidak</v>
          </cell>
          <cell r="I1620" t="str">
            <v>Korupsi - Loan View</v>
          </cell>
          <cell r="J1620">
            <v>48</v>
          </cell>
          <cell r="K1620">
            <v>15</v>
          </cell>
          <cell r="L1620" t="str">
            <v>Korupsi</v>
          </cell>
          <cell r="M1620" t="str">
            <v>Kas Kanpus</v>
          </cell>
          <cell r="N1620" t="str">
            <v>Kas Kanpus</v>
          </cell>
          <cell r="O1620" t="str">
            <v>KAS KANPUS</v>
          </cell>
          <cell r="R1620" t="str">
            <v>Belum TL</v>
          </cell>
          <cell r="S1620" t="str">
            <v>Belum TL</v>
          </cell>
          <cell r="T1620" t="str">
            <v>90170665 - Mutiara Ayuningtyas</v>
          </cell>
          <cell r="U1620" t="str">
            <v>"-"</v>
          </cell>
        </row>
        <row r="1621">
          <cell r="A1621">
            <v>46265</v>
          </cell>
          <cell r="B1621" t="str">
            <v xml:space="preserve">RASDIANTO AR.BUHANG                     </v>
          </cell>
          <cell r="C1621" t="str">
            <v>RE56711</v>
          </cell>
          <cell r="D1621">
            <v>22701029967104</v>
          </cell>
          <cell r="E1621" t="str">
            <v>RENDAH</v>
          </cell>
          <cell r="F1621" t="str">
            <v>Tidak</v>
          </cell>
          <cell r="G1621" t="str">
            <v>Tidak</v>
          </cell>
          <cell r="H1621" t="str">
            <v>Tidak</v>
          </cell>
          <cell r="I1621" t="str">
            <v>Korupsi - Loan View</v>
          </cell>
          <cell r="J1621">
            <v>33</v>
          </cell>
          <cell r="K1621">
            <v>15</v>
          </cell>
          <cell r="L1621" t="str">
            <v>Korupsi</v>
          </cell>
          <cell r="M1621" t="str">
            <v>Kas Kanpus</v>
          </cell>
          <cell r="N1621" t="str">
            <v>Kas Kanpus</v>
          </cell>
          <cell r="O1621" t="str">
            <v>KAS KANPUS</v>
          </cell>
          <cell r="R1621" t="str">
            <v>Belum TL</v>
          </cell>
          <cell r="S1621" t="str">
            <v>Belum TL</v>
          </cell>
          <cell r="T1621" t="str">
            <v>90186790 - Muhammad Alfin Farha</v>
          </cell>
          <cell r="U1621" t="str">
            <v>"-"</v>
          </cell>
        </row>
        <row r="1622">
          <cell r="A1622">
            <v>46265</v>
          </cell>
          <cell r="B1622" t="str">
            <v xml:space="preserve">RISKA WIDYA ASTUTI                      </v>
          </cell>
          <cell r="C1622" t="str">
            <v>REAA108</v>
          </cell>
          <cell r="D1622">
            <v>337701003587506</v>
          </cell>
          <cell r="E1622" t="str">
            <v>SEDANG</v>
          </cell>
          <cell r="F1622" t="str">
            <v>Tidak</v>
          </cell>
          <cell r="G1622" t="str">
            <v>Tidak</v>
          </cell>
          <cell r="H1622" t="str">
            <v>Tidak</v>
          </cell>
          <cell r="I1622" t="str">
            <v>Bandar Judol Withdrawal</v>
          </cell>
          <cell r="J1622">
            <v>50</v>
          </cell>
          <cell r="K1622" t="str">
            <v>86,88,87</v>
          </cell>
          <cell r="L1622" t="str">
            <v>Judi Online</v>
          </cell>
          <cell r="M1622" t="str">
            <v xml:space="preserve">Kas Kanpus                              </v>
          </cell>
          <cell r="N1622" t="str">
            <v xml:space="preserve">Kas Kanpus                              </v>
          </cell>
          <cell r="O1622" t="str">
            <v xml:space="preserve">KAS KANPUS                              </v>
          </cell>
          <cell r="R1622" t="str">
            <v>Belum TL</v>
          </cell>
          <cell r="S1622" t="str">
            <v>Belum TL</v>
          </cell>
          <cell r="T1622" t="str">
            <v>00336949 - Mochammad Al Farabi</v>
          </cell>
          <cell r="U1622" t="str">
            <v>"-"</v>
          </cell>
        </row>
        <row r="1623">
          <cell r="A1623">
            <v>46265</v>
          </cell>
          <cell r="B1623" t="str">
            <v xml:space="preserve">GABRIEL REYNER ELSKAYAH DE LEROY        </v>
          </cell>
          <cell r="C1623" t="str">
            <v>RED8846</v>
          </cell>
          <cell r="D1623">
            <v>36002000102505</v>
          </cell>
          <cell r="E1623" t="str">
            <v>TINGGI</v>
          </cell>
          <cell r="F1623" t="str">
            <v>Tidak</v>
          </cell>
          <cell r="G1623" t="str">
            <v>Tidak</v>
          </cell>
          <cell r="I1623" t="str">
            <v>Money Mules</v>
          </cell>
          <cell r="J1623">
            <v>57</v>
          </cell>
          <cell r="K1623">
            <v>79</v>
          </cell>
          <cell r="L1623" t="str">
            <v>Narkotika/Judi Online</v>
          </cell>
          <cell r="M1623" t="str">
            <v xml:space="preserve">Kas Kanpus                              </v>
          </cell>
          <cell r="N1623" t="str">
            <v xml:space="preserve">Kas Kanpus                              </v>
          </cell>
          <cell r="O1623" t="str">
            <v xml:space="preserve">KAS KANPUS                              </v>
          </cell>
          <cell r="R1623" t="str">
            <v>Belum TL</v>
          </cell>
          <cell r="S1623" t="str">
            <v>Belum TL</v>
          </cell>
          <cell r="T1623" t="str">
            <v>00394521 - Muhammad Hibbanduta</v>
          </cell>
          <cell r="U1623" t="str">
            <v>"-"</v>
          </cell>
        </row>
        <row r="1624">
          <cell r="A1624">
            <v>46265</v>
          </cell>
          <cell r="B1624" t="str">
            <v xml:space="preserve">RANDY RAHMANSYAH                        </v>
          </cell>
          <cell r="C1624" t="str">
            <v>REDP343</v>
          </cell>
          <cell r="D1624">
            <v>41501045202503</v>
          </cell>
          <cell r="E1624" t="str">
            <v>SEDANG</v>
          </cell>
          <cell r="F1624" t="str">
            <v>Tidak</v>
          </cell>
          <cell r="G1624" t="str">
            <v>Tidak</v>
          </cell>
          <cell r="H1624" t="str">
            <v>Tidak</v>
          </cell>
          <cell r="I1624" t="str">
            <v>Bandar Judol Withdrawal</v>
          </cell>
          <cell r="J1624">
            <v>50</v>
          </cell>
          <cell r="K1624" t="str">
            <v>86,88,87</v>
          </cell>
          <cell r="L1624" t="str">
            <v>Judi Online</v>
          </cell>
          <cell r="M1624" t="str">
            <v xml:space="preserve">Kas Kanpus                              </v>
          </cell>
          <cell r="N1624" t="str">
            <v xml:space="preserve">Kas Kanpus                              </v>
          </cell>
          <cell r="O1624" t="str">
            <v xml:space="preserve">KAS KANPUS                              </v>
          </cell>
          <cell r="R1624" t="str">
            <v>Belum TL</v>
          </cell>
          <cell r="S1624" t="str">
            <v>Belum TL</v>
          </cell>
          <cell r="T1624" t="str">
            <v>90170665 - Mutiara Ayuningtyas</v>
          </cell>
          <cell r="U1624" t="str">
            <v>"-"</v>
          </cell>
        </row>
        <row r="1625">
          <cell r="A1625">
            <v>46265</v>
          </cell>
          <cell r="B1625" t="str">
            <v xml:space="preserve">ROBI SUSANTO                            </v>
          </cell>
          <cell r="C1625" t="str">
            <v>REOH947</v>
          </cell>
          <cell r="D1625">
            <v>65301021098508</v>
          </cell>
          <cell r="F1625" t="str">
            <v>Tidak</v>
          </cell>
          <cell r="G1625" t="str">
            <v>Tidak</v>
          </cell>
          <cell r="I1625" t="str">
            <v>Jual Beli Rekening - E channel Trx</v>
          </cell>
          <cell r="J1625">
            <v>33</v>
          </cell>
          <cell r="K1625">
            <v>113</v>
          </cell>
          <cell r="L1625" t="str">
            <v>Narkotika/Judi Online/Penipuan</v>
          </cell>
          <cell r="M1625" t="str">
            <v xml:space="preserve">KCP JEMBATAN LIMA                       </v>
          </cell>
          <cell r="N1625" t="str">
            <v xml:space="preserve">KC Jakarta Hayam Wuruk                  </v>
          </cell>
          <cell r="O1625" t="str">
            <v xml:space="preserve">KANWIL JAKARTA 3                        </v>
          </cell>
          <cell r="R1625" t="str">
            <v>Belum TL</v>
          </cell>
          <cell r="S1625" t="str">
            <v>Belum TL</v>
          </cell>
          <cell r="U1625" t="str">
            <v>"-"</v>
          </cell>
        </row>
        <row r="1626">
          <cell r="A1626">
            <v>46265</v>
          </cell>
          <cell r="B1626" t="str">
            <v xml:space="preserve">RUKENAH                                 </v>
          </cell>
          <cell r="C1626" t="str">
            <v>RERG795</v>
          </cell>
          <cell r="D1626">
            <v>373201017322532</v>
          </cell>
          <cell r="E1626" t="str">
            <v>SEDANG</v>
          </cell>
          <cell r="F1626" t="str">
            <v>Tidak</v>
          </cell>
          <cell r="G1626" t="str">
            <v>Tidak</v>
          </cell>
          <cell r="H1626" t="str">
            <v>Tidak</v>
          </cell>
          <cell r="I1626" t="str">
            <v>Narkotika - Area Lapas</v>
          </cell>
          <cell r="J1626">
            <v>50</v>
          </cell>
          <cell r="K1626">
            <v>46</v>
          </cell>
          <cell r="L1626" t="str">
            <v>Narkotika</v>
          </cell>
          <cell r="M1626" t="str">
            <v>UNIT PAMANUKAN KOTA</v>
          </cell>
          <cell r="N1626" t="str">
            <v>KC Pamanukan</v>
          </cell>
          <cell r="O1626" t="str">
            <v>Bandung</v>
          </cell>
          <cell r="R1626" t="str">
            <v>Belum TL</v>
          </cell>
          <cell r="S1626" t="str">
            <v>Belum TL</v>
          </cell>
          <cell r="T1626" t="str">
            <v>90186796 - Devito Arya Wiradila</v>
          </cell>
          <cell r="U1626" t="str">
            <v>"-"</v>
          </cell>
        </row>
        <row r="1627">
          <cell r="A1627">
            <v>46265</v>
          </cell>
          <cell r="B1627" t="str">
            <v xml:space="preserve">RAHMADANINGSIH                          </v>
          </cell>
          <cell r="C1627" t="str">
            <v>RFBL012</v>
          </cell>
          <cell r="D1627">
            <v>40401020766533</v>
          </cell>
          <cell r="E1627" t="str">
            <v>SEDANG</v>
          </cell>
          <cell r="F1627" t="str">
            <v>Tidak</v>
          </cell>
          <cell r="G1627" t="str">
            <v>Tidak</v>
          </cell>
          <cell r="H1627" t="str">
            <v>Tidak</v>
          </cell>
          <cell r="I1627" t="str">
            <v>Bandar Judol Withdrawal</v>
          </cell>
          <cell r="J1627">
            <v>50</v>
          </cell>
          <cell r="K1627" t="str">
            <v>86,88,87</v>
          </cell>
          <cell r="L1627" t="str">
            <v>Judi Online</v>
          </cell>
          <cell r="M1627" t="str">
            <v xml:space="preserve">Kas Kanpus                              </v>
          </cell>
          <cell r="N1627" t="str">
            <v xml:space="preserve">Kas Kanpus                              </v>
          </cell>
          <cell r="O1627" t="str">
            <v xml:space="preserve">KAS KANPUS                              </v>
          </cell>
          <cell r="R1627" t="str">
            <v>Belum TL</v>
          </cell>
          <cell r="S1627" t="str">
            <v>Belum TL</v>
          </cell>
          <cell r="T1627" t="str">
            <v>90185537 - Moh.Khoerul Fajar Ar</v>
          </cell>
          <cell r="U1627" t="str">
            <v>"-"</v>
          </cell>
        </row>
        <row r="1628">
          <cell r="A1628">
            <v>46265</v>
          </cell>
          <cell r="B1628" t="str">
            <v xml:space="preserve">RIA DEWI PRAMITA                        </v>
          </cell>
          <cell r="C1628" t="str">
            <v>RFE2056</v>
          </cell>
          <cell r="D1628">
            <v>40401089334501</v>
          </cell>
          <cell r="E1628" t="str">
            <v>SEDANG</v>
          </cell>
          <cell r="F1628" t="str">
            <v>Tidak</v>
          </cell>
          <cell r="G1628" t="str">
            <v>Tidak</v>
          </cell>
          <cell r="H1628" t="str">
            <v>Tidak</v>
          </cell>
          <cell r="I1628" t="str">
            <v>Bandar Judol Withdrawal</v>
          </cell>
          <cell r="J1628">
            <v>50</v>
          </cell>
          <cell r="K1628" t="str">
            <v>86,88,87</v>
          </cell>
          <cell r="L1628" t="str">
            <v>Judi Online</v>
          </cell>
          <cell r="M1628" t="str">
            <v xml:space="preserve">Kas Kanpus                              </v>
          </cell>
          <cell r="N1628" t="str">
            <v xml:space="preserve">Kas Kanpus                              </v>
          </cell>
          <cell r="O1628" t="str">
            <v xml:space="preserve">KAS KANPUS                              </v>
          </cell>
          <cell r="R1628" t="str">
            <v>Belum TL</v>
          </cell>
          <cell r="S1628" t="str">
            <v>Belum TL</v>
          </cell>
          <cell r="T1628" t="str">
            <v>90171841 - Rifqi Aziz</v>
          </cell>
          <cell r="U1628" t="str">
            <v>"-"</v>
          </cell>
        </row>
        <row r="1629">
          <cell r="A1629">
            <v>46265</v>
          </cell>
          <cell r="B1629" t="str">
            <v xml:space="preserve">ROYKE ROBBY KALIGIS                     </v>
          </cell>
          <cell r="C1629" t="str">
            <v>RFP6514</v>
          </cell>
          <cell r="D1629">
            <v>517001019509106</v>
          </cell>
          <cell r="E1629" t="str">
            <v>RENDAH</v>
          </cell>
          <cell r="F1629" t="str">
            <v>Tidak</v>
          </cell>
          <cell r="G1629" t="str">
            <v>Tidak</v>
          </cell>
          <cell r="H1629" t="str">
            <v>Tidak</v>
          </cell>
          <cell r="I1629" t="str">
            <v>Korupsi - Loan View</v>
          </cell>
          <cell r="J1629">
            <v>33</v>
          </cell>
          <cell r="K1629">
            <v>15</v>
          </cell>
          <cell r="L1629" t="str">
            <v>Korupsi</v>
          </cell>
          <cell r="M1629" t="str">
            <v>Kas Kanpus</v>
          </cell>
          <cell r="N1629" t="str">
            <v>Kas Kanpus</v>
          </cell>
          <cell r="O1629" t="str">
            <v>KAS KANPUS</v>
          </cell>
          <cell r="R1629" t="str">
            <v>Belum TL</v>
          </cell>
          <cell r="S1629" t="str">
            <v>Belum TL</v>
          </cell>
          <cell r="T1629" t="str">
            <v>90171841 - Rifqi Aziz</v>
          </cell>
          <cell r="U1629" t="str">
            <v>"-"</v>
          </cell>
        </row>
        <row r="1630">
          <cell r="A1630">
            <v>46265</v>
          </cell>
          <cell r="B1630" t="str">
            <v xml:space="preserve">RIZIQ AULIA                             </v>
          </cell>
          <cell r="C1630" t="str">
            <v>RFPT303</v>
          </cell>
          <cell r="D1630">
            <v>204001008484501</v>
          </cell>
          <cell r="E1630" t="str">
            <v>SEDANG</v>
          </cell>
          <cell r="F1630" t="str">
            <v>Tidak</v>
          </cell>
          <cell r="G1630" t="str">
            <v>Tidak</v>
          </cell>
          <cell r="H1630" t="str">
            <v>Ya</v>
          </cell>
          <cell r="I1630" t="str">
            <v>Bandar Judol Withdrawal</v>
          </cell>
          <cell r="J1630">
            <v>50</v>
          </cell>
          <cell r="K1630" t="str">
            <v>86,88,87</v>
          </cell>
          <cell r="L1630" t="str">
            <v>Judi Online</v>
          </cell>
          <cell r="M1630" t="str">
            <v xml:space="preserve">Kas Kanpus                              </v>
          </cell>
          <cell r="N1630" t="str">
            <v xml:space="preserve">Kas Kanpus                              </v>
          </cell>
          <cell r="O1630" t="str">
            <v xml:space="preserve">KAS KANPUS                              </v>
          </cell>
          <cell r="R1630" t="str">
            <v>Belum TL</v>
          </cell>
          <cell r="S1630" t="str">
            <v>Belum TL</v>
          </cell>
          <cell r="T1630" t="str">
            <v>90186796 - Devito Arya Wiradila</v>
          </cell>
          <cell r="U1630" t="str">
            <v>"-"</v>
          </cell>
        </row>
        <row r="1631">
          <cell r="A1631">
            <v>46265</v>
          </cell>
          <cell r="B1631" t="str">
            <v xml:space="preserve">REHAN JO SAPUTRA                        </v>
          </cell>
          <cell r="C1631" t="str">
            <v>RFVO243</v>
          </cell>
          <cell r="D1631">
            <v>12601501501155</v>
          </cell>
          <cell r="E1631" t="str">
            <v>SEDANG</v>
          </cell>
          <cell r="F1631" t="str">
            <v>Tidak</v>
          </cell>
          <cell r="G1631" t="str">
            <v>Tidak</v>
          </cell>
          <cell r="H1631" t="str">
            <v>Tidak</v>
          </cell>
          <cell r="I1631" t="str">
            <v>Korupsi - Loan View</v>
          </cell>
          <cell r="J1631">
            <v>48</v>
          </cell>
          <cell r="K1631">
            <v>15</v>
          </cell>
          <cell r="L1631" t="str">
            <v>Korupsi</v>
          </cell>
          <cell r="M1631" t="str">
            <v>Kas Kanpus</v>
          </cell>
          <cell r="N1631" t="str">
            <v>Kas Kanpus</v>
          </cell>
          <cell r="O1631" t="str">
            <v>KAS KANPUS</v>
          </cell>
          <cell r="R1631" t="str">
            <v>Belum TL</v>
          </cell>
          <cell r="S1631" t="str">
            <v>Belum TL</v>
          </cell>
          <cell r="T1631" t="str">
            <v>90185538 - Muhammad Fahikal Auz</v>
          </cell>
          <cell r="U1631" t="str">
            <v>"-"</v>
          </cell>
        </row>
        <row r="1632">
          <cell r="A1632">
            <v>46265</v>
          </cell>
          <cell r="B1632" t="str">
            <v xml:space="preserve">RIZKY ARIYANTI                          </v>
          </cell>
          <cell r="C1632" t="str">
            <v>RFZ4960</v>
          </cell>
          <cell r="D1632">
            <v>340901009094506</v>
          </cell>
          <cell r="E1632" t="str">
            <v>SEDANG</v>
          </cell>
          <cell r="F1632" t="str">
            <v>Tidak</v>
          </cell>
          <cell r="G1632" t="str">
            <v>Tidak</v>
          </cell>
          <cell r="H1632" t="str">
            <v>Tidak</v>
          </cell>
          <cell r="I1632" t="str">
            <v>Bandar Judol Depo</v>
          </cell>
          <cell r="J1632">
            <v>50</v>
          </cell>
          <cell r="K1632" t="str">
            <v>86,74,87</v>
          </cell>
          <cell r="L1632" t="str">
            <v>Judi Online</v>
          </cell>
          <cell r="M1632" t="str">
            <v xml:space="preserve">Kas Kanpus                              </v>
          </cell>
          <cell r="N1632" t="str">
            <v xml:space="preserve">Kas Kanpus                              </v>
          </cell>
          <cell r="O1632" t="str">
            <v xml:space="preserve">KAS KANPUS                              </v>
          </cell>
          <cell r="R1632" t="str">
            <v>Belum TL</v>
          </cell>
          <cell r="S1632" t="str">
            <v>Belum TL</v>
          </cell>
          <cell r="T1632" t="str">
            <v>00336949 - Mochammad Al Farabi</v>
          </cell>
          <cell r="U1632" t="str">
            <v>"-"</v>
          </cell>
        </row>
        <row r="1633">
          <cell r="A1633">
            <v>46265</v>
          </cell>
          <cell r="B1633" t="str">
            <v xml:space="preserve">RULLY NURMANITA                         </v>
          </cell>
          <cell r="C1633" t="str">
            <v>RGD8637</v>
          </cell>
          <cell r="D1633">
            <v>51101028727532</v>
          </cell>
          <cell r="E1633" t="str">
            <v>SEDANG</v>
          </cell>
          <cell r="F1633" t="str">
            <v>Tidak</v>
          </cell>
          <cell r="G1633" t="str">
            <v>Tidak</v>
          </cell>
          <cell r="H1633" t="str">
            <v>Tidak</v>
          </cell>
          <cell r="I1633" t="str">
            <v>Bandar Judol Depo</v>
          </cell>
          <cell r="J1633">
            <v>50</v>
          </cell>
          <cell r="K1633" t="str">
            <v>86,74,87</v>
          </cell>
          <cell r="L1633" t="str">
            <v>Judi Online</v>
          </cell>
          <cell r="M1633" t="str">
            <v xml:space="preserve">Kas Kanpus                              </v>
          </cell>
          <cell r="N1633" t="str">
            <v xml:space="preserve">Kas Kanpus                              </v>
          </cell>
          <cell r="O1633" t="str">
            <v xml:space="preserve">KAS KANPUS                              </v>
          </cell>
          <cell r="R1633" t="str">
            <v>Belum TL</v>
          </cell>
          <cell r="S1633" t="str">
            <v>Belum TL</v>
          </cell>
          <cell r="T1633" t="str">
            <v>90171841 - Rifqi Aziz</v>
          </cell>
          <cell r="U1633" t="str">
            <v>"-"</v>
          </cell>
        </row>
        <row r="1634">
          <cell r="A1634">
            <v>46265</v>
          </cell>
          <cell r="B1634" t="str">
            <v xml:space="preserve">ROBERT W KALANGI                        </v>
          </cell>
          <cell r="C1634" t="str">
            <v>RGGW556</v>
          </cell>
          <cell r="D1634">
            <v>522701014612109</v>
          </cell>
          <cell r="E1634" t="str">
            <v>SEDANG</v>
          </cell>
          <cell r="F1634" t="str">
            <v>Tidak</v>
          </cell>
          <cell r="G1634" t="str">
            <v>Tidak</v>
          </cell>
          <cell r="H1634" t="str">
            <v>Tidak</v>
          </cell>
          <cell r="I1634" t="str">
            <v>Korupsi - Loan View</v>
          </cell>
          <cell r="J1634">
            <v>48</v>
          </cell>
          <cell r="K1634">
            <v>15</v>
          </cell>
          <cell r="L1634" t="str">
            <v>Korupsi</v>
          </cell>
          <cell r="M1634" t="str">
            <v>Kas Kanpus</v>
          </cell>
          <cell r="N1634" t="str">
            <v>Kas Kanpus</v>
          </cell>
          <cell r="O1634" t="str">
            <v>KAS KANPUS</v>
          </cell>
          <cell r="R1634" t="str">
            <v>Belum TL</v>
          </cell>
          <cell r="S1634" t="str">
            <v>Belum TL</v>
          </cell>
          <cell r="T1634" t="str">
            <v>90186790 - Muhammad Alfin Farha</v>
          </cell>
          <cell r="U1634" t="str">
            <v>"-"</v>
          </cell>
        </row>
        <row r="1635">
          <cell r="A1635">
            <v>46265</v>
          </cell>
          <cell r="B1635" t="str">
            <v xml:space="preserve">ROYNAL DELHIN                           </v>
          </cell>
          <cell r="C1635" t="str">
            <v>RGHD961</v>
          </cell>
          <cell r="D1635">
            <v>351301021755101</v>
          </cell>
          <cell r="E1635" t="str">
            <v>SEDANG</v>
          </cell>
          <cell r="F1635" t="str">
            <v>Ya</v>
          </cell>
          <cell r="G1635" t="str">
            <v>Tidak</v>
          </cell>
          <cell r="H1635" t="str">
            <v>Tidak</v>
          </cell>
          <cell r="I1635" t="str">
            <v>Korupsi - Loan View</v>
          </cell>
          <cell r="J1635">
            <v>48</v>
          </cell>
          <cell r="K1635">
            <v>15</v>
          </cell>
          <cell r="L1635" t="str">
            <v>Korupsi</v>
          </cell>
          <cell r="M1635" t="str">
            <v>Kas Kanpus</v>
          </cell>
          <cell r="N1635" t="str">
            <v>Kas Kanpus</v>
          </cell>
          <cell r="O1635" t="str">
            <v>KAS KANPUS</v>
          </cell>
          <cell r="R1635" t="str">
            <v>Belum TL</v>
          </cell>
          <cell r="S1635" t="str">
            <v>Belum TL</v>
          </cell>
          <cell r="T1635" t="str">
            <v>90186790 - Muhammad Alfin Farha</v>
          </cell>
          <cell r="U1635" t="str">
            <v>"-"</v>
          </cell>
        </row>
        <row r="1636">
          <cell r="A1636">
            <v>46265</v>
          </cell>
          <cell r="B1636" t="str">
            <v xml:space="preserve">RAJIMAN MAYANG                          </v>
          </cell>
          <cell r="C1636" t="str">
            <v>RGJF316</v>
          </cell>
          <cell r="D1636">
            <v>515401018700505</v>
          </cell>
          <cell r="E1636" t="str">
            <v>SEDANG</v>
          </cell>
          <cell r="F1636" t="str">
            <v>Tidak</v>
          </cell>
          <cell r="G1636" t="str">
            <v>Tidak</v>
          </cell>
          <cell r="H1636" t="str">
            <v>Tidak</v>
          </cell>
          <cell r="I1636" t="str">
            <v>Perpajakan</v>
          </cell>
          <cell r="J1636">
            <v>50</v>
          </cell>
          <cell r="K1636">
            <v>1.33</v>
          </cell>
          <cell r="L1636" t="str">
            <v>Perpajakan</v>
          </cell>
          <cell r="M1636" t="str">
            <v xml:space="preserve">UNIT BATUDAA LIMBOTO                    </v>
          </cell>
          <cell r="N1636" t="str">
            <v xml:space="preserve">KC Limboto                              </v>
          </cell>
          <cell r="O1636" t="str">
            <v xml:space="preserve">Manado                                  </v>
          </cell>
          <cell r="R1636" t="str">
            <v>Belum TL</v>
          </cell>
          <cell r="S1636" t="str">
            <v>Belum TL</v>
          </cell>
          <cell r="T1636" t="str">
            <v>90170665 - Mutiara Ayuningtyas</v>
          </cell>
          <cell r="U1636" t="str">
            <v>"-"</v>
          </cell>
        </row>
        <row r="1637">
          <cell r="A1637">
            <v>46265</v>
          </cell>
          <cell r="B1637" t="str">
            <v xml:space="preserve">RIZAL                                   </v>
          </cell>
          <cell r="C1637" t="str">
            <v>RGN0821</v>
          </cell>
          <cell r="D1637">
            <v>714201049832530</v>
          </cell>
          <cell r="F1637" t="str">
            <v>Tidak</v>
          </cell>
          <cell r="G1637" t="str">
            <v>Tidak</v>
          </cell>
          <cell r="I1637" t="str">
            <v>Jual Beli Rekening - E channel Trx</v>
          </cell>
          <cell r="J1637">
            <v>33</v>
          </cell>
          <cell r="K1637">
            <v>113</v>
          </cell>
          <cell r="L1637" t="str">
            <v>Narkotika/Judi Online/Penipuan</v>
          </cell>
          <cell r="M1637" t="str">
            <v xml:space="preserve">UNIT SUKARNO HATTA PANGKAL PIN          </v>
          </cell>
          <cell r="N1637" t="str">
            <v xml:space="preserve">KC Pangkal Pinang                       </v>
          </cell>
          <cell r="O1637" t="str">
            <v xml:space="preserve">Palembang                               </v>
          </cell>
          <cell r="R1637" t="str">
            <v>Belum TL</v>
          </cell>
          <cell r="S1637" t="str">
            <v>Belum TL</v>
          </cell>
          <cell r="U1637" t="str">
            <v>"-"</v>
          </cell>
        </row>
        <row r="1638">
          <cell r="A1638">
            <v>46265</v>
          </cell>
          <cell r="B1638" t="str">
            <v xml:space="preserve">RIZKY ARIANTO HARAHAP                   </v>
          </cell>
          <cell r="C1638" t="str">
            <v>RGZN873</v>
          </cell>
          <cell r="D1638">
            <v>5188284231332800</v>
          </cell>
          <cell r="E1638" t="str">
            <v>SEDANG</v>
          </cell>
          <cell r="F1638" t="str">
            <v>Tidak</v>
          </cell>
          <cell r="G1638" t="str">
            <v>Tidak</v>
          </cell>
          <cell r="H1638" t="str">
            <v>Tidak</v>
          </cell>
          <cell r="I1638" t="str">
            <v>Penghindaran Pajak (Transaksi Fiktif)/Penyuapan CC</v>
          </cell>
          <cell r="J1638">
            <v>45</v>
          </cell>
          <cell r="K1638">
            <v>118</v>
          </cell>
          <cell r="L1638" t="str">
            <v>Penyuapan / Penghindaran Pajak CC View</v>
          </cell>
          <cell r="M1638" t="str">
            <v xml:space="preserve">Kas Kanpus                              </v>
          </cell>
          <cell r="N1638" t="str">
            <v xml:space="preserve">Kas Kanpus                              </v>
          </cell>
          <cell r="O1638" t="str">
            <v xml:space="preserve">KAS KANPUS                              </v>
          </cell>
          <cell r="R1638" t="str">
            <v>Belum TL</v>
          </cell>
          <cell r="S1638" t="str">
            <v>Belum TL</v>
          </cell>
          <cell r="T1638" t="str">
            <v>00336949 - Mochammad Al Farabi</v>
          </cell>
          <cell r="U1638" t="str">
            <v>"-"</v>
          </cell>
        </row>
        <row r="1639">
          <cell r="A1639">
            <v>46265</v>
          </cell>
          <cell r="B1639" t="str">
            <v xml:space="preserve">RAMDANI                                 </v>
          </cell>
          <cell r="C1639" t="str">
            <v>RHMH959</v>
          </cell>
          <cell r="D1639">
            <v>13801015134108</v>
          </cell>
          <cell r="E1639" t="str">
            <v>SEDANG</v>
          </cell>
          <cell r="F1639" t="str">
            <v>Tidak</v>
          </cell>
          <cell r="G1639" t="str">
            <v>Tidak</v>
          </cell>
          <cell r="H1639" t="str">
            <v>Tidak</v>
          </cell>
          <cell r="I1639" t="str">
            <v>Korupsi - Loan View</v>
          </cell>
          <cell r="J1639">
            <v>48</v>
          </cell>
          <cell r="K1639">
            <v>15</v>
          </cell>
          <cell r="L1639" t="str">
            <v>Korupsi</v>
          </cell>
          <cell r="M1639" t="str">
            <v>Kas Kanpus</v>
          </cell>
          <cell r="N1639" t="str">
            <v>Kas Kanpus</v>
          </cell>
          <cell r="O1639" t="str">
            <v>KAS KANPUS</v>
          </cell>
          <cell r="R1639" t="str">
            <v>Belum TL</v>
          </cell>
          <cell r="S1639" t="str">
            <v>Belum TL</v>
          </cell>
          <cell r="T1639" t="str">
            <v>00394521 - Muhammad Hibbanduta</v>
          </cell>
          <cell r="U1639" t="str">
            <v>"-"</v>
          </cell>
        </row>
        <row r="1640">
          <cell r="A1640">
            <v>46265</v>
          </cell>
          <cell r="B1640" t="str">
            <v xml:space="preserve">RIZA PRABUDI                            </v>
          </cell>
          <cell r="C1640" t="str">
            <v>RHY9365</v>
          </cell>
          <cell r="D1640">
            <v>531801005386508</v>
          </cell>
          <cell r="E1640" t="str">
            <v>SEDANG</v>
          </cell>
          <cell r="F1640" t="str">
            <v>Tidak</v>
          </cell>
          <cell r="G1640" t="str">
            <v>Tidak</v>
          </cell>
          <cell r="H1640" t="str">
            <v>Tidak</v>
          </cell>
          <cell r="I1640" t="str">
            <v>Bandar Judol Withdrawal</v>
          </cell>
          <cell r="J1640">
            <v>50</v>
          </cell>
          <cell r="K1640" t="str">
            <v>86,88,87</v>
          </cell>
          <cell r="L1640" t="str">
            <v>Judi Online</v>
          </cell>
          <cell r="M1640" t="str">
            <v xml:space="preserve">Kas Kanpus                              </v>
          </cell>
          <cell r="N1640" t="str">
            <v xml:space="preserve">Kas Kanpus                              </v>
          </cell>
          <cell r="O1640" t="str">
            <v xml:space="preserve">KAS KANPUS                              </v>
          </cell>
          <cell r="R1640" t="str">
            <v>Belum TL</v>
          </cell>
          <cell r="S1640" t="str">
            <v>Belum TL</v>
          </cell>
          <cell r="T1640" t="str">
            <v>00394521 - Muhammad Hibbanduta</v>
          </cell>
          <cell r="U1640" t="str">
            <v>"-"</v>
          </cell>
        </row>
        <row r="1641">
          <cell r="A1641">
            <v>46265</v>
          </cell>
          <cell r="B1641" t="str">
            <v xml:space="preserve">REYVANA ABADI LESTARI                   </v>
          </cell>
          <cell r="C1641" t="str">
            <v>RIFC284</v>
          </cell>
          <cell r="D1641">
            <v>211601000260150</v>
          </cell>
          <cell r="E1641" t="str">
            <v>TINGGI</v>
          </cell>
          <cell r="F1641" t="str">
            <v>Tidak</v>
          </cell>
          <cell r="G1641" t="str">
            <v>Tidak</v>
          </cell>
          <cell r="H1641" t="str">
            <v>Tidak</v>
          </cell>
          <cell r="I1641" t="str">
            <v>Korupsi - Loan View</v>
          </cell>
          <cell r="J1641">
            <v>63</v>
          </cell>
          <cell r="K1641">
            <v>15</v>
          </cell>
          <cell r="L1641" t="str">
            <v>Korupsi</v>
          </cell>
          <cell r="M1641" t="str">
            <v>Kas Kanpus</v>
          </cell>
          <cell r="N1641" t="str">
            <v>Kas Kanpus</v>
          </cell>
          <cell r="O1641" t="str">
            <v>KAS KANPUS</v>
          </cell>
          <cell r="R1641" t="str">
            <v>Belum TL</v>
          </cell>
          <cell r="S1641" t="str">
            <v>Belum TL</v>
          </cell>
          <cell r="T1641" t="str">
            <v>00394521 - Muhammad Hibbanduta</v>
          </cell>
          <cell r="U1641" t="str">
            <v>"-"</v>
          </cell>
        </row>
        <row r="1642">
          <cell r="A1642">
            <v>46265</v>
          </cell>
          <cell r="B1642" t="str">
            <v xml:space="preserve">RIDWAN MT PURBA                         </v>
          </cell>
          <cell r="C1642" t="str">
            <v>RIFJ379</v>
          </cell>
          <cell r="D1642">
            <v>360501014077109</v>
          </cell>
          <cell r="E1642" t="str">
            <v>SEDANG</v>
          </cell>
          <cell r="F1642" t="str">
            <v>Tidak</v>
          </cell>
          <cell r="G1642" t="str">
            <v>Tidak</v>
          </cell>
          <cell r="H1642" t="str">
            <v>Tidak</v>
          </cell>
          <cell r="I1642" t="str">
            <v>Korupsi - Loan View</v>
          </cell>
          <cell r="J1642">
            <v>48</v>
          </cell>
          <cell r="K1642">
            <v>15</v>
          </cell>
          <cell r="L1642" t="str">
            <v>Korupsi</v>
          </cell>
          <cell r="M1642" t="str">
            <v>Kas Kanpus</v>
          </cell>
          <cell r="N1642" t="str">
            <v>Kas Kanpus</v>
          </cell>
          <cell r="O1642" t="str">
            <v>KAS KANPUS</v>
          </cell>
          <cell r="R1642" t="str">
            <v>Belum TL</v>
          </cell>
          <cell r="S1642" t="str">
            <v>Belum TL</v>
          </cell>
          <cell r="T1642" t="str">
            <v>90170665 - Mutiara Ayuningtyas</v>
          </cell>
          <cell r="U1642" t="str">
            <v>"-"</v>
          </cell>
        </row>
        <row r="1643">
          <cell r="A1643">
            <v>46265</v>
          </cell>
          <cell r="B1643" t="str">
            <v xml:space="preserve">RADIA                                   </v>
          </cell>
          <cell r="C1643" t="str">
            <v>RIGS568</v>
          </cell>
          <cell r="D1643">
            <v>503201049094535</v>
          </cell>
          <cell r="E1643" t="str">
            <v>SEDANG</v>
          </cell>
          <cell r="F1643" t="str">
            <v>Tidak</v>
          </cell>
          <cell r="G1643" t="str">
            <v>Tidak</v>
          </cell>
          <cell r="H1643" t="str">
            <v>Tidak</v>
          </cell>
          <cell r="I1643" t="str">
            <v>Narkotika - Area Lapas</v>
          </cell>
          <cell r="J1643">
            <v>50</v>
          </cell>
          <cell r="K1643">
            <v>46</v>
          </cell>
          <cell r="L1643" t="str">
            <v>Narkotika</v>
          </cell>
          <cell r="M1643" t="str">
            <v>UNIT BUMIAYU POLEWALI</v>
          </cell>
          <cell r="N1643" t="str">
            <v>KC Polewali</v>
          </cell>
          <cell r="O1643" t="str">
            <v>Makassar</v>
          </cell>
          <cell r="R1643" t="str">
            <v>Belum TL</v>
          </cell>
          <cell r="S1643" t="str">
            <v>Belum TL</v>
          </cell>
          <cell r="T1643" t="str">
            <v>00394520 - Frida Akbar Rani</v>
          </cell>
          <cell r="U1643" t="str">
            <v>"-"</v>
          </cell>
        </row>
        <row r="1644">
          <cell r="A1644">
            <v>46265</v>
          </cell>
          <cell r="B1644" t="str">
            <v xml:space="preserve">REFAMA JAYA PUTRA                       </v>
          </cell>
          <cell r="C1644" t="str">
            <v>RIKJ385</v>
          </cell>
          <cell r="D1644">
            <v>33301501530151</v>
          </cell>
          <cell r="E1644" t="str">
            <v>SEDANG</v>
          </cell>
          <cell r="F1644" t="str">
            <v>Tidak</v>
          </cell>
          <cell r="G1644" t="str">
            <v>Tidak</v>
          </cell>
          <cell r="H1644" t="str">
            <v>Tidak</v>
          </cell>
          <cell r="I1644" t="str">
            <v>Korupsi - Loan View</v>
          </cell>
          <cell r="J1644">
            <v>48</v>
          </cell>
          <cell r="K1644">
            <v>15</v>
          </cell>
          <cell r="L1644" t="str">
            <v>Korupsi</v>
          </cell>
          <cell r="M1644" t="str">
            <v>Kas Kanpus</v>
          </cell>
          <cell r="N1644" t="str">
            <v>Kas Kanpus</v>
          </cell>
          <cell r="O1644" t="str">
            <v>KAS KANPUS</v>
          </cell>
          <cell r="R1644" t="str">
            <v>Belum TL</v>
          </cell>
          <cell r="S1644" t="str">
            <v>Belum TL</v>
          </cell>
          <cell r="T1644" t="str">
            <v>00336949 - Mochammad Al Farabi</v>
          </cell>
          <cell r="U1644" t="str">
            <v>"-"</v>
          </cell>
        </row>
        <row r="1645">
          <cell r="A1645">
            <v>46265</v>
          </cell>
          <cell r="B1645" t="str">
            <v xml:space="preserve">RONALD ARTHUR BETTENG                   </v>
          </cell>
          <cell r="C1645" t="str">
            <v>RIO0162</v>
          </cell>
          <cell r="D1645">
            <v>64201014206105</v>
          </cell>
          <cell r="E1645" t="str">
            <v>SEDANG</v>
          </cell>
          <cell r="F1645" t="str">
            <v>Tidak</v>
          </cell>
          <cell r="G1645" t="str">
            <v>Tidak</v>
          </cell>
          <cell r="H1645" t="str">
            <v>Tidak</v>
          </cell>
          <cell r="I1645" t="str">
            <v>Korupsi - Loan View</v>
          </cell>
          <cell r="J1645">
            <v>48</v>
          </cell>
          <cell r="K1645">
            <v>15</v>
          </cell>
          <cell r="L1645" t="str">
            <v>Korupsi</v>
          </cell>
          <cell r="M1645" t="str">
            <v>Kas Kanpus</v>
          </cell>
          <cell r="N1645" t="str">
            <v>Kas Kanpus</v>
          </cell>
          <cell r="O1645" t="str">
            <v>KAS KANPUS</v>
          </cell>
          <cell r="R1645" t="str">
            <v>Belum TL</v>
          </cell>
          <cell r="S1645" t="str">
            <v>Belum TL</v>
          </cell>
          <cell r="T1645" t="str">
            <v>00336949 - Mochammad Al Farabi</v>
          </cell>
          <cell r="U1645" t="str">
            <v>"-"</v>
          </cell>
        </row>
        <row r="1646">
          <cell r="A1646">
            <v>46265</v>
          </cell>
          <cell r="B1646" t="str">
            <v xml:space="preserve">RANI DJUHAEDI                           </v>
          </cell>
          <cell r="C1646" t="str">
            <v>RIOV756</v>
          </cell>
          <cell r="D1646">
            <v>99301031094100</v>
          </cell>
          <cell r="E1646" t="str">
            <v>SEDANG</v>
          </cell>
          <cell r="F1646" t="str">
            <v>Tidak</v>
          </cell>
          <cell r="G1646" t="str">
            <v>Tidak</v>
          </cell>
          <cell r="H1646" t="str">
            <v>Tidak</v>
          </cell>
          <cell r="I1646" t="str">
            <v>Korupsi - Loan View</v>
          </cell>
          <cell r="J1646">
            <v>48</v>
          </cell>
          <cell r="K1646">
            <v>15</v>
          </cell>
          <cell r="L1646" t="str">
            <v>Korupsi</v>
          </cell>
          <cell r="M1646" t="str">
            <v>Kas Kanpus</v>
          </cell>
          <cell r="N1646" t="str">
            <v>Kas Kanpus</v>
          </cell>
          <cell r="O1646" t="str">
            <v>KAS KANPUS</v>
          </cell>
          <cell r="R1646" t="str">
            <v>Belum TL</v>
          </cell>
          <cell r="S1646" t="str">
            <v>Belum TL</v>
          </cell>
          <cell r="T1646" t="str">
            <v>90150130 - Intan Aida Pratiwi</v>
          </cell>
          <cell r="U1646" t="str">
            <v>"-"</v>
          </cell>
        </row>
        <row r="1647">
          <cell r="A1647">
            <v>46265</v>
          </cell>
          <cell r="B1647" t="str">
            <v xml:space="preserve">RIVUL IRWANSYAH                         </v>
          </cell>
          <cell r="C1647" t="str">
            <v>RIQV294</v>
          </cell>
          <cell r="D1647">
            <v>11501034269102</v>
          </cell>
          <cell r="E1647" t="str">
            <v>SEDANG</v>
          </cell>
          <cell r="F1647" t="str">
            <v>Tidak</v>
          </cell>
          <cell r="G1647" t="str">
            <v>Tidak</v>
          </cell>
          <cell r="H1647" t="str">
            <v>Tidak</v>
          </cell>
          <cell r="I1647" t="str">
            <v>Korupsi - Loan View</v>
          </cell>
          <cell r="J1647">
            <v>48</v>
          </cell>
          <cell r="K1647">
            <v>15</v>
          </cell>
          <cell r="L1647" t="str">
            <v>Korupsi</v>
          </cell>
          <cell r="M1647" t="str">
            <v>Kas Kanpus</v>
          </cell>
          <cell r="N1647" t="str">
            <v>Kas Kanpus</v>
          </cell>
          <cell r="O1647" t="str">
            <v>KAS KANPUS</v>
          </cell>
          <cell r="R1647" t="str">
            <v>Belum TL</v>
          </cell>
          <cell r="S1647" t="str">
            <v>Belum TL</v>
          </cell>
          <cell r="T1647" t="str">
            <v>90185538 - Muhammad Fahikal Auz</v>
          </cell>
          <cell r="U1647" t="str">
            <v>"-"</v>
          </cell>
        </row>
        <row r="1648">
          <cell r="A1648">
            <v>46265</v>
          </cell>
          <cell r="B1648" t="str">
            <v xml:space="preserve">RIVDAL DJEMMI                           </v>
          </cell>
          <cell r="C1648" t="str">
            <v>RIT3890</v>
          </cell>
          <cell r="D1648">
            <v>351301025262100</v>
          </cell>
          <cell r="E1648" t="str">
            <v>SEDANG</v>
          </cell>
          <cell r="F1648" t="str">
            <v>Tidak</v>
          </cell>
          <cell r="G1648" t="str">
            <v>Tidak</v>
          </cell>
          <cell r="H1648" t="str">
            <v>Tidak</v>
          </cell>
          <cell r="I1648" t="str">
            <v>Korupsi - Loan View</v>
          </cell>
          <cell r="J1648">
            <v>48</v>
          </cell>
          <cell r="K1648">
            <v>15</v>
          </cell>
          <cell r="L1648" t="str">
            <v>Korupsi</v>
          </cell>
          <cell r="M1648" t="str">
            <v>Kas Kanpus</v>
          </cell>
          <cell r="N1648" t="str">
            <v>Kas Kanpus</v>
          </cell>
          <cell r="O1648" t="str">
            <v>KAS KANPUS</v>
          </cell>
          <cell r="R1648" t="str">
            <v>Belum TL</v>
          </cell>
          <cell r="S1648" t="str">
            <v>Belum TL</v>
          </cell>
          <cell r="T1648" t="str">
            <v>90171841 - Rifqi Aziz</v>
          </cell>
          <cell r="U1648" t="str">
            <v>"-"</v>
          </cell>
        </row>
        <row r="1649">
          <cell r="A1649">
            <v>46265</v>
          </cell>
          <cell r="B1649" t="str">
            <v xml:space="preserve">RIAH RIANTY                             </v>
          </cell>
          <cell r="C1649" t="str">
            <v>RITM938</v>
          </cell>
          <cell r="D1649">
            <v>40501003333565</v>
          </cell>
          <cell r="E1649" t="str">
            <v>SEDANG</v>
          </cell>
          <cell r="F1649" t="str">
            <v>Tidak</v>
          </cell>
          <cell r="G1649" t="str">
            <v>Tidak</v>
          </cell>
          <cell r="H1649" t="str">
            <v>Tidak</v>
          </cell>
          <cell r="I1649" t="str">
            <v>Bandar Judol Withdrawal</v>
          </cell>
          <cell r="J1649">
            <v>50</v>
          </cell>
          <cell r="K1649" t="str">
            <v>86,88,87</v>
          </cell>
          <cell r="L1649" t="str">
            <v>Judi Online</v>
          </cell>
          <cell r="M1649" t="str">
            <v xml:space="preserve">Kas Kanpus                              </v>
          </cell>
          <cell r="N1649" t="str">
            <v xml:space="preserve">Kas Kanpus                              </v>
          </cell>
          <cell r="O1649" t="str">
            <v xml:space="preserve">KAS KANPUS                              </v>
          </cell>
          <cell r="R1649" t="str">
            <v>Belum TL</v>
          </cell>
          <cell r="S1649" t="str">
            <v>Belum TL</v>
          </cell>
          <cell r="T1649" t="str">
            <v>90170665 - Mutiara Ayuningtyas</v>
          </cell>
          <cell r="U1649" t="str">
            <v>"-"</v>
          </cell>
        </row>
        <row r="1650">
          <cell r="A1650">
            <v>46265</v>
          </cell>
          <cell r="B1650" t="str">
            <v xml:space="preserve">RIO LIMANTO                             </v>
          </cell>
          <cell r="C1650" t="str">
            <v>RITW857</v>
          </cell>
          <cell r="D1650">
            <v>304801006238505</v>
          </cell>
          <cell r="E1650" t="str">
            <v>SEDANG</v>
          </cell>
          <cell r="F1650" t="str">
            <v>Tidak</v>
          </cell>
          <cell r="G1650" t="str">
            <v>Tidak</v>
          </cell>
          <cell r="H1650" t="str">
            <v>Ya</v>
          </cell>
          <cell r="I1650" t="str">
            <v>Bandar Judol Withdrawal</v>
          </cell>
          <cell r="J1650">
            <v>50</v>
          </cell>
          <cell r="K1650" t="str">
            <v>86,88,87</v>
          </cell>
          <cell r="L1650" t="str">
            <v>Judi Online</v>
          </cell>
          <cell r="M1650" t="str">
            <v xml:space="preserve">Kas Kanpus                              </v>
          </cell>
          <cell r="N1650" t="str">
            <v xml:space="preserve">Kas Kanpus                              </v>
          </cell>
          <cell r="O1650" t="str">
            <v xml:space="preserve">KAS KANPUS                              </v>
          </cell>
          <cell r="R1650" t="str">
            <v>Belum TL</v>
          </cell>
          <cell r="S1650" t="str">
            <v>Belum TL</v>
          </cell>
          <cell r="T1650" t="str">
            <v>90186796 - Devito Arya Wiradila</v>
          </cell>
          <cell r="U1650" t="str">
            <v>"-"</v>
          </cell>
        </row>
        <row r="1651">
          <cell r="A1651">
            <v>46265</v>
          </cell>
          <cell r="B1651" t="str">
            <v xml:space="preserve">RAHEL ALVIA KREBRU                      </v>
          </cell>
          <cell r="C1651" t="str">
            <v>RIY1450</v>
          </cell>
          <cell r="D1651">
            <v>362501031175104</v>
          </cell>
          <cell r="E1651" t="str">
            <v>SEDANG</v>
          </cell>
          <cell r="F1651" t="str">
            <v>Tidak</v>
          </cell>
          <cell r="G1651" t="str">
            <v>Tidak</v>
          </cell>
          <cell r="H1651" t="str">
            <v>Tidak</v>
          </cell>
          <cell r="I1651" t="str">
            <v>Korupsi - Loan View</v>
          </cell>
          <cell r="J1651">
            <v>48</v>
          </cell>
          <cell r="K1651">
            <v>15</v>
          </cell>
          <cell r="L1651" t="str">
            <v>Korupsi</v>
          </cell>
          <cell r="M1651" t="str">
            <v>Kas Kanpus</v>
          </cell>
          <cell r="N1651" t="str">
            <v>Kas Kanpus</v>
          </cell>
          <cell r="O1651" t="str">
            <v>KAS KANPUS</v>
          </cell>
          <cell r="R1651" t="str">
            <v>Belum TL</v>
          </cell>
          <cell r="S1651" t="str">
            <v>Belum TL</v>
          </cell>
          <cell r="T1651" t="str">
            <v>00336949 - Mochammad Al Farabi</v>
          </cell>
          <cell r="U1651" t="str">
            <v>"-"</v>
          </cell>
        </row>
        <row r="1652">
          <cell r="A1652">
            <v>46265</v>
          </cell>
          <cell r="B1652" t="str">
            <v xml:space="preserve">RIANTO MAROJAHAN  LUMBANGAOL            </v>
          </cell>
          <cell r="C1652" t="str">
            <v>RIZ9434</v>
          </cell>
          <cell r="D1652">
            <v>347901008058100</v>
          </cell>
          <cell r="E1652" t="str">
            <v>SEDANG</v>
          </cell>
          <cell r="F1652" t="str">
            <v>Tidak</v>
          </cell>
          <cell r="G1652" t="str">
            <v>Tidak</v>
          </cell>
          <cell r="H1652" t="str">
            <v>Tidak</v>
          </cell>
          <cell r="I1652" t="str">
            <v>Korupsi - Loan View</v>
          </cell>
          <cell r="J1652">
            <v>48</v>
          </cell>
          <cell r="K1652">
            <v>15</v>
          </cell>
          <cell r="L1652" t="str">
            <v>Korupsi</v>
          </cell>
          <cell r="M1652" t="str">
            <v>Kas Kanpus</v>
          </cell>
          <cell r="N1652" t="str">
            <v>Kas Kanpus</v>
          </cell>
          <cell r="O1652" t="str">
            <v>KAS KANPUS</v>
          </cell>
          <cell r="R1652" t="str">
            <v>Belum TL</v>
          </cell>
          <cell r="S1652" t="str">
            <v>Belum TL</v>
          </cell>
          <cell r="T1652" t="str">
            <v>90171841 - Rifqi Aziz</v>
          </cell>
          <cell r="U1652" t="str">
            <v>"-"</v>
          </cell>
        </row>
        <row r="1653">
          <cell r="A1653">
            <v>46265</v>
          </cell>
          <cell r="B1653" t="str">
            <v xml:space="preserve">RIRIN HANDAYANI                         </v>
          </cell>
          <cell r="C1653" t="str">
            <v>RJJK700</v>
          </cell>
          <cell r="D1653">
            <v>531101040236532</v>
          </cell>
          <cell r="E1653" t="str">
            <v>SEDANG</v>
          </cell>
          <cell r="F1653" t="str">
            <v>Tidak</v>
          </cell>
          <cell r="G1653" t="str">
            <v>Tidak</v>
          </cell>
          <cell r="H1653" t="str">
            <v>Ya</v>
          </cell>
          <cell r="I1653" t="str">
            <v>Bandar Judol Withdrawal</v>
          </cell>
          <cell r="J1653">
            <v>50</v>
          </cell>
          <cell r="K1653" t="str">
            <v>86,88,87</v>
          </cell>
          <cell r="L1653" t="str">
            <v>Judi Online</v>
          </cell>
          <cell r="M1653" t="str">
            <v xml:space="preserve">Kas Kanpus                              </v>
          </cell>
          <cell r="N1653" t="str">
            <v xml:space="preserve">Kas Kanpus                              </v>
          </cell>
          <cell r="O1653" t="str">
            <v xml:space="preserve">KAS KANPUS                              </v>
          </cell>
          <cell r="R1653" t="str">
            <v>Belum TL</v>
          </cell>
          <cell r="S1653" t="str">
            <v>Belum TL</v>
          </cell>
          <cell r="T1653" t="str">
            <v>90186790 - Muhammad Alfin Farha</v>
          </cell>
          <cell r="U1653" t="str">
            <v>"-"</v>
          </cell>
        </row>
        <row r="1654">
          <cell r="A1654">
            <v>46265</v>
          </cell>
          <cell r="B1654" t="str">
            <v xml:space="preserve">RENDY PERMANA                           </v>
          </cell>
          <cell r="C1654" t="str">
            <v>RJKU269</v>
          </cell>
          <cell r="D1654">
            <v>204001010366503</v>
          </cell>
          <cell r="E1654" t="str">
            <v>SEDANG</v>
          </cell>
          <cell r="F1654" t="str">
            <v>Tidak</v>
          </cell>
          <cell r="G1654" t="str">
            <v>Tidak</v>
          </cell>
          <cell r="H1654" t="str">
            <v>Tidak</v>
          </cell>
          <cell r="I1654" t="str">
            <v>Bandar Judol Withdrawal</v>
          </cell>
          <cell r="J1654">
            <v>50</v>
          </cell>
          <cell r="K1654" t="str">
            <v>86,88,87</v>
          </cell>
          <cell r="L1654" t="str">
            <v>Judi Online</v>
          </cell>
          <cell r="M1654" t="str">
            <v xml:space="preserve">Kas Kanpus                              </v>
          </cell>
          <cell r="N1654" t="str">
            <v xml:space="preserve">Kas Kanpus                              </v>
          </cell>
          <cell r="O1654" t="str">
            <v xml:space="preserve">KAS KANPUS                              </v>
          </cell>
          <cell r="R1654" t="str">
            <v>Belum TL</v>
          </cell>
          <cell r="S1654" t="str">
            <v>Belum TL</v>
          </cell>
          <cell r="T1654" t="str">
            <v>90170665 - Mutiara Ayuningtyas</v>
          </cell>
          <cell r="U1654" t="str">
            <v>"-"</v>
          </cell>
        </row>
        <row r="1655">
          <cell r="A1655">
            <v>46265</v>
          </cell>
          <cell r="B1655" t="str">
            <v xml:space="preserve">RINA JAKUP                              </v>
          </cell>
          <cell r="C1655" t="str">
            <v>RJN5834</v>
          </cell>
          <cell r="D1655">
            <v>4359720205800700</v>
          </cell>
          <cell r="E1655" t="str">
            <v>SEDANG</v>
          </cell>
          <cell r="F1655" t="str">
            <v>Tidak</v>
          </cell>
          <cell r="G1655" t="str">
            <v>Tidak</v>
          </cell>
          <cell r="H1655" t="str">
            <v>Tidak</v>
          </cell>
          <cell r="I1655" t="str">
            <v>Penghindaran Pajak (Transaksi Fiktif)/Penyuapan CC</v>
          </cell>
          <cell r="J1655">
            <v>45</v>
          </cell>
          <cell r="K1655">
            <v>118</v>
          </cell>
          <cell r="L1655" t="str">
            <v>Penyuapan / Penghindaran Pajak CC View</v>
          </cell>
          <cell r="M1655" t="str">
            <v xml:space="preserve">Kas Kanpus                              </v>
          </cell>
          <cell r="N1655" t="str">
            <v xml:space="preserve">Kas Kanpus                              </v>
          </cell>
          <cell r="O1655" t="str">
            <v xml:space="preserve">KAS KANPUS                              </v>
          </cell>
          <cell r="R1655" t="str">
            <v>Belum TL</v>
          </cell>
          <cell r="S1655" t="str">
            <v>Belum TL</v>
          </cell>
          <cell r="T1655" t="str">
            <v>90185538 - Muhammad Fahikal Auz</v>
          </cell>
          <cell r="U1655" t="str">
            <v>"-"</v>
          </cell>
        </row>
        <row r="1656">
          <cell r="A1656">
            <v>46265</v>
          </cell>
          <cell r="B1656" t="str">
            <v xml:space="preserve">RAHMAT RHAMADAN                         </v>
          </cell>
          <cell r="C1656" t="str">
            <v>RJVC629</v>
          </cell>
          <cell r="D1656">
            <v>4359720200149600</v>
          </cell>
          <cell r="E1656" t="str">
            <v>TINGGI</v>
          </cell>
          <cell r="F1656" t="str">
            <v>Tidak</v>
          </cell>
          <cell r="G1656" t="str">
            <v>Tidak</v>
          </cell>
          <cell r="H1656" t="str">
            <v>Tidak</v>
          </cell>
          <cell r="I1656" t="str">
            <v>Anomali Transaksi Kartu Kredit</v>
          </cell>
          <cell r="J1656">
            <v>60</v>
          </cell>
          <cell r="K1656">
            <v>117</v>
          </cell>
          <cell r="L1656" t="str">
            <v>Anomali Transaksi Kartu Kredit</v>
          </cell>
          <cell r="M1656" t="str">
            <v xml:space="preserve">Kas Kanpus                              </v>
          </cell>
          <cell r="N1656" t="str">
            <v xml:space="preserve">Kas Kanpus                              </v>
          </cell>
          <cell r="O1656" t="str">
            <v xml:space="preserve">KAS KANPUS                              </v>
          </cell>
          <cell r="R1656" t="str">
            <v>Belum TL</v>
          </cell>
          <cell r="S1656" t="str">
            <v>Belum TL</v>
          </cell>
          <cell r="T1656" t="str">
            <v>90170665 - Mutiara Ayuningtyas</v>
          </cell>
          <cell r="U1656" t="str">
            <v>"-"</v>
          </cell>
        </row>
        <row r="1657">
          <cell r="A1657">
            <v>46265</v>
          </cell>
          <cell r="B1657" t="str">
            <v xml:space="preserve">RONALD KARAMOY                          </v>
          </cell>
          <cell r="C1657" t="str">
            <v>RKAA240</v>
          </cell>
          <cell r="D1657">
            <v>4055770000008000</v>
          </cell>
          <cell r="E1657" t="str">
            <v>TINGGI</v>
          </cell>
          <cell r="F1657" t="str">
            <v>Tidak</v>
          </cell>
          <cell r="G1657" t="str">
            <v>Tidak</v>
          </cell>
          <cell r="H1657" t="str">
            <v>Tidak</v>
          </cell>
          <cell r="I1657" t="str">
            <v>Anomali Transaksi Kartu Kredit</v>
          </cell>
          <cell r="J1657">
            <v>70</v>
          </cell>
          <cell r="K1657">
            <v>116.117</v>
          </cell>
          <cell r="L1657" t="str">
            <v>Anomali Transaksi Kartu Kredit</v>
          </cell>
          <cell r="M1657" t="str">
            <v xml:space="preserve">Kas Kanpus                              </v>
          </cell>
          <cell r="N1657" t="str">
            <v xml:space="preserve">Kas Kanpus                              </v>
          </cell>
          <cell r="O1657" t="str">
            <v xml:space="preserve">KAS KANPUS                              </v>
          </cell>
          <cell r="R1657" t="str">
            <v>Belum TL</v>
          </cell>
          <cell r="S1657" t="str">
            <v>Belum TL</v>
          </cell>
          <cell r="T1657" t="str">
            <v>90171841 - Rifqi Aziz</v>
          </cell>
          <cell r="U1657" t="str">
            <v>"-"</v>
          </cell>
        </row>
        <row r="1658">
          <cell r="A1658">
            <v>46265</v>
          </cell>
          <cell r="B1658" t="str">
            <v xml:space="preserve">RUKMINI MOKOGINTA                       </v>
          </cell>
          <cell r="C1658" t="str">
            <v>RKJT267</v>
          </cell>
          <cell r="D1658">
            <v>3601032597103</v>
          </cell>
          <cell r="E1658" t="str">
            <v>RENDAH</v>
          </cell>
          <cell r="F1658" t="str">
            <v>Tidak</v>
          </cell>
          <cell r="G1658" t="str">
            <v>Tidak</v>
          </cell>
          <cell r="H1658" t="str">
            <v>Tidak</v>
          </cell>
          <cell r="I1658" t="str">
            <v>Korupsi - Loan View</v>
          </cell>
          <cell r="J1658">
            <v>33</v>
          </cell>
          <cell r="K1658">
            <v>15</v>
          </cell>
          <cell r="L1658" t="str">
            <v>Korupsi</v>
          </cell>
          <cell r="M1658" t="str">
            <v>Kas Kanpus</v>
          </cell>
          <cell r="N1658" t="str">
            <v>Kas Kanpus</v>
          </cell>
          <cell r="O1658" t="str">
            <v>KAS KANPUS</v>
          </cell>
          <cell r="R1658" t="str">
            <v>Belum TL</v>
          </cell>
          <cell r="S1658" t="str">
            <v>Belum TL</v>
          </cell>
          <cell r="T1658" t="str">
            <v>00336949 - Mochammad Al Farabi</v>
          </cell>
          <cell r="U1658" t="str">
            <v>"-"</v>
          </cell>
        </row>
        <row r="1659">
          <cell r="A1659">
            <v>46265</v>
          </cell>
          <cell r="B1659" t="str">
            <v xml:space="preserve">ROSWITA FLORENTINA ARIFIN               </v>
          </cell>
          <cell r="C1659" t="str">
            <v>RKPW671</v>
          </cell>
          <cell r="D1659">
            <v>41701001060303</v>
          </cell>
          <cell r="E1659" t="str">
            <v>SEDANG</v>
          </cell>
          <cell r="F1659" t="str">
            <v>Tidak</v>
          </cell>
          <cell r="G1659" t="str">
            <v>Tidak</v>
          </cell>
          <cell r="H1659" t="str">
            <v>Tidak</v>
          </cell>
          <cell r="I1659" t="str">
            <v>High Transaction Custodian</v>
          </cell>
          <cell r="J1659">
            <v>56</v>
          </cell>
          <cell r="K1659">
            <v>32</v>
          </cell>
          <cell r="L1659" t="str">
            <v>Kustodian</v>
          </cell>
          <cell r="M1659" t="str">
            <v>Kas Kanpus</v>
          </cell>
          <cell r="N1659" t="str">
            <v>Kas Kanpus</v>
          </cell>
          <cell r="O1659" t="str">
            <v>KAS KANPUS</v>
          </cell>
          <cell r="R1659" t="str">
            <v>Belum TL</v>
          </cell>
          <cell r="S1659" t="str">
            <v>Belum TL</v>
          </cell>
          <cell r="T1659" t="str">
            <v>90185538 - Muhammad Fahikal Auz</v>
          </cell>
          <cell r="U1659" t="str">
            <v>"-"</v>
          </cell>
        </row>
        <row r="1660">
          <cell r="A1660">
            <v>46265</v>
          </cell>
          <cell r="B1660" t="str">
            <v xml:space="preserve">RAIS MASIHUWEY                          </v>
          </cell>
          <cell r="C1660" t="str">
            <v>RKRN101</v>
          </cell>
          <cell r="D1660">
            <v>509501016298102</v>
          </cell>
          <cell r="E1660" t="str">
            <v>SEDANG</v>
          </cell>
          <cell r="F1660" t="str">
            <v>Tidak</v>
          </cell>
          <cell r="G1660" t="str">
            <v>Tidak</v>
          </cell>
          <cell r="H1660" t="str">
            <v>Tidak</v>
          </cell>
          <cell r="I1660" t="str">
            <v>Korupsi - Loan View</v>
          </cell>
          <cell r="J1660">
            <v>48</v>
          </cell>
          <cell r="K1660">
            <v>15</v>
          </cell>
          <cell r="L1660" t="str">
            <v>Korupsi</v>
          </cell>
          <cell r="M1660" t="str">
            <v>Kas Kanpus</v>
          </cell>
          <cell r="N1660" t="str">
            <v>Kas Kanpus</v>
          </cell>
          <cell r="O1660" t="str">
            <v>KAS KANPUS</v>
          </cell>
          <cell r="R1660" t="str">
            <v>Belum TL</v>
          </cell>
          <cell r="S1660" t="str">
            <v>Belum TL</v>
          </cell>
          <cell r="T1660" t="str">
            <v>90150130 - Intan Aida Pratiwi</v>
          </cell>
          <cell r="U1660" t="str">
            <v>"-"</v>
          </cell>
        </row>
        <row r="1661">
          <cell r="A1661">
            <v>46265</v>
          </cell>
          <cell r="B1661" t="str">
            <v xml:space="preserve">RISKI AMALIA                            </v>
          </cell>
          <cell r="C1661" t="str">
            <v>RLGH338</v>
          </cell>
          <cell r="D1661">
            <v>33301501670155</v>
          </cell>
          <cell r="E1661" t="str">
            <v>SEDANG</v>
          </cell>
          <cell r="F1661" t="str">
            <v>Tidak</v>
          </cell>
          <cell r="G1661" t="str">
            <v>Tidak</v>
          </cell>
          <cell r="H1661" t="str">
            <v>Tidak</v>
          </cell>
          <cell r="I1661" t="str">
            <v>Korupsi - Loan View</v>
          </cell>
          <cell r="J1661">
            <v>48</v>
          </cell>
          <cell r="K1661">
            <v>15</v>
          </cell>
          <cell r="L1661" t="str">
            <v>Korupsi</v>
          </cell>
          <cell r="M1661" t="str">
            <v>Kas Kanpus</v>
          </cell>
          <cell r="N1661" t="str">
            <v>Kas Kanpus</v>
          </cell>
          <cell r="O1661" t="str">
            <v>KAS KANPUS</v>
          </cell>
          <cell r="R1661" t="str">
            <v>Belum TL</v>
          </cell>
          <cell r="S1661" t="str">
            <v>Belum TL</v>
          </cell>
          <cell r="T1661" t="str">
            <v>00394520 - Frida Akbar Rani</v>
          </cell>
          <cell r="U1661" t="str">
            <v>"-"</v>
          </cell>
        </row>
        <row r="1662">
          <cell r="A1662">
            <v>46265</v>
          </cell>
          <cell r="B1662" t="str">
            <v xml:space="preserve">RIFQI ABDULROHMAN                       </v>
          </cell>
          <cell r="C1662" t="str">
            <v>RLLD909</v>
          </cell>
          <cell r="D1662">
            <v>50101023176505</v>
          </cell>
          <cell r="E1662" t="str">
            <v>SEDANG</v>
          </cell>
          <cell r="F1662" t="str">
            <v>Tidak</v>
          </cell>
          <cell r="G1662" t="str">
            <v>Tidak</v>
          </cell>
          <cell r="H1662" t="str">
            <v>Tidak</v>
          </cell>
          <cell r="I1662" t="str">
            <v>Bandar Judol Withdrawal</v>
          </cell>
          <cell r="J1662">
            <v>50</v>
          </cell>
          <cell r="K1662" t="str">
            <v>86,88,87</v>
          </cell>
          <cell r="L1662" t="str">
            <v>Judi Online</v>
          </cell>
          <cell r="M1662" t="str">
            <v xml:space="preserve">Kas Kanpus                              </v>
          </cell>
          <cell r="N1662" t="str">
            <v xml:space="preserve">Kas Kanpus                              </v>
          </cell>
          <cell r="O1662" t="str">
            <v xml:space="preserve">KAS KANPUS                              </v>
          </cell>
          <cell r="R1662" t="str">
            <v>Belum TL</v>
          </cell>
          <cell r="S1662" t="str">
            <v>Belum TL</v>
          </cell>
          <cell r="T1662" t="str">
            <v>90186796 - Devito Arya Wiradila</v>
          </cell>
          <cell r="U1662" t="str">
            <v>"-"</v>
          </cell>
        </row>
        <row r="1663">
          <cell r="A1663">
            <v>46265</v>
          </cell>
          <cell r="B1663" t="str">
            <v xml:space="preserve">RIZKY ANDRIAN                           </v>
          </cell>
          <cell r="C1663" t="str">
            <v>RLPK333</v>
          </cell>
          <cell r="D1663">
            <v>417301020374507</v>
          </cell>
          <cell r="E1663" t="str">
            <v>SEDANG</v>
          </cell>
          <cell r="F1663" t="str">
            <v>Tidak</v>
          </cell>
          <cell r="G1663" t="str">
            <v>Tidak</v>
          </cell>
          <cell r="H1663" t="str">
            <v>Ya</v>
          </cell>
          <cell r="I1663" t="str">
            <v>Bandar Judol Withdrawal</v>
          </cell>
          <cell r="J1663">
            <v>50</v>
          </cell>
          <cell r="K1663" t="str">
            <v>86,88,87</v>
          </cell>
          <cell r="L1663" t="str">
            <v>Judi Online</v>
          </cell>
          <cell r="M1663" t="str">
            <v xml:space="preserve">Kas Kanpus                              </v>
          </cell>
          <cell r="N1663" t="str">
            <v xml:space="preserve">Kas Kanpus                              </v>
          </cell>
          <cell r="O1663" t="str">
            <v xml:space="preserve">KAS KANPUS                              </v>
          </cell>
          <cell r="R1663" t="str">
            <v>Belum TL</v>
          </cell>
          <cell r="S1663" t="str">
            <v>Belum TL</v>
          </cell>
          <cell r="T1663" t="str">
            <v>90186796 - Devito Arya Wiradila</v>
          </cell>
          <cell r="U1663" t="str">
            <v>"-"</v>
          </cell>
        </row>
        <row r="1664">
          <cell r="A1664">
            <v>46235</v>
          </cell>
          <cell r="B1664" t="str">
            <v xml:space="preserve">RISKI LUBIS                             </v>
          </cell>
          <cell r="C1664" t="str">
            <v>RM90537</v>
          </cell>
          <cell r="D1664">
            <v>531701012070534</v>
          </cell>
          <cell r="E1664" t="str">
            <v>SEDANG</v>
          </cell>
          <cell r="F1664" t="str">
            <v>Tidak</v>
          </cell>
          <cell r="G1664" t="str">
            <v>Tidak</v>
          </cell>
          <cell r="I1664" t="str">
            <v>Teroris - Remark</v>
          </cell>
          <cell r="J1664">
            <v>168</v>
          </cell>
          <cell r="K1664">
            <v>50</v>
          </cell>
          <cell r="L1664" t="str">
            <v>Terorisme</v>
          </cell>
          <cell r="M1664" t="str">
            <v xml:space="preserve">Kas Kanpus                              </v>
          </cell>
          <cell r="N1664" t="str">
            <v xml:space="preserve">Kas Kanpus                              </v>
          </cell>
          <cell r="O1664" t="str">
            <v xml:space="preserve">KAS KANPUS                              </v>
          </cell>
          <cell r="R1664" t="str">
            <v>Belum TL</v>
          </cell>
          <cell r="S1664" t="str">
            <v>Belum TL</v>
          </cell>
          <cell r="T1664" t="str">
            <v>00394520 - Frida Akbar Rani</v>
          </cell>
          <cell r="U1664" t="str">
            <v>"-"</v>
          </cell>
        </row>
        <row r="1665">
          <cell r="A1665">
            <v>46265</v>
          </cell>
          <cell r="B1665" t="str">
            <v xml:space="preserve">RIAU PETROLEUM ROKAN                    </v>
          </cell>
          <cell r="C1665" t="str">
            <v>RMBN119</v>
          </cell>
          <cell r="D1665">
            <v>17001228888300</v>
          </cell>
          <cell r="E1665" t="str">
            <v>SEDANG</v>
          </cell>
          <cell r="F1665" t="str">
            <v>Tidak</v>
          </cell>
          <cell r="G1665" t="str">
            <v>Tidak</v>
          </cell>
          <cell r="H1665" t="str">
            <v>Tidak</v>
          </cell>
          <cell r="I1665" t="str">
            <v>Korupsi - Cash &amp; Amount</v>
          </cell>
          <cell r="J1665">
            <v>48</v>
          </cell>
          <cell r="K1665" t="str">
            <v>1,2,20</v>
          </cell>
          <cell r="L1665" t="str">
            <v>Korupsi</v>
          </cell>
          <cell r="M1665" t="str">
            <v>Kas Kanpus</v>
          </cell>
          <cell r="N1665" t="str">
            <v>Kas Kanpus</v>
          </cell>
          <cell r="O1665" t="str">
            <v>KAS KANPUS</v>
          </cell>
          <cell r="R1665" t="str">
            <v>Belum TL</v>
          </cell>
          <cell r="S1665" t="str">
            <v>Belum TL</v>
          </cell>
          <cell r="T1665" t="str">
            <v>90186790 - Muhammad Alfin Farha</v>
          </cell>
          <cell r="U1665" t="str">
            <v>"-"</v>
          </cell>
        </row>
        <row r="1666">
          <cell r="A1666">
            <v>46246</v>
          </cell>
          <cell r="B1666" t="str">
            <v xml:space="preserve">RIZKI SATRIA DWI PUTRA                  </v>
          </cell>
          <cell r="C1666" t="str">
            <v>RLW7254</v>
          </cell>
          <cell r="D1666">
            <v>725101001978507</v>
          </cell>
          <cell r="E1666" t="str">
            <v>SEDANG</v>
          </cell>
          <cell r="F1666" t="str">
            <v>Tidak</v>
          </cell>
          <cell r="G1666" t="str">
            <v>Tidak</v>
          </cell>
          <cell r="I1666" t="str">
            <v>Teroris - Remark</v>
          </cell>
          <cell r="J1666">
            <v>168</v>
          </cell>
          <cell r="K1666">
            <v>50</v>
          </cell>
          <cell r="L1666" t="str">
            <v>Terorisme</v>
          </cell>
          <cell r="M1666" t="str">
            <v xml:space="preserve">Kas Kanpus                              </v>
          </cell>
          <cell r="N1666" t="str">
            <v xml:space="preserve">Kas Kanpus                              </v>
          </cell>
          <cell r="O1666" t="str">
            <v xml:space="preserve">KAS KANPUS                              </v>
          </cell>
          <cell r="R1666" t="str">
            <v>Belum TL</v>
          </cell>
          <cell r="S1666" t="str">
            <v>Belum TL</v>
          </cell>
          <cell r="T1666" t="str">
            <v>00394521 - Muhammad Hibbanduta</v>
          </cell>
          <cell r="U1666" t="str">
            <v>"-"</v>
          </cell>
        </row>
        <row r="1667">
          <cell r="A1667">
            <v>46265</v>
          </cell>
          <cell r="B1667" t="str">
            <v xml:space="preserve">RENI PATMAWATI                          </v>
          </cell>
          <cell r="C1667" t="str">
            <v>RLYW414</v>
          </cell>
          <cell r="D1667">
            <v>41901010432537</v>
          </cell>
          <cell r="E1667" t="str">
            <v>SEDANG</v>
          </cell>
          <cell r="F1667" t="str">
            <v>Tidak</v>
          </cell>
          <cell r="G1667" t="str">
            <v>Tidak</v>
          </cell>
          <cell r="H1667" t="str">
            <v>Tidak</v>
          </cell>
          <cell r="I1667" t="str">
            <v>Bandar Judol Withdrawal</v>
          </cell>
          <cell r="J1667">
            <v>50</v>
          </cell>
          <cell r="K1667" t="str">
            <v>86,88,87</v>
          </cell>
          <cell r="L1667" t="str">
            <v>Judi Online</v>
          </cell>
          <cell r="M1667" t="str">
            <v xml:space="preserve">Kas Kanpus                              </v>
          </cell>
          <cell r="N1667" t="str">
            <v xml:space="preserve">Kas Kanpus                              </v>
          </cell>
          <cell r="O1667" t="str">
            <v xml:space="preserve">KAS KANPUS                              </v>
          </cell>
          <cell r="R1667" t="str">
            <v>Belum TL</v>
          </cell>
          <cell r="S1667" t="str">
            <v>Belum TL</v>
          </cell>
          <cell r="T1667" t="str">
            <v>90171841 - Rifqi Aziz</v>
          </cell>
          <cell r="U1667" t="str">
            <v>"-"</v>
          </cell>
        </row>
        <row r="1668">
          <cell r="A1668">
            <v>46265</v>
          </cell>
          <cell r="B1668" t="str">
            <v xml:space="preserve">REKA BENTUK RUMAH                       </v>
          </cell>
          <cell r="C1668" t="str">
            <v>RMEH688</v>
          </cell>
          <cell r="D1668">
            <v>2501005263304</v>
          </cell>
          <cell r="E1668" t="str">
            <v>SEDANG</v>
          </cell>
          <cell r="F1668" t="str">
            <v>Tidak</v>
          </cell>
          <cell r="G1668" t="str">
            <v>Tidak</v>
          </cell>
          <cell r="H1668" t="str">
            <v>Tidak</v>
          </cell>
          <cell r="I1668" t="str">
            <v>Perpajakan</v>
          </cell>
          <cell r="J1668">
            <v>50</v>
          </cell>
          <cell r="K1668">
            <v>41</v>
          </cell>
          <cell r="L1668" t="str">
            <v>Perpajakan</v>
          </cell>
          <cell r="M1668" t="str">
            <v xml:space="preserve">KC Garut                                </v>
          </cell>
          <cell r="N1668" t="str">
            <v xml:space="preserve">KC Garut                                </v>
          </cell>
          <cell r="O1668" t="str">
            <v xml:space="preserve">Bandung                                 </v>
          </cell>
          <cell r="R1668" t="str">
            <v>Belum TL</v>
          </cell>
          <cell r="S1668" t="str">
            <v>Belum TL</v>
          </cell>
          <cell r="T1668" t="str">
            <v>00394520 - Frida Akbar Rani</v>
          </cell>
          <cell r="U1668" t="str">
            <v>"-"</v>
          </cell>
        </row>
        <row r="1669">
          <cell r="A1669">
            <v>46265</v>
          </cell>
          <cell r="B1669" t="str">
            <v xml:space="preserve">ROBERTO SITUMORANG                      </v>
          </cell>
          <cell r="C1669" t="str">
            <v>RMFJ079</v>
          </cell>
          <cell r="D1669">
            <v>23801084965500</v>
          </cell>
          <cell r="E1669" t="str">
            <v>SEDANG</v>
          </cell>
          <cell r="F1669" t="str">
            <v>Tidak</v>
          </cell>
          <cell r="G1669" t="str">
            <v>Tidak</v>
          </cell>
          <cell r="H1669" t="str">
            <v>Tidak</v>
          </cell>
          <cell r="I1669" t="str">
            <v>Bandar Judol Withdrawal</v>
          </cell>
          <cell r="J1669">
            <v>50</v>
          </cell>
          <cell r="K1669" t="str">
            <v>86,88,87</v>
          </cell>
          <cell r="L1669" t="str">
            <v>Judi Online</v>
          </cell>
          <cell r="M1669" t="str">
            <v xml:space="preserve">Kas Kanpus                              </v>
          </cell>
          <cell r="N1669" t="str">
            <v xml:space="preserve">Kas Kanpus                              </v>
          </cell>
          <cell r="O1669" t="str">
            <v xml:space="preserve">KAS KANPUS                              </v>
          </cell>
          <cell r="R1669" t="str">
            <v>Belum TL</v>
          </cell>
          <cell r="S1669" t="str">
            <v>Belum TL</v>
          </cell>
          <cell r="T1669" t="str">
            <v>90186790 - Muhammad Alfin Farha</v>
          </cell>
          <cell r="U1669" t="str">
            <v>"-"</v>
          </cell>
        </row>
        <row r="1670">
          <cell r="A1670">
            <v>46265</v>
          </cell>
          <cell r="B1670" t="str">
            <v xml:space="preserve">ROHANI SALIMAN                          </v>
          </cell>
          <cell r="C1670" t="str">
            <v>RMIW344</v>
          </cell>
          <cell r="D1670">
            <v>4359720210400100</v>
          </cell>
          <cell r="E1670" t="str">
            <v>TINGGI</v>
          </cell>
          <cell r="F1670" t="str">
            <v>Tidak</v>
          </cell>
          <cell r="G1670" t="str">
            <v>Tidak</v>
          </cell>
          <cell r="H1670" t="str">
            <v>Tidak</v>
          </cell>
          <cell r="I1670" t="str">
            <v>Penghindaran Pajak (Transaksi Fiktif)/Penyuapan CC</v>
          </cell>
          <cell r="J1670">
            <v>60</v>
          </cell>
          <cell r="K1670">
            <v>118</v>
          </cell>
          <cell r="L1670" t="str">
            <v>Penyuapan / Penghindaran Pajak CC View</v>
          </cell>
          <cell r="M1670" t="str">
            <v xml:space="preserve">Kas Kanpus                              </v>
          </cell>
          <cell r="N1670" t="str">
            <v xml:space="preserve">Kas Kanpus                              </v>
          </cell>
          <cell r="O1670" t="str">
            <v xml:space="preserve">KAS KANPUS                              </v>
          </cell>
          <cell r="R1670" t="str">
            <v>Belum TL</v>
          </cell>
          <cell r="S1670" t="str">
            <v>Belum TL</v>
          </cell>
          <cell r="T1670" t="str">
            <v>90170665 - Mutiara Ayuningtyas</v>
          </cell>
          <cell r="U1670" t="str">
            <v>"-"</v>
          </cell>
        </row>
        <row r="1671">
          <cell r="A1671">
            <v>46265</v>
          </cell>
          <cell r="B1671" t="str">
            <v xml:space="preserve">REZKI SUARNO                            </v>
          </cell>
          <cell r="C1671" t="str">
            <v>RMSY584</v>
          </cell>
          <cell r="D1671">
            <v>489501017932104</v>
          </cell>
          <cell r="E1671" t="str">
            <v>SEDANG</v>
          </cell>
          <cell r="F1671" t="str">
            <v>Tidak</v>
          </cell>
          <cell r="G1671" t="str">
            <v>Tidak</v>
          </cell>
          <cell r="H1671" t="str">
            <v>Tidak</v>
          </cell>
          <cell r="I1671" t="str">
            <v>Korupsi - Loan View</v>
          </cell>
          <cell r="J1671">
            <v>48</v>
          </cell>
          <cell r="K1671">
            <v>15</v>
          </cell>
          <cell r="L1671" t="str">
            <v>Korupsi</v>
          </cell>
          <cell r="M1671" t="str">
            <v>Kas Kanpus</v>
          </cell>
          <cell r="N1671" t="str">
            <v>Kas Kanpus</v>
          </cell>
          <cell r="O1671" t="str">
            <v>KAS KANPUS</v>
          </cell>
          <cell r="R1671" t="str">
            <v>Belum TL</v>
          </cell>
          <cell r="S1671" t="str">
            <v>Belum TL</v>
          </cell>
          <cell r="T1671" t="str">
            <v>90186790 - Muhammad Alfin Farha</v>
          </cell>
          <cell r="U1671" t="str">
            <v>"-"</v>
          </cell>
        </row>
        <row r="1672">
          <cell r="A1672">
            <v>46265</v>
          </cell>
          <cell r="B1672" t="str">
            <v xml:space="preserve">RIZKY RAMADHANI                         </v>
          </cell>
          <cell r="C1672" t="str">
            <v>RMTD313</v>
          </cell>
          <cell r="D1672">
            <v>43901004333539</v>
          </cell>
          <cell r="E1672" t="str">
            <v>SEDANG</v>
          </cell>
          <cell r="F1672" t="str">
            <v>Tidak</v>
          </cell>
          <cell r="G1672" t="str">
            <v>Tidak</v>
          </cell>
          <cell r="H1672" t="str">
            <v>Tidak</v>
          </cell>
          <cell r="I1672" t="str">
            <v>Bandar Judol Withdrawal</v>
          </cell>
          <cell r="J1672">
            <v>50</v>
          </cell>
          <cell r="K1672" t="str">
            <v>86,88,87</v>
          </cell>
          <cell r="L1672" t="str">
            <v>Judi Online</v>
          </cell>
          <cell r="M1672" t="str">
            <v xml:space="preserve">Kas Kanpus                              </v>
          </cell>
          <cell r="N1672" t="str">
            <v xml:space="preserve">Kas Kanpus                              </v>
          </cell>
          <cell r="O1672" t="str">
            <v xml:space="preserve">KAS KANPUS                              </v>
          </cell>
          <cell r="R1672" t="str">
            <v>Belum TL</v>
          </cell>
          <cell r="S1672" t="str">
            <v>Belum TL</v>
          </cell>
          <cell r="T1672" t="str">
            <v>90171841 - Rifqi Aziz</v>
          </cell>
          <cell r="U1672" t="str">
            <v>"-"</v>
          </cell>
        </row>
        <row r="1673">
          <cell r="A1673">
            <v>46265</v>
          </cell>
          <cell r="B1673" t="str">
            <v xml:space="preserve">REJI SAEFULLOH                          </v>
          </cell>
          <cell r="C1673" t="str">
            <v>RMV0296</v>
          </cell>
          <cell r="D1673">
            <v>82601032538532</v>
          </cell>
          <cell r="E1673" t="str">
            <v>SEDANG</v>
          </cell>
          <cell r="F1673" t="str">
            <v>Tidak</v>
          </cell>
          <cell r="G1673" t="str">
            <v>Tidak</v>
          </cell>
          <cell r="H1673" t="str">
            <v>Tidak</v>
          </cell>
          <cell r="I1673" t="str">
            <v>Bandar Judol Withdrawal</v>
          </cell>
          <cell r="J1673">
            <v>50</v>
          </cell>
          <cell r="K1673" t="str">
            <v>86,88,87</v>
          </cell>
          <cell r="L1673" t="str">
            <v>Judi Online</v>
          </cell>
          <cell r="M1673" t="str">
            <v xml:space="preserve">Kas Kanpus                              </v>
          </cell>
          <cell r="N1673" t="str">
            <v xml:space="preserve">Kas Kanpus                              </v>
          </cell>
          <cell r="O1673" t="str">
            <v xml:space="preserve">KAS KANPUS                              </v>
          </cell>
          <cell r="R1673" t="str">
            <v>Belum TL</v>
          </cell>
          <cell r="S1673" t="str">
            <v>Belum TL</v>
          </cell>
          <cell r="T1673" t="str">
            <v>90170665 - Mutiara Ayuningtyas</v>
          </cell>
          <cell r="U1673" t="str">
            <v>"-"</v>
          </cell>
        </row>
        <row r="1674">
          <cell r="A1674">
            <v>46265</v>
          </cell>
          <cell r="B1674" t="str">
            <v xml:space="preserve">RICHARD FRANCISCUS ROY GUNAWAN          </v>
          </cell>
          <cell r="C1674" t="str">
            <v>RNEN193</v>
          </cell>
          <cell r="D1674">
            <v>4359720283389810</v>
          </cell>
          <cell r="E1674" t="str">
            <v>SEDANG</v>
          </cell>
          <cell r="F1674" t="str">
            <v>Tidak</v>
          </cell>
          <cell r="G1674" t="str">
            <v>Tidak</v>
          </cell>
          <cell r="H1674" t="str">
            <v>Tidak</v>
          </cell>
          <cell r="I1674" t="str">
            <v>Penghindaran Pajak (Transaksi Fiktif)/Penyuapan CC</v>
          </cell>
          <cell r="J1674">
            <v>55</v>
          </cell>
          <cell r="K1674">
            <v>118</v>
          </cell>
          <cell r="L1674" t="str">
            <v>Penyuapan / Penghindaran Pajak CC View</v>
          </cell>
          <cell r="M1674" t="str">
            <v xml:space="preserve">Kas Kanpus                              </v>
          </cell>
          <cell r="N1674" t="str">
            <v xml:space="preserve">Kas Kanpus                              </v>
          </cell>
          <cell r="O1674" t="str">
            <v xml:space="preserve">KAS KANPUS                              </v>
          </cell>
          <cell r="R1674" t="str">
            <v>Belum TL</v>
          </cell>
          <cell r="S1674" t="str">
            <v>Belum TL</v>
          </cell>
          <cell r="T1674" t="str">
            <v>00394521 - Muhammad Hibbanduta</v>
          </cell>
          <cell r="U1674" t="str">
            <v>"-"</v>
          </cell>
        </row>
        <row r="1675">
          <cell r="A1675">
            <v>46265</v>
          </cell>
          <cell r="B1675" t="str">
            <v xml:space="preserve">RIYAN                                   </v>
          </cell>
          <cell r="C1675" t="str">
            <v>RNCV533</v>
          </cell>
          <cell r="D1675">
            <v>9201126651502</v>
          </cell>
          <cell r="E1675" t="str">
            <v>SEDANG</v>
          </cell>
          <cell r="F1675" t="str">
            <v>Tidak</v>
          </cell>
          <cell r="G1675" t="str">
            <v>Tidak</v>
          </cell>
          <cell r="H1675" t="str">
            <v>Tidak</v>
          </cell>
          <cell r="I1675" t="str">
            <v>Bandar Judol Withdrawal</v>
          </cell>
          <cell r="J1675">
            <v>50</v>
          </cell>
          <cell r="K1675" t="str">
            <v>86,88,87</v>
          </cell>
          <cell r="L1675" t="str">
            <v>Judi Online</v>
          </cell>
          <cell r="M1675" t="str">
            <v xml:space="preserve">Kas Kanpus                              </v>
          </cell>
          <cell r="N1675" t="str">
            <v xml:space="preserve">Kas Kanpus                              </v>
          </cell>
          <cell r="O1675" t="str">
            <v xml:space="preserve">KAS KANPUS                              </v>
          </cell>
          <cell r="R1675" t="str">
            <v>Belum TL</v>
          </cell>
          <cell r="S1675" t="str">
            <v>Belum TL</v>
          </cell>
          <cell r="T1675" t="str">
            <v>90150130 - Intan Aida Pratiwi</v>
          </cell>
          <cell r="U1675" t="str">
            <v>"-"</v>
          </cell>
        </row>
        <row r="1676">
          <cell r="A1676">
            <v>46265</v>
          </cell>
          <cell r="B1676" t="str">
            <v xml:space="preserve">RISNA LIDIA                             </v>
          </cell>
          <cell r="C1676" t="str">
            <v>RNMT390</v>
          </cell>
          <cell r="D1676">
            <v>531201010268505</v>
          </cell>
          <cell r="E1676" t="str">
            <v>SEDANG</v>
          </cell>
          <cell r="F1676" t="str">
            <v>Tidak</v>
          </cell>
          <cell r="G1676" t="str">
            <v>Tidak</v>
          </cell>
          <cell r="H1676" t="str">
            <v>Tidak</v>
          </cell>
          <cell r="I1676" t="str">
            <v>Bandar Judol Withdrawal</v>
          </cell>
          <cell r="J1676">
            <v>50</v>
          </cell>
          <cell r="K1676" t="str">
            <v>86,88,87</v>
          </cell>
          <cell r="L1676" t="str">
            <v>Judi Online</v>
          </cell>
          <cell r="M1676" t="str">
            <v xml:space="preserve">Kas Kanpus                              </v>
          </cell>
          <cell r="N1676" t="str">
            <v xml:space="preserve">Kas Kanpus                              </v>
          </cell>
          <cell r="O1676" t="str">
            <v xml:space="preserve">KAS KANPUS                              </v>
          </cell>
          <cell r="R1676" t="str">
            <v>Belum TL</v>
          </cell>
          <cell r="S1676" t="str">
            <v>Belum TL</v>
          </cell>
          <cell r="T1676" t="str">
            <v>90185538 - Muhammad Fahikal Auz</v>
          </cell>
          <cell r="U1676" t="str">
            <v>"-"</v>
          </cell>
        </row>
        <row r="1677">
          <cell r="A1677">
            <v>46265</v>
          </cell>
          <cell r="B1677" t="str">
            <v xml:space="preserve">RYAN PRATAMA                            </v>
          </cell>
          <cell r="C1677" t="str">
            <v>RNMZ233</v>
          </cell>
          <cell r="D1677">
            <v>325301038106537</v>
          </cell>
          <cell r="E1677" t="str">
            <v>SEDANG</v>
          </cell>
          <cell r="F1677" t="str">
            <v>Tidak</v>
          </cell>
          <cell r="G1677" t="str">
            <v>Tidak</v>
          </cell>
          <cell r="H1677" t="str">
            <v>Tidak</v>
          </cell>
          <cell r="I1677" t="str">
            <v>Bandar Judol Withdrawal</v>
          </cell>
          <cell r="J1677">
            <v>50</v>
          </cell>
          <cell r="K1677" t="str">
            <v>86,88,87</v>
          </cell>
          <cell r="L1677" t="str">
            <v>Judi Online</v>
          </cell>
          <cell r="M1677" t="str">
            <v xml:space="preserve">Kas Kanpus                              </v>
          </cell>
          <cell r="N1677" t="str">
            <v xml:space="preserve">Kas Kanpus                              </v>
          </cell>
          <cell r="O1677" t="str">
            <v xml:space="preserve">KAS KANPUS                              </v>
          </cell>
          <cell r="R1677" t="str">
            <v>Belum TL</v>
          </cell>
          <cell r="S1677" t="str">
            <v>Belum TL</v>
          </cell>
          <cell r="T1677" t="str">
            <v>90170665 - Mutiara Ayuningtyas</v>
          </cell>
          <cell r="U1677" t="str">
            <v>"-"</v>
          </cell>
        </row>
        <row r="1678">
          <cell r="A1678">
            <v>46265</v>
          </cell>
          <cell r="B1678" t="str">
            <v xml:space="preserve">REDEMTUS PASCALIS WEDJO BORO            </v>
          </cell>
          <cell r="C1678" t="str">
            <v>RNPH590</v>
          </cell>
          <cell r="D1678">
            <v>467101008188100</v>
          </cell>
          <cell r="E1678" t="str">
            <v>RENDAH</v>
          </cell>
          <cell r="F1678" t="str">
            <v>Tidak</v>
          </cell>
          <cell r="G1678" t="str">
            <v>Tidak</v>
          </cell>
          <cell r="H1678" t="str">
            <v>Tidak</v>
          </cell>
          <cell r="I1678" t="str">
            <v>Korupsi - Loan View</v>
          </cell>
          <cell r="J1678">
            <v>33</v>
          </cell>
          <cell r="K1678">
            <v>15</v>
          </cell>
          <cell r="L1678" t="str">
            <v>Korupsi</v>
          </cell>
          <cell r="M1678" t="str">
            <v>Kas Kanpus</v>
          </cell>
          <cell r="N1678" t="str">
            <v>Kas Kanpus</v>
          </cell>
          <cell r="O1678" t="str">
            <v>KAS KANPUS</v>
          </cell>
          <cell r="R1678" t="str">
            <v>Belum TL</v>
          </cell>
          <cell r="S1678" t="str">
            <v>Belum TL</v>
          </cell>
          <cell r="T1678" t="str">
            <v>90170665 - Mutiara Ayuningtyas</v>
          </cell>
          <cell r="U1678" t="str">
            <v>"-"</v>
          </cell>
        </row>
        <row r="1679">
          <cell r="A1679">
            <v>46265</v>
          </cell>
          <cell r="B1679" t="str">
            <v xml:space="preserve">ROLANDA                                 </v>
          </cell>
          <cell r="C1679" t="str">
            <v>RNLH356</v>
          </cell>
          <cell r="D1679">
            <v>119601013728500</v>
          </cell>
          <cell r="E1679" t="str">
            <v>SEDANG</v>
          </cell>
          <cell r="F1679" t="str">
            <v>Tidak</v>
          </cell>
          <cell r="G1679" t="str">
            <v>Tidak</v>
          </cell>
          <cell r="H1679" t="str">
            <v>Tidak</v>
          </cell>
          <cell r="I1679" t="str">
            <v>Bandar Judol Withdrawal</v>
          </cell>
          <cell r="J1679">
            <v>50</v>
          </cell>
          <cell r="K1679" t="str">
            <v>86,88,87</v>
          </cell>
          <cell r="L1679" t="str">
            <v>Judi Online</v>
          </cell>
          <cell r="M1679" t="str">
            <v xml:space="preserve">Kas Kanpus                              </v>
          </cell>
          <cell r="N1679" t="str">
            <v xml:space="preserve">Kas Kanpus                              </v>
          </cell>
          <cell r="O1679" t="str">
            <v xml:space="preserve">KAS KANPUS                              </v>
          </cell>
          <cell r="R1679" t="str">
            <v>Belum TL</v>
          </cell>
          <cell r="S1679" t="str">
            <v>Belum TL</v>
          </cell>
          <cell r="T1679" t="str">
            <v>00336949 - Mochammad Al Farabi</v>
          </cell>
          <cell r="U1679" t="str">
            <v>"-"</v>
          </cell>
        </row>
        <row r="1680">
          <cell r="A1680">
            <v>46265</v>
          </cell>
          <cell r="B1680" t="str">
            <v xml:space="preserve">RENDRA SAPUTRA                          </v>
          </cell>
          <cell r="C1680" t="str">
            <v>RNR4218</v>
          </cell>
          <cell r="D1680">
            <v>344801030412107</v>
          </cell>
          <cell r="E1680" t="str">
            <v>RENDAH</v>
          </cell>
          <cell r="F1680" t="str">
            <v>Tidak</v>
          </cell>
          <cell r="G1680" t="str">
            <v>Tidak</v>
          </cell>
          <cell r="H1680" t="str">
            <v>Tidak</v>
          </cell>
          <cell r="I1680" t="str">
            <v>Korupsi - Loan View</v>
          </cell>
          <cell r="J1680">
            <v>33</v>
          </cell>
          <cell r="K1680">
            <v>15</v>
          </cell>
          <cell r="L1680" t="str">
            <v>Korupsi</v>
          </cell>
          <cell r="M1680" t="str">
            <v>Kas Kanpus</v>
          </cell>
          <cell r="N1680" t="str">
            <v>Kas Kanpus</v>
          </cell>
          <cell r="O1680" t="str">
            <v>KAS KANPUS</v>
          </cell>
          <cell r="R1680" t="str">
            <v>Belum TL</v>
          </cell>
          <cell r="S1680" t="str">
            <v>Belum TL</v>
          </cell>
          <cell r="T1680" t="str">
            <v>90186796 - Devito Arya Wiradila</v>
          </cell>
          <cell r="U1680" t="str">
            <v>"-"</v>
          </cell>
        </row>
        <row r="1681">
          <cell r="A1681">
            <v>46265</v>
          </cell>
          <cell r="B1681" t="str">
            <v xml:space="preserve">ROSDIANA PALUPI RAHMAWATI               </v>
          </cell>
          <cell r="C1681" t="str">
            <v>RNV6371</v>
          </cell>
          <cell r="D1681">
            <v>66001000736564</v>
          </cell>
          <cell r="E1681" t="str">
            <v>RENDAH</v>
          </cell>
          <cell r="F1681" t="str">
            <v>Tidak</v>
          </cell>
          <cell r="G1681" t="str">
            <v>Tidak</v>
          </cell>
          <cell r="H1681" t="str">
            <v>Tidak</v>
          </cell>
          <cell r="I1681" t="str">
            <v>Narkotika - Area Lapas</v>
          </cell>
          <cell r="J1681">
            <v>33</v>
          </cell>
          <cell r="K1681">
            <v>47</v>
          </cell>
          <cell r="L1681" t="str">
            <v>Narkotika</v>
          </cell>
          <cell r="M1681" t="str">
            <v>KCP PASAR NATAR TJ KARANG</v>
          </cell>
          <cell r="N1681" t="str">
            <v>KC Tanjung Karang</v>
          </cell>
          <cell r="O1681" t="str">
            <v>KANWIL BANDAR LAMPUNG</v>
          </cell>
          <cell r="R1681" t="str">
            <v>Belum TL</v>
          </cell>
          <cell r="S1681" t="str">
            <v>Belum TL</v>
          </cell>
          <cell r="T1681" t="str">
            <v>90150130 - Intan Aida Pratiwi</v>
          </cell>
          <cell r="U1681" t="str">
            <v>"-"</v>
          </cell>
        </row>
        <row r="1682">
          <cell r="A1682">
            <v>46265</v>
          </cell>
          <cell r="B1682" t="str">
            <v xml:space="preserve">RIKY MAULANA                            </v>
          </cell>
          <cell r="C1682" t="str">
            <v>RNXI152</v>
          </cell>
          <cell r="D1682">
            <v>44401048681507</v>
          </cell>
          <cell r="F1682" t="str">
            <v>Tidak</v>
          </cell>
          <cell r="G1682" t="str">
            <v>Tidak</v>
          </cell>
          <cell r="H1682" t="str">
            <v>Tidak</v>
          </cell>
          <cell r="I1682" t="str">
            <v>Bandar Judol Depo</v>
          </cell>
          <cell r="J1682">
            <v>35</v>
          </cell>
          <cell r="K1682" t="str">
            <v>86,74,87</v>
          </cell>
          <cell r="L1682" t="str">
            <v>Judi Online</v>
          </cell>
          <cell r="M1682" t="str">
            <v xml:space="preserve">Kas Kanpus                              </v>
          </cell>
          <cell r="N1682" t="str">
            <v xml:space="preserve">Kas Kanpus                              </v>
          </cell>
          <cell r="O1682" t="str">
            <v xml:space="preserve">KAS KANPUS                              </v>
          </cell>
          <cell r="R1682" t="str">
            <v>Belum TL</v>
          </cell>
          <cell r="S1682" t="str">
            <v>Belum TL</v>
          </cell>
          <cell r="T1682" t="str">
            <v>90170665 - Mutiara Ayuningtyas</v>
          </cell>
          <cell r="U1682" t="str">
            <v>"-"</v>
          </cell>
        </row>
        <row r="1683">
          <cell r="A1683">
            <v>46265</v>
          </cell>
          <cell r="B1683" t="str">
            <v xml:space="preserve">RAZALI HUSEIN SE                        </v>
          </cell>
          <cell r="C1683" t="str">
            <v>ROA4191</v>
          </cell>
          <cell r="D1683">
            <v>115401000001503</v>
          </cell>
          <cell r="E1683" t="str">
            <v>TINGGI</v>
          </cell>
          <cell r="F1683" t="str">
            <v>Tidak</v>
          </cell>
          <cell r="G1683" t="str">
            <v>Tidak</v>
          </cell>
          <cell r="H1683" t="str">
            <v>Tidak</v>
          </cell>
          <cell r="I1683" t="str">
            <v>Perpajakan</v>
          </cell>
          <cell r="J1683">
            <v>73</v>
          </cell>
          <cell r="K1683">
            <v>1.33</v>
          </cell>
          <cell r="L1683" t="str">
            <v>Perpajakan</v>
          </cell>
          <cell r="M1683" t="str">
            <v xml:space="preserve">KCP DISKI                               </v>
          </cell>
          <cell r="N1683" t="str">
            <v xml:space="preserve">KC Binjai                               </v>
          </cell>
          <cell r="O1683" t="str">
            <v xml:space="preserve">Medan                                   </v>
          </cell>
          <cell r="R1683" t="str">
            <v>Belum TL</v>
          </cell>
          <cell r="S1683" t="str">
            <v>Belum TL</v>
          </cell>
          <cell r="T1683" t="str">
            <v>90186790 - Muhammad Alfin Farha</v>
          </cell>
          <cell r="U1683" t="str">
            <v>"-"</v>
          </cell>
        </row>
        <row r="1684">
          <cell r="A1684">
            <v>46265</v>
          </cell>
          <cell r="B1684" t="str">
            <v xml:space="preserve">RIKI BAEHAKI                            </v>
          </cell>
          <cell r="C1684" t="str">
            <v>ROJV189</v>
          </cell>
          <cell r="D1684">
            <v>112901036843500</v>
          </cell>
          <cell r="F1684" t="str">
            <v>Tidak</v>
          </cell>
          <cell r="G1684" t="str">
            <v>Tidak</v>
          </cell>
          <cell r="H1684" t="str">
            <v>Tidak</v>
          </cell>
          <cell r="I1684" t="str">
            <v>Bandar Judol Withdrawal</v>
          </cell>
          <cell r="J1684">
            <v>35</v>
          </cell>
          <cell r="K1684" t="str">
            <v>86,88,87</v>
          </cell>
          <cell r="L1684" t="str">
            <v>Judi Online</v>
          </cell>
          <cell r="M1684" t="str">
            <v xml:space="preserve">Kas Kanpus                              </v>
          </cell>
          <cell r="N1684" t="str">
            <v xml:space="preserve">Kas Kanpus                              </v>
          </cell>
          <cell r="O1684" t="str">
            <v xml:space="preserve">KAS KANPUS                              </v>
          </cell>
          <cell r="R1684" t="str">
            <v>Belum TL</v>
          </cell>
          <cell r="S1684" t="str">
            <v>Belum TL</v>
          </cell>
          <cell r="T1684" t="str">
            <v>90185538 - Muhammad Fahikal Auz</v>
          </cell>
          <cell r="U1684" t="str">
            <v>"-"</v>
          </cell>
        </row>
        <row r="1685">
          <cell r="A1685">
            <v>46265</v>
          </cell>
          <cell r="B1685" t="str">
            <v xml:space="preserve">RAFIF NOVBI ALDYMAS                     </v>
          </cell>
          <cell r="C1685" t="str">
            <v>ROIY979</v>
          </cell>
          <cell r="D1685">
            <v>42401002433568</v>
          </cell>
          <cell r="F1685" t="str">
            <v>Tidak</v>
          </cell>
          <cell r="G1685" t="str">
            <v>Tidak</v>
          </cell>
          <cell r="H1685" t="str">
            <v>Tidak</v>
          </cell>
          <cell r="I1685" t="str">
            <v>Bandar Judol Withdrawal</v>
          </cell>
          <cell r="J1685">
            <v>35</v>
          </cell>
          <cell r="K1685" t="str">
            <v>86,88,87</v>
          </cell>
          <cell r="L1685" t="str">
            <v>Judi Online</v>
          </cell>
          <cell r="M1685" t="str">
            <v xml:space="preserve">Kas Kanpus                              </v>
          </cell>
          <cell r="N1685" t="str">
            <v xml:space="preserve">Kas Kanpus                              </v>
          </cell>
          <cell r="O1685" t="str">
            <v xml:space="preserve">KAS KANPUS                              </v>
          </cell>
          <cell r="R1685" t="str">
            <v>Belum TL</v>
          </cell>
          <cell r="S1685" t="str">
            <v>Belum TL</v>
          </cell>
          <cell r="T1685" t="str">
            <v>90185537 - Moh.Khoerul Fajar Ar</v>
          </cell>
          <cell r="U1685" t="str">
            <v>"-"</v>
          </cell>
        </row>
        <row r="1686">
          <cell r="A1686">
            <v>46265</v>
          </cell>
          <cell r="B1686" t="str">
            <v xml:space="preserve">RIZKI FATAHILAH                         </v>
          </cell>
          <cell r="C1686" t="str">
            <v>ROMN838</v>
          </cell>
          <cell r="D1686">
            <v>418401027777509</v>
          </cell>
          <cell r="F1686" t="str">
            <v>Tidak</v>
          </cell>
          <cell r="G1686" t="str">
            <v>Tidak</v>
          </cell>
          <cell r="H1686" t="str">
            <v>Tidak</v>
          </cell>
          <cell r="I1686" t="str">
            <v>Bandar Judol Withdrawal</v>
          </cell>
          <cell r="J1686">
            <v>35</v>
          </cell>
          <cell r="K1686" t="str">
            <v>86,88,87</v>
          </cell>
          <cell r="L1686" t="str">
            <v>Judi Online</v>
          </cell>
          <cell r="M1686" t="str">
            <v xml:space="preserve">Kas Kanpus                              </v>
          </cell>
          <cell r="N1686" t="str">
            <v xml:space="preserve">Kas Kanpus                              </v>
          </cell>
          <cell r="O1686" t="str">
            <v xml:space="preserve">KAS KANPUS                              </v>
          </cell>
          <cell r="R1686" t="str">
            <v>Belum TL</v>
          </cell>
          <cell r="S1686" t="str">
            <v>Belum TL</v>
          </cell>
          <cell r="T1686" t="str">
            <v>90150130 - Intan Aida Pratiwi</v>
          </cell>
          <cell r="U1686" t="str">
            <v>"-"</v>
          </cell>
        </row>
        <row r="1687">
          <cell r="A1687">
            <v>46265</v>
          </cell>
          <cell r="B1687" t="str">
            <v xml:space="preserve">ROBBY DARMAWAN                          </v>
          </cell>
          <cell r="C1687" t="str">
            <v>RONF160</v>
          </cell>
          <cell r="D1687">
            <v>385401005416509</v>
          </cell>
          <cell r="F1687" t="str">
            <v>Tidak</v>
          </cell>
          <cell r="G1687" t="str">
            <v>Tidak</v>
          </cell>
          <cell r="H1687" t="str">
            <v>Tidak</v>
          </cell>
          <cell r="I1687" t="str">
            <v>Bandar Judol Withdrawal</v>
          </cell>
          <cell r="J1687">
            <v>35</v>
          </cell>
          <cell r="K1687" t="str">
            <v>86,88,87</v>
          </cell>
          <cell r="L1687" t="str">
            <v>Judi Online</v>
          </cell>
          <cell r="M1687" t="str">
            <v xml:space="preserve">Kas Kanpus                              </v>
          </cell>
          <cell r="N1687" t="str">
            <v xml:space="preserve">Kas Kanpus                              </v>
          </cell>
          <cell r="O1687" t="str">
            <v xml:space="preserve">KAS KANPUS                              </v>
          </cell>
          <cell r="R1687" t="str">
            <v>Belum TL</v>
          </cell>
          <cell r="S1687" t="str">
            <v>Belum TL</v>
          </cell>
          <cell r="T1687" t="str">
            <v>90185538 - Muhammad Fahikal Auz</v>
          </cell>
          <cell r="U1687" t="str">
            <v>"-"</v>
          </cell>
        </row>
        <row r="1688">
          <cell r="A1688">
            <v>46265</v>
          </cell>
          <cell r="B1688" t="str">
            <v xml:space="preserve">REZZA NOVIANSYAH PUTRA                  </v>
          </cell>
          <cell r="C1688" t="str">
            <v>RONN250</v>
          </cell>
          <cell r="D1688">
            <v>54101001048566</v>
          </cell>
          <cell r="F1688" t="str">
            <v>Tidak</v>
          </cell>
          <cell r="G1688" t="str">
            <v>Tidak</v>
          </cell>
          <cell r="H1688" t="str">
            <v>Tidak</v>
          </cell>
          <cell r="I1688" t="str">
            <v>Bandar Judol Withdrawal</v>
          </cell>
          <cell r="J1688">
            <v>35</v>
          </cell>
          <cell r="K1688" t="str">
            <v>86,88,87</v>
          </cell>
          <cell r="L1688" t="str">
            <v>Judi Online</v>
          </cell>
          <cell r="M1688" t="str">
            <v xml:space="preserve">Kas Kanpus                              </v>
          </cell>
          <cell r="N1688" t="str">
            <v xml:space="preserve">Kas Kanpus                              </v>
          </cell>
          <cell r="O1688" t="str">
            <v xml:space="preserve">KAS KANPUS                              </v>
          </cell>
          <cell r="R1688" t="str">
            <v>Belum TL</v>
          </cell>
          <cell r="S1688" t="str">
            <v>Belum TL</v>
          </cell>
          <cell r="T1688" t="str">
            <v>00394521 - Muhammad Hibbanduta</v>
          </cell>
          <cell r="U1688" t="str">
            <v>"-"</v>
          </cell>
        </row>
        <row r="1689">
          <cell r="A1689">
            <v>46265</v>
          </cell>
          <cell r="B1689" t="str">
            <v xml:space="preserve">RANGGA APRIYANDI SIREGAR                </v>
          </cell>
          <cell r="C1689" t="str">
            <v>ROOA642</v>
          </cell>
          <cell r="D1689">
            <v>108801019478508</v>
          </cell>
          <cell r="F1689" t="str">
            <v>Tidak</v>
          </cell>
          <cell r="G1689" t="str">
            <v>Tidak</v>
          </cell>
          <cell r="I1689" t="str">
            <v>Jual Beli Rekening - E channel Trx</v>
          </cell>
          <cell r="J1689">
            <v>33</v>
          </cell>
          <cell r="K1689">
            <v>113</v>
          </cell>
          <cell r="L1689" t="str">
            <v>Narkotika/Judi Online/Penipuan</v>
          </cell>
          <cell r="M1689" t="str">
            <v xml:space="preserve">KCP MEDAN SETIABUDI                     </v>
          </cell>
          <cell r="N1689" t="str">
            <v xml:space="preserve">KC Medan Gatot Subroto                  </v>
          </cell>
          <cell r="O1689" t="str">
            <v xml:space="preserve">Medan                                   </v>
          </cell>
          <cell r="R1689" t="str">
            <v>Belum TL</v>
          </cell>
          <cell r="S1689" t="str">
            <v>Belum TL</v>
          </cell>
          <cell r="U1689" t="str">
            <v>"-"</v>
          </cell>
        </row>
        <row r="1690">
          <cell r="A1690">
            <v>46265</v>
          </cell>
          <cell r="B1690" t="str">
            <v xml:space="preserve">RAHMAD HIDAYAT                          </v>
          </cell>
          <cell r="C1690" t="str">
            <v>RORL051</v>
          </cell>
          <cell r="D1690">
            <v>526101062962530</v>
          </cell>
          <cell r="F1690" t="str">
            <v>Tidak</v>
          </cell>
          <cell r="G1690" t="str">
            <v>Tidak</v>
          </cell>
          <cell r="H1690" t="str">
            <v>Tidak</v>
          </cell>
          <cell r="I1690" t="str">
            <v>Bandar Judol Withdrawal</v>
          </cell>
          <cell r="J1690">
            <v>35</v>
          </cell>
          <cell r="K1690" t="str">
            <v>86,88,87</v>
          </cell>
          <cell r="L1690" t="str">
            <v>Judi Online</v>
          </cell>
          <cell r="M1690" t="str">
            <v xml:space="preserve">Kas Kanpus                              </v>
          </cell>
          <cell r="N1690" t="str">
            <v xml:space="preserve">Kas Kanpus                              </v>
          </cell>
          <cell r="O1690" t="str">
            <v xml:space="preserve">KAS KANPUS                              </v>
          </cell>
          <cell r="R1690" t="str">
            <v>Belum TL</v>
          </cell>
          <cell r="S1690" t="str">
            <v>Belum TL</v>
          </cell>
          <cell r="T1690" t="str">
            <v>00336949 - Mochammad Al Farabi</v>
          </cell>
          <cell r="U1690" t="str">
            <v>"-"</v>
          </cell>
        </row>
        <row r="1691">
          <cell r="A1691">
            <v>46265</v>
          </cell>
          <cell r="B1691" t="str">
            <v xml:space="preserve">RANI MUSTIKA ZAHRA SUPRIADI             </v>
          </cell>
          <cell r="C1691" t="str">
            <v>ROS8128</v>
          </cell>
          <cell r="D1691">
            <v>1201284821500</v>
          </cell>
          <cell r="F1691" t="str">
            <v>Tidak</v>
          </cell>
          <cell r="G1691" t="str">
            <v>Tidak</v>
          </cell>
          <cell r="I1691" t="str">
            <v>Jual Beli Rekening - E channel Trx</v>
          </cell>
          <cell r="J1691">
            <v>33</v>
          </cell>
          <cell r="K1691">
            <v>113</v>
          </cell>
          <cell r="L1691" t="str">
            <v>Narkotika/Judi Online/Penipuan</v>
          </cell>
          <cell r="M1691" t="str">
            <v xml:space="preserve">KC Bogor                                </v>
          </cell>
          <cell r="N1691" t="str">
            <v xml:space="preserve">KC Bogor                                </v>
          </cell>
          <cell r="O1691" t="str">
            <v xml:space="preserve">DKI2                                    </v>
          </cell>
          <cell r="R1691" t="str">
            <v>Belum TL</v>
          </cell>
          <cell r="S1691" t="str">
            <v>Belum TL</v>
          </cell>
          <cell r="U1691" t="str">
            <v>"-"</v>
          </cell>
        </row>
        <row r="1692">
          <cell r="A1692">
            <v>46265</v>
          </cell>
          <cell r="B1692" t="str">
            <v xml:space="preserve">ROYAL MITRA SEHAT                       </v>
          </cell>
          <cell r="C1692" t="str">
            <v>ROTM194</v>
          </cell>
          <cell r="D1692">
            <v>38901001585304</v>
          </cell>
          <cell r="F1692" t="str">
            <v>Tidak</v>
          </cell>
          <cell r="G1692" t="str">
            <v>Tidak</v>
          </cell>
          <cell r="H1692" t="str">
            <v>Tidak</v>
          </cell>
          <cell r="I1692" t="str">
            <v>Perpajakan</v>
          </cell>
          <cell r="J1692">
            <v>33</v>
          </cell>
          <cell r="K1692">
            <v>41</v>
          </cell>
          <cell r="L1692" t="str">
            <v>Perpajakan</v>
          </cell>
          <cell r="M1692" t="str">
            <v xml:space="preserve">KC Bandung Martadinata                  </v>
          </cell>
          <cell r="N1692" t="str">
            <v xml:space="preserve">KC Bandung Martadinata                  </v>
          </cell>
          <cell r="O1692" t="str">
            <v xml:space="preserve">Bandung                                 </v>
          </cell>
          <cell r="R1692" t="str">
            <v>Belum TL</v>
          </cell>
          <cell r="S1692" t="str">
            <v>Belum TL</v>
          </cell>
          <cell r="T1692" t="str">
            <v>00336949 - Mochammad Al Farabi</v>
          </cell>
          <cell r="U1692" t="str">
            <v>"-"</v>
          </cell>
        </row>
        <row r="1693">
          <cell r="A1693">
            <v>46265</v>
          </cell>
          <cell r="B1693" t="str">
            <v xml:space="preserve">RICKY PRATAMA                           </v>
          </cell>
          <cell r="C1693" t="str">
            <v>ROX8484</v>
          </cell>
          <cell r="D1693">
            <v>209101000763560</v>
          </cell>
          <cell r="F1693" t="str">
            <v>Tidak</v>
          </cell>
          <cell r="G1693" t="str">
            <v>Tidak</v>
          </cell>
          <cell r="I1693" t="str">
            <v>Jual Beli Rekening - E channel Trx</v>
          </cell>
          <cell r="J1693">
            <v>33</v>
          </cell>
          <cell r="K1693">
            <v>113</v>
          </cell>
          <cell r="L1693" t="str">
            <v>Narkotika/Judi Online/Penipuan</v>
          </cell>
          <cell r="M1693" t="str">
            <v xml:space="preserve">KCP TOBOALI                             </v>
          </cell>
          <cell r="N1693" t="str">
            <v xml:space="preserve">KC Pangkal Pinang                       </v>
          </cell>
          <cell r="O1693" t="str">
            <v xml:space="preserve">Palembang                               </v>
          </cell>
          <cell r="R1693" t="str">
            <v>Belum TL</v>
          </cell>
          <cell r="S1693" t="str">
            <v>Belum TL</v>
          </cell>
          <cell r="U1693" t="str">
            <v>"-"</v>
          </cell>
        </row>
        <row r="1694">
          <cell r="A1694">
            <v>46265</v>
          </cell>
          <cell r="B1694" t="str">
            <v xml:space="preserve">RIVAL SONJAYA                           </v>
          </cell>
          <cell r="C1694" t="str">
            <v>RPC8039</v>
          </cell>
          <cell r="D1694">
            <v>38601078047505</v>
          </cell>
          <cell r="E1694" t="str">
            <v>SEDANG</v>
          </cell>
          <cell r="F1694" t="str">
            <v>Tidak</v>
          </cell>
          <cell r="G1694" t="str">
            <v>Tidak</v>
          </cell>
          <cell r="H1694" t="str">
            <v>Tidak</v>
          </cell>
          <cell r="I1694" t="str">
            <v>Bandar Judol Withdrawal</v>
          </cell>
          <cell r="J1694">
            <v>50</v>
          </cell>
          <cell r="K1694" t="str">
            <v>86,88,87</v>
          </cell>
          <cell r="L1694" t="str">
            <v>Judi Online</v>
          </cell>
          <cell r="M1694" t="str">
            <v xml:space="preserve">Kas Kanpus                              </v>
          </cell>
          <cell r="N1694" t="str">
            <v xml:space="preserve">Kas Kanpus                              </v>
          </cell>
          <cell r="O1694" t="str">
            <v xml:space="preserve">KAS KANPUS                              </v>
          </cell>
          <cell r="R1694" t="str">
            <v>Belum TL</v>
          </cell>
          <cell r="S1694" t="str">
            <v>Belum TL</v>
          </cell>
          <cell r="T1694" t="str">
            <v>90150130 - Intan Aida Pratiwi</v>
          </cell>
          <cell r="U1694" t="str">
            <v>"-"</v>
          </cell>
        </row>
        <row r="1695">
          <cell r="A1695">
            <v>46265</v>
          </cell>
          <cell r="B1695" t="str">
            <v xml:space="preserve">RIO CHANDRA                             </v>
          </cell>
          <cell r="C1695" t="str">
            <v>RPEM657</v>
          </cell>
          <cell r="D1695">
            <v>531101016061509</v>
          </cell>
          <cell r="F1695" t="str">
            <v>Tidak</v>
          </cell>
          <cell r="G1695" t="str">
            <v>Tidak</v>
          </cell>
          <cell r="H1695" t="str">
            <v>Tidak</v>
          </cell>
          <cell r="I1695" t="str">
            <v>Bandar Judol Withdrawal</v>
          </cell>
          <cell r="J1695">
            <v>35</v>
          </cell>
          <cell r="K1695" t="str">
            <v>86,88,87</v>
          </cell>
          <cell r="L1695" t="str">
            <v>Judi Online</v>
          </cell>
          <cell r="M1695" t="str">
            <v xml:space="preserve">Kas Kanpus                              </v>
          </cell>
          <cell r="N1695" t="str">
            <v xml:space="preserve">Kas Kanpus                              </v>
          </cell>
          <cell r="O1695" t="str">
            <v xml:space="preserve">KAS KANPUS                              </v>
          </cell>
          <cell r="R1695" t="str">
            <v>Belum TL</v>
          </cell>
          <cell r="S1695" t="str">
            <v>Belum TL</v>
          </cell>
          <cell r="T1695" t="str">
            <v>90185538 - Muhammad Fahikal Auz</v>
          </cell>
          <cell r="U1695" t="str">
            <v>"-"</v>
          </cell>
        </row>
        <row r="1696">
          <cell r="A1696">
            <v>46265</v>
          </cell>
          <cell r="B1696" t="str">
            <v xml:space="preserve">RINI                                    </v>
          </cell>
          <cell r="C1696" t="str">
            <v>RPFH490</v>
          </cell>
          <cell r="D1696">
            <v>34201002987567</v>
          </cell>
          <cell r="F1696" t="str">
            <v>Tidak</v>
          </cell>
          <cell r="G1696" t="str">
            <v>Tidak</v>
          </cell>
          <cell r="H1696" t="str">
            <v>Tidak</v>
          </cell>
          <cell r="I1696" t="str">
            <v>Bandar Judol Depo</v>
          </cell>
          <cell r="J1696">
            <v>35</v>
          </cell>
          <cell r="K1696" t="str">
            <v>86,74,87</v>
          </cell>
          <cell r="L1696" t="str">
            <v>Judi Online</v>
          </cell>
          <cell r="M1696" t="str">
            <v xml:space="preserve">Kas Kanpus                              </v>
          </cell>
          <cell r="N1696" t="str">
            <v xml:space="preserve">Kas Kanpus                              </v>
          </cell>
          <cell r="O1696" t="str">
            <v xml:space="preserve">KAS KANPUS                              </v>
          </cell>
          <cell r="R1696" t="str">
            <v>Belum TL</v>
          </cell>
          <cell r="S1696" t="str">
            <v>Belum TL</v>
          </cell>
          <cell r="T1696" t="str">
            <v>00336949 - Mochammad Al Farabi</v>
          </cell>
          <cell r="U1696" t="str">
            <v>"-"</v>
          </cell>
        </row>
        <row r="1697">
          <cell r="A1697">
            <v>46265</v>
          </cell>
          <cell r="B1697" t="str">
            <v xml:space="preserve">RONALDO                                 </v>
          </cell>
          <cell r="C1697" t="str">
            <v>RPHE367</v>
          </cell>
          <cell r="D1697">
            <v>736901000103568</v>
          </cell>
          <cell r="F1697" t="str">
            <v>Tidak</v>
          </cell>
          <cell r="G1697" t="str">
            <v>Tidak</v>
          </cell>
          <cell r="H1697" t="str">
            <v>Tidak</v>
          </cell>
          <cell r="I1697" t="str">
            <v>Bandar Judol Depo</v>
          </cell>
          <cell r="J1697">
            <v>35</v>
          </cell>
          <cell r="K1697" t="str">
            <v>86,74,87</v>
          </cell>
          <cell r="L1697" t="str">
            <v>Judi Online</v>
          </cell>
          <cell r="M1697" t="str">
            <v xml:space="preserve">Kas Kanpus                              </v>
          </cell>
          <cell r="N1697" t="str">
            <v xml:space="preserve">Kas Kanpus                              </v>
          </cell>
          <cell r="O1697" t="str">
            <v xml:space="preserve">KAS KANPUS                              </v>
          </cell>
          <cell r="R1697" t="str">
            <v>Belum TL</v>
          </cell>
          <cell r="S1697" t="str">
            <v>Belum TL</v>
          </cell>
          <cell r="T1697" t="str">
            <v>90171841 - Rifqi Aziz</v>
          </cell>
          <cell r="U1697" t="str">
            <v>"-"</v>
          </cell>
        </row>
        <row r="1698">
          <cell r="A1698">
            <v>46265</v>
          </cell>
          <cell r="B1698" t="str">
            <v xml:space="preserve">RIZALDI ARWANDA                         </v>
          </cell>
          <cell r="C1698" t="str">
            <v>RPHL302</v>
          </cell>
          <cell r="D1698">
            <v>335301013447508</v>
          </cell>
          <cell r="F1698" t="str">
            <v>Tidak</v>
          </cell>
          <cell r="G1698" t="str">
            <v>Tidak</v>
          </cell>
          <cell r="H1698" t="str">
            <v>Tidak</v>
          </cell>
          <cell r="I1698" t="str">
            <v>Bandar Judol Depo</v>
          </cell>
          <cell r="J1698">
            <v>35</v>
          </cell>
          <cell r="K1698" t="str">
            <v>86,74,87</v>
          </cell>
          <cell r="L1698" t="str">
            <v>Judi Online</v>
          </cell>
          <cell r="M1698" t="str">
            <v xml:space="preserve">Kas Kanpus                              </v>
          </cell>
          <cell r="N1698" t="str">
            <v xml:space="preserve">Kas Kanpus                              </v>
          </cell>
          <cell r="O1698" t="str">
            <v xml:space="preserve">KAS KANPUS                              </v>
          </cell>
          <cell r="R1698" t="str">
            <v>Belum TL</v>
          </cell>
          <cell r="S1698" t="str">
            <v>Belum TL</v>
          </cell>
          <cell r="T1698" t="str">
            <v>90185537 - Moh.Khoerul Fajar Ar</v>
          </cell>
          <cell r="U1698" t="str">
            <v>"-"</v>
          </cell>
        </row>
        <row r="1699">
          <cell r="A1699">
            <v>46265</v>
          </cell>
          <cell r="B1699" t="str">
            <v xml:space="preserve">RAHMANSYAH                              </v>
          </cell>
          <cell r="C1699" t="str">
            <v>RPIF149</v>
          </cell>
          <cell r="D1699">
            <v>109001041778501</v>
          </cell>
          <cell r="F1699" t="str">
            <v>Tidak</v>
          </cell>
          <cell r="G1699" t="str">
            <v>Tidak</v>
          </cell>
          <cell r="H1699" t="str">
            <v>Tidak</v>
          </cell>
          <cell r="I1699" t="str">
            <v>Bandar Judol Withdrawal</v>
          </cell>
          <cell r="J1699">
            <v>35</v>
          </cell>
          <cell r="K1699" t="str">
            <v>86,88,87</v>
          </cell>
          <cell r="L1699" t="str">
            <v>Judi Online</v>
          </cell>
          <cell r="M1699" t="str">
            <v xml:space="preserve">Kas Kanpus                              </v>
          </cell>
          <cell r="N1699" t="str">
            <v xml:space="preserve">Kas Kanpus                              </v>
          </cell>
          <cell r="O1699" t="str">
            <v xml:space="preserve">KAS KANPUS                              </v>
          </cell>
          <cell r="R1699" t="str">
            <v>Belum TL</v>
          </cell>
          <cell r="S1699" t="str">
            <v>Belum TL</v>
          </cell>
          <cell r="T1699" t="str">
            <v>90171841 - Rifqi Aziz</v>
          </cell>
          <cell r="U1699" t="str">
            <v>"-"</v>
          </cell>
        </row>
        <row r="1700">
          <cell r="A1700">
            <v>46265</v>
          </cell>
          <cell r="B1700" t="str">
            <v xml:space="preserve">RISNAWATI                               </v>
          </cell>
          <cell r="C1700" t="str">
            <v>RPRV508</v>
          </cell>
          <cell r="D1700">
            <v>6201254171508</v>
          </cell>
          <cell r="F1700" t="str">
            <v>Tidak</v>
          </cell>
          <cell r="G1700" t="str">
            <v>Tidak</v>
          </cell>
          <cell r="H1700" t="str">
            <v>Tidak</v>
          </cell>
          <cell r="I1700" t="str">
            <v>Bandar Judol Depo</v>
          </cell>
          <cell r="J1700">
            <v>35</v>
          </cell>
          <cell r="K1700" t="str">
            <v>86,74,87</v>
          </cell>
          <cell r="L1700" t="str">
            <v>Judi Online</v>
          </cell>
          <cell r="M1700" t="str">
            <v xml:space="preserve">Kas Kanpus                              </v>
          </cell>
          <cell r="N1700" t="str">
            <v xml:space="preserve">Kas Kanpus                              </v>
          </cell>
          <cell r="O1700" t="str">
            <v xml:space="preserve">KAS KANPUS                              </v>
          </cell>
          <cell r="R1700" t="str">
            <v>Belum TL</v>
          </cell>
          <cell r="S1700" t="str">
            <v>Belum TL</v>
          </cell>
          <cell r="T1700" t="str">
            <v>90186796 - Devito Arya Wiradila</v>
          </cell>
          <cell r="U1700" t="str">
            <v>"-"</v>
          </cell>
        </row>
        <row r="1701">
          <cell r="A1701">
            <v>46265</v>
          </cell>
          <cell r="B1701" t="str">
            <v xml:space="preserve">RICKY HENDRAWAN,S.PDI                   </v>
          </cell>
          <cell r="C1701" t="str">
            <v>RQA0521</v>
          </cell>
          <cell r="D1701">
            <v>525901012198538</v>
          </cell>
          <cell r="E1701" t="str">
            <v>SEDANG</v>
          </cell>
          <cell r="F1701" t="str">
            <v>Tidak</v>
          </cell>
          <cell r="G1701" t="str">
            <v>Tidak</v>
          </cell>
          <cell r="H1701" t="str">
            <v>Tidak</v>
          </cell>
          <cell r="I1701" t="str">
            <v>Bandar Judol Depo</v>
          </cell>
          <cell r="J1701">
            <v>50</v>
          </cell>
          <cell r="K1701" t="str">
            <v>86,74,87</v>
          </cell>
          <cell r="L1701" t="str">
            <v>Judi Online</v>
          </cell>
          <cell r="M1701" t="str">
            <v xml:space="preserve">Kas Kanpus                              </v>
          </cell>
          <cell r="N1701" t="str">
            <v xml:space="preserve">Kas Kanpus                              </v>
          </cell>
          <cell r="O1701" t="str">
            <v xml:space="preserve">KAS KANPUS                              </v>
          </cell>
          <cell r="R1701" t="str">
            <v>Belum TL</v>
          </cell>
          <cell r="S1701" t="str">
            <v>Belum TL</v>
          </cell>
          <cell r="T1701" t="str">
            <v>00394521 - Muhammad Hibbanduta</v>
          </cell>
          <cell r="U1701" t="str">
            <v>"-"</v>
          </cell>
        </row>
        <row r="1702">
          <cell r="A1702">
            <v>46265</v>
          </cell>
          <cell r="B1702" t="str">
            <v xml:space="preserve">RUPAWAN ANUGERAH NUSANTARA INVESTAMA    </v>
          </cell>
          <cell r="C1702" t="str">
            <v>RQB9274</v>
          </cell>
          <cell r="D1702">
            <v>107901001794563</v>
          </cell>
          <cell r="E1702" t="str">
            <v>TINGGI</v>
          </cell>
          <cell r="F1702" t="str">
            <v>Tidak</v>
          </cell>
          <cell r="G1702" t="str">
            <v>Tidak</v>
          </cell>
          <cell r="H1702" t="str">
            <v>Tidak</v>
          </cell>
          <cell r="I1702" t="str">
            <v>Perpajakan</v>
          </cell>
          <cell r="J1702">
            <v>63</v>
          </cell>
          <cell r="K1702">
            <v>41</v>
          </cell>
          <cell r="L1702" t="str">
            <v>Perpajakan</v>
          </cell>
          <cell r="M1702" t="str">
            <v xml:space="preserve">KC Pekanbaru Lancang Kuning             </v>
          </cell>
          <cell r="N1702" t="str">
            <v xml:space="preserve">KC Pekanbaru Lancang Kuning             </v>
          </cell>
          <cell r="O1702" t="str">
            <v xml:space="preserve">KANWIL PEKANBARU                        </v>
          </cell>
          <cell r="R1702" t="str">
            <v>Belum TL</v>
          </cell>
          <cell r="S1702" t="str">
            <v>Belum TL</v>
          </cell>
          <cell r="T1702" t="str">
            <v>90170665 - Mutiara Ayuningtyas</v>
          </cell>
          <cell r="U1702" t="str">
            <v>"-"</v>
          </cell>
        </row>
        <row r="1703">
          <cell r="A1703">
            <v>46265</v>
          </cell>
          <cell r="B1703" t="str">
            <v xml:space="preserve">RIKO TANZIL                             </v>
          </cell>
          <cell r="C1703" t="str">
            <v>RQCN512</v>
          </cell>
          <cell r="D1703">
            <v>115601002870566</v>
          </cell>
          <cell r="F1703" t="str">
            <v>Tidak</v>
          </cell>
          <cell r="G1703" t="str">
            <v>Tidak</v>
          </cell>
          <cell r="H1703" t="str">
            <v>Tidak</v>
          </cell>
          <cell r="I1703" t="str">
            <v>Judi Online</v>
          </cell>
          <cell r="J1703">
            <v>35</v>
          </cell>
          <cell r="K1703" t="str">
            <v>73,76,34,74,6</v>
          </cell>
          <cell r="L1703" t="str">
            <v>Judi Online</v>
          </cell>
          <cell r="M1703" t="str">
            <v xml:space="preserve">Kas Kanpus                              </v>
          </cell>
          <cell r="N1703" t="str">
            <v xml:space="preserve">Kas Kanpus                              </v>
          </cell>
          <cell r="O1703" t="str">
            <v xml:space="preserve">KAS KANPUS                              </v>
          </cell>
          <cell r="R1703" t="str">
            <v>Belum TL</v>
          </cell>
          <cell r="S1703" t="str">
            <v>Belum TL</v>
          </cell>
          <cell r="T1703" t="str">
            <v>00394520 - Frida Akbar Rani</v>
          </cell>
          <cell r="U1703" t="str">
            <v>"-"</v>
          </cell>
        </row>
        <row r="1704">
          <cell r="A1704">
            <v>46265</v>
          </cell>
          <cell r="B1704" t="str">
            <v xml:space="preserve">RONNY                                   </v>
          </cell>
          <cell r="C1704" t="str">
            <v>RQHV144</v>
          </cell>
          <cell r="D1704">
            <v>732301001962503</v>
          </cell>
          <cell r="F1704" t="str">
            <v>Tidak</v>
          </cell>
          <cell r="G1704" t="str">
            <v>Tidak</v>
          </cell>
          <cell r="H1704" t="str">
            <v>Tidak</v>
          </cell>
          <cell r="I1704" t="str">
            <v>Bandar Judol Withdrawal</v>
          </cell>
          <cell r="J1704">
            <v>35</v>
          </cell>
          <cell r="K1704" t="str">
            <v>86,88,87</v>
          </cell>
          <cell r="L1704" t="str">
            <v>Judi Online</v>
          </cell>
          <cell r="M1704" t="str">
            <v xml:space="preserve">Kas Kanpus                              </v>
          </cell>
          <cell r="N1704" t="str">
            <v xml:space="preserve">Kas Kanpus                              </v>
          </cell>
          <cell r="O1704" t="str">
            <v xml:space="preserve">KAS KANPUS                              </v>
          </cell>
          <cell r="R1704" t="str">
            <v>Belum TL</v>
          </cell>
          <cell r="S1704" t="str">
            <v>Belum TL</v>
          </cell>
          <cell r="T1704" t="str">
            <v>90185538 - Muhammad Fahikal Auz</v>
          </cell>
          <cell r="U1704" t="str">
            <v>"-"</v>
          </cell>
        </row>
        <row r="1705">
          <cell r="A1705">
            <v>46265</v>
          </cell>
          <cell r="B1705" t="str">
            <v xml:space="preserve">R.NURUL AKMAL                           </v>
          </cell>
          <cell r="C1705" t="str">
            <v>RQEH601</v>
          </cell>
          <cell r="D1705">
            <v>551401021972507</v>
          </cell>
          <cell r="F1705" t="str">
            <v>Tidak</v>
          </cell>
          <cell r="G1705" t="str">
            <v>Tidak</v>
          </cell>
          <cell r="H1705" t="str">
            <v>Tidak</v>
          </cell>
          <cell r="I1705" t="str">
            <v>Bandar Judol Withdrawal</v>
          </cell>
          <cell r="J1705">
            <v>35</v>
          </cell>
          <cell r="K1705" t="str">
            <v>86,88,87</v>
          </cell>
          <cell r="L1705" t="str">
            <v>Judi Online</v>
          </cell>
          <cell r="M1705" t="str">
            <v xml:space="preserve">Kas Kanpus                              </v>
          </cell>
          <cell r="N1705" t="str">
            <v xml:space="preserve">Kas Kanpus                              </v>
          </cell>
          <cell r="O1705" t="str">
            <v xml:space="preserve">KAS KANPUS                              </v>
          </cell>
          <cell r="R1705" t="str">
            <v>Belum TL</v>
          </cell>
          <cell r="S1705" t="str">
            <v>Belum TL</v>
          </cell>
          <cell r="T1705" t="str">
            <v>90170665 - Mutiara Ayuningtyas</v>
          </cell>
          <cell r="U1705" t="str">
            <v>"-"</v>
          </cell>
        </row>
        <row r="1706">
          <cell r="A1706">
            <v>46265</v>
          </cell>
          <cell r="B1706" t="str">
            <v xml:space="preserve">R RR ITA SUMINAR SARI SE                </v>
          </cell>
          <cell r="C1706" t="str">
            <v>RQF8431</v>
          </cell>
          <cell r="D1706">
            <v>44001003159565</v>
          </cell>
          <cell r="E1706" t="str">
            <v>TINGGI</v>
          </cell>
          <cell r="F1706" t="str">
            <v>Tidak</v>
          </cell>
          <cell r="G1706" t="str">
            <v>Tidak</v>
          </cell>
          <cell r="H1706" t="str">
            <v>Tidak</v>
          </cell>
          <cell r="I1706" t="str">
            <v>Korupsi - Significant Trx View</v>
          </cell>
          <cell r="J1706">
            <v>68</v>
          </cell>
          <cell r="K1706">
            <v>1.19</v>
          </cell>
          <cell r="L1706" t="str">
            <v>Korupsi</v>
          </cell>
          <cell r="M1706" t="str">
            <v>Kas Kanpus</v>
          </cell>
          <cell r="N1706" t="str">
            <v>Kas Kanpus</v>
          </cell>
          <cell r="O1706" t="str">
            <v>KAS KANPUS</v>
          </cell>
          <cell r="R1706" t="str">
            <v>Belum TL</v>
          </cell>
          <cell r="S1706" t="str">
            <v>Belum TL</v>
          </cell>
          <cell r="T1706" t="str">
            <v>90186796 - Devito Arya Wiradila</v>
          </cell>
          <cell r="U1706" t="str">
            <v>"-"</v>
          </cell>
        </row>
        <row r="1707">
          <cell r="A1707">
            <v>46265</v>
          </cell>
          <cell r="B1707" t="str">
            <v xml:space="preserve">RANGGA ADITYA SAPUTRA                   </v>
          </cell>
          <cell r="C1707" t="str">
            <v>RQLV346</v>
          </cell>
          <cell r="D1707">
            <v>687001010517503</v>
          </cell>
          <cell r="F1707" t="str">
            <v>Tidak</v>
          </cell>
          <cell r="G1707" t="str">
            <v>Tidak</v>
          </cell>
          <cell r="H1707" t="str">
            <v>Tidak</v>
          </cell>
          <cell r="I1707" t="str">
            <v>Bandar Judol Withdrawal</v>
          </cell>
          <cell r="J1707">
            <v>35</v>
          </cell>
          <cell r="K1707" t="str">
            <v>86,88,87</v>
          </cell>
          <cell r="L1707" t="str">
            <v>Judi Online</v>
          </cell>
          <cell r="M1707" t="str">
            <v xml:space="preserve">Kas Kanpus                              </v>
          </cell>
          <cell r="N1707" t="str">
            <v xml:space="preserve">Kas Kanpus                              </v>
          </cell>
          <cell r="O1707" t="str">
            <v xml:space="preserve">KAS KANPUS                              </v>
          </cell>
          <cell r="R1707" t="str">
            <v>Belum TL</v>
          </cell>
          <cell r="S1707" t="str">
            <v>Belum TL</v>
          </cell>
          <cell r="T1707" t="str">
            <v>00394520 - Frida Akbar Rani</v>
          </cell>
          <cell r="U1707" t="str">
            <v>"-"</v>
          </cell>
        </row>
        <row r="1708">
          <cell r="A1708">
            <v>46265</v>
          </cell>
          <cell r="B1708" t="str">
            <v xml:space="preserve">RIZKI SUBAKTI                           </v>
          </cell>
          <cell r="C1708" t="str">
            <v>RQGX488</v>
          </cell>
          <cell r="D1708">
            <v>224801007780504</v>
          </cell>
          <cell r="F1708" t="str">
            <v>Tidak</v>
          </cell>
          <cell r="G1708" t="str">
            <v>Tidak</v>
          </cell>
          <cell r="I1708" t="str">
            <v>Jual Beli Rekening - E channel Trx</v>
          </cell>
          <cell r="J1708">
            <v>33</v>
          </cell>
          <cell r="K1708">
            <v>113</v>
          </cell>
          <cell r="L1708" t="str">
            <v>Narkotika/Judi Online/Penipuan</v>
          </cell>
          <cell r="M1708" t="str">
            <v xml:space="preserve">KCP DELTA MAS JAKARTA                   </v>
          </cell>
          <cell r="N1708" t="str">
            <v xml:space="preserve">KC Jakarta Pluit                        </v>
          </cell>
          <cell r="O1708" t="str">
            <v xml:space="preserve">DKI                                     </v>
          </cell>
          <cell r="R1708" t="str">
            <v>Belum TL</v>
          </cell>
          <cell r="S1708" t="str">
            <v>Belum TL</v>
          </cell>
          <cell r="U1708" t="str">
            <v>"-"</v>
          </cell>
        </row>
        <row r="1709">
          <cell r="A1709">
            <v>46265</v>
          </cell>
          <cell r="B1709" t="str">
            <v xml:space="preserve">RIZKI AMELIA                            </v>
          </cell>
          <cell r="C1709" t="str">
            <v>RQOU519</v>
          </cell>
          <cell r="D1709">
            <v>202201012139506</v>
          </cell>
          <cell r="F1709" t="str">
            <v>Tidak</v>
          </cell>
          <cell r="G1709" t="str">
            <v>Tidak</v>
          </cell>
          <cell r="H1709" t="str">
            <v>Tidak</v>
          </cell>
          <cell r="I1709" t="str">
            <v>Bandar Judol Withdrawal</v>
          </cell>
          <cell r="J1709">
            <v>35</v>
          </cell>
          <cell r="K1709" t="str">
            <v>86,88,87</v>
          </cell>
          <cell r="L1709" t="str">
            <v>Judi Online</v>
          </cell>
          <cell r="M1709" t="str">
            <v xml:space="preserve">Kas Kanpus                              </v>
          </cell>
          <cell r="N1709" t="str">
            <v xml:space="preserve">Kas Kanpus                              </v>
          </cell>
          <cell r="O1709" t="str">
            <v xml:space="preserve">KAS KANPUS                              </v>
          </cell>
          <cell r="R1709" t="str">
            <v>Belum TL</v>
          </cell>
          <cell r="S1709" t="str">
            <v>Belum TL</v>
          </cell>
          <cell r="T1709" t="str">
            <v>90186796 - Devito Arya Wiradila</v>
          </cell>
          <cell r="U1709" t="str">
            <v>"-"</v>
          </cell>
        </row>
        <row r="1710">
          <cell r="A1710">
            <v>46265</v>
          </cell>
          <cell r="B1710" t="str">
            <v xml:space="preserve">RIO CANDRA                              </v>
          </cell>
          <cell r="C1710" t="str">
            <v>RQPE345</v>
          </cell>
          <cell r="D1710">
            <v>576601008304504</v>
          </cell>
          <cell r="F1710" t="str">
            <v>Tidak</v>
          </cell>
          <cell r="G1710" t="str">
            <v>Tidak</v>
          </cell>
          <cell r="I1710" t="str">
            <v>Jual Beli Rekening - E channel Trx</v>
          </cell>
          <cell r="J1710">
            <v>33</v>
          </cell>
          <cell r="K1710">
            <v>113</v>
          </cell>
          <cell r="L1710" t="str">
            <v>Narkotika/Judi Online/Penipuan</v>
          </cell>
          <cell r="M1710" t="str">
            <v xml:space="preserve">UNIT PANGKAL PINANG III PANGKA          </v>
          </cell>
          <cell r="N1710" t="str">
            <v xml:space="preserve">KC Pangkal Pinang                       </v>
          </cell>
          <cell r="O1710" t="str">
            <v xml:space="preserve">Palembang                               </v>
          </cell>
          <cell r="R1710" t="str">
            <v>Belum TL</v>
          </cell>
          <cell r="S1710" t="str">
            <v>Belum TL</v>
          </cell>
          <cell r="U1710" t="str">
            <v>"-"</v>
          </cell>
        </row>
        <row r="1711">
          <cell r="A1711">
            <v>46265</v>
          </cell>
          <cell r="B1711" t="str">
            <v xml:space="preserve">REVALINO AGUNG PRATAMA                  </v>
          </cell>
          <cell r="C1711" t="str">
            <v>RQQT727</v>
          </cell>
          <cell r="D1711">
            <v>32901006689309</v>
          </cell>
          <cell r="F1711" t="str">
            <v>Tidak</v>
          </cell>
          <cell r="G1711" t="str">
            <v>Tidak</v>
          </cell>
          <cell r="H1711" t="str">
            <v>Tidak</v>
          </cell>
          <cell r="I1711" t="str">
            <v>Korupsi - Cash &amp; Amount</v>
          </cell>
          <cell r="J1711">
            <v>33</v>
          </cell>
          <cell r="K1711" t="str">
            <v>1,2,20</v>
          </cell>
          <cell r="L1711" t="str">
            <v>Korupsi</v>
          </cell>
          <cell r="M1711" t="str">
            <v>Kas Kanpus</v>
          </cell>
          <cell r="N1711" t="str">
            <v>Kas Kanpus</v>
          </cell>
          <cell r="O1711" t="str">
            <v>KAS KANPUS</v>
          </cell>
          <cell r="R1711" t="str">
            <v>Belum TL</v>
          </cell>
          <cell r="S1711" t="str">
            <v>Belum TL</v>
          </cell>
          <cell r="T1711" t="str">
            <v>00394521 - Muhammad Hibbanduta</v>
          </cell>
          <cell r="U1711" t="str">
            <v>"-"</v>
          </cell>
        </row>
        <row r="1712">
          <cell r="A1712">
            <v>46265</v>
          </cell>
          <cell r="B1712" t="str">
            <v xml:space="preserve">RAMDANI NURMAN                          </v>
          </cell>
          <cell r="C1712" t="str">
            <v>RRAL909</v>
          </cell>
          <cell r="D1712">
            <v>113301022142505</v>
          </cell>
          <cell r="F1712" t="str">
            <v>Tidak</v>
          </cell>
          <cell r="G1712" t="str">
            <v>Tidak</v>
          </cell>
          <cell r="H1712" t="str">
            <v>Tidak</v>
          </cell>
          <cell r="I1712" t="str">
            <v>Bandar Judol Withdrawal</v>
          </cell>
          <cell r="J1712">
            <v>35</v>
          </cell>
          <cell r="K1712" t="str">
            <v>86,88,87</v>
          </cell>
          <cell r="L1712" t="str">
            <v>Judi Online</v>
          </cell>
          <cell r="M1712" t="str">
            <v xml:space="preserve">Kas Kanpus                              </v>
          </cell>
          <cell r="N1712" t="str">
            <v xml:space="preserve">Kas Kanpus                              </v>
          </cell>
          <cell r="O1712" t="str">
            <v xml:space="preserve">KAS KANPUS                              </v>
          </cell>
          <cell r="R1712" t="str">
            <v>Belum TL</v>
          </cell>
          <cell r="S1712" t="str">
            <v>Belum TL</v>
          </cell>
          <cell r="T1712" t="str">
            <v>00394520 - Frida Akbar Rani</v>
          </cell>
          <cell r="U1712" t="str">
            <v>"-"</v>
          </cell>
        </row>
        <row r="1713">
          <cell r="A1713">
            <v>46265</v>
          </cell>
          <cell r="B1713" t="str">
            <v xml:space="preserve">RISA KARTIKA                            </v>
          </cell>
          <cell r="C1713" t="str">
            <v>RRAS176</v>
          </cell>
          <cell r="D1713">
            <v>77201022726502</v>
          </cell>
          <cell r="F1713" t="str">
            <v>Tidak</v>
          </cell>
          <cell r="G1713" t="str">
            <v>Tidak</v>
          </cell>
          <cell r="H1713" t="str">
            <v>Tidak</v>
          </cell>
          <cell r="I1713" t="str">
            <v>Bandar Judol Depo</v>
          </cell>
          <cell r="J1713">
            <v>35</v>
          </cell>
          <cell r="K1713" t="str">
            <v>86,74,87</v>
          </cell>
          <cell r="L1713" t="str">
            <v>Judi Online</v>
          </cell>
          <cell r="M1713" t="str">
            <v xml:space="preserve">Kas Kanpus                              </v>
          </cell>
          <cell r="N1713" t="str">
            <v xml:space="preserve">Kas Kanpus                              </v>
          </cell>
          <cell r="O1713" t="str">
            <v xml:space="preserve">KAS KANPUS                              </v>
          </cell>
          <cell r="R1713" t="str">
            <v>Belum TL</v>
          </cell>
          <cell r="S1713" t="str">
            <v>Belum TL</v>
          </cell>
          <cell r="T1713" t="str">
            <v>00394521 - Muhammad Hibbanduta</v>
          </cell>
          <cell r="U1713" t="str">
            <v>"-"</v>
          </cell>
        </row>
        <row r="1714">
          <cell r="A1714">
            <v>46265</v>
          </cell>
          <cell r="B1714" t="str">
            <v xml:space="preserve">RIZKI ADITIA                            </v>
          </cell>
          <cell r="C1714" t="str">
            <v>RRBL793</v>
          </cell>
          <cell r="D1714">
            <v>714401018789500</v>
          </cell>
          <cell r="F1714" t="str">
            <v>Tidak</v>
          </cell>
          <cell r="G1714" t="str">
            <v>Tidak</v>
          </cell>
          <cell r="H1714" t="str">
            <v>Tidak</v>
          </cell>
          <cell r="I1714" t="str">
            <v>Bandar Judol Withdrawal</v>
          </cell>
          <cell r="J1714">
            <v>35</v>
          </cell>
          <cell r="K1714" t="str">
            <v>86,88,87</v>
          </cell>
          <cell r="L1714" t="str">
            <v>Judi Online</v>
          </cell>
          <cell r="M1714" t="str">
            <v xml:space="preserve">Kas Kanpus                              </v>
          </cell>
          <cell r="N1714" t="str">
            <v xml:space="preserve">Kas Kanpus                              </v>
          </cell>
          <cell r="O1714" t="str">
            <v xml:space="preserve">KAS KANPUS                              </v>
          </cell>
          <cell r="R1714" t="str">
            <v>Belum TL</v>
          </cell>
          <cell r="S1714" t="str">
            <v>Belum TL</v>
          </cell>
          <cell r="T1714" t="str">
            <v>00336949 - Mochammad Al Farabi</v>
          </cell>
          <cell r="U1714" t="str">
            <v>"-"</v>
          </cell>
        </row>
        <row r="1715">
          <cell r="A1715">
            <v>46265</v>
          </cell>
          <cell r="B1715" t="str">
            <v xml:space="preserve">RAKHMAT RAMDHAN IKHSAN PRAKOSO          </v>
          </cell>
          <cell r="C1715" t="str">
            <v>RQWZ333</v>
          </cell>
          <cell r="D1715">
            <v>216601888883567</v>
          </cell>
          <cell r="F1715" t="str">
            <v>Tidak</v>
          </cell>
          <cell r="G1715" t="str">
            <v>Tidak</v>
          </cell>
          <cell r="H1715" t="str">
            <v>Tidak</v>
          </cell>
          <cell r="I1715" t="str">
            <v>Perpajakan</v>
          </cell>
          <cell r="J1715">
            <v>34</v>
          </cell>
          <cell r="K1715">
            <v>1.33</v>
          </cell>
          <cell r="L1715" t="str">
            <v>Perpajakan</v>
          </cell>
          <cell r="M1715" t="str">
            <v xml:space="preserve">KCP SAWOJAJAR                           </v>
          </cell>
          <cell r="N1715" t="str">
            <v xml:space="preserve">KC Malang Sutoyo                        </v>
          </cell>
          <cell r="O1715" t="str">
            <v xml:space="preserve">KANWIL MALANG                           </v>
          </cell>
          <cell r="R1715" t="str">
            <v>Belum TL</v>
          </cell>
          <cell r="S1715" t="str">
            <v>Belum TL</v>
          </cell>
          <cell r="T1715" t="str">
            <v>90171841 - Rifqi Aziz</v>
          </cell>
          <cell r="U1715" t="str">
            <v>"-"</v>
          </cell>
        </row>
        <row r="1716">
          <cell r="A1716">
            <v>46265</v>
          </cell>
          <cell r="B1716" t="str">
            <v xml:space="preserve">DRH ROSLEINI PURBA                      </v>
          </cell>
          <cell r="C1716" t="str">
            <v>RR02239</v>
          </cell>
          <cell r="D1716">
            <v>33601035521537</v>
          </cell>
          <cell r="E1716" t="str">
            <v>TINGGI</v>
          </cell>
          <cell r="F1716" t="str">
            <v>Tidak</v>
          </cell>
          <cell r="G1716" t="str">
            <v>Tidak</v>
          </cell>
          <cell r="H1716" t="str">
            <v>Tidak</v>
          </cell>
          <cell r="I1716" t="str">
            <v>Korupsi - Payroll View</v>
          </cell>
          <cell r="J1716">
            <v>75</v>
          </cell>
          <cell r="K1716">
            <v>84</v>
          </cell>
          <cell r="L1716" t="str">
            <v>Korupsi</v>
          </cell>
          <cell r="M1716" t="str">
            <v>Kas Kanpus</v>
          </cell>
          <cell r="N1716" t="str">
            <v>Kas Kanpus</v>
          </cell>
          <cell r="O1716" t="str">
            <v>KAS KANPUS</v>
          </cell>
          <cell r="R1716" t="str">
            <v>Belum TL</v>
          </cell>
          <cell r="S1716" t="str">
            <v>Belum TL</v>
          </cell>
          <cell r="T1716" t="str">
            <v>90185538 - Muhammad Fahikal Auz</v>
          </cell>
          <cell r="U1716" t="str">
            <v>"-"</v>
          </cell>
        </row>
        <row r="1717">
          <cell r="A1717">
            <v>46265</v>
          </cell>
          <cell r="B1717" t="str">
            <v xml:space="preserve">RIADY KORUA                             </v>
          </cell>
          <cell r="C1717" t="str">
            <v>RRGY816</v>
          </cell>
          <cell r="D1717">
            <v>512301000014569</v>
          </cell>
          <cell r="F1717" t="str">
            <v>Tidak</v>
          </cell>
          <cell r="G1717" t="str">
            <v>Tidak</v>
          </cell>
          <cell r="H1717" t="str">
            <v>Tidak</v>
          </cell>
          <cell r="I1717" t="str">
            <v>Bandar Judol Withdrawal</v>
          </cell>
          <cell r="J1717">
            <v>35</v>
          </cell>
          <cell r="K1717" t="str">
            <v>86,88,87</v>
          </cell>
          <cell r="L1717" t="str">
            <v>Judi Online</v>
          </cell>
          <cell r="M1717" t="str">
            <v xml:space="preserve">Kas Kanpus                              </v>
          </cell>
          <cell r="N1717" t="str">
            <v xml:space="preserve">Kas Kanpus                              </v>
          </cell>
          <cell r="O1717" t="str">
            <v xml:space="preserve">KAS KANPUS                              </v>
          </cell>
          <cell r="R1717" t="str">
            <v>Belum TL</v>
          </cell>
          <cell r="S1717" t="str">
            <v>Belum TL</v>
          </cell>
          <cell r="T1717" t="str">
            <v>90185538 - Muhammad Fahikal Auz</v>
          </cell>
          <cell r="U1717" t="str">
            <v>"-"</v>
          </cell>
        </row>
        <row r="1718">
          <cell r="A1718">
            <v>46265</v>
          </cell>
          <cell r="B1718" t="str">
            <v xml:space="preserve">RIKI SETIAWAN                           </v>
          </cell>
          <cell r="C1718" t="str">
            <v>RRJF553</v>
          </cell>
          <cell r="D1718">
            <v>69401035958500</v>
          </cell>
          <cell r="F1718" t="str">
            <v>Tidak</v>
          </cell>
          <cell r="G1718" t="str">
            <v>Tidak</v>
          </cell>
          <cell r="H1718" t="str">
            <v>Tidak</v>
          </cell>
          <cell r="I1718" t="str">
            <v>Bandar Judol Withdrawal</v>
          </cell>
          <cell r="J1718">
            <v>35</v>
          </cell>
          <cell r="K1718" t="str">
            <v>86,88,87</v>
          </cell>
          <cell r="L1718" t="str">
            <v>Judi Online</v>
          </cell>
          <cell r="M1718" t="str">
            <v xml:space="preserve">Kas Kanpus                              </v>
          </cell>
          <cell r="N1718" t="str">
            <v xml:space="preserve">Kas Kanpus                              </v>
          </cell>
          <cell r="O1718" t="str">
            <v xml:space="preserve">KAS KANPUS                              </v>
          </cell>
          <cell r="R1718" t="str">
            <v>Belum TL</v>
          </cell>
          <cell r="S1718" t="str">
            <v>Belum TL</v>
          </cell>
          <cell r="T1718" t="str">
            <v>90150130 - Intan Aida Pratiwi</v>
          </cell>
          <cell r="U1718" t="str">
            <v>"-"</v>
          </cell>
        </row>
        <row r="1719">
          <cell r="A1719">
            <v>46265</v>
          </cell>
          <cell r="B1719" t="str">
            <v xml:space="preserve">REKSAN RIDHO JULVIAJI                   </v>
          </cell>
          <cell r="C1719" t="str">
            <v>RRJO617</v>
          </cell>
          <cell r="D1719">
            <v>4359720230203200</v>
          </cell>
          <cell r="F1719" t="str">
            <v>Tidak</v>
          </cell>
          <cell r="G1719" t="str">
            <v>Tidak</v>
          </cell>
          <cell r="H1719" t="str">
            <v>Tidak</v>
          </cell>
          <cell r="I1719" t="str">
            <v>Penyuapan - CC View</v>
          </cell>
          <cell r="J1719">
            <v>30</v>
          </cell>
          <cell r="K1719">
            <v>16.170000000000002</v>
          </cell>
          <cell r="L1719" t="str">
            <v>Penyuapan</v>
          </cell>
          <cell r="M1719" t="str">
            <v xml:space="preserve">Kas Kanpus                              </v>
          </cell>
          <cell r="N1719" t="str">
            <v xml:space="preserve">Kas Kanpus                              </v>
          </cell>
          <cell r="O1719" t="str">
            <v xml:space="preserve">KAS KANPUS                              </v>
          </cell>
          <cell r="R1719" t="str">
            <v>Belum TL</v>
          </cell>
          <cell r="S1719" t="str">
            <v>Belum TL</v>
          </cell>
          <cell r="T1719" t="str">
            <v>90186790 - Muhammad Alfin Farha</v>
          </cell>
          <cell r="U1719" t="str">
            <v>"-"</v>
          </cell>
        </row>
        <row r="1720">
          <cell r="A1720">
            <v>46265</v>
          </cell>
          <cell r="B1720" t="str">
            <v xml:space="preserve">REKSAN RIDHO JULVIAJI                   </v>
          </cell>
          <cell r="C1720" t="str">
            <v>RRJO617</v>
          </cell>
          <cell r="D1720">
            <v>4359720230203200</v>
          </cell>
          <cell r="F1720" t="str">
            <v>Tidak</v>
          </cell>
          <cell r="G1720" t="str">
            <v>Tidak</v>
          </cell>
          <cell r="H1720" t="str">
            <v>Tidak</v>
          </cell>
          <cell r="I1720" t="str">
            <v>Penghindaran Pajak (Transaksi Fiktif)/Penyuapan CC</v>
          </cell>
          <cell r="J1720">
            <v>30</v>
          </cell>
          <cell r="K1720">
            <v>118</v>
          </cell>
          <cell r="L1720" t="str">
            <v>Penyuapan / Penghindaran Pajak CC View</v>
          </cell>
          <cell r="M1720" t="str">
            <v xml:space="preserve">Kas Kanpus                              </v>
          </cell>
          <cell r="N1720" t="str">
            <v xml:space="preserve">Kas Kanpus                              </v>
          </cell>
          <cell r="O1720" t="str">
            <v xml:space="preserve">KAS KANPUS                              </v>
          </cell>
          <cell r="R1720" t="str">
            <v>Belum TL</v>
          </cell>
          <cell r="S1720" t="str">
            <v>Belum TL</v>
          </cell>
          <cell r="T1720" t="str">
            <v>00336949 - Mochammad Al Farabi</v>
          </cell>
          <cell r="U1720" t="str">
            <v>"-"</v>
          </cell>
        </row>
        <row r="1721">
          <cell r="A1721">
            <v>46265</v>
          </cell>
          <cell r="B1721" t="str">
            <v xml:space="preserve">RATU GARTIKA                            </v>
          </cell>
          <cell r="C1721" t="str">
            <v>RRKP455</v>
          </cell>
          <cell r="D1721">
            <v>531701004000503</v>
          </cell>
          <cell r="F1721" t="str">
            <v>Tidak</v>
          </cell>
          <cell r="G1721" t="str">
            <v>Tidak</v>
          </cell>
          <cell r="H1721" t="str">
            <v>Tidak</v>
          </cell>
          <cell r="I1721" t="str">
            <v>Bandar Judol Withdrawal</v>
          </cell>
          <cell r="J1721">
            <v>35</v>
          </cell>
          <cell r="K1721" t="str">
            <v>86,88,87</v>
          </cell>
          <cell r="L1721" t="str">
            <v>Judi Online</v>
          </cell>
          <cell r="M1721" t="str">
            <v xml:space="preserve">Kas Kanpus                              </v>
          </cell>
          <cell r="N1721" t="str">
            <v xml:space="preserve">Kas Kanpus                              </v>
          </cell>
          <cell r="O1721" t="str">
            <v xml:space="preserve">KAS KANPUS                              </v>
          </cell>
          <cell r="R1721" t="str">
            <v>Belum TL</v>
          </cell>
          <cell r="S1721" t="str">
            <v>Belum TL</v>
          </cell>
          <cell r="T1721" t="str">
            <v>90170665 - Mutiara Ayuningtyas</v>
          </cell>
          <cell r="U1721" t="str">
            <v>"-"</v>
          </cell>
        </row>
        <row r="1722">
          <cell r="A1722">
            <v>46265</v>
          </cell>
          <cell r="B1722" t="str">
            <v xml:space="preserve">RULIE YANDI ADIETYA                     </v>
          </cell>
          <cell r="C1722" t="str">
            <v>RROF839</v>
          </cell>
          <cell r="D1722">
            <v>76201015872505</v>
          </cell>
          <cell r="F1722" t="str">
            <v>Tidak</v>
          </cell>
          <cell r="G1722" t="str">
            <v>Tidak</v>
          </cell>
          <cell r="I1722" t="str">
            <v>Jual Beli Rekening - E channel Trx</v>
          </cell>
          <cell r="J1722">
            <v>33</v>
          </cell>
          <cell r="K1722">
            <v>113</v>
          </cell>
          <cell r="L1722" t="str">
            <v>Narkotika/Judi Online/Penipuan</v>
          </cell>
          <cell r="M1722" t="str">
            <v xml:space="preserve">UNIT BUAH BATU                          </v>
          </cell>
          <cell r="N1722" t="str">
            <v xml:space="preserve">KC Bandung Naripan                      </v>
          </cell>
          <cell r="O1722" t="str">
            <v xml:space="preserve">Bandung                                 </v>
          </cell>
          <cell r="R1722" t="str">
            <v>Belum TL</v>
          </cell>
          <cell r="S1722" t="str">
            <v>Belum TL</v>
          </cell>
          <cell r="U1722" t="str">
            <v>"-"</v>
          </cell>
        </row>
        <row r="1723">
          <cell r="A1723">
            <v>46265</v>
          </cell>
          <cell r="B1723" t="str">
            <v xml:space="preserve">RIDHO TAN WIJAYA                        </v>
          </cell>
          <cell r="C1723" t="str">
            <v>RRPF337</v>
          </cell>
          <cell r="D1723">
            <v>1901260121502</v>
          </cell>
          <cell r="F1723" t="str">
            <v>Tidak</v>
          </cell>
          <cell r="G1723" t="str">
            <v>Tidak</v>
          </cell>
          <cell r="H1723" t="str">
            <v>Tidak</v>
          </cell>
          <cell r="I1723" t="str">
            <v>Bandar Judol Withdrawal</v>
          </cell>
          <cell r="J1723">
            <v>35</v>
          </cell>
          <cell r="K1723" t="str">
            <v>86,88,87</v>
          </cell>
          <cell r="L1723" t="str">
            <v>Judi Online</v>
          </cell>
          <cell r="M1723" t="str">
            <v xml:space="preserve">Kas Kanpus                              </v>
          </cell>
          <cell r="N1723" t="str">
            <v xml:space="preserve">Kas Kanpus                              </v>
          </cell>
          <cell r="O1723" t="str">
            <v xml:space="preserve">KAS KANPUS                              </v>
          </cell>
          <cell r="R1723" t="str">
            <v>Belum TL</v>
          </cell>
          <cell r="S1723" t="str">
            <v>Belum TL</v>
          </cell>
          <cell r="T1723" t="str">
            <v>00394521 - Muhammad Hibbanduta</v>
          </cell>
          <cell r="U1723" t="str">
            <v>"-"</v>
          </cell>
        </row>
        <row r="1724">
          <cell r="A1724">
            <v>46265</v>
          </cell>
          <cell r="B1724" t="str">
            <v xml:space="preserve">RISKI UTIRSYAH                          </v>
          </cell>
          <cell r="C1724" t="str">
            <v>RRQO037</v>
          </cell>
          <cell r="D1724">
            <v>112201001202561</v>
          </cell>
          <cell r="F1724" t="str">
            <v>Tidak</v>
          </cell>
          <cell r="G1724" t="str">
            <v>Tidak</v>
          </cell>
          <cell r="H1724" t="str">
            <v>Tidak</v>
          </cell>
          <cell r="I1724" t="str">
            <v>Bandar Judol Withdrawal</v>
          </cell>
          <cell r="J1724">
            <v>35</v>
          </cell>
          <cell r="K1724" t="str">
            <v>86,88,87</v>
          </cell>
          <cell r="L1724" t="str">
            <v>Judi Online</v>
          </cell>
          <cell r="M1724" t="str">
            <v xml:space="preserve">Kas Kanpus                              </v>
          </cell>
          <cell r="N1724" t="str">
            <v xml:space="preserve">Kas Kanpus                              </v>
          </cell>
          <cell r="O1724" t="str">
            <v xml:space="preserve">KAS KANPUS                              </v>
          </cell>
          <cell r="R1724" t="str">
            <v>Belum TL</v>
          </cell>
          <cell r="S1724" t="str">
            <v>Belum TL</v>
          </cell>
          <cell r="T1724" t="str">
            <v>90150130 - Intan Aida Pratiwi</v>
          </cell>
          <cell r="U1724" t="str">
            <v>"-"</v>
          </cell>
        </row>
        <row r="1725">
          <cell r="A1725">
            <v>46265</v>
          </cell>
          <cell r="B1725" t="str">
            <v xml:space="preserve">RAFLI RAMADANA                          </v>
          </cell>
          <cell r="C1725" t="str">
            <v>RRS0688</v>
          </cell>
          <cell r="D1725">
            <v>529001015948506</v>
          </cell>
          <cell r="E1725" t="str">
            <v>SEDANG</v>
          </cell>
          <cell r="F1725" t="str">
            <v>Tidak</v>
          </cell>
          <cell r="G1725" t="str">
            <v>Tidak</v>
          </cell>
          <cell r="H1725" t="str">
            <v>Tidak</v>
          </cell>
          <cell r="I1725" t="str">
            <v>Bandar Judol Withdrawal</v>
          </cell>
          <cell r="J1725">
            <v>50</v>
          </cell>
          <cell r="K1725" t="str">
            <v>86,88,87</v>
          </cell>
          <cell r="L1725" t="str">
            <v>Judi Online</v>
          </cell>
          <cell r="M1725" t="str">
            <v xml:space="preserve">Kas Kanpus                              </v>
          </cell>
          <cell r="N1725" t="str">
            <v xml:space="preserve">Kas Kanpus                              </v>
          </cell>
          <cell r="O1725" t="str">
            <v xml:space="preserve">KAS KANPUS                              </v>
          </cell>
          <cell r="R1725" t="str">
            <v>Belum TL</v>
          </cell>
          <cell r="S1725" t="str">
            <v>Belum TL</v>
          </cell>
          <cell r="T1725" t="str">
            <v>90185538 - Muhammad Fahikal Auz</v>
          </cell>
          <cell r="U1725" t="str">
            <v>"-"</v>
          </cell>
        </row>
        <row r="1726">
          <cell r="A1726">
            <v>46265</v>
          </cell>
          <cell r="B1726" t="str">
            <v xml:space="preserve">RENATA SUMARNI DININGRAT                </v>
          </cell>
          <cell r="C1726" t="str">
            <v>RRTO364</v>
          </cell>
          <cell r="D1726">
            <v>418401031104502</v>
          </cell>
          <cell r="F1726" t="str">
            <v>Tidak</v>
          </cell>
          <cell r="G1726" t="str">
            <v>Tidak</v>
          </cell>
          <cell r="H1726" t="str">
            <v>Tidak</v>
          </cell>
          <cell r="I1726" t="str">
            <v>Bandar Judol Withdrawal</v>
          </cell>
          <cell r="J1726">
            <v>35</v>
          </cell>
          <cell r="K1726" t="str">
            <v>86,88,87</v>
          </cell>
          <cell r="L1726" t="str">
            <v>Judi Online</v>
          </cell>
          <cell r="M1726" t="str">
            <v xml:space="preserve">Kas Kanpus                              </v>
          </cell>
          <cell r="N1726" t="str">
            <v xml:space="preserve">Kas Kanpus                              </v>
          </cell>
          <cell r="O1726" t="str">
            <v xml:space="preserve">KAS KANPUS                              </v>
          </cell>
          <cell r="R1726" t="str">
            <v>Belum TL</v>
          </cell>
          <cell r="S1726" t="str">
            <v>Belum TL</v>
          </cell>
          <cell r="T1726" t="str">
            <v>00394521 - Muhammad Hibbanduta</v>
          </cell>
          <cell r="U1726" t="str">
            <v>"-"</v>
          </cell>
        </row>
        <row r="1727">
          <cell r="A1727">
            <v>46265</v>
          </cell>
          <cell r="B1727" t="str">
            <v xml:space="preserve">ROHMAT SAEPUDIN                         </v>
          </cell>
          <cell r="C1727" t="str">
            <v>RRXZ466</v>
          </cell>
          <cell r="D1727">
            <v>731101004215506</v>
          </cell>
          <cell r="F1727" t="str">
            <v>Tidak</v>
          </cell>
          <cell r="G1727" t="str">
            <v>Tidak</v>
          </cell>
          <cell r="H1727" t="str">
            <v>Tidak</v>
          </cell>
          <cell r="I1727" t="str">
            <v>Bandar Judol Depo</v>
          </cell>
          <cell r="J1727">
            <v>35</v>
          </cell>
          <cell r="K1727" t="str">
            <v>86,74,87</v>
          </cell>
          <cell r="L1727" t="str">
            <v>Judi Online</v>
          </cell>
          <cell r="M1727" t="str">
            <v xml:space="preserve">Kas Kanpus                              </v>
          </cell>
          <cell r="N1727" t="str">
            <v xml:space="preserve">Kas Kanpus                              </v>
          </cell>
          <cell r="O1727" t="str">
            <v xml:space="preserve">KAS KANPUS                              </v>
          </cell>
          <cell r="R1727" t="str">
            <v>Belum TL</v>
          </cell>
          <cell r="S1727" t="str">
            <v>Belum TL</v>
          </cell>
          <cell r="T1727" t="str">
            <v>00336949 - Mochammad Al Farabi</v>
          </cell>
          <cell r="U1727" t="str">
            <v>"-"</v>
          </cell>
        </row>
        <row r="1728">
          <cell r="A1728">
            <v>46265</v>
          </cell>
          <cell r="B1728" t="str">
            <v xml:space="preserve">ROSIDAH                                 </v>
          </cell>
          <cell r="C1728" t="str">
            <v>RRYH216</v>
          </cell>
          <cell r="D1728">
            <v>12001291195503</v>
          </cell>
          <cell r="F1728" t="str">
            <v>Tidak</v>
          </cell>
          <cell r="G1728" t="str">
            <v>Tidak</v>
          </cell>
          <cell r="H1728" t="str">
            <v>Tidak</v>
          </cell>
          <cell r="I1728" t="str">
            <v>Bandar Judol Withdrawal</v>
          </cell>
          <cell r="J1728">
            <v>35</v>
          </cell>
          <cell r="K1728" t="str">
            <v>86,88,87</v>
          </cell>
          <cell r="L1728" t="str">
            <v>Judi Online</v>
          </cell>
          <cell r="M1728" t="str">
            <v xml:space="preserve">Kas Kanpus                              </v>
          </cell>
          <cell r="N1728" t="str">
            <v xml:space="preserve">Kas Kanpus                              </v>
          </cell>
          <cell r="O1728" t="str">
            <v xml:space="preserve">KAS KANPUS                              </v>
          </cell>
          <cell r="R1728" t="str">
            <v>Belum TL</v>
          </cell>
          <cell r="S1728" t="str">
            <v>Belum TL</v>
          </cell>
          <cell r="T1728" t="str">
            <v>00336949 - Mochammad Al Farabi</v>
          </cell>
          <cell r="U1728" t="str">
            <v>"-"</v>
          </cell>
        </row>
        <row r="1729">
          <cell r="A1729">
            <v>46265</v>
          </cell>
          <cell r="B1729" t="str">
            <v xml:space="preserve">RISKI ARISANDI                          </v>
          </cell>
          <cell r="C1729" t="str">
            <v>RSHM637</v>
          </cell>
          <cell r="D1729">
            <v>334401014611509</v>
          </cell>
          <cell r="F1729" t="str">
            <v>Tidak</v>
          </cell>
          <cell r="G1729" t="str">
            <v>Tidak</v>
          </cell>
          <cell r="H1729" t="str">
            <v>Tidak</v>
          </cell>
          <cell r="I1729" t="str">
            <v>Bandar Judol Withdrawal</v>
          </cell>
          <cell r="J1729">
            <v>35</v>
          </cell>
          <cell r="K1729" t="str">
            <v>86,88,87</v>
          </cell>
          <cell r="L1729" t="str">
            <v>Judi Online</v>
          </cell>
          <cell r="M1729" t="str">
            <v xml:space="preserve">Kas Kanpus                              </v>
          </cell>
          <cell r="N1729" t="str">
            <v xml:space="preserve">Kas Kanpus                              </v>
          </cell>
          <cell r="O1729" t="str">
            <v xml:space="preserve">KAS KANPUS                              </v>
          </cell>
          <cell r="R1729" t="str">
            <v>Belum TL</v>
          </cell>
          <cell r="S1729" t="str">
            <v>Belum TL</v>
          </cell>
          <cell r="T1729" t="str">
            <v>90185538 - Muhammad Fahikal Auz</v>
          </cell>
          <cell r="U1729" t="str">
            <v>"-"</v>
          </cell>
        </row>
        <row r="1730">
          <cell r="A1730">
            <v>46265</v>
          </cell>
          <cell r="B1730" t="str">
            <v xml:space="preserve">RAHANEKA CITRA PESONA                   </v>
          </cell>
          <cell r="C1730" t="str">
            <v>RSHQ887</v>
          </cell>
          <cell r="D1730">
            <v>2801502993151</v>
          </cell>
          <cell r="F1730" t="str">
            <v>Tidak</v>
          </cell>
          <cell r="G1730" t="str">
            <v>Tidak</v>
          </cell>
          <cell r="H1730" t="str">
            <v>Tidak</v>
          </cell>
          <cell r="I1730" t="str">
            <v>Korupsi - Loan View</v>
          </cell>
          <cell r="J1730">
            <v>33</v>
          </cell>
          <cell r="K1730">
            <v>15</v>
          </cell>
          <cell r="L1730" t="str">
            <v>Korupsi</v>
          </cell>
          <cell r="M1730" t="str">
            <v>Kas Kanpus</v>
          </cell>
          <cell r="N1730" t="str">
            <v>Kas Kanpus</v>
          </cell>
          <cell r="O1730" t="str">
            <v>KAS KANPUS</v>
          </cell>
          <cell r="R1730" t="str">
            <v>Belum TL</v>
          </cell>
          <cell r="S1730" t="str">
            <v>Belum TL</v>
          </cell>
          <cell r="T1730" t="str">
            <v>90186790 - Muhammad Alfin Farha</v>
          </cell>
          <cell r="U1730" t="str">
            <v>"-"</v>
          </cell>
        </row>
        <row r="1731">
          <cell r="A1731">
            <v>46265</v>
          </cell>
          <cell r="B1731" t="str">
            <v xml:space="preserve">RIZAL MAULANA                           </v>
          </cell>
          <cell r="C1731" t="str">
            <v>RSIQ271</v>
          </cell>
          <cell r="D1731">
            <v>6501162619503</v>
          </cell>
          <cell r="F1731" t="str">
            <v>Tidak</v>
          </cell>
          <cell r="G1731" t="str">
            <v>Tidak</v>
          </cell>
          <cell r="H1731" t="str">
            <v>Tidak</v>
          </cell>
          <cell r="I1731" t="str">
            <v>Bandar Judol Withdrawal</v>
          </cell>
          <cell r="J1731">
            <v>35</v>
          </cell>
          <cell r="K1731" t="str">
            <v>86,88,87</v>
          </cell>
          <cell r="L1731" t="str">
            <v>Judi Online</v>
          </cell>
          <cell r="M1731" t="str">
            <v xml:space="preserve">Kas Kanpus                              </v>
          </cell>
          <cell r="N1731" t="str">
            <v xml:space="preserve">Kas Kanpus                              </v>
          </cell>
          <cell r="O1731" t="str">
            <v xml:space="preserve">KAS KANPUS                              </v>
          </cell>
          <cell r="R1731" t="str">
            <v>Belum TL</v>
          </cell>
          <cell r="S1731" t="str">
            <v>Belum TL</v>
          </cell>
          <cell r="T1731" t="str">
            <v>90171841 - Rifqi Aziz</v>
          </cell>
          <cell r="U1731" t="str">
            <v>"-"</v>
          </cell>
        </row>
        <row r="1732">
          <cell r="A1732">
            <v>46265</v>
          </cell>
          <cell r="B1732" t="str">
            <v xml:space="preserve">RUDIYANTO                               </v>
          </cell>
          <cell r="C1732" t="str">
            <v>RSJI948</v>
          </cell>
          <cell r="D1732">
            <v>775301000160565</v>
          </cell>
          <cell r="F1732" t="str">
            <v>Tidak</v>
          </cell>
          <cell r="G1732" t="str">
            <v>Tidak</v>
          </cell>
          <cell r="H1732" t="str">
            <v>Tidak</v>
          </cell>
          <cell r="I1732" t="str">
            <v>Bandar Judol Depo</v>
          </cell>
          <cell r="J1732">
            <v>35</v>
          </cell>
          <cell r="K1732" t="str">
            <v>86,74,87</v>
          </cell>
          <cell r="L1732" t="str">
            <v>Judi Online</v>
          </cell>
          <cell r="M1732" t="str">
            <v xml:space="preserve">Kas Kanpus                              </v>
          </cell>
          <cell r="N1732" t="str">
            <v xml:space="preserve">Kas Kanpus                              </v>
          </cell>
          <cell r="O1732" t="str">
            <v xml:space="preserve">KAS KANPUS                              </v>
          </cell>
          <cell r="R1732" t="str">
            <v>Belum TL</v>
          </cell>
          <cell r="S1732" t="str">
            <v>Belum TL</v>
          </cell>
          <cell r="T1732" t="str">
            <v>90150130 - Intan Aida Pratiwi</v>
          </cell>
          <cell r="U1732" t="str">
            <v>"-"</v>
          </cell>
        </row>
        <row r="1733">
          <cell r="A1733">
            <v>46265</v>
          </cell>
          <cell r="B1733" t="str">
            <v xml:space="preserve">RENALDIANSYAH                           </v>
          </cell>
          <cell r="C1733" t="str">
            <v>RSKM456</v>
          </cell>
          <cell r="D1733">
            <v>384801029128505</v>
          </cell>
          <cell r="F1733" t="str">
            <v>Tidak</v>
          </cell>
          <cell r="G1733" t="str">
            <v>Tidak</v>
          </cell>
          <cell r="H1733" t="str">
            <v>Tidak</v>
          </cell>
          <cell r="I1733" t="str">
            <v>Bandar Judol Withdrawal</v>
          </cell>
          <cell r="J1733">
            <v>35</v>
          </cell>
          <cell r="K1733" t="str">
            <v>86,88,87</v>
          </cell>
          <cell r="L1733" t="str">
            <v>Judi Online</v>
          </cell>
          <cell r="M1733" t="str">
            <v xml:space="preserve">Kas Kanpus                              </v>
          </cell>
          <cell r="N1733" t="str">
            <v xml:space="preserve">Kas Kanpus                              </v>
          </cell>
          <cell r="O1733" t="str">
            <v xml:space="preserve">KAS KANPUS                              </v>
          </cell>
          <cell r="R1733" t="str">
            <v>Belum TL</v>
          </cell>
          <cell r="S1733" t="str">
            <v>Belum TL</v>
          </cell>
          <cell r="T1733" t="str">
            <v>90185537 - Moh.Khoerul Fajar Ar</v>
          </cell>
          <cell r="U1733" t="str">
            <v>"-"</v>
          </cell>
        </row>
        <row r="1734">
          <cell r="A1734">
            <v>46265</v>
          </cell>
          <cell r="B1734" t="str">
            <v xml:space="preserve">RESKY ILLHAM JANUAR ROSADI              </v>
          </cell>
          <cell r="C1734" t="str">
            <v>RSMX155</v>
          </cell>
          <cell r="D1734">
            <v>332201005322509</v>
          </cell>
          <cell r="F1734" t="str">
            <v>Tidak</v>
          </cell>
          <cell r="G1734" t="str">
            <v>Tidak</v>
          </cell>
          <cell r="H1734" t="str">
            <v>Tidak</v>
          </cell>
          <cell r="I1734" t="str">
            <v>Bandar Judol Withdrawal</v>
          </cell>
          <cell r="J1734">
            <v>35</v>
          </cell>
          <cell r="K1734" t="str">
            <v>86,88,87</v>
          </cell>
          <cell r="L1734" t="str">
            <v>Judi Online</v>
          </cell>
          <cell r="M1734" t="str">
            <v xml:space="preserve">Kas Kanpus                              </v>
          </cell>
          <cell r="N1734" t="str">
            <v xml:space="preserve">Kas Kanpus                              </v>
          </cell>
          <cell r="O1734" t="str">
            <v xml:space="preserve">KAS KANPUS                              </v>
          </cell>
          <cell r="R1734" t="str">
            <v>Belum TL</v>
          </cell>
          <cell r="S1734" t="str">
            <v>Belum TL</v>
          </cell>
          <cell r="T1734" t="str">
            <v>00394521 - Muhammad Hibbanduta</v>
          </cell>
          <cell r="U1734" t="str">
            <v>"-"</v>
          </cell>
        </row>
        <row r="1735">
          <cell r="A1735">
            <v>46265</v>
          </cell>
          <cell r="B1735" t="str">
            <v xml:space="preserve">RIKI YONO PUTRA                         </v>
          </cell>
          <cell r="C1735" t="str">
            <v>RSNE675</v>
          </cell>
          <cell r="D1735">
            <v>69601062919509</v>
          </cell>
          <cell r="F1735" t="str">
            <v>Tidak</v>
          </cell>
          <cell r="G1735" t="str">
            <v>Tidak</v>
          </cell>
          <cell r="H1735" t="str">
            <v>Tidak</v>
          </cell>
          <cell r="I1735" t="str">
            <v>Bandar Judol Withdrawal</v>
          </cell>
          <cell r="J1735">
            <v>35</v>
          </cell>
          <cell r="K1735" t="str">
            <v>86,88,87</v>
          </cell>
          <cell r="L1735" t="str">
            <v>Judi Online</v>
          </cell>
          <cell r="M1735" t="str">
            <v xml:space="preserve">Kas Kanpus                              </v>
          </cell>
          <cell r="N1735" t="str">
            <v xml:space="preserve">Kas Kanpus                              </v>
          </cell>
          <cell r="O1735" t="str">
            <v xml:space="preserve">KAS KANPUS                              </v>
          </cell>
          <cell r="R1735" t="str">
            <v>Belum TL</v>
          </cell>
          <cell r="S1735" t="str">
            <v>Belum TL</v>
          </cell>
          <cell r="T1735" t="str">
            <v>90186790 - Muhammad Alfin Farha</v>
          </cell>
          <cell r="U1735" t="str">
            <v>"-"</v>
          </cell>
        </row>
        <row r="1736">
          <cell r="A1736">
            <v>46265</v>
          </cell>
          <cell r="B1736" t="str">
            <v xml:space="preserve">RAMDANI                                 </v>
          </cell>
          <cell r="C1736" t="str">
            <v>RSNT837</v>
          </cell>
          <cell r="D1736">
            <v>224801008088507</v>
          </cell>
          <cell r="F1736" t="str">
            <v>Tidak</v>
          </cell>
          <cell r="G1736" t="str">
            <v>Tidak</v>
          </cell>
          <cell r="H1736" t="str">
            <v>Tidak</v>
          </cell>
          <cell r="I1736" t="str">
            <v>Bandar Judol Withdrawal</v>
          </cell>
          <cell r="J1736">
            <v>35</v>
          </cell>
          <cell r="K1736" t="str">
            <v>86,88,87</v>
          </cell>
          <cell r="L1736" t="str">
            <v>Judi Online</v>
          </cell>
          <cell r="M1736" t="str">
            <v xml:space="preserve">Kas Kanpus                              </v>
          </cell>
          <cell r="N1736" t="str">
            <v xml:space="preserve">Kas Kanpus                              </v>
          </cell>
          <cell r="O1736" t="str">
            <v xml:space="preserve">KAS KANPUS                              </v>
          </cell>
          <cell r="R1736" t="str">
            <v>Belum TL</v>
          </cell>
          <cell r="S1736" t="str">
            <v>Belum TL</v>
          </cell>
          <cell r="T1736" t="str">
            <v>90171841 - Rifqi Aziz</v>
          </cell>
          <cell r="U1736" t="str">
            <v>"-"</v>
          </cell>
        </row>
        <row r="1737">
          <cell r="A1737">
            <v>46265</v>
          </cell>
          <cell r="B1737" t="str">
            <v xml:space="preserve">ROHIM                                   </v>
          </cell>
          <cell r="C1737" t="str">
            <v>RSPI846</v>
          </cell>
          <cell r="D1737">
            <v>65301021791504</v>
          </cell>
          <cell r="F1737" t="str">
            <v>Tidak</v>
          </cell>
          <cell r="G1737" t="str">
            <v>Tidak</v>
          </cell>
          <cell r="I1737" t="str">
            <v>Jual Beli Rekening - E channel Trx</v>
          </cell>
          <cell r="J1737">
            <v>33</v>
          </cell>
          <cell r="K1737">
            <v>113</v>
          </cell>
          <cell r="L1737" t="str">
            <v>Narkotika/Judi Online/Penipuan</v>
          </cell>
          <cell r="M1737" t="str">
            <v xml:space="preserve">KCP JEMBATAN LIMA                       </v>
          </cell>
          <cell r="N1737" t="str">
            <v xml:space="preserve">KC Jakarta Hayam Wuruk                  </v>
          </cell>
          <cell r="O1737" t="str">
            <v xml:space="preserve">KANWIL JAKARTA 3                        </v>
          </cell>
          <cell r="R1737" t="str">
            <v>Belum TL</v>
          </cell>
          <cell r="S1737" t="str">
            <v>Belum TL</v>
          </cell>
          <cell r="U1737" t="str">
            <v>"-"</v>
          </cell>
        </row>
        <row r="1738">
          <cell r="A1738">
            <v>46265</v>
          </cell>
          <cell r="B1738" t="str">
            <v xml:space="preserve">RAIHAN                                  </v>
          </cell>
          <cell r="C1738" t="str">
            <v>RSPQ269</v>
          </cell>
          <cell r="D1738">
            <v>576501014542502</v>
          </cell>
          <cell r="F1738" t="str">
            <v>Tidak</v>
          </cell>
          <cell r="G1738" t="str">
            <v>Tidak</v>
          </cell>
          <cell r="H1738" t="str">
            <v>Tidak</v>
          </cell>
          <cell r="I1738" t="str">
            <v>Bandar Judol Depo</v>
          </cell>
          <cell r="J1738">
            <v>35</v>
          </cell>
          <cell r="K1738" t="str">
            <v>86,74,87</v>
          </cell>
          <cell r="L1738" t="str">
            <v>Judi Online</v>
          </cell>
          <cell r="M1738" t="str">
            <v xml:space="preserve">Kas Kanpus                              </v>
          </cell>
          <cell r="N1738" t="str">
            <v xml:space="preserve">Kas Kanpus                              </v>
          </cell>
          <cell r="O1738" t="str">
            <v xml:space="preserve">KAS KANPUS                              </v>
          </cell>
          <cell r="R1738" t="str">
            <v>Belum TL</v>
          </cell>
          <cell r="S1738" t="str">
            <v>Belum TL</v>
          </cell>
          <cell r="T1738" t="str">
            <v>90186790 - Muhammad Alfin Farha</v>
          </cell>
          <cell r="U1738" t="str">
            <v>"-"</v>
          </cell>
        </row>
        <row r="1739">
          <cell r="A1739">
            <v>46265</v>
          </cell>
          <cell r="B1739" t="str">
            <v xml:space="preserve">RIO RIVALDI                             </v>
          </cell>
          <cell r="C1739" t="str">
            <v>RSQT587</v>
          </cell>
          <cell r="D1739">
            <v>38501087864500</v>
          </cell>
          <cell r="F1739" t="str">
            <v>Tidak</v>
          </cell>
          <cell r="G1739" t="str">
            <v>Tidak</v>
          </cell>
          <cell r="H1739" t="str">
            <v>Tidak</v>
          </cell>
          <cell r="I1739" t="str">
            <v>Bandar Judol Withdrawal</v>
          </cell>
          <cell r="J1739">
            <v>35</v>
          </cell>
          <cell r="K1739" t="str">
            <v>86,88,87</v>
          </cell>
          <cell r="L1739" t="str">
            <v>Judi Online</v>
          </cell>
          <cell r="M1739" t="str">
            <v xml:space="preserve">Kas Kanpus                              </v>
          </cell>
          <cell r="N1739" t="str">
            <v xml:space="preserve">Kas Kanpus                              </v>
          </cell>
          <cell r="O1739" t="str">
            <v xml:space="preserve">KAS KANPUS                              </v>
          </cell>
          <cell r="R1739" t="str">
            <v>Belum TL</v>
          </cell>
          <cell r="S1739" t="str">
            <v>Belum TL</v>
          </cell>
          <cell r="T1739" t="str">
            <v>00394520 - Frida Akbar Rani</v>
          </cell>
          <cell r="U1739" t="str">
            <v>"-"</v>
          </cell>
        </row>
        <row r="1740">
          <cell r="A1740">
            <v>46265</v>
          </cell>
          <cell r="B1740" t="str">
            <v xml:space="preserve">RIFCKY SURADI HUBATULLAH                </v>
          </cell>
          <cell r="C1740" t="str">
            <v>RSRK467</v>
          </cell>
          <cell r="D1740">
            <v>95901014766508</v>
          </cell>
          <cell r="F1740" t="str">
            <v>Tidak</v>
          </cell>
          <cell r="G1740" t="str">
            <v>Tidak</v>
          </cell>
          <cell r="H1740" t="str">
            <v>Tidak</v>
          </cell>
          <cell r="I1740" t="str">
            <v>Bandar Judol Withdrawal</v>
          </cell>
          <cell r="J1740">
            <v>35</v>
          </cell>
          <cell r="K1740" t="str">
            <v>86,88,87</v>
          </cell>
          <cell r="L1740" t="str">
            <v>Judi Online</v>
          </cell>
          <cell r="M1740" t="str">
            <v xml:space="preserve">Kas Kanpus                              </v>
          </cell>
          <cell r="N1740" t="str">
            <v xml:space="preserve">Kas Kanpus                              </v>
          </cell>
          <cell r="O1740" t="str">
            <v xml:space="preserve">KAS KANPUS                              </v>
          </cell>
          <cell r="R1740" t="str">
            <v>Belum TL</v>
          </cell>
          <cell r="S1740" t="str">
            <v>Belum TL</v>
          </cell>
          <cell r="T1740" t="str">
            <v>00336949 - Mochammad Al Farabi</v>
          </cell>
          <cell r="U1740" t="str">
            <v>"-"</v>
          </cell>
        </row>
        <row r="1741">
          <cell r="A1741">
            <v>46265</v>
          </cell>
          <cell r="B1741" t="str">
            <v xml:space="preserve">REVANDRA ATTALLAH SAPUTRA               </v>
          </cell>
          <cell r="C1741" t="str">
            <v>RSRT082</v>
          </cell>
          <cell r="D1741">
            <v>95901014769506</v>
          </cell>
          <cell r="F1741" t="str">
            <v>Tidak</v>
          </cell>
          <cell r="G1741" t="str">
            <v>Tidak</v>
          </cell>
          <cell r="H1741" t="str">
            <v>Tidak</v>
          </cell>
          <cell r="I1741" t="str">
            <v>Bandar Judol Withdrawal</v>
          </cell>
          <cell r="J1741">
            <v>35</v>
          </cell>
          <cell r="K1741" t="str">
            <v>86,88,87</v>
          </cell>
          <cell r="L1741" t="str">
            <v>Judi Online</v>
          </cell>
          <cell r="M1741" t="str">
            <v xml:space="preserve">Kas Kanpus                              </v>
          </cell>
          <cell r="N1741" t="str">
            <v xml:space="preserve">Kas Kanpus                              </v>
          </cell>
          <cell r="O1741" t="str">
            <v xml:space="preserve">KAS KANPUS                              </v>
          </cell>
          <cell r="R1741" t="str">
            <v>Belum TL</v>
          </cell>
          <cell r="S1741" t="str">
            <v>Belum TL</v>
          </cell>
          <cell r="T1741" t="str">
            <v>00394520 - Frida Akbar Rani</v>
          </cell>
          <cell r="U1741" t="str">
            <v>"-"</v>
          </cell>
        </row>
        <row r="1742">
          <cell r="A1742">
            <v>46265</v>
          </cell>
          <cell r="B1742" t="str">
            <v xml:space="preserve">REZA ADITYA                             </v>
          </cell>
          <cell r="C1742" t="str">
            <v>RSST398</v>
          </cell>
          <cell r="D1742">
            <v>113001018796506</v>
          </cell>
          <cell r="F1742" t="str">
            <v>Tidak</v>
          </cell>
          <cell r="G1742" t="str">
            <v>Tidak</v>
          </cell>
          <cell r="H1742" t="str">
            <v>Tidak</v>
          </cell>
          <cell r="I1742" t="str">
            <v>Bandar Judol Withdrawal</v>
          </cell>
          <cell r="J1742">
            <v>35</v>
          </cell>
          <cell r="K1742" t="str">
            <v>86,88,87</v>
          </cell>
          <cell r="L1742" t="str">
            <v>Judi Online</v>
          </cell>
          <cell r="M1742" t="str">
            <v xml:space="preserve">Kas Kanpus                              </v>
          </cell>
          <cell r="N1742" t="str">
            <v xml:space="preserve">Kas Kanpus                              </v>
          </cell>
          <cell r="O1742" t="str">
            <v xml:space="preserve">KAS KANPUS                              </v>
          </cell>
          <cell r="R1742" t="str">
            <v>Belum TL</v>
          </cell>
          <cell r="S1742" t="str">
            <v>Belum TL</v>
          </cell>
          <cell r="T1742" t="str">
            <v>90186796 - Devito Arya Wiradila</v>
          </cell>
          <cell r="U1742" t="str">
            <v>"-"</v>
          </cell>
        </row>
        <row r="1743">
          <cell r="A1743">
            <v>46265</v>
          </cell>
          <cell r="B1743" t="str">
            <v xml:space="preserve">ROSMAWATI CHANIAGO                      </v>
          </cell>
          <cell r="C1743" t="str">
            <v>RSU3294</v>
          </cell>
          <cell r="D1743">
            <v>11301046030533</v>
          </cell>
          <cell r="E1743" t="str">
            <v>SEDANG</v>
          </cell>
          <cell r="F1743" t="str">
            <v>Tidak</v>
          </cell>
          <cell r="G1743" t="str">
            <v>Tidak</v>
          </cell>
          <cell r="H1743" t="str">
            <v>Tidak</v>
          </cell>
          <cell r="I1743" t="str">
            <v>Bandar Judol Withdrawal</v>
          </cell>
          <cell r="J1743">
            <v>50</v>
          </cell>
          <cell r="K1743" t="str">
            <v>86,88,87</v>
          </cell>
          <cell r="L1743" t="str">
            <v>Judi Online</v>
          </cell>
          <cell r="M1743" t="str">
            <v xml:space="preserve">Kas Kanpus                              </v>
          </cell>
          <cell r="N1743" t="str">
            <v xml:space="preserve">Kas Kanpus                              </v>
          </cell>
          <cell r="O1743" t="str">
            <v xml:space="preserve">KAS KANPUS                              </v>
          </cell>
          <cell r="R1743" t="str">
            <v>Belum TL</v>
          </cell>
          <cell r="S1743" t="str">
            <v>Belum TL</v>
          </cell>
          <cell r="T1743" t="str">
            <v>00336949 - Mochammad Al Farabi</v>
          </cell>
          <cell r="U1743" t="str">
            <v>"-"</v>
          </cell>
        </row>
        <row r="1744">
          <cell r="A1744">
            <v>46265</v>
          </cell>
          <cell r="B1744" t="str">
            <v xml:space="preserve">RIAN SANJAYA                            </v>
          </cell>
          <cell r="C1744" t="str">
            <v>RRV9763</v>
          </cell>
          <cell r="D1744">
            <v>35601095224503</v>
          </cell>
          <cell r="F1744" t="str">
            <v>Tidak</v>
          </cell>
          <cell r="G1744" t="str">
            <v>Tidak</v>
          </cell>
          <cell r="I1744" t="str">
            <v>Jual Beli Rekening - E channel Trx</v>
          </cell>
          <cell r="J1744">
            <v>33</v>
          </cell>
          <cell r="K1744">
            <v>113</v>
          </cell>
          <cell r="L1744" t="str">
            <v>Narkotika/Judi Online/Penipuan</v>
          </cell>
          <cell r="M1744" t="str">
            <v xml:space="preserve">KC JAKARTA KEMAYORAN                    </v>
          </cell>
          <cell r="N1744" t="str">
            <v xml:space="preserve">KC JAKARTA KEMAYORAN                    </v>
          </cell>
          <cell r="O1744" t="str">
            <v xml:space="preserve">DKI                                     </v>
          </cell>
          <cell r="R1744" t="str">
            <v>Belum TL</v>
          </cell>
          <cell r="S1744" t="str">
            <v>Belum TL</v>
          </cell>
          <cell r="U1744" t="str">
            <v>"-"</v>
          </cell>
        </row>
        <row r="1745">
          <cell r="A1745">
            <v>46265</v>
          </cell>
          <cell r="B1745" t="str">
            <v xml:space="preserve">RUDI AGUS ISKANDAR TANJUNG              </v>
          </cell>
          <cell r="C1745" t="str">
            <v>RRVG907</v>
          </cell>
          <cell r="D1745">
            <v>337901094779538</v>
          </cell>
          <cell r="F1745" t="str">
            <v>Tidak</v>
          </cell>
          <cell r="G1745" t="str">
            <v>Tidak</v>
          </cell>
          <cell r="H1745" t="str">
            <v>Tidak</v>
          </cell>
          <cell r="I1745" t="str">
            <v>Bandar Judol Depo</v>
          </cell>
          <cell r="J1745">
            <v>35</v>
          </cell>
          <cell r="K1745" t="str">
            <v>86,74,87</v>
          </cell>
          <cell r="L1745" t="str">
            <v>Judi Online</v>
          </cell>
          <cell r="M1745" t="str">
            <v xml:space="preserve">Kas Kanpus                              </v>
          </cell>
          <cell r="N1745" t="str">
            <v xml:space="preserve">Kas Kanpus                              </v>
          </cell>
          <cell r="O1745" t="str">
            <v xml:space="preserve">KAS KANPUS                              </v>
          </cell>
          <cell r="R1745" t="str">
            <v>Belum TL</v>
          </cell>
          <cell r="S1745" t="str">
            <v>Belum TL</v>
          </cell>
          <cell r="T1745" t="str">
            <v>90186790 - Muhammad Alfin Farha</v>
          </cell>
          <cell r="U1745" t="str">
            <v>"-"</v>
          </cell>
        </row>
        <row r="1746">
          <cell r="A1746">
            <v>46265</v>
          </cell>
          <cell r="B1746" t="str">
            <v xml:space="preserve">RIFKI SATURA FADILLAH                   </v>
          </cell>
          <cell r="C1746" t="str">
            <v>RRVH805</v>
          </cell>
          <cell r="D1746">
            <v>112201001261565</v>
          </cell>
          <cell r="F1746" t="str">
            <v>Tidak</v>
          </cell>
          <cell r="G1746" t="str">
            <v>Tidak</v>
          </cell>
          <cell r="H1746" t="str">
            <v>Tidak</v>
          </cell>
          <cell r="I1746" t="str">
            <v>Bandar Judol Depo</v>
          </cell>
          <cell r="J1746">
            <v>35</v>
          </cell>
          <cell r="K1746" t="str">
            <v>86,74,87</v>
          </cell>
          <cell r="L1746" t="str">
            <v>Judi Online</v>
          </cell>
          <cell r="M1746" t="str">
            <v xml:space="preserve">Kas Kanpus                              </v>
          </cell>
          <cell r="N1746" t="str">
            <v xml:space="preserve">Kas Kanpus                              </v>
          </cell>
          <cell r="O1746" t="str">
            <v xml:space="preserve">KAS KANPUS                              </v>
          </cell>
          <cell r="R1746" t="str">
            <v>Belum TL</v>
          </cell>
          <cell r="S1746" t="str">
            <v>Belum TL</v>
          </cell>
          <cell r="T1746" t="str">
            <v>90185538 - Muhammad Fahikal Auz</v>
          </cell>
          <cell r="U1746" t="str">
            <v>"-"</v>
          </cell>
        </row>
        <row r="1747">
          <cell r="A1747">
            <v>46265</v>
          </cell>
          <cell r="B1747" t="str">
            <v xml:space="preserve">RANDI                                   </v>
          </cell>
          <cell r="C1747" t="str">
            <v>RSZ6920</v>
          </cell>
          <cell r="D1747">
            <v>363301019507100</v>
          </cell>
          <cell r="E1747" t="str">
            <v>SEDANG</v>
          </cell>
          <cell r="F1747" t="str">
            <v>Tidak</v>
          </cell>
          <cell r="G1747" t="str">
            <v>Tidak</v>
          </cell>
          <cell r="H1747" t="str">
            <v>Tidak</v>
          </cell>
          <cell r="I1747" t="str">
            <v>Korupsi - Loan View</v>
          </cell>
          <cell r="J1747">
            <v>48</v>
          </cell>
          <cell r="K1747">
            <v>15</v>
          </cell>
          <cell r="L1747" t="str">
            <v>Korupsi</v>
          </cell>
          <cell r="M1747" t="str">
            <v>Kas Kanpus</v>
          </cell>
          <cell r="N1747" t="str">
            <v>Kas Kanpus</v>
          </cell>
          <cell r="O1747" t="str">
            <v>KAS KANPUS</v>
          </cell>
          <cell r="R1747" t="str">
            <v>Belum TL</v>
          </cell>
          <cell r="S1747" t="str">
            <v>Belum TL</v>
          </cell>
          <cell r="T1747" t="str">
            <v>90185537 - Moh.Khoerul Fajar Ar</v>
          </cell>
          <cell r="U1747" t="str">
            <v>"-"</v>
          </cell>
        </row>
        <row r="1748">
          <cell r="A1748">
            <v>46265</v>
          </cell>
          <cell r="B1748" t="str">
            <v xml:space="preserve">RIZKY AMANDA PUTRI                      </v>
          </cell>
          <cell r="C1748" t="str">
            <v>RTIR901</v>
          </cell>
          <cell r="D1748">
            <v>501005731563</v>
          </cell>
          <cell r="F1748" t="str">
            <v>Tidak</v>
          </cell>
          <cell r="G1748" t="str">
            <v>Tidak</v>
          </cell>
          <cell r="H1748" t="str">
            <v>Tidak</v>
          </cell>
          <cell r="I1748" t="str">
            <v>Korupsi - Cash &amp; Amount</v>
          </cell>
          <cell r="J1748">
            <v>50</v>
          </cell>
          <cell r="K1748" t="str">
            <v>1,2,20</v>
          </cell>
          <cell r="L1748" t="str">
            <v>Korupsi</v>
          </cell>
          <cell r="M1748" t="str">
            <v>Kas Kanpus</v>
          </cell>
          <cell r="N1748" t="str">
            <v>Kas Kanpus</v>
          </cell>
          <cell r="O1748" t="str">
            <v>KAS KANPUS</v>
          </cell>
          <cell r="R1748" t="str">
            <v>Belum TL</v>
          </cell>
          <cell r="S1748" t="str">
            <v>Belum TL</v>
          </cell>
          <cell r="T1748" t="str">
            <v>00336949 - Mochammad Al Farabi</v>
          </cell>
          <cell r="U1748" t="str">
            <v>"-"</v>
          </cell>
        </row>
        <row r="1749">
          <cell r="A1749">
            <v>46265</v>
          </cell>
          <cell r="B1749" t="str">
            <v xml:space="preserve">RIZKY AMANDA PUTRI                      </v>
          </cell>
          <cell r="C1749" t="str">
            <v>RTIR901</v>
          </cell>
          <cell r="D1749">
            <v>501005731563</v>
          </cell>
          <cell r="F1749" t="str">
            <v>Tidak</v>
          </cell>
          <cell r="G1749" t="str">
            <v>Tidak</v>
          </cell>
          <cell r="H1749" t="str">
            <v>Tidak</v>
          </cell>
          <cell r="I1749" t="str">
            <v>Korupsi - Significant Trx View</v>
          </cell>
          <cell r="J1749">
            <v>50</v>
          </cell>
          <cell r="K1749">
            <v>1.19</v>
          </cell>
          <cell r="L1749" t="str">
            <v>Korupsi</v>
          </cell>
          <cell r="M1749" t="str">
            <v>Kas Kanpus</v>
          </cell>
          <cell r="N1749" t="str">
            <v>Kas Kanpus</v>
          </cell>
          <cell r="O1749" t="str">
            <v>KAS KANPUS</v>
          </cell>
          <cell r="R1749" t="str">
            <v>Belum TL</v>
          </cell>
          <cell r="S1749" t="str">
            <v>Belum TL</v>
          </cell>
          <cell r="T1749" t="str">
            <v>90150130 - Intan Aida Pratiwi</v>
          </cell>
          <cell r="U1749" t="str">
            <v>"-"</v>
          </cell>
        </row>
        <row r="1750">
          <cell r="A1750">
            <v>46265</v>
          </cell>
          <cell r="B1750" t="str">
            <v xml:space="preserve">ROSITA ANGGEREK                         </v>
          </cell>
          <cell r="C1750" t="str">
            <v>RU71957</v>
          </cell>
          <cell r="D1750">
            <v>28301000993560</v>
          </cell>
          <cell r="E1750" t="str">
            <v>TINGGI</v>
          </cell>
          <cell r="F1750" t="str">
            <v>Tidak</v>
          </cell>
          <cell r="G1750" t="str">
            <v>Tidak</v>
          </cell>
          <cell r="H1750" t="str">
            <v>Tidak</v>
          </cell>
          <cell r="I1750" t="str">
            <v>Perpajakan</v>
          </cell>
          <cell r="J1750">
            <v>73</v>
          </cell>
          <cell r="K1750">
            <v>1.33</v>
          </cell>
          <cell r="L1750" t="str">
            <v>Perpajakan</v>
          </cell>
          <cell r="M1750" t="str">
            <v xml:space="preserve">KC Tebing Tinggi                        </v>
          </cell>
          <cell r="N1750" t="str">
            <v xml:space="preserve">KC Tebing Tinggi                        </v>
          </cell>
          <cell r="O1750" t="str">
            <v xml:space="preserve">Medan                                   </v>
          </cell>
          <cell r="R1750" t="str">
            <v>Belum TL</v>
          </cell>
          <cell r="S1750" t="str">
            <v>Belum TL</v>
          </cell>
          <cell r="T1750" t="str">
            <v>90186796 - Devito Arya Wiradila</v>
          </cell>
          <cell r="U1750" t="str">
            <v>"-"</v>
          </cell>
        </row>
        <row r="1751">
          <cell r="A1751">
            <v>46265</v>
          </cell>
          <cell r="B1751" t="str">
            <v xml:space="preserve">ROBERTUS RONI SIRI                      </v>
          </cell>
          <cell r="C1751" t="str">
            <v>RW35071</v>
          </cell>
          <cell r="D1751">
            <v>7201042553103</v>
          </cell>
          <cell r="E1751" t="str">
            <v>SEDANG</v>
          </cell>
          <cell r="F1751" t="str">
            <v>Tidak</v>
          </cell>
          <cell r="G1751" t="str">
            <v>Tidak</v>
          </cell>
          <cell r="H1751" t="str">
            <v>Tidak</v>
          </cell>
          <cell r="I1751" t="str">
            <v>Korupsi - Loan View</v>
          </cell>
          <cell r="J1751">
            <v>48</v>
          </cell>
          <cell r="K1751">
            <v>15</v>
          </cell>
          <cell r="L1751" t="str">
            <v>Korupsi</v>
          </cell>
          <cell r="M1751" t="str">
            <v>Kas Kanpus</v>
          </cell>
          <cell r="N1751" t="str">
            <v>Kas Kanpus</v>
          </cell>
          <cell r="O1751" t="str">
            <v>KAS KANPUS</v>
          </cell>
          <cell r="R1751" t="str">
            <v>Belum TL</v>
          </cell>
          <cell r="S1751" t="str">
            <v>Belum TL</v>
          </cell>
          <cell r="T1751" t="str">
            <v>90186790 - Muhammad Alfin Farha</v>
          </cell>
          <cell r="U1751" t="str">
            <v>"-"</v>
          </cell>
        </row>
        <row r="1752">
          <cell r="A1752">
            <v>46265</v>
          </cell>
          <cell r="B1752" t="str">
            <v xml:space="preserve">SUPARMA                                 </v>
          </cell>
          <cell r="C1752" t="str">
            <v>S711674</v>
          </cell>
          <cell r="D1752">
            <v>9601500146159</v>
          </cell>
          <cell r="E1752" t="str">
            <v>SEDANG</v>
          </cell>
          <cell r="F1752" t="str">
            <v>Tidak</v>
          </cell>
          <cell r="G1752" t="str">
            <v>Tidak</v>
          </cell>
          <cell r="H1752" t="str">
            <v>Tidak</v>
          </cell>
          <cell r="I1752" t="str">
            <v>Korupsi - Loan View</v>
          </cell>
          <cell r="J1752">
            <v>48</v>
          </cell>
          <cell r="K1752">
            <v>15</v>
          </cell>
          <cell r="L1752" t="str">
            <v>Korupsi</v>
          </cell>
          <cell r="M1752" t="str">
            <v>Kas Kanpus</v>
          </cell>
          <cell r="N1752" t="str">
            <v>Kas Kanpus</v>
          </cell>
          <cell r="O1752" t="str">
            <v>KAS KANPUS</v>
          </cell>
          <cell r="R1752" t="str">
            <v>Belum TL</v>
          </cell>
          <cell r="S1752" t="str">
            <v>Belum TL</v>
          </cell>
          <cell r="T1752" t="str">
            <v>90171841 - Rifqi Aziz</v>
          </cell>
          <cell r="U1752" t="str">
            <v>"-"</v>
          </cell>
        </row>
        <row r="1753">
          <cell r="A1753">
            <v>46265</v>
          </cell>
          <cell r="B1753" t="str">
            <v xml:space="preserve">SITI BINTARKIMUNA NY                    </v>
          </cell>
          <cell r="C1753" t="str">
            <v>S759970</v>
          </cell>
          <cell r="D1753">
            <v>5326590002125170</v>
          </cell>
          <cell r="E1753" t="str">
            <v>TINGGI</v>
          </cell>
          <cell r="F1753" t="str">
            <v>Tidak</v>
          </cell>
          <cell r="G1753" t="str">
            <v>Ya</v>
          </cell>
          <cell r="H1753" t="str">
            <v>Tidak</v>
          </cell>
          <cell r="I1753" t="str">
            <v>Private or Priority Customer Investment</v>
          </cell>
          <cell r="J1753">
            <v>93</v>
          </cell>
          <cell r="K1753">
            <v>93</v>
          </cell>
          <cell r="L1753" t="str">
            <v>Pasar Modal</v>
          </cell>
          <cell r="M1753" t="str">
            <v xml:space="preserve">SLP MALANG                              </v>
          </cell>
          <cell r="N1753" t="str">
            <v xml:space="preserve">KC Malang Kawi                          </v>
          </cell>
          <cell r="O1753" t="str">
            <v xml:space="preserve">KANWIL MALANG                           </v>
          </cell>
          <cell r="R1753" t="str">
            <v>Belum TL</v>
          </cell>
          <cell r="S1753" t="str">
            <v>Belum TL</v>
          </cell>
          <cell r="T1753" t="str">
            <v>90170665 - Mutiara Ayuningtyas</v>
          </cell>
          <cell r="U1753" t="str">
            <v>"-"</v>
          </cell>
        </row>
        <row r="1754">
          <cell r="A1754">
            <v>46265</v>
          </cell>
          <cell r="B1754" t="str">
            <v xml:space="preserve">LOLC VENTURA INDONESIA                  </v>
          </cell>
          <cell r="C1754" t="str">
            <v>SACEH37</v>
          </cell>
          <cell r="D1754">
            <v>50902000045309</v>
          </cell>
          <cell r="E1754" t="str">
            <v>SEDANG</v>
          </cell>
          <cell r="F1754" t="str">
            <v>Tidak</v>
          </cell>
          <cell r="G1754" t="str">
            <v>Tidak</v>
          </cell>
          <cell r="H1754" t="str">
            <v>Tidak</v>
          </cell>
          <cell r="I1754" t="str">
            <v>Perpajakan</v>
          </cell>
          <cell r="J1754">
            <v>48</v>
          </cell>
          <cell r="K1754">
            <v>1.33</v>
          </cell>
          <cell r="L1754" t="str">
            <v>Perpajakan</v>
          </cell>
          <cell r="M1754" t="str">
            <v xml:space="preserve">KC Bumi Serpong Damai                   </v>
          </cell>
          <cell r="N1754" t="str">
            <v xml:space="preserve">KC Bumi Serpong Damai                   </v>
          </cell>
          <cell r="O1754" t="str">
            <v xml:space="preserve">KANWIL JAKARTA 3                        </v>
          </cell>
          <cell r="R1754" t="str">
            <v>Belum TL</v>
          </cell>
          <cell r="S1754" t="str">
            <v>Belum TL</v>
          </cell>
          <cell r="T1754" t="str">
            <v>90171841 - Rifqi Aziz</v>
          </cell>
          <cell r="U1754" t="str">
            <v>"-"</v>
          </cell>
        </row>
        <row r="1755">
          <cell r="A1755">
            <v>46265</v>
          </cell>
          <cell r="B1755" t="str">
            <v xml:space="preserve">SAFALUDIN                               </v>
          </cell>
          <cell r="C1755" t="str">
            <v>SAFZM54</v>
          </cell>
          <cell r="D1755">
            <v>731501015485530</v>
          </cell>
          <cell r="E1755" t="str">
            <v>SEDANG</v>
          </cell>
          <cell r="F1755" t="str">
            <v>Tidak</v>
          </cell>
          <cell r="G1755" t="str">
            <v>Tidak</v>
          </cell>
          <cell r="H1755" t="str">
            <v>Tidak</v>
          </cell>
          <cell r="I1755" t="str">
            <v>Bandar Judol Depo</v>
          </cell>
          <cell r="J1755">
            <v>50</v>
          </cell>
          <cell r="K1755" t="str">
            <v>86,74,87</v>
          </cell>
          <cell r="L1755" t="str">
            <v>Judi Online</v>
          </cell>
          <cell r="M1755" t="str">
            <v xml:space="preserve">Kas Kanpus                              </v>
          </cell>
          <cell r="N1755" t="str">
            <v xml:space="preserve">Kas Kanpus                              </v>
          </cell>
          <cell r="O1755" t="str">
            <v xml:space="preserve">KAS KANPUS                              </v>
          </cell>
          <cell r="R1755" t="str">
            <v>Belum TL</v>
          </cell>
          <cell r="S1755" t="str">
            <v>Belum TL</v>
          </cell>
          <cell r="T1755" t="str">
            <v>90186796 - Devito Arya Wiradila</v>
          </cell>
          <cell r="U1755" t="str">
            <v>"-"</v>
          </cell>
        </row>
        <row r="1756">
          <cell r="A1756">
            <v>46265</v>
          </cell>
          <cell r="B1756" t="str">
            <v xml:space="preserve">SAHARUDDIN                              </v>
          </cell>
          <cell r="C1756" t="str">
            <v>SAHRR55</v>
          </cell>
          <cell r="D1756">
            <v>337401028680109</v>
          </cell>
          <cell r="E1756" t="str">
            <v>SEDANG</v>
          </cell>
          <cell r="F1756" t="str">
            <v>Tidak</v>
          </cell>
          <cell r="G1756" t="str">
            <v>Tidak</v>
          </cell>
          <cell r="H1756" t="str">
            <v>Tidak</v>
          </cell>
          <cell r="I1756" t="str">
            <v>Korupsi - Loan View</v>
          </cell>
          <cell r="J1756">
            <v>48</v>
          </cell>
          <cell r="K1756">
            <v>15</v>
          </cell>
          <cell r="L1756" t="str">
            <v>Korupsi</v>
          </cell>
          <cell r="M1756" t="str">
            <v>Kas Kanpus</v>
          </cell>
          <cell r="N1756" t="str">
            <v>Kas Kanpus</v>
          </cell>
          <cell r="O1756" t="str">
            <v>KAS KANPUS</v>
          </cell>
          <cell r="R1756" t="str">
            <v>Belum TL</v>
          </cell>
          <cell r="S1756" t="str">
            <v>Belum TL</v>
          </cell>
          <cell r="T1756" t="str">
            <v>90170665 - Mutiara Ayuningtyas</v>
          </cell>
          <cell r="U1756" t="str">
            <v>"-"</v>
          </cell>
        </row>
        <row r="1757">
          <cell r="A1757">
            <v>46265</v>
          </cell>
          <cell r="B1757" t="str">
            <v xml:space="preserve">SULI HANTO                              </v>
          </cell>
          <cell r="C1757" t="str">
            <v>SAKBJ70</v>
          </cell>
          <cell r="D1757">
            <v>8601501775152</v>
          </cell>
          <cell r="E1757" t="str">
            <v>SEDANG</v>
          </cell>
          <cell r="F1757" t="str">
            <v>Tidak</v>
          </cell>
          <cell r="G1757" t="str">
            <v>Tidak</v>
          </cell>
          <cell r="H1757" t="str">
            <v>Tidak</v>
          </cell>
          <cell r="I1757" t="str">
            <v>Korupsi - Loan View</v>
          </cell>
          <cell r="J1757">
            <v>48</v>
          </cell>
          <cell r="K1757">
            <v>15</v>
          </cell>
          <cell r="L1757" t="str">
            <v>Korupsi</v>
          </cell>
          <cell r="M1757" t="str">
            <v>Kas Kanpus</v>
          </cell>
          <cell r="N1757" t="str">
            <v>Kas Kanpus</v>
          </cell>
          <cell r="O1757" t="str">
            <v>KAS KANPUS</v>
          </cell>
          <cell r="R1757" t="str">
            <v>Belum TL</v>
          </cell>
          <cell r="S1757" t="str">
            <v>Belum TL</v>
          </cell>
          <cell r="T1757" t="str">
            <v>90185538 - Muhammad Fahikal Auz</v>
          </cell>
          <cell r="U1757" t="str">
            <v>"-"</v>
          </cell>
        </row>
        <row r="1758">
          <cell r="A1758">
            <v>46265</v>
          </cell>
          <cell r="B1758" t="str">
            <v xml:space="preserve">SRI ROHATI                              </v>
          </cell>
          <cell r="C1758" t="str">
            <v>SACMD03</v>
          </cell>
          <cell r="D1758">
            <v>379201013099509</v>
          </cell>
          <cell r="F1758" t="str">
            <v>Tidak</v>
          </cell>
          <cell r="G1758" t="str">
            <v>Tidak</v>
          </cell>
          <cell r="I1758" t="str">
            <v>Jual Beli Rekening - E channel Trx</v>
          </cell>
          <cell r="J1758">
            <v>33</v>
          </cell>
          <cell r="K1758">
            <v>113</v>
          </cell>
          <cell r="L1758" t="str">
            <v>Narkotika/Judi Online/Penipuan</v>
          </cell>
          <cell r="M1758" t="str">
            <v xml:space="preserve">UNIT MULYOHARJO PEMALANG                </v>
          </cell>
          <cell r="N1758" t="str">
            <v xml:space="preserve">KC Pemalang                             </v>
          </cell>
          <cell r="O1758" t="str">
            <v xml:space="preserve">Semarang                                </v>
          </cell>
          <cell r="R1758" t="str">
            <v>Belum TL</v>
          </cell>
          <cell r="S1758" t="str">
            <v>Belum TL</v>
          </cell>
          <cell r="U1758" t="str">
            <v>"-"</v>
          </cell>
        </row>
        <row r="1759">
          <cell r="A1759">
            <v>46265</v>
          </cell>
          <cell r="B1759" t="str">
            <v xml:space="preserve">SUPARDI BALASTENG                       </v>
          </cell>
          <cell r="C1759" t="str">
            <v>SACOR26</v>
          </cell>
          <cell r="D1759">
            <v>522501017945105</v>
          </cell>
          <cell r="E1759" t="str">
            <v>RENDAH</v>
          </cell>
          <cell r="F1759" t="str">
            <v>Tidak</v>
          </cell>
          <cell r="G1759" t="str">
            <v>Tidak</v>
          </cell>
          <cell r="H1759" t="str">
            <v>Tidak</v>
          </cell>
          <cell r="I1759" t="str">
            <v>Korupsi - Loan View</v>
          </cell>
          <cell r="J1759">
            <v>33</v>
          </cell>
          <cell r="K1759">
            <v>15</v>
          </cell>
          <cell r="L1759" t="str">
            <v>Korupsi</v>
          </cell>
          <cell r="M1759" t="str">
            <v>Kas Kanpus</v>
          </cell>
          <cell r="N1759" t="str">
            <v>Kas Kanpus</v>
          </cell>
          <cell r="O1759" t="str">
            <v>KAS KANPUS</v>
          </cell>
          <cell r="R1759" t="str">
            <v>Belum TL</v>
          </cell>
          <cell r="S1759" t="str">
            <v>Belum TL</v>
          </cell>
          <cell r="T1759" t="str">
            <v>90150130 - Intan Aida Pratiwi</v>
          </cell>
          <cell r="U1759" t="str">
            <v>"-"</v>
          </cell>
        </row>
        <row r="1760">
          <cell r="A1760">
            <v>46265</v>
          </cell>
          <cell r="B1760" t="str">
            <v xml:space="preserve">SING DAMAR WULAN                        </v>
          </cell>
          <cell r="C1760" t="str">
            <v>SALPR29</v>
          </cell>
          <cell r="D1760">
            <v>78701013525506</v>
          </cell>
          <cell r="E1760" t="str">
            <v>SEDANG</v>
          </cell>
          <cell r="F1760" t="str">
            <v>Tidak</v>
          </cell>
          <cell r="G1760" t="str">
            <v>Tidak</v>
          </cell>
          <cell r="H1760" t="str">
            <v>Tidak</v>
          </cell>
          <cell r="I1760" t="str">
            <v>Bandar Judol Withdrawal</v>
          </cell>
          <cell r="J1760">
            <v>50</v>
          </cell>
          <cell r="K1760" t="str">
            <v>86,88,87</v>
          </cell>
          <cell r="L1760" t="str">
            <v>Judi Online</v>
          </cell>
          <cell r="M1760" t="str">
            <v xml:space="preserve">Kas Kanpus                              </v>
          </cell>
          <cell r="N1760" t="str">
            <v xml:space="preserve">Kas Kanpus                              </v>
          </cell>
          <cell r="O1760" t="str">
            <v xml:space="preserve">KAS KANPUS                              </v>
          </cell>
          <cell r="R1760" t="str">
            <v>Belum TL</v>
          </cell>
          <cell r="S1760" t="str">
            <v>Belum TL</v>
          </cell>
          <cell r="T1760" t="str">
            <v>00336949 - Mochammad Al Farabi</v>
          </cell>
          <cell r="U1760" t="str">
            <v>"-"</v>
          </cell>
        </row>
        <row r="1761">
          <cell r="A1761">
            <v>46265</v>
          </cell>
          <cell r="B1761" t="str">
            <v xml:space="preserve">SRI MEGA AMBARWATI                      </v>
          </cell>
          <cell r="C1761" t="str">
            <v>SARRW59</v>
          </cell>
          <cell r="D1761">
            <v>90901080836530</v>
          </cell>
          <cell r="E1761" t="str">
            <v>RENDAH</v>
          </cell>
          <cell r="F1761" t="str">
            <v>Tidak</v>
          </cell>
          <cell r="G1761" t="str">
            <v>Tidak</v>
          </cell>
          <cell r="H1761" t="str">
            <v>Tidak</v>
          </cell>
          <cell r="I1761" t="str">
            <v>Bandar Judol Withdrawal</v>
          </cell>
          <cell r="J1761">
            <v>35</v>
          </cell>
          <cell r="K1761" t="str">
            <v>86,88,87</v>
          </cell>
          <cell r="L1761" t="str">
            <v>Judi Online</v>
          </cell>
          <cell r="M1761" t="str">
            <v xml:space="preserve">Kas Kanpus                              </v>
          </cell>
          <cell r="N1761" t="str">
            <v xml:space="preserve">Kas Kanpus                              </v>
          </cell>
          <cell r="O1761" t="str">
            <v xml:space="preserve">KAS KANPUS                              </v>
          </cell>
          <cell r="R1761" t="str">
            <v>Belum TL</v>
          </cell>
          <cell r="S1761" t="str">
            <v>Belum TL</v>
          </cell>
          <cell r="T1761" t="str">
            <v>90171841 - Rifqi Aziz</v>
          </cell>
          <cell r="U1761" t="str">
            <v>"-"</v>
          </cell>
        </row>
        <row r="1762">
          <cell r="A1762">
            <v>46265</v>
          </cell>
          <cell r="B1762" t="str">
            <v xml:space="preserve">SEPENPRI                                </v>
          </cell>
          <cell r="C1762" t="str">
            <v>SASC671</v>
          </cell>
          <cell r="D1762">
            <v>566001020828100</v>
          </cell>
          <cell r="E1762" t="str">
            <v>SEDANG</v>
          </cell>
          <cell r="F1762" t="str">
            <v>Tidak</v>
          </cell>
          <cell r="G1762" t="str">
            <v>Tidak</v>
          </cell>
          <cell r="H1762" t="str">
            <v>Tidak</v>
          </cell>
          <cell r="I1762" t="str">
            <v>Korupsi - Loan View</v>
          </cell>
          <cell r="J1762">
            <v>48</v>
          </cell>
          <cell r="K1762">
            <v>15</v>
          </cell>
          <cell r="L1762" t="str">
            <v>Korupsi</v>
          </cell>
          <cell r="M1762" t="str">
            <v>Kas Kanpus</v>
          </cell>
          <cell r="N1762" t="str">
            <v>Kas Kanpus</v>
          </cell>
          <cell r="O1762" t="str">
            <v>KAS KANPUS</v>
          </cell>
          <cell r="R1762" t="str">
            <v>Belum TL</v>
          </cell>
          <cell r="S1762" t="str">
            <v>Belum TL</v>
          </cell>
          <cell r="T1762" t="str">
            <v>90185538 - Muhammad Fahikal Auz</v>
          </cell>
          <cell r="U1762" t="str">
            <v>"-"</v>
          </cell>
        </row>
        <row r="1763">
          <cell r="A1763">
            <v>46265</v>
          </cell>
          <cell r="B1763" t="str">
            <v xml:space="preserve">SINAR ENERGI PRATAMA                    </v>
          </cell>
          <cell r="C1763" t="str">
            <v>SAZMD55</v>
          </cell>
          <cell r="D1763">
            <v>39401001513156</v>
          </cell>
          <cell r="E1763" t="str">
            <v>SEDANG</v>
          </cell>
          <cell r="F1763" t="str">
            <v>Tidak</v>
          </cell>
          <cell r="G1763" t="str">
            <v>Tidak</v>
          </cell>
          <cell r="H1763" t="str">
            <v>Tidak</v>
          </cell>
          <cell r="I1763" t="str">
            <v>Korupsi - Loan View</v>
          </cell>
          <cell r="J1763">
            <v>48</v>
          </cell>
          <cell r="K1763">
            <v>15</v>
          </cell>
          <cell r="L1763" t="str">
            <v>Korupsi</v>
          </cell>
          <cell r="M1763" t="str">
            <v>Kas Kanpus</v>
          </cell>
          <cell r="N1763" t="str">
            <v>Kas Kanpus</v>
          </cell>
          <cell r="O1763" t="str">
            <v>KAS KANPUS</v>
          </cell>
          <cell r="R1763" t="str">
            <v>Belum TL</v>
          </cell>
          <cell r="S1763" t="str">
            <v>Belum TL</v>
          </cell>
          <cell r="T1763" t="str">
            <v>00394521 - Muhammad Hibbanduta</v>
          </cell>
          <cell r="U1763" t="str">
            <v>"-"</v>
          </cell>
        </row>
        <row r="1764">
          <cell r="A1764">
            <v>46265</v>
          </cell>
          <cell r="B1764" t="str">
            <v xml:space="preserve">SLAMET SUPRIYADI                        </v>
          </cell>
          <cell r="C1764" t="str">
            <v>SBATF40</v>
          </cell>
          <cell r="D1764">
            <v>33201173832503</v>
          </cell>
          <cell r="E1764" t="str">
            <v>SEDANG</v>
          </cell>
          <cell r="F1764" t="str">
            <v>Tidak</v>
          </cell>
          <cell r="G1764" t="str">
            <v>Tidak</v>
          </cell>
          <cell r="H1764" t="str">
            <v>Tidak</v>
          </cell>
          <cell r="I1764" t="str">
            <v>Bandar Judol Withdrawal</v>
          </cell>
          <cell r="J1764">
            <v>50</v>
          </cell>
          <cell r="K1764" t="str">
            <v>86,88,87</v>
          </cell>
          <cell r="L1764" t="str">
            <v>Judi Online</v>
          </cell>
          <cell r="M1764" t="str">
            <v xml:space="preserve">Kas Kanpus                              </v>
          </cell>
          <cell r="N1764" t="str">
            <v xml:space="preserve">Kas Kanpus                              </v>
          </cell>
          <cell r="O1764" t="str">
            <v xml:space="preserve">KAS KANPUS                              </v>
          </cell>
          <cell r="R1764" t="str">
            <v>Belum TL</v>
          </cell>
          <cell r="S1764" t="str">
            <v>Belum TL</v>
          </cell>
          <cell r="T1764" t="str">
            <v>00394520 - Frida Akbar Rani</v>
          </cell>
          <cell r="U1764" t="str">
            <v>"-"</v>
          </cell>
        </row>
        <row r="1765">
          <cell r="A1765">
            <v>46265</v>
          </cell>
          <cell r="B1765" t="str">
            <v xml:space="preserve">SISKA SINAGA                            </v>
          </cell>
          <cell r="C1765" t="str">
            <v>SBDEV22</v>
          </cell>
          <cell r="D1765">
            <v>525101016024535</v>
          </cell>
          <cell r="E1765" t="str">
            <v>SEDANG</v>
          </cell>
          <cell r="F1765" t="str">
            <v>Tidak</v>
          </cell>
          <cell r="G1765" t="str">
            <v>Tidak</v>
          </cell>
          <cell r="H1765" t="str">
            <v>Tidak</v>
          </cell>
          <cell r="I1765" t="str">
            <v>Bandar Judol Depo</v>
          </cell>
          <cell r="J1765">
            <v>50</v>
          </cell>
          <cell r="K1765" t="str">
            <v>86,74,87</v>
          </cell>
          <cell r="L1765" t="str">
            <v>Judi Online</v>
          </cell>
          <cell r="M1765" t="str">
            <v xml:space="preserve">Kas Kanpus                              </v>
          </cell>
          <cell r="N1765" t="str">
            <v xml:space="preserve">Kas Kanpus                              </v>
          </cell>
          <cell r="O1765" t="str">
            <v xml:space="preserve">KAS KANPUS                              </v>
          </cell>
          <cell r="R1765" t="str">
            <v>Belum TL</v>
          </cell>
          <cell r="S1765" t="str">
            <v>Belum TL</v>
          </cell>
          <cell r="T1765" t="str">
            <v>00394521 - Muhammad Hibbanduta</v>
          </cell>
          <cell r="U1765" t="str">
            <v>"-"</v>
          </cell>
        </row>
        <row r="1766">
          <cell r="A1766">
            <v>46240</v>
          </cell>
          <cell r="B1766" t="str">
            <v xml:space="preserve">SULASTRI                                </v>
          </cell>
          <cell r="C1766" t="str">
            <v>SBDUG17</v>
          </cell>
          <cell r="D1766">
            <v>606001043528534</v>
          </cell>
          <cell r="E1766" t="str">
            <v>SEDANG</v>
          </cell>
          <cell r="F1766" t="str">
            <v>Tidak</v>
          </cell>
          <cell r="G1766" t="str">
            <v>Tidak</v>
          </cell>
          <cell r="I1766" t="str">
            <v>Teroris - Remark</v>
          </cell>
          <cell r="J1766">
            <v>168</v>
          </cell>
          <cell r="K1766">
            <v>50</v>
          </cell>
          <cell r="L1766" t="str">
            <v>Terorisme</v>
          </cell>
          <cell r="M1766" t="str">
            <v xml:space="preserve">Kas Kanpus                              </v>
          </cell>
          <cell r="N1766" t="str">
            <v xml:space="preserve">Kas Kanpus                              </v>
          </cell>
          <cell r="O1766" t="str">
            <v xml:space="preserve">KAS KANPUS                              </v>
          </cell>
          <cell r="R1766" t="str">
            <v>Belum TL</v>
          </cell>
          <cell r="S1766" t="str">
            <v>Belum TL</v>
          </cell>
          <cell r="T1766" t="str">
            <v>00394521 - Muhammad Hibbanduta</v>
          </cell>
          <cell r="U1766" t="str">
            <v>"-"</v>
          </cell>
        </row>
        <row r="1767">
          <cell r="A1767">
            <v>46265</v>
          </cell>
          <cell r="B1767" t="str">
            <v xml:space="preserve">SIMON DONI TUKAN                        </v>
          </cell>
          <cell r="C1767" t="str">
            <v>SBIFX67</v>
          </cell>
          <cell r="D1767">
            <v>357301014743103</v>
          </cell>
          <cell r="E1767" t="str">
            <v>SEDANG</v>
          </cell>
          <cell r="F1767" t="str">
            <v>Tidak</v>
          </cell>
          <cell r="G1767" t="str">
            <v>Tidak</v>
          </cell>
          <cell r="H1767" t="str">
            <v>Tidak</v>
          </cell>
          <cell r="I1767" t="str">
            <v>Korupsi - Loan View</v>
          </cell>
          <cell r="J1767">
            <v>48</v>
          </cell>
          <cell r="K1767">
            <v>15</v>
          </cell>
          <cell r="L1767" t="str">
            <v>Korupsi</v>
          </cell>
          <cell r="M1767" t="str">
            <v>Kas Kanpus</v>
          </cell>
          <cell r="N1767" t="str">
            <v>Kas Kanpus</v>
          </cell>
          <cell r="O1767" t="str">
            <v>KAS KANPUS</v>
          </cell>
          <cell r="R1767" t="str">
            <v>Belum TL</v>
          </cell>
          <cell r="S1767" t="str">
            <v>Belum TL</v>
          </cell>
          <cell r="T1767" t="str">
            <v>90186790 - Muhammad Alfin Farha</v>
          </cell>
          <cell r="U1767" t="str">
            <v>"-"</v>
          </cell>
        </row>
        <row r="1768">
          <cell r="A1768">
            <v>46265</v>
          </cell>
          <cell r="B1768" t="str">
            <v xml:space="preserve">SYAHRIAN ALVA ZAIDANE                   </v>
          </cell>
          <cell r="C1768" t="str">
            <v>SBSIT54</v>
          </cell>
          <cell r="D1768">
            <v>4359720233155700</v>
          </cell>
          <cell r="E1768" t="str">
            <v>RENDAH</v>
          </cell>
          <cell r="F1768" t="str">
            <v>Tidak</v>
          </cell>
          <cell r="G1768" t="str">
            <v>Tidak</v>
          </cell>
          <cell r="H1768" t="str">
            <v>Tidak</v>
          </cell>
          <cell r="I1768" t="str">
            <v>Penghindaran Pajak (Transaksi Fiktif)/Penyuapan CC</v>
          </cell>
          <cell r="J1768">
            <v>30</v>
          </cell>
          <cell r="K1768">
            <v>118</v>
          </cell>
          <cell r="L1768" t="str">
            <v>Penyuapan / Penghindaran Pajak CC View</v>
          </cell>
          <cell r="M1768" t="str">
            <v xml:space="preserve">Kas Kanpus                              </v>
          </cell>
          <cell r="N1768" t="str">
            <v xml:space="preserve">Kas Kanpus                              </v>
          </cell>
          <cell r="O1768" t="str">
            <v xml:space="preserve">KAS KANPUS                              </v>
          </cell>
          <cell r="R1768" t="str">
            <v>Belum TL</v>
          </cell>
          <cell r="S1768" t="str">
            <v>Belum TL</v>
          </cell>
          <cell r="T1768" t="str">
            <v>90170665 - Mutiara Ayuningtyas</v>
          </cell>
          <cell r="U1768" t="str">
            <v>"-"</v>
          </cell>
        </row>
        <row r="1769">
          <cell r="A1769">
            <v>46265</v>
          </cell>
          <cell r="B1769" t="str">
            <v xml:space="preserve">SAHALA HASOLOAN SIJABAT                 </v>
          </cell>
          <cell r="C1769" t="str">
            <v>SBWJ418</v>
          </cell>
          <cell r="D1769">
            <v>40401002858568</v>
          </cell>
          <cell r="E1769" t="str">
            <v>TINGGI</v>
          </cell>
          <cell r="F1769" t="str">
            <v>Tidak</v>
          </cell>
          <cell r="G1769" t="str">
            <v>Tidak</v>
          </cell>
          <cell r="H1769" t="str">
            <v>Tidak</v>
          </cell>
          <cell r="I1769" t="str">
            <v>Korupsi - Significant Trx View</v>
          </cell>
          <cell r="J1769">
            <v>83</v>
          </cell>
          <cell r="K1769">
            <v>1.19</v>
          </cell>
          <cell r="L1769" t="str">
            <v>Korupsi</v>
          </cell>
          <cell r="M1769" t="str">
            <v>Kas Kanpus</v>
          </cell>
          <cell r="N1769" t="str">
            <v>Kas Kanpus</v>
          </cell>
          <cell r="O1769" t="str">
            <v>KAS KANPUS</v>
          </cell>
          <cell r="R1769" t="str">
            <v>Belum TL</v>
          </cell>
          <cell r="S1769" t="str">
            <v>Belum TL</v>
          </cell>
          <cell r="T1769" t="str">
            <v>90186796 - Devito Arya Wiradila</v>
          </cell>
          <cell r="U1769" t="str">
            <v>"-"</v>
          </cell>
        </row>
        <row r="1770">
          <cell r="A1770">
            <v>46265</v>
          </cell>
          <cell r="B1770" t="str">
            <v xml:space="preserve">STEVEN F KALANGIE                       </v>
          </cell>
          <cell r="C1770" t="str">
            <v>SBZIS77</v>
          </cell>
          <cell r="D1770">
            <v>523601013349100</v>
          </cell>
          <cell r="E1770" t="str">
            <v>RENDAH</v>
          </cell>
          <cell r="F1770" t="str">
            <v>Tidak</v>
          </cell>
          <cell r="G1770" t="str">
            <v>Tidak</v>
          </cell>
          <cell r="H1770" t="str">
            <v>Tidak</v>
          </cell>
          <cell r="I1770" t="str">
            <v>Korupsi - Loan View</v>
          </cell>
          <cell r="J1770">
            <v>33</v>
          </cell>
          <cell r="K1770">
            <v>15</v>
          </cell>
          <cell r="L1770" t="str">
            <v>Korupsi</v>
          </cell>
          <cell r="M1770" t="str">
            <v>Kas Kanpus</v>
          </cell>
          <cell r="N1770" t="str">
            <v>Kas Kanpus</v>
          </cell>
          <cell r="O1770" t="str">
            <v>KAS KANPUS</v>
          </cell>
          <cell r="R1770" t="str">
            <v>Belum TL</v>
          </cell>
          <cell r="S1770" t="str">
            <v>Belum TL</v>
          </cell>
          <cell r="T1770" t="str">
            <v>00336949 - Mochammad Al Farabi</v>
          </cell>
          <cell r="U1770" t="str">
            <v>"-"</v>
          </cell>
        </row>
        <row r="1771">
          <cell r="A1771">
            <v>46265</v>
          </cell>
          <cell r="B1771" t="str">
            <v xml:space="preserve">SRI WAHYUNI                             </v>
          </cell>
          <cell r="C1771" t="str">
            <v>SCAAA48</v>
          </cell>
          <cell r="D1771">
            <v>532101023811508</v>
          </cell>
          <cell r="E1771" t="str">
            <v>SEDANG</v>
          </cell>
          <cell r="F1771" t="str">
            <v>Tidak</v>
          </cell>
          <cell r="G1771" t="str">
            <v>Tidak</v>
          </cell>
          <cell r="H1771" t="str">
            <v>Tidak</v>
          </cell>
          <cell r="I1771" t="str">
            <v>Bandar Judol Withdrawal</v>
          </cell>
          <cell r="J1771">
            <v>50</v>
          </cell>
          <cell r="K1771" t="str">
            <v>86,88,87</v>
          </cell>
          <cell r="L1771" t="str">
            <v>Judi Online</v>
          </cell>
          <cell r="M1771" t="str">
            <v xml:space="preserve">Kas Kanpus                              </v>
          </cell>
          <cell r="N1771" t="str">
            <v xml:space="preserve">Kas Kanpus                              </v>
          </cell>
          <cell r="O1771" t="str">
            <v xml:space="preserve">KAS KANPUS                              </v>
          </cell>
          <cell r="R1771" t="str">
            <v>Belum TL</v>
          </cell>
          <cell r="S1771" t="str">
            <v>Belum TL</v>
          </cell>
          <cell r="T1771" t="str">
            <v>00394520 - Frida Akbar Rani</v>
          </cell>
          <cell r="U1771" t="str">
            <v>"-"</v>
          </cell>
        </row>
        <row r="1772">
          <cell r="A1772">
            <v>46258</v>
          </cell>
          <cell r="B1772" t="str">
            <v xml:space="preserve">SITI FADLIATUR RAHMI                    </v>
          </cell>
          <cell r="C1772" t="str">
            <v>SCAT526</v>
          </cell>
          <cell r="D1772">
            <v>450101000023501</v>
          </cell>
          <cell r="E1772" t="str">
            <v>SEDANG</v>
          </cell>
          <cell r="F1772" t="str">
            <v>Tidak</v>
          </cell>
          <cell r="G1772" t="str">
            <v>Tidak</v>
          </cell>
          <cell r="I1772" t="str">
            <v>Teroris - Remark</v>
          </cell>
          <cell r="J1772">
            <v>168</v>
          </cell>
          <cell r="K1772">
            <v>50</v>
          </cell>
          <cell r="L1772" t="str">
            <v>Terorisme</v>
          </cell>
          <cell r="M1772" t="str">
            <v xml:space="preserve">Kas Kanpus                              </v>
          </cell>
          <cell r="N1772" t="str">
            <v xml:space="preserve">Kas Kanpus                              </v>
          </cell>
          <cell r="O1772" t="str">
            <v xml:space="preserve">KAS KANPUS                              </v>
          </cell>
          <cell r="R1772" t="str">
            <v>Belum TL</v>
          </cell>
          <cell r="S1772" t="str">
            <v>Belum TL</v>
          </cell>
          <cell r="T1772" t="str">
            <v>00394520 - Frida Akbar Rani</v>
          </cell>
          <cell r="U1772" t="str">
            <v>"-"</v>
          </cell>
        </row>
        <row r="1773">
          <cell r="A1773">
            <v>46265</v>
          </cell>
          <cell r="B1773" t="str">
            <v xml:space="preserve">SUBROTO                                 </v>
          </cell>
          <cell r="C1773" t="str">
            <v>SCJ6772</v>
          </cell>
          <cell r="D1773">
            <v>21301000136565</v>
          </cell>
          <cell r="E1773" t="str">
            <v>TINGGI</v>
          </cell>
          <cell r="F1773" t="str">
            <v>Tidak</v>
          </cell>
          <cell r="G1773" t="str">
            <v>Tidak</v>
          </cell>
          <cell r="H1773" t="str">
            <v>Tidak</v>
          </cell>
          <cell r="I1773" t="str">
            <v>Korupsi - Significant Trx View</v>
          </cell>
          <cell r="J1773">
            <v>83</v>
          </cell>
          <cell r="K1773">
            <v>1.19</v>
          </cell>
          <cell r="L1773" t="str">
            <v>Korupsi</v>
          </cell>
          <cell r="M1773" t="str">
            <v>Kas Kanpus</v>
          </cell>
          <cell r="N1773" t="str">
            <v>Kas Kanpus</v>
          </cell>
          <cell r="O1773" t="str">
            <v>KAS KANPUS</v>
          </cell>
          <cell r="R1773" t="str">
            <v>Belum TL</v>
          </cell>
          <cell r="S1773" t="str">
            <v>Belum TL</v>
          </cell>
          <cell r="T1773" t="str">
            <v>00394521 - Muhammad Hibbanduta</v>
          </cell>
          <cell r="U1773" t="str">
            <v>"-"</v>
          </cell>
        </row>
        <row r="1774">
          <cell r="A1774">
            <v>46265</v>
          </cell>
          <cell r="B1774" t="str">
            <v xml:space="preserve">SOKRATES KIAMBE                         </v>
          </cell>
          <cell r="C1774" t="str">
            <v>SCNXM15</v>
          </cell>
          <cell r="D1774">
            <v>491601010971105</v>
          </cell>
          <cell r="E1774" t="str">
            <v>SEDANG</v>
          </cell>
          <cell r="F1774" t="str">
            <v>Tidak</v>
          </cell>
          <cell r="G1774" t="str">
            <v>Tidak</v>
          </cell>
          <cell r="H1774" t="str">
            <v>Tidak</v>
          </cell>
          <cell r="I1774" t="str">
            <v>Korupsi - Loan View</v>
          </cell>
          <cell r="J1774">
            <v>48</v>
          </cell>
          <cell r="K1774">
            <v>15</v>
          </cell>
          <cell r="L1774" t="str">
            <v>Korupsi</v>
          </cell>
          <cell r="M1774" t="str">
            <v>Kas Kanpus</v>
          </cell>
          <cell r="N1774" t="str">
            <v>Kas Kanpus</v>
          </cell>
          <cell r="O1774" t="str">
            <v>KAS KANPUS</v>
          </cell>
          <cell r="R1774" t="str">
            <v>Belum TL</v>
          </cell>
          <cell r="S1774" t="str">
            <v>Belum TL</v>
          </cell>
          <cell r="T1774" t="str">
            <v>90170665 - Mutiara Ayuningtyas</v>
          </cell>
          <cell r="U1774" t="str">
            <v>"-"</v>
          </cell>
        </row>
        <row r="1775">
          <cell r="A1775">
            <v>46265</v>
          </cell>
          <cell r="B1775" t="str">
            <v xml:space="preserve">SAIDI SAMOSIR IR                        </v>
          </cell>
          <cell r="C1775" t="str">
            <v>SCSG402</v>
          </cell>
          <cell r="D1775">
            <v>187401000674502</v>
          </cell>
          <cell r="E1775" t="str">
            <v>SEDANG</v>
          </cell>
          <cell r="F1775" t="str">
            <v>Tidak</v>
          </cell>
          <cell r="G1775" t="str">
            <v>Tidak</v>
          </cell>
          <cell r="H1775" t="str">
            <v>Tidak</v>
          </cell>
          <cell r="I1775" t="str">
            <v>Korupsi - Significant Trx View</v>
          </cell>
          <cell r="J1775">
            <v>58</v>
          </cell>
          <cell r="K1775">
            <v>1.19</v>
          </cell>
          <cell r="L1775" t="str">
            <v>Korupsi</v>
          </cell>
          <cell r="M1775" t="str">
            <v>Kas Kanpus</v>
          </cell>
          <cell r="N1775" t="str">
            <v>Kas Kanpus</v>
          </cell>
          <cell r="O1775" t="str">
            <v>KAS KANPUS</v>
          </cell>
          <cell r="R1775" t="str">
            <v>Belum TL</v>
          </cell>
          <cell r="S1775" t="str">
            <v>Belum TL</v>
          </cell>
          <cell r="T1775" t="str">
            <v>90185538 - Muhammad Fahikal Auz</v>
          </cell>
          <cell r="U1775" t="str">
            <v>"-"</v>
          </cell>
        </row>
        <row r="1776">
          <cell r="A1776">
            <v>46265</v>
          </cell>
          <cell r="B1776" t="str">
            <v xml:space="preserve">SYAHRIL AL AIDID                        </v>
          </cell>
          <cell r="C1776" t="str">
            <v>SCYL747</v>
          </cell>
          <cell r="D1776">
            <v>493001026168108</v>
          </cell>
          <cell r="E1776" t="str">
            <v>SEDANG</v>
          </cell>
          <cell r="F1776" t="str">
            <v>Tidak</v>
          </cell>
          <cell r="G1776" t="str">
            <v>Tidak</v>
          </cell>
          <cell r="H1776" t="str">
            <v>Tidak</v>
          </cell>
          <cell r="I1776" t="str">
            <v>Korupsi - Loan View</v>
          </cell>
          <cell r="J1776">
            <v>48</v>
          </cell>
          <cell r="K1776">
            <v>15</v>
          </cell>
          <cell r="L1776" t="str">
            <v>Korupsi</v>
          </cell>
          <cell r="M1776" t="str">
            <v>Kas Kanpus</v>
          </cell>
          <cell r="N1776" t="str">
            <v>Kas Kanpus</v>
          </cell>
          <cell r="O1776" t="str">
            <v>KAS KANPUS</v>
          </cell>
          <cell r="R1776" t="str">
            <v>Belum TL</v>
          </cell>
          <cell r="S1776" t="str">
            <v>Belum TL</v>
          </cell>
          <cell r="T1776" t="str">
            <v>00394520 - Frida Akbar Rani</v>
          </cell>
          <cell r="U1776" t="str">
            <v>"-"</v>
          </cell>
        </row>
        <row r="1777">
          <cell r="A1777">
            <v>46265</v>
          </cell>
          <cell r="B1777" t="str">
            <v xml:space="preserve">SOTO AYAM BANGKONG                      </v>
          </cell>
          <cell r="C1777" t="str">
            <v>SDGGL12</v>
          </cell>
          <cell r="D1777">
            <v>32701018927101</v>
          </cell>
          <cell r="E1777" t="str">
            <v>SEDANG</v>
          </cell>
          <cell r="F1777" t="str">
            <v>Tidak</v>
          </cell>
          <cell r="G1777" t="str">
            <v>Tidak</v>
          </cell>
          <cell r="H1777" t="str">
            <v>Tidak</v>
          </cell>
          <cell r="I1777" t="str">
            <v>Korupsi - Loan View</v>
          </cell>
          <cell r="J1777">
            <v>48</v>
          </cell>
          <cell r="K1777">
            <v>15</v>
          </cell>
          <cell r="L1777" t="str">
            <v>Korupsi</v>
          </cell>
          <cell r="M1777" t="str">
            <v>Kas Kanpus</v>
          </cell>
          <cell r="N1777" t="str">
            <v>Kas Kanpus</v>
          </cell>
          <cell r="O1777" t="str">
            <v>KAS KANPUS</v>
          </cell>
          <cell r="R1777" t="str">
            <v>Belum TL</v>
          </cell>
          <cell r="S1777" t="str">
            <v>Belum TL</v>
          </cell>
          <cell r="T1777" t="str">
            <v>90185538 - Muhammad Fahikal Auz</v>
          </cell>
          <cell r="U1777" t="str">
            <v>"-"</v>
          </cell>
        </row>
        <row r="1778">
          <cell r="A1778">
            <v>46265</v>
          </cell>
          <cell r="B1778" t="str">
            <v xml:space="preserve">SUNAESIH                                </v>
          </cell>
          <cell r="C1778" t="str">
            <v>SDHMX46</v>
          </cell>
          <cell r="D1778">
            <v>16601105543501</v>
          </cell>
          <cell r="E1778" t="str">
            <v>RENDAH</v>
          </cell>
          <cell r="F1778" t="str">
            <v>Tidak</v>
          </cell>
          <cell r="G1778" t="str">
            <v>Tidak</v>
          </cell>
          <cell r="H1778" t="str">
            <v>Tidak</v>
          </cell>
          <cell r="I1778" t="str">
            <v>Bandar Judol Withdrawal</v>
          </cell>
          <cell r="J1778">
            <v>35</v>
          </cell>
          <cell r="K1778" t="str">
            <v>86,88,87</v>
          </cell>
          <cell r="L1778" t="str">
            <v>Judi Online</v>
          </cell>
          <cell r="M1778" t="str">
            <v xml:space="preserve">Kas Kanpus                              </v>
          </cell>
          <cell r="N1778" t="str">
            <v xml:space="preserve">Kas Kanpus                              </v>
          </cell>
          <cell r="O1778" t="str">
            <v xml:space="preserve">KAS KANPUS                              </v>
          </cell>
          <cell r="R1778" t="str">
            <v>Belum TL</v>
          </cell>
          <cell r="S1778" t="str">
            <v>Belum TL</v>
          </cell>
          <cell r="T1778" t="str">
            <v>90186790 - Muhammad Alfin Farha</v>
          </cell>
          <cell r="U1778" t="str">
            <v>"-"</v>
          </cell>
        </row>
        <row r="1779">
          <cell r="A1779">
            <v>46265</v>
          </cell>
          <cell r="B1779" t="str">
            <v xml:space="preserve">SATRIA VORTI PROPERTI                   </v>
          </cell>
          <cell r="C1779" t="str">
            <v>SDJRO87</v>
          </cell>
          <cell r="D1779">
            <v>39301000668158</v>
          </cell>
          <cell r="E1779" t="str">
            <v>SEDANG</v>
          </cell>
          <cell r="F1779" t="str">
            <v>Tidak</v>
          </cell>
          <cell r="G1779" t="str">
            <v>Tidak</v>
          </cell>
          <cell r="H1779" t="str">
            <v>Tidak</v>
          </cell>
          <cell r="I1779" t="str">
            <v>Korupsi - Loan View</v>
          </cell>
          <cell r="J1779">
            <v>48</v>
          </cell>
          <cell r="K1779">
            <v>15</v>
          </cell>
          <cell r="L1779" t="str">
            <v>Korupsi</v>
          </cell>
          <cell r="M1779" t="str">
            <v>Kas Kanpus</v>
          </cell>
          <cell r="N1779" t="str">
            <v>Kas Kanpus</v>
          </cell>
          <cell r="O1779" t="str">
            <v>KAS KANPUS</v>
          </cell>
          <cell r="R1779" t="str">
            <v>Belum TL</v>
          </cell>
          <cell r="S1779" t="str">
            <v>Belum TL</v>
          </cell>
          <cell r="T1779" t="str">
            <v>90185538 - Muhammad Fahikal Auz</v>
          </cell>
          <cell r="U1779" t="str">
            <v>"-"</v>
          </cell>
        </row>
        <row r="1780">
          <cell r="A1780">
            <v>46265</v>
          </cell>
          <cell r="B1780" t="str">
            <v xml:space="preserve">SUMBER BAGUS  KOPERASI                  </v>
          </cell>
          <cell r="C1780" t="str">
            <v>SDT9931</v>
          </cell>
          <cell r="D1780">
            <v>34401500423154</v>
          </cell>
          <cell r="E1780" t="str">
            <v>SEDANG</v>
          </cell>
          <cell r="F1780" t="str">
            <v>Tidak</v>
          </cell>
          <cell r="G1780" t="str">
            <v>Tidak</v>
          </cell>
          <cell r="H1780" t="str">
            <v>Tidak</v>
          </cell>
          <cell r="I1780" t="str">
            <v>Korupsi - Loan View</v>
          </cell>
          <cell r="J1780">
            <v>48</v>
          </cell>
          <cell r="K1780">
            <v>15</v>
          </cell>
          <cell r="L1780" t="str">
            <v>Korupsi</v>
          </cell>
          <cell r="M1780" t="str">
            <v>Kas Kanpus</v>
          </cell>
          <cell r="N1780" t="str">
            <v>Kas Kanpus</v>
          </cell>
          <cell r="O1780" t="str">
            <v>KAS KANPUS</v>
          </cell>
          <cell r="R1780" t="str">
            <v>Belum TL</v>
          </cell>
          <cell r="S1780" t="str">
            <v>Belum TL</v>
          </cell>
          <cell r="T1780" t="str">
            <v>00394520 - Frida Akbar Rani</v>
          </cell>
          <cell r="U1780" t="str">
            <v>"-"</v>
          </cell>
        </row>
        <row r="1781">
          <cell r="A1781">
            <v>46245</v>
          </cell>
          <cell r="B1781" t="str">
            <v xml:space="preserve">SITI NUR FA`IDATUL KHASANAH             </v>
          </cell>
          <cell r="C1781" t="str">
            <v>SDXGE67</v>
          </cell>
          <cell r="D1781">
            <v>629901033587531</v>
          </cell>
          <cell r="E1781" t="str">
            <v>SEDANG</v>
          </cell>
          <cell r="F1781" t="str">
            <v>Tidak</v>
          </cell>
          <cell r="G1781" t="str">
            <v>Tidak</v>
          </cell>
          <cell r="I1781" t="str">
            <v>Teroris - Remark</v>
          </cell>
          <cell r="J1781">
            <v>168</v>
          </cell>
          <cell r="K1781">
            <v>50</v>
          </cell>
          <cell r="L1781" t="str">
            <v>Terorisme</v>
          </cell>
          <cell r="M1781" t="str">
            <v xml:space="preserve">Kas Kanpus                              </v>
          </cell>
          <cell r="N1781" t="str">
            <v xml:space="preserve">Kas Kanpus                              </v>
          </cell>
          <cell r="O1781" t="str">
            <v xml:space="preserve">KAS KANPUS                              </v>
          </cell>
          <cell r="R1781" t="str">
            <v>Belum TL</v>
          </cell>
          <cell r="S1781" t="str">
            <v>Belum TL</v>
          </cell>
          <cell r="T1781" t="str">
            <v>90150130 - Intan Aida Pratiwi</v>
          </cell>
          <cell r="U1781" t="str">
            <v>"-"</v>
          </cell>
        </row>
        <row r="1782">
          <cell r="A1782">
            <v>46241</v>
          </cell>
          <cell r="B1782" t="str">
            <v xml:space="preserve">SITI NUR FA`IDATUL KHASANAH             </v>
          </cell>
          <cell r="C1782" t="str">
            <v>SDXGE67</v>
          </cell>
          <cell r="D1782">
            <v>629901033587531</v>
          </cell>
          <cell r="E1782" t="str">
            <v>SEDANG</v>
          </cell>
          <cell r="F1782" t="str">
            <v>Tidak</v>
          </cell>
          <cell r="G1782" t="str">
            <v>Tidak</v>
          </cell>
          <cell r="I1782" t="str">
            <v>Teroris - Remark</v>
          </cell>
          <cell r="J1782">
            <v>168</v>
          </cell>
          <cell r="K1782">
            <v>50</v>
          </cell>
          <cell r="L1782" t="str">
            <v>Terorisme</v>
          </cell>
          <cell r="M1782" t="str">
            <v xml:space="preserve">Kas Kanpus                              </v>
          </cell>
          <cell r="N1782" t="str">
            <v xml:space="preserve">Kas Kanpus                              </v>
          </cell>
          <cell r="O1782" t="str">
            <v xml:space="preserve">KAS KANPUS                              </v>
          </cell>
          <cell r="R1782" t="str">
            <v>Belum TL</v>
          </cell>
          <cell r="S1782" t="str">
            <v>Belum TL</v>
          </cell>
          <cell r="T1782" t="str">
            <v>90150130 - Intan Aida Pratiwi</v>
          </cell>
          <cell r="U1782" t="str">
            <v>"-"</v>
          </cell>
        </row>
        <row r="1783">
          <cell r="A1783">
            <v>46265</v>
          </cell>
          <cell r="B1783" t="str">
            <v xml:space="preserve">SULHAJI                                 </v>
          </cell>
          <cell r="C1783" t="str">
            <v>SDYRY15</v>
          </cell>
          <cell r="D1783">
            <v>363401021721100</v>
          </cell>
          <cell r="E1783" t="str">
            <v>SEDANG</v>
          </cell>
          <cell r="F1783" t="str">
            <v>Tidak</v>
          </cell>
          <cell r="G1783" t="str">
            <v>Tidak</v>
          </cell>
          <cell r="H1783" t="str">
            <v>Tidak</v>
          </cell>
          <cell r="I1783" t="str">
            <v>Korupsi - Loan View</v>
          </cell>
          <cell r="J1783">
            <v>48</v>
          </cell>
          <cell r="K1783">
            <v>15</v>
          </cell>
          <cell r="L1783" t="str">
            <v>Korupsi</v>
          </cell>
          <cell r="M1783" t="str">
            <v>Kas Kanpus</v>
          </cell>
          <cell r="N1783" t="str">
            <v>Kas Kanpus</v>
          </cell>
          <cell r="O1783" t="str">
            <v>KAS KANPUS</v>
          </cell>
          <cell r="R1783" t="str">
            <v>Belum TL</v>
          </cell>
          <cell r="S1783" t="str">
            <v>Belum TL</v>
          </cell>
          <cell r="T1783" t="str">
            <v>90150130 - Intan Aida Pratiwi</v>
          </cell>
          <cell r="U1783" t="str">
            <v>"-"</v>
          </cell>
        </row>
        <row r="1784">
          <cell r="A1784">
            <v>46265</v>
          </cell>
          <cell r="B1784" t="str">
            <v xml:space="preserve">SAKA PILAR UTAMA                        </v>
          </cell>
          <cell r="C1784" t="str">
            <v>SEAPZ67</v>
          </cell>
          <cell r="D1784">
            <v>6901502871151</v>
          </cell>
          <cell r="E1784" t="str">
            <v>SEDANG</v>
          </cell>
          <cell r="F1784" t="str">
            <v>Tidak</v>
          </cell>
          <cell r="G1784" t="str">
            <v>Tidak</v>
          </cell>
          <cell r="H1784" t="str">
            <v>Tidak</v>
          </cell>
          <cell r="I1784" t="str">
            <v>Korupsi - Loan View</v>
          </cell>
          <cell r="J1784">
            <v>48</v>
          </cell>
          <cell r="K1784">
            <v>15</v>
          </cell>
          <cell r="L1784" t="str">
            <v>Korupsi</v>
          </cell>
          <cell r="M1784" t="str">
            <v>Kas Kanpus</v>
          </cell>
          <cell r="N1784" t="str">
            <v>Kas Kanpus</v>
          </cell>
          <cell r="O1784" t="str">
            <v>KAS KANPUS</v>
          </cell>
          <cell r="R1784" t="str">
            <v>Belum TL</v>
          </cell>
          <cell r="S1784" t="str">
            <v>Belum TL</v>
          </cell>
          <cell r="T1784" t="str">
            <v>00394520 - Frida Akbar Rani</v>
          </cell>
          <cell r="U1784" t="str">
            <v>"-"</v>
          </cell>
        </row>
        <row r="1785">
          <cell r="A1785">
            <v>46265</v>
          </cell>
          <cell r="B1785" t="str">
            <v xml:space="preserve">SIFLAN TOKILA                           </v>
          </cell>
          <cell r="C1785" t="str">
            <v>SECPF92</v>
          </cell>
          <cell r="D1785">
            <v>516401022691107</v>
          </cell>
          <cell r="E1785" t="str">
            <v>RENDAH</v>
          </cell>
          <cell r="F1785" t="str">
            <v>Tidak</v>
          </cell>
          <cell r="G1785" t="str">
            <v>Tidak</v>
          </cell>
          <cell r="H1785" t="str">
            <v>Tidak</v>
          </cell>
          <cell r="I1785" t="str">
            <v>Korupsi - Loan View</v>
          </cell>
          <cell r="J1785">
            <v>33</v>
          </cell>
          <cell r="K1785">
            <v>15</v>
          </cell>
          <cell r="L1785" t="str">
            <v>Korupsi</v>
          </cell>
          <cell r="M1785" t="str">
            <v>Kas Kanpus</v>
          </cell>
          <cell r="N1785" t="str">
            <v>Kas Kanpus</v>
          </cell>
          <cell r="O1785" t="str">
            <v>KAS KANPUS</v>
          </cell>
          <cell r="R1785" t="str">
            <v>Belum TL</v>
          </cell>
          <cell r="S1785" t="str">
            <v>Belum TL</v>
          </cell>
          <cell r="T1785" t="str">
            <v>00394521 - Muhammad Hibbanduta</v>
          </cell>
          <cell r="U1785" t="str">
            <v>"-"</v>
          </cell>
        </row>
        <row r="1786">
          <cell r="A1786">
            <v>46265</v>
          </cell>
          <cell r="B1786" t="str">
            <v xml:space="preserve">SOFYAN                                  </v>
          </cell>
          <cell r="C1786" t="str">
            <v>SEGR545</v>
          </cell>
          <cell r="D1786">
            <v>493201020025106</v>
          </cell>
          <cell r="E1786" t="str">
            <v>TINGGI</v>
          </cell>
          <cell r="F1786" t="str">
            <v>Tidak</v>
          </cell>
          <cell r="G1786" t="str">
            <v>Tidak</v>
          </cell>
          <cell r="H1786" t="str">
            <v>Tidak</v>
          </cell>
          <cell r="I1786" t="str">
            <v>Korupsi - Loan View</v>
          </cell>
          <cell r="J1786">
            <v>68</v>
          </cell>
          <cell r="K1786">
            <v>15</v>
          </cell>
          <cell r="L1786" t="str">
            <v>Korupsi</v>
          </cell>
          <cell r="M1786" t="str">
            <v>Kas Kanpus</v>
          </cell>
          <cell r="N1786" t="str">
            <v>Kas Kanpus</v>
          </cell>
          <cell r="O1786" t="str">
            <v>KAS KANPUS</v>
          </cell>
          <cell r="R1786" t="str">
            <v>Belum TL</v>
          </cell>
          <cell r="S1786" t="str">
            <v>Belum TL</v>
          </cell>
          <cell r="T1786" t="str">
            <v>90185537 - Moh.Khoerul Fajar Ar</v>
          </cell>
          <cell r="U1786" t="str">
            <v>"-"</v>
          </cell>
        </row>
        <row r="1787">
          <cell r="A1787">
            <v>46265</v>
          </cell>
          <cell r="B1787" t="str">
            <v xml:space="preserve">SUGIANTO                                </v>
          </cell>
          <cell r="C1787" t="str">
            <v>SEKWX69</v>
          </cell>
          <cell r="D1787">
            <v>754301014191533</v>
          </cell>
          <cell r="E1787" t="str">
            <v>SEDANG</v>
          </cell>
          <cell r="F1787" t="str">
            <v>Ya</v>
          </cell>
          <cell r="G1787" t="str">
            <v>Tidak</v>
          </cell>
          <cell r="H1787" t="str">
            <v>Tidak</v>
          </cell>
          <cell r="I1787" t="str">
            <v>Pencurian Rekening</v>
          </cell>
          <cell r="J1787">
            <v>46</v>
          </cell>
          <cell r="K1787">
            <v>58</v>
          </cell>
          <cell r="L1787" t="str">
            <v>Perbankan</v>
          </cell>
          <cell r="M1787" t="str">
            <v xml:space="preserve">KC BANDA ACEH CUT MEUTIA                </v>
          </cell>
          <cell r="N1787" t="str">
            <v xml:space="preserve">KANWIL Medan                            </v>
          </cell>
          <cell r="O1787" t="str">
            <v xml:space="preserve">Medan                                   </v>
          </cell>
          <cell r="R1787" t="str">
            <v>Belum TL</v>
          </cell>
          <cell r="S1787" t="str">
            <v>Belum TL</v>
          </cell>
          <cell r="T1787" t="str">
            <v>00336949 - Mochammad Al Farabi</v>
          </cell>
          <cell r="U1787" t="str">
            <v>"-"</v>
          </cell>
        </row>
        <row r="1788">
          <cell r="A1788">
            <v>46265</v>
          </cell>
          <cell r="B1788" t="str">
            <v xml:space="preserve">SUHARDI JOHAN                           </v>
          </cell>
          <cell r="C1788" t="str">
            <v>SELAD55</v>
          </cell>
          <cell r="D1788">
            <v>7201039530108</v>
          </cell>
          <cell r="E1788" t="str">
            <v>RENDAH</v>
          </cell>
          <cell r="F1788" t="str">
            <v>Tidak</v>
          </cell>
          <cell r="G1788" t="str">
            <v>Tidak</v>
          </cell>
          <cell r="H1788" t="str">
            <v>Tidak</v>
          </cell>
          <cell r="I1788" t="str">
            <v>Korupsi - Loan View</v>
          </cell>
          <cell r="J1788">
            <v>33</v>
          </cell>
          <cell r="K1788">
            <v>15</v>
          </cell>
          <cell r="L1788" t="str">
            <v>Korupsi</v>
          </cell>
          <cell r="M1788" t="str">
            <v>Kas Kanpus</v>
          </cell>
          <cell r="N1788" t="str">
            <v>Kas Kanpus</v>
          </cell>
          <cell r="O1788" t="str">
            <v>KAS KANPUS</v>
          </cell>
          <cell r="R1788" t="str">
            <v>Belum TL</v>
          </cell>
          <cell r="S1788" t="str">
            <v>Belum TL</v>
          </cell>
          <cell r="T1788" t="str">
            <v>90186790 - Muhammad Alfin Farha</v>
          </cell>
          <cell r="U1788" t="str">
            <v>"-"</v>
          </cell>
        </row>
        <row r="1789">
          <cell r="A1789">
            <v>46265</v>
          </cell>
          <cell r="B1789" t="str">
            <v xml:space="preserve">STENLI SASAUW                           </v>
          </cell>
          <cell r="C1789" t="str">
            <v>SEMXC45</v>
          </cell>
          <cell r="D1789">
            <v>702601016844104</v>
          </cell>
          <cell r="E1789" t="str">
            <v>RENDAH</v>
          </cell>
          <cell r="F1789" t="str">
            <v>Tidak</v>
          </cell>
          <cell r="G1789" t="str">
            <v>Tidak</v>
          </cell>
          <cell r="H1789" t="str">
            <v>Tidak</v>
          </cell>
          <cell r="I1789" t="str">
            <v>Korupsi - Loan View</v>
          </cell>
          <cell r="J1789">
            <v>33</v>
          </cell>
          <cell r="K1789">
            <v>15</v>
          </cell>
          <cell r="L1789" t="str">
            <v>Korupsi</v>
          </cell>
          <cell r="M1789" t="str">
            <v>Kas Kanpus</v>
          </cell>
          <cell r="N1789" t="str">
            <v>Kas Kanpus</v>
          </cell>
          <cell r="O1789" t="str">
            <v>KAS KANPUS</v>
          </cell>
          <cell r="R1789" t="str">
            <v>Belum TL</v>
          </cell>
          <cell r="S1789" t="str">
            <v>Belum TL</v>
          </cell>
          <cell r="T1789" t="str">
            <v>00394521 - Muhammad Hibbanduta</v>
          </cell>
          <cell r="U1789" t="str">
            <v>"-"</v>
          </cell>
        </row>
        <row r="1790">
          <cell r="A1790">
            <v>46265</v>
          </cell>
          <cell r="B1790" t="str">
            <v xml:space="preserve">SURYA PRATAMA                           </v>
          </cell>
          <cell r="C1790" t="str">
            <v>SEOI011</v>
          </cell>
          <cell r="D1790">
            <v>17201000970305</v>
          </cell>
          <cell r="E1790" t="str">
            <v>SEDANG</v>
          </cell>
          <cell r="F1790" t="str">
            <v>Tidak</v>
          </cell>
          <cell r="G1790" t="str">
            <v>Tidak</v>
          </cell>
          <cell r="H1790" t="str">
            <v>Tidak</v>
          </cell>
          <cell r="I1790" t="str">
            <v>Narkotika - Area Lapas</v>
          </cell>
          <cell r="J1790">
            <v>50</v>
          </cell>
          <cell r="K1790">
            <v>47</v>
          </cell>
          <cell r="L1790" t="str">
            <v>Narkotika</v>
          </cell>
          <cell r="M1790" t="str">
            <v>KC Surabaya Rajawali</v>
          </cell>
          <cell r="N1790" t="str">
            <v>KC Surabaya Rajawali</v>
          </cell>
          <cell r="O1790" t="str">
            <v>Surabaya</v>
          </cell>
          <cell r="R1790" t="str">
            <v>Belum TL</v>
          </cell>
          <cell r="S1790" t="str">
            <v>Belum TL</v>
          </cell>
          <cell r="T1790" t="str">
            <v>90186796 - Devito Arya Wiradila</v>
          </cell>
          <cell r="U1790" t="str">
            <v>"-"</v>
          </cell>
        </row>
        <row r="1791">
          <cell r="A1791">
            <v>46265</v>
          </cell>
          <cell r="B1791" t="str">
            <v xml:space="preserve">SURYA PRATAMA                           </v>
          </cell>
          <cell r="C1791" t="str">
            <v>SEOI011</v>
          </cell>
          <cell r="D1791">
            <v>17201003087305</v>
          </cell>
          <cell r="E1791" t="str">
            <v>SEDANG</v>
          </cell>
          <cell r="F1791" t="str">
            <v>Tidak</v>
          </cell>
          <cell r="G1791" t="str">
            <v>Tidak</v>
          </cell>
          <cell r="H1791" t="str">
            <v>Tidak</v>
          </cell>
          <cell r="I1791" t="str">
            <v>Perpajakan</v>
          </cell>
          <cell r="J1791">
            <v>49</v>
          </cell>
          <cell r="K1791">
            <v>1.33</v>
          </cell>
          <cell r="L1791" t="str">
            <v>Perpajakan</v>
          </cell>
          <cell r="M1791" t="str">
            <v xml:space="preserve">KC Surabaya Rajawali                    </v>
          </cell>
          <cell r="N1791" t="str">
            <v xml:space="preserve">KC Surabaya Rajawali                    </v>
          </cell>
          <cell r="O1791" t="str">
            <v xml:space="preserve">Surabaya                                </v>
          </cell>
          <cell r="R1791" t="str">
            <v>Belum TL</v>
          </cell>
          <cell r="S1791" t="str">
            <v>Belum TL</v>
          </cell>
          <cell r="T1791" t="str">
            <v>90150130 - Intan Aida Pratiwi</v>
          </cell>
          <cell r="U1791" t="str">
            <v>"-"</v>
          </cell>
        </row>
        <row r="1792">
          <cell r="A1792">
            <v>46265</v>
          </cell>
          <cell r="B1792" t="str">
            <v xml:space="preserve">SUGIARTO TJIPTO HARTONO                 </v>
          </cell>
          <cell r="C1792" t="str">
            <v>SEOK256</v>
          </cell>
          <cell r="D1792">
            <v>5520020282448700</v>
          </cell>
          <cell r="E1792" t="str">
            <v>TINGGI</v>
          </cell>
          <cell r="F1792" t="str">
            <v>Tidak</v>
          </cell>
          <cell r="G1792" t="str">
            <v>Tidak</v>
          </cell>
          <cell r="H1792" t="str">
            <v>Tidak</v>
          </cell>
          <cell r="I1792" t="str">
            <v>Anomali Transaksi Kartu Kredit</v>
          </cell>
          <cell r="J1792">
            <v>70</v>
          </cell>
          <cell r="K1792">
            <v>116.117</v>
          </cell>
          <cell r="L1792" t="str">
            <v>Anomali Transaksi Kartu Kredit</v>
          </cell>
          <cell r="M1792" t="str">
            <v xml:space="preserve">Kas Kanpus                              </v>
          </cell>
          <cell r="N1792" t="str">
            <v xml:space="preserve">Kas Kanpus                              </v>
          </cell>
          <cell r="O1792" t="str">
            <v xml:space="preserve">KAS KANPUS                              </v>
          </cell>
          <cell r="R1792" t="str">
            <v>Belum TL</v>
          </cell>
          <cell r="S1792" t="str">
            <v>Belum TL</v>
          </cell>
          <cell r="T1792" t="str">
            <v>90150130 - Intan Aida Pratiwi</v>
          </cell>
          <cell r="U1792" t="str">
            <v>"-"</v>
          </cell>
        </row>
        <row r="1793">
          <cell r="A1793">
            <v>46265</v>
          </cell>
          <cell r="B1793" t="str">
            <v xml:space="preserve">SITI CHOTIMAH                           </v>
          </cell>
          <cell r="C1793" t="str">
            <v>SEPWS86</v>
          </cell>
          <cell r="D1793">
            <v>799101025789530</v>
          </cell>
          <cell r="E1793" t="str">
            <v>SEDANG</v>
          </cell>
          <cell r="F1793" t="str">
            <v>Tidak</v>
          </cell>
          <cell r="G1793" t="str">
            <v>Tidak</v>
          </cell>
          <cell r="H1793" t="str">
            <v>Tidak</v>
          </cell>
          <cell r="I1793" t="str">
            <v>Bandar Judol Depo</v>
          </cell>
          <cell r="J1793">
            <v>50</v>
          </cell>
          <cell r="K1793" t="str">
            <v>86,74,87</v>
          </cell>
          <cell r="L1793" t="str">
            <v>Judi Online</v>
          </cell>
          <cell r="M1793" t="str">
            <v xml:space="preserve">Kas Kanpus                              </v>
          </cell>
          <cell r="N1793" t="str">
            <v xml:space="preserve">Kas Kanpus                              </v>
          </cell>
          <cell r="O1793" t="str">
            <v xml:space="preserve">KAS KANPUS                              </v>
          </cell>
          <cell r="R1793" t="str">
            <v>Belum TL</v>
          </cell>
          <cell r="S1793" t="str">
            <v>Belum TL</v>
          </cell>
          <cell r="T1793" t="str">
            <v>00336949 - Mochammad Al Farabi</v>
          </cell>
          <cell r="U1793" t="str">
            <v>"-"</v>
          </cell>
        </row>
        <row r="1794">
          <cell r="A1794">
            <v>46265</v>
          </cell>
          <cell r="B1794" t="str">
            <v xml:space="preserve">SYAMSURIATI                             </v>
          </cell>
          <cell r="C1794" t="str">
            <v>SERAS98</v>
          </cell>
          <cell r="D1794">
            <v>11101002990561</v>
          </cell>
          <cell r="E1794" t="str">
            <v>SEDANG</v>
          </cell>
          <cell r="F1794" t="str">
            <v>Tidak</v>
          </cell>
          <cell r="G1794" t="str">
            <v>Tidak</v>
          </cell>
          <cell r="H1794" t="str">
            <v>Tidak</v>
          </cell>
          <cell r="I1794" t="str">
            <v>Narkotika - Area Lapas</v>
          </cell>
          <cell r="J1794">
            <v>50</v>
          </cell>
          <cell r="K1794">
            <v>46</v>
          </cell>
          <cell r="L1794" t="str">
            <v>Narkotika</v>
          </cell>
          <cell r="M1794" t="str">
            <v>KC Watampone</v>
          </cell>
          <cell r="N1794" t="str">
            <v>KC Watampone</v>
          </cell>
          <cell r="O1794" t="str">
            <v>Makassar</v>
          </cell>
          <cell r="R1794" t="str">
            <v>Belum TL</v>
          </cell>
          <cell r="S1794" t="str">
            <v>Belum TL</v>
          </cell>
          <cell r="T1794" t="str">
            <v>00394520 - Frida Akbar Rani</v>
          </cell>
          <cell r="U1794" t="str">
            <v>"-"</v>
          </cell>
        </row>
        <row r="1795">
          <cell r="A1795">
            <v>46265</v>
          </cell>
          <cell r="B1795" t="str">
            <v xml:space="preserve">SULISTIANA OKTARRIANI                   </v>
          </cell>
          <cell r="C1795" t="str">
            <v>SERFV92</v>
          </cell>
          <cell r="D1795">
            <v>4359720226790900</v>
          </cell>
          <cell r="E1795" t="str">
            <v>SEDANG</v>
          </cell>
          <cell r="F1795" t="str">
            <v>Tidak</v>
          </cell>
          <cell r="G1795" t="str">
            <v>Tidak</v>
          </cell>
          <cell r="H1795" t="str">
            <v>Tidak</v>
          </cell>
          <cell r="I1795" t="str">
            <v>Penghindaran Pajak (Transaksi Fiktif)/Penyuapan CC</v>
          </cell>
          <cell r="J1795">
            <v>45</v>
          </cell>
          <cell r="K1795">
            <v>118</v>
          </cell>
          <cell r="L1795" t="str">
            <v>Penyuapan / Penghindaran Pajak CC View</v>
          </cell>
          <cell r="M1795" t="str">
            <v xml:space="preserve">Kas Kanpus                              </v>
          </cell>
          <cell r="N1795" t="str">
            <v xml:space="preserve">Kas Kanpus                              </v>
          </cell>
          <cell r="O1795" t="str">
            <v xml:space="preserve">KAS KANPUS                              </v>
          </cell>
          <cell r="R1795" t="str">
            <v>Belum TL</v>
          </cell>
          <cell r="S1795" t="str">
            <v>Belum TL</v>
          </cell>
          <cell r="T1795" t="str">
            <v>90150130 - Intan Aida Pratiwi</v>
          </cell>
          <cell r="U1795" t="str">
            <v>"-"</v>
          </cell>
        </row>
        <row r="1796">
          <cell r="A1796">
            <v>46265</v>
          </cell>
          <cell r="B1796" t="str">
            <v xml:space="preserve">SANDI EDY PAU                           </v>
          </cell>
          <cell r="C1796" t="str">
            <v>SFBCI57</v>
          </cell>
          <cell r="D1796">
            <v>522201014991105</v>
          </cell>
          <cell r="E1796" t="str">
            <v>RENDAH</v>
          </cell>
          <cell r="F1796" t="str">
            <v>Tidak</v>
          </cell>
          <cell r="G1796" t="str">
            <v>Tidak</v>
          </cell>
          <cell r="H1796" t="str">
            <v>Tidak</v>
          </cell>
          <cell r="I1796" t="str">
            <v>Korupsi - Loan View</v>
          </cell>
          <cell r="J1796">
            <v>33</v>
          </cell>
          <cell r="K1796">
            <v>15</v>
          </cell>
          <cell r="L1796" t="str">
            <v>Korupsi</v>
          </cell>
          <cell r="M1796" t="str">
            <v>Kas Kanpus</v>
          </cell>
          <cell r="N1796" t="str">
            <v>Kas Kanpus</v>
          </cell>
          <cell r="O1796" t="str">
            <v>KAS KANPUS</v>
          </cell>
          <cell r="R1796" t="str">
            <v>Belum TL</v>
          </cell>
          <cell r="S1796" t="str">
            <v>Belum TL</v>
          </cell>
          <cell r="T1796" t="str">
            <v>90171841 - Rifqi Aziz</v>
          </cell>
          <cell r="U1796" t="str">
            <v>"-"</v>
          </cell>
        </row>
        <row r="1797">
          <cell r="A1797">
            <v>46265</v>
          </cell>
          <cell r="B1797" t="str">
            <v xml:space="preserve">SUNTORO                                 </v>
          </cell>
          <cell r="C1797" t="str">
            <v>SFJYW63</v>
          </cell>
          <cell r="D1797">
            <v>35601095447509</v>
          </cell>
          <cell r="E1797" t="str">
            <v>SEDANG</v>
          </cell>
          <cell r="F1797" t="str">
            <v>Tidak</v>
          </cell>
          <cell r="G1797" t="str">
            <v>Tidak</v>
          </cell>
          <cell r="H1797" t="str">
            <v>Tidak</v>
          </cell>
          <cell r="I1797" t="str">
            <v>Korupsi - Cash &amp; Amount</v>
          </cell>
          <cell r="J1797">
            <v>48</v>
          </cell>
          <cell r="K1797" t="str">
            <v>1,2,20</v>
          </cell>
          <cell r="L1797" t="str">
            <v>Korupsi</v>
          </cell>
          <cell r="M1797" t="str">
            <v>Kas Kanpus</v>
          </cell>
          <cell r="N1797" t="str">
            <v>Kas Kanpus</v>
          </cell>
          <cell r="O1797" t="str">
            <v>KAS KANPUS</v>
          </cell>
          <cell r="R1797" t="str">
            <v>Belum TL</v>
          </cell>
          <cell r="S1797" t="str">
            <v>Belum TL</v>
          </cell>
          <cell r="T1797" t="str">
            <v>00394520 - Frida Akbar Rani</v>
          </cell>
          <cell r="U1797" t="str">
            <v>"-"</v>
          </cell>
        </row>
        <row r="1798">
          <cell r="A1798">
            <v>46265</v>
          </cell>
          <cell r="B1798" t="str">
            <v xml:space="preserve">SAIFUL                                  </v>
          </cell>
          <cell r="C1798" t="str">
            <v>SFKMK87</v>
          </cell>
          <cell r="D1798">
            <v>4055770070000200</v>
          </cell>
          <cell r="E1798" t="str">
            <v>TINGGI</v>
          </cell>
          <cell r="F1798" t="str">
            <v>Tidak</v>
          </cell>
          <cell r="G1798" t="str">
            <v>Tidak</v>
          </cell>
          <cell r="H1798" t="str">
            <v>Tidak</v>
          </cell>
          <cell r="I1798" t="str">
            <v>Penghindaran Pajak (Transaksi Fiktif)/Penyuapan CC</v>
          </cell>
          <cell r="J1798">
            <v>70</v>
          </cell>
          <cell r="K1798">
            <v>118</v>
          </cell>
          <cell r="L1798" t="str">
            <v>Penyuapan / Penghindaran Pajak CC View</v>
          </cell>
          <cell r="M1798" t="str">
            <v xml:space="preserve">Kas Kanpus                              </v>
          </cell>
          <cell r="N1798" t="str">
            <v xml:space="preserve">Kas Kanpus                              </v>
          </cell>
          <cell r="O1798" t="str">
            <v xml:space="preserve">KAS KANPUS                              </v>
          </cell>
          <cell r="R1798" t="str">
            <v>Belum TL</v>
          </cell>
          <cell r="S1798" t="str">
            <v>Belum TL</v>
          </cell>
          <cell r="T1798" t="str">
            <v>00336949 - Mochammad Al Farabi</v>
          </cell>
          <cell r="U1798" t="str">
            <v>"-"</v>
          </cell>
        </row>
        <row r="1799">
          <cell r="A1799">
            <v>46237</v>
          </cell>
          <cell r="B1799" t="str">
            <v xml:space="preserve">SYAHID ALHAQ                            </v>
          </cell>
          <cell r="C1799" t="str">
            <v>SFMPB59</v>
          </cell>
          <cell r="D1799">
            <v>753301016804537</v>
          </cell>
          <cell r="E1799" t="str">
            <v>SEDANG</v>
          </cell>
          <cell r="F1799" t="str">
            <v>Tidak</v>
          </cell>
          <cell r="G1799" t="str">
            <v>Tidak</v>
          </cell>
          <cell r="I1799" t="str">
            <v>Teroris - Remark</v>
          </cell>
          <cell r="J1799">
            <v>168</v>
          </cell>
          <cell r="K1799">
            <v>50</v>
          </cell>
          <cell r="L1799" t="str">
            <v>Terorisme</v>
          </cell>
          <cell r="M1799" t="str">
            <v xml:space="preserve">Kas Kanpus                              </v>
          </cell>
          <cell r="N1799" t="str">
            <v xml:space="preserve">Kas Kanpus                              </v>
          </cell>
          <cell r="O1799" t="str">
            <v xml:space="preserve">KAS KANPUS                              </v>
          </cell>
          <cell r="R1799" t="str">
            <v>Belum TL</v>
          </cell>
          <cell r="S1799" t="str">
            <v>Belum TL</v>
          </cell>
          <cell r="T1799" t="str">
            <v>90170665 - Mutiara Ayuningtyas</v>
          </cell>
          <cell r="U1799" t="str">
            <v>"-"</v>
          </cell>
        </row>
        <row r="1800">
          <cell r="A1800">
            <v>46242</v>
          </cell>
          <cell r="B1800" t="str">
            <v xml:space="preserve">SUMARTI                                 </v>
          </cell>
          <cell r="C1800" t="str">
            <v>SFMW604</v>
          </cell>
          <cell r="D1800">
            <v>666001014934538</v>
          </cell>
          <cell r="E1800" t="str">
            <v>SEDANG</v>
          </cell>
          <cell r="F1800" t="str">
            <v>Tidak</v>
          </cell>
          <cell r="G1800" t="str">
            <v>Tidak</v>
          </cell>
          <cell r="I1800" t="str">
            <v>Teroris - Remark</v>
          </cell>
          <cell r="J1800">
            <v>168</v>
          </cell>
          <cell r="K1800">
            <v>50</v>
          </cell>
          <cell r="L1800" t="str">
            <v>Terorisme</v>
          </cell>
          <cell r="M1800" t="str">
            <v xml:space="preserve">Kas Kanpus                              </v>
          </cell>
          <cell r="N1800" t="str">
            <v xml:space="preserve">Kas Kanpus                              </v>
          </cell>
          <cell r="O1800" t="str">
            <v xml:space="preserve">KAS KANPUS                              </v>
          </cell>
          <cell r="R1800" t="str">
            <v>Belum TL</v>
          </cell>
          <cell r="S1800" t="str">
            <v>Belum TL</v>
          </cell>
          <cell r="T1800" t="str">
            <v>00394520 - Frida Akbar Rani</v>
          </cell>
          <cell r="U1800" t="str">
            <v>"-"</v>
          </cell>
        </row>
        <row r="1801">
          <cell r="A1801">
            <v>46265</v>
          </cell>
          <cell r="B1801" t="str">
            <v xml:space="preserve">SURYA MEGAH ABADI                       </v>
          </cell>
          <cell r="C1801" t="str">
            <v>SFN3799</v>
          </cell>
          <cell r="D1801">
            <v>10901503289153</v>
          </cell>
          <cell r="E1801" t="str">
            <v>SEDANG</v>
          </cell>
          <cell r="F1801" t="str">
            <v>Tidak</v>
          </cell>
          <cell r="G1801" t="str">
            <v>Tidak</v>
          </cell>
          <cell r="H1801" t="str">
            <v>Tidak</v>
          </cell>
          <cell r="I1801" t="str">
            <v>Korupsi - Loan View</v>
          </cell>
          <cell r="J1801">
            <v>48</v>
          </cell>
          <cell r="K1801">
            <v>15</v>
          </cell>
          <cell r="L1801" t="str">
            <v>Korupsi</v>
          </cell>
          <cell r="M1801" t="str">
            <v>Kas Kanpus</v>
          </cell>
          <cell r="N1801" t="str">
            <v>Kas Kanpus</v>
          </cell>
          <cell r="O1801" t="str">
            <v>KAS KANPUS</v>
          </cell>
          <cell r="R1801" t="str">
            <v>Belum TL</v>
          </cell>
          <cell r="S1801" t="str">
            <v>Belum TL</v>
          </cell>
          <cell r="T1801" t="str">
            <v>90150130 - Intan Aida Pratiwi</v>
          </cell>
          <cell r="U1801" t="str">
            <v>"-"</v>
          </cell>
        </row>
        <row r="1802">
          <cell r="A1802">
            <v>46265</v>
          </cell>
          <cell r="B1802" t="str">
            <v xml:space="preserve">SARI RAINDAH                            </v>
          </cell>
          <cell r="C1802" t="str">
            <v>SFPOE07</v>
          </cell>
          <cell r="D1802">
            <v>42501014848533</v>
          </cell>
          <cell r="E1802" t="str">
            <v>SEDANG</v>
          </cell>
          <cell r="F1802" t="str">
            <v>Tidak</v>
          </cell>
          <cell r="G1802" t="str">
            <v>Tidak</v>
          </cell>
          <cell r="H1802" t="str">
            <v>Tidak</v>
          </cell>
          <cell r="I1802" t="str">
            <v>Bandar Judol Depo</v>
          </cell>
          <cell r="J1802">
            <v>50</v>
          </cell>
          <cell r="K1802" t="str">
            <v>86,74,87</v>
          </cell>
          <cell r="L1802" t="str">
            <v>Judi Online</v>
          </cell>
          <cell r="M1802" t="str">
            <v xml:space="preserve">Kas Kanpus                              </v>
          </cell>
          <cell r="N1802" t="str">
            <v xml:space="preserve">Kas Kanpus                              </v>
          </cell>
          <cell r="O1802" t="str">
            <v xml:space="preserve">KAS KANPUS                              </v>
          </cell>
          <cell r="R1802" t="str">
            <v>Belum TL</v>
          </cell>
          <cell r="S1802" t="str">
            <v>Belum TL</v>
          </cell>
          <cell r="T1802" t="str">
            <v>90171841 - Rifqi Aziz</v>
          </cell>
          <cell r="U1802" t="str">
            <v>"-"</v>
          </cell>
        </row>
        <row r="1803">
          <cell r="A1803">
            <v>46265</v>
          </cell>
          <cell r="B1803" t="str">
            <v xml:space="preserve">SURYA ATMAJA                            </v>
          </cell>
          <cell r="C1803" t="str">
            <v>SFQHZ50</v>
          </cell>
          <cell r="D1803">
            <v>562301018214103</v>
          </cell>
          <cell r="E1803" t="str">
            <v>SEDANG</v>
          </cell>
          <cell r="F1803" t="str">
            <v>Tidak</v>
          </cell>
          <cell r="G1803" t="str">
            <v>Tidak</v>
          </cell>
          <cell r="H1803" t="str">
            <v>Tidak</v>
          </cell>
          <cell r="I1803" t="str">
            <v>Korupsi - Loan View</v>
          </cell>
          <cell r="J1803">
            <v>48</v>
          </cell>
          <cell r="K1803">
            <v>15</v>
          </cell>
          <cell r="L1803" t="str">
            <v>Korupsi</v>
          </cell>
          <cell r="M1803" t="str">
            <v>Kas Kanpus</v>
          </cell>
          <cell r="N1803" t="str">
            <v>Kas Kanpus</v>
          </cell>
          <cell r="O1803" t="str">
            <v>KAS KANPUS</v>
          </cell>
          <cell r="R1803" t="str">
            <v>Belum TL</v>
          </cell>
          <cell r="S1803" t="str">
            <v>Belum TL</v>
          </cell>
          <cell r="T1803" t="str">
            <v>90185537 - Moh.Khoerul Fajar Ar</v>
          </cell>
          <cell r="U1803" t="str">
            <v>"-"</v>
          </cell>
        </row>
        <row r="1804">
          <cell r="A1804">
            <v>46265</v>
          </cell>
          <cell r="B1804" t="str">
            <v xml:space="preserve">SUMARNI                                 </v>
          </cell>
          <cell r="C1804" t="str">
            <v>SFGTR06</v>
          </cell>
          <cell r="D1804">
            <v>531001031579533</v>
          </cell>
          <cell r="E1804" t="str">
            <v>SEDANG</v>
          </cell>
          <cell r="F1804" t="str">
            <v>Tidak</v>
          </cell>
          <cell r="G1804" t="str">
            <v>Tidak</v>
          </cell>
          <cell r="H1804" t="str">
            <v>Tidak</v>
          </cell>
          <cell r="I1804" t="str">
            <v>Bandar Judol Depo</v>
          </cell>
          <cell r="J1804">
            <v>50</v>
          </cell>
          <cell r="K1804" t="str">
            <v>86,74,87</v>
          </cell>
          <cell r="L1804" t="str">
            <v>Judi Online</v>
          </cell>
          <cell r="M1804" t="str">
            <v xml:space="preserve">Kas Kanpus                              </v>
          </cell>
          <cell r="N1804" t="str">
            <v xml:space="preserve">Kas Kanpus                              </v>
          </cell>
          <cell r="O1804" t="str">
            <v xml:space="preserve">KAS KANPUS                              </v>
          </cell>
          <cell r="R1804" t="str">
            <v>Belum TL</v>
          </cell>
          <cell r="S1804" t="str">
            <v>Belum TL</v>
          </cell>
          <cell r="T1804" t="str">
            <v>90171841 - Rifqi Aziz</v>
          </cell>
          <cell r="U1804" t="str">
            <v>"-"</v>
          </cell>
        </row>
        <row r="1805">
          <cell r="A1805">
            <v>46265</v>
          </cell>
          <cell r="B1805" t="str">
            <v xml:space="preserve">SUBUR MANDIRI PERKASA                   </v>
          </cell>
          <cell r="C1805" t="str">
            <v>SFYNO67</v>
          </cell>
          <cell r="D1805">
            <v>21801503293159</v>
          </cell>
          <cell r="E1805" t="str">
            <v>SEDANG</v>
          </cell>
          <cell r="F1805" t="str">
            <v>Tidak</v>
          </cell>
          <cell r="G1805" t="str">
            <v>Tidak</v>
          </cell>
          <cell r="H1805" t="str">
            <v>Tidak</v>
          </cell>
          <cell r="I1805" t="str">
            <v>Korupsi - Loan View</v>
          </cell>
          <cell r="J1805">
            <v>48</v>
          </cell>
          <cell r="K1805">
            <v>15</v>
          </cell>
          <cell r="L1805" t="str">
            <v>Korupsi</v>
          </cell>
          <cell r="M1805" t="str">
            <v>Kas Kanpus</v>
          </cell>
          <cell r="N1805" t="str">
            <v>Kas Kanpus</v>
          </cell>
          <cell r="O1805" t="str">
            <v>KAS KANPUS</v>
          </cell>
          <cell r="R1805" t="str">
            <v>Belum TL</v>
          </cell>
          <cell r="S1805" t="str">
            <v>Belum TL</v>
          </cell>
          <cell r="T1805" t="str">
            <v>90186790 - Muhammad Alfin Farha</v>
          </cell>
          <cell r="U1805" t="str">
            <v>"-"</v>
          </cell>
        </row>
        <row r="1806">
          <cell r="A1806">
            <v>46265</v>
          </cell>
          <cell r="B1806" t="str">
            <v xml:space="preserve">PT BATARA ABADI PERKASA                 </v>
          </cell>
          <cell r="C1806" t="str">
            <v>SG98160</v>
          </cell>
          <cell r="D1806">
            <v>22301008566107</v>
          </cell>
          <cell r="E1806" t="str">
            <v>SEDANG</v>
          </cell>
          <cell r="F1806" t="str">
            <v>Tidak</v>
          </cell>
          <cell r="G1806" t="str">
            <v>Tidak</v>
          </cell>
          <cell r="H1806" t="str">
            <v>Tidak</v>
          </cell>
          <cell r="I1806" t="str">
            <v>Korupsi - Loan View</v>
          </cell>
          <cell r="J1806">
            <v>48</v>
          </cell>
          <cell r="K1806">
            <v>15</v>
          </cell>
          <cell r="L1806" t="str">
            <v>Korupsi</v>
          </cell>
          <cell r="M1806" t="str">
            <v>Kas Kanpus</v>
          </cell>
          <cell r="N1806" t="str">
            <v>Kas Kanpus</v>
          </cell>
          <cell r="O1806" t="str">
            <v>KAS KANPUS</v>
          </cell>
          <cell r="R1806" t="str">
            <v>Belum TL</v>
          </cell>
          <cell r="S1806" t="str">
            <v>Belum TL</v>
          </cell>
          <cell r="T1806" t="str">
            <v>00336949 - Mochammad Al Farabi</v>
          </cell>
          <cell r="U1806" t="str">
            <v>"-"</v>
          </cell>
        </row>
        <row r="1807">
          <cell r="A1807">
            <v>46265</v>
          </cell>
          <cell r="B1807" t="str">
            <v xml:space="preserve">SITI JUNAINI                            </v>
          </cell>
          <cell r="C1807" t="str">
            <v>SGFHI11</v>
          </cell>
          <cell r="D1807">
            <v>9801214085504</v>
          </cell>
          <cell r="F1807" t="str">
            <v>Tidak</v>
          </cell>
          <cell r="G1807" t="str">
            <v>Tidak</v>
          </cell>
          <cell r="I1807" t="str">
            <v>Jual Beli Rekening - E channel Trx</v>
          </cell>
          <cell r="J1807">
            <v>33</v>
          </cell>
          <cell r="K1807">
            <v>113</v>
          </cell>
          <cell r="L1807" t="str">
            <v>Narkotika/Judi Online/Penipuan</v>
          </cell>
          <cell r="M1807" t="str">
            <v xml:space="preserve">KC Tanjung Karang                       </v>
          </cell>
          <cell r="N1807" t="str">
            <v xml:space="preserve">KC Tanjung Karang                       </v>
          </cell>
          <cell r="O1807" t="str">
            <v xml:space="preserve">KANWIL BANDAR LAMPUNG                   </v>
          </cell>
          <cell r="R1807" t="str">
            <v>Belum TL</v>
          </cell>
          <cell r="S1807" t="str">
            <v>Belum TL</v>
          </cell>
          <cell r="U1807" t="str">
            <v>"-"</v>
          </cell>
        </row>
        <row r="1808">
          <cell r="A1808">
            <v>46265</v>
          </cell>
          <cell r="B1808" t="str">
            <v xml:space="preserve">SAWIT SUMBERMAS SARANA TBK              </v>
          </cell>
          <cell r="C1808" t="str">
            <v>SGHZY19</v>
          </cell>
          <cell r="D1808">
            <v>999101000312108</v>
          </cell>
          <cell r="E1808" t="str">
            <v>SEDANG</v>
          </cell>
          <cell r="F1808" t="str">
            <v>Tidak</v>
          </cell>
          <cell r="G1808" t="str">
            <v>Tidak</v>
          </cell>
          <cell r="H1808" t="str">
            <v>Tidak</v>
          </cell>
          <cell r="I1808" t="str">
            <v>Korupsi - Loan View</v>
          </cell>
          <cell r="J1808">
            <v>48</v>
          </cell>
          <cell r="K1808">
            <v>15</v>
          </cell>
          <cell r="L1808" t="str">
            <v>Korupsi</v>
          </cell>
          <cell r="M1808" t="str">
            <v>Kas Kanpus</v>
          </cell>
          <cell r="N1808" t="str">
            <v>Kas Kanpus</v>
          </cell>
          <cell r="O1808" t="str">
            <v>KAS KANPUS</v>
          </cell>
          <cell r="R1808" t="str">
            <v>Belum TL</v>
          </cell>
          <cell r="S1808" t="str">
            <v>Belum TL</v>
          </cell>
          <cell r="T1808" t="str">
            <v>90150130 - Intan Aida Pratiwi</v>
          </cell>
          <cell r="U1808" t="str">
            <v>"-"</v>
          </cell>
        </row>
        <row r="1809">
          <cell r="A1809">
            <v>46265</v>
          </cell>
          <cell r="B1809" t="str">
            <v xml:space="preserve">SADIQUL AHYAR                           </v>
          </cell>
          <cell r="C1809" t="str">
            <v>SGIN595</v>
          </cell>
          <cell r="D1809">
            <v>362401034266104</v>
          </cell>
          <cell r="E1809" t="str">
            <v>SEDANG</v>
          </cell>
          <cell r="F1809" t="str">
            <v>Tidak</v>
          </cell>
          <cell r="G1809" t="str">
            <v>Tidak</v>
          </cell>
          <cell r="H1809" t="str">
            <v>Tidak</v>
          </cell>
          <cell r="I1809" t="str">
            <v>Korupsi - Loan View</v>
          </cell>
          <cell r="J1809">
            <v>48</v>
          </cell>
          <cell r="K1809">
            <v>15</v>
          </cell>
          <cell r="L1809" t="str">
            <v>Korupsi</v>
          </cell>
          <cell r="M1809" t="str">
            <v>Kas Kanpus</v>
          </cell>
          <cell r="N1809" t="str">
            <v>Kas Kanpus</v>
          </cell>
          <cell r="O1809" t="str">
            <v>KAS KANPUS</v>
          </cell>
          <cell r="R1809" t="str">
            <v>Belum TL</v>
          </cell>
          <cell r="S1809" t="str">
            <v>Belum TL</v>
          </cell>
          <cell r="T1809" t="str">
            <v>90186790 - Muhammad Alfin Farha</v>
          </cell>
          <cell r="U1809" t="str">
            <v>"-"</v>
          </cell>
        </row>
        <row r="1810">
          <cell r="A1810">
            <v>46265</v>
          </cell>
          <cell r="B1810" t="str">
            <v xml:space="preserve">SINAR TEKNOLOGI UTAMA                   </v>
          </cell>
          <cell r="C1810" t="str">
            <v>SGLSH71</v>
          </cell>
          <cell r="D1810">
            <v>13901502288153</v>
          </cell>
          <cell r="E1810" t="str">
            <v>SEDANG</v>
          </cell>
          <cell r="F1810" t="str">
            <v>Tidak</v>
          </cell>
          <cell r="G1810" t="str">
            <v>Tidak</v>
          </cell>
          <cell r="H1810" t="str">
            <v>Tidak</v>
          </cell>
          <cell r="I1810" t="str">
            <v>Korupsi - Loan View</v>
          </cell>
          <cell r="J1810">
            <v>48</v>
          </cell>
          <cell r="K1810">
            <v>15</v>
          </cell>
          <cell r="L1810" t="str">
            <v>Korupsi</v>
          </cell>
          <cell r="M1810" t="str">
            <v>Kas Kanpus</v>
          </cell>
          <cell r="N1810" t="str">
            <v>Kas Kanpus</v>
          </cell>
          <cell r="O1810" t="str">
            <v>KAS KANPUS</v>
          </cell>
          <cell r="R1810" t="str">
            <v>Belum TL</v>
          </cell>
          <cell r="S1810" t="str">
            <v>Belum TL</v>
          </cell>
          <cell r="T1810" t="str">
            <v>00336949 - Mochammad Al Farabi</v>
          </cell>
          <cell r="U1810" t="str">
            <v>"-"</v>
          </cell>
        </row>
        <row r="1811">
          <cell r="A1811">
            <v>46265</v>
          </cell>
          <cell r="B1811" t="str">
            <v xml:space="preserve">SOUTH EAST ASIA PIPE INDUSTRIES         </v>
          </cell>
          <cell r="C1811" t="str">
            <v>SGMFQ50</v>
          </cell>
          <cell r="D1811">
            <v>20601012164309</v>
          </cell>
          <cell r="E1811" t="str">
            <v>SEDANG</v>
          </cell>
          <cell r="F1811" t="str">
            <v>Tidak</v>
          </cell>
          <cell r="G1811" t="str">
            <v>Tidak</v>
          </cell>
          <cell r="H1811" t="str">
            <v>Tidak</v>
          </cell>
          <cell r="I1811" t="str">
            <v>Korupsi - Cash &amp; Amount</v>
          </cell>
          <cell r="J1811">
            <v>50</v>
          </cell>
          <cell r="K1811" t="str">
            <v>1,2,20</v>
          </cell>
          <cell r="L1811" t="str">
            <v>Korupsi</v>
          </cell>
          <cell r="M1811" t="str">
            <v>Kas Kanpus</v>
          </cell>
          <cell r="N1811" t="str">
            <v>Kas Kanpus</v>
          </cell>
          <cell r="O1811" t="str">
            <v>KAS KANPUS</v>
          </cell>
          <cell r="R1811" t="str">
            <v>Belum TL</v>
          </cell>
          <cell r="S1811" t="str">
            <v>Belum TL</v>
          </cell>
          <cell r="T1811" t="str">
            <v>00394520 - Frida Akbar Rani</v>
          </cell>
          <cell r="U1811" t="str">
            <v>"-"</v>
          </cell>
        </row>
        <row r="1812">
          <cell r="A1812">
            <v>46265</v>
          </cell>
          <cell r="B1812" t="str">
            <v xml:space="preserve">SURASNO PALANAKAN                       </v>
          </cell>
          <cell r="C1812" t="str">
            <v>SGNBK79</v>
          </cell>
          <cell r="D1812">
            <v>64701004907101</v>
          </cell>
          <cell r="E1812" t="str">
            <v>SEDANG</v>
          </cell>
          <cell r="F1812" t="str">
            <v>Tidak</v>
          </cell>
          <cell r="G1812" t="str">
            <v>Tidak</v>
          </cell>
          <cell r="H1812" t="str">
            <v>Tidak</v>
          </cell>
          <cell r="I1812" t="str">
            <v>Korupsi - Loan View</v>
          </cell>
          <cell r="J1812">
            <v>48</v>
          </cell>
          <cell r="K1812">
            <v>15</v>
          </cell>
          <cell r="L1812" t="str">
            <v>Korupsi</v>
          </cell>
          <cell r="M1812" t="str">
            <v>Kas Kanpus</v>
          </cell>
          <cell r="N1812" t="str">
            <v>Kas Kanpus</v>
          </cell>
          <cell r="O1812" t="str">
            <v>KAS KANPUS</v>
          </cell>
          <cell r="R1812" t="str">
            <v>Belum TL</v>
          </cell>
          <cell r="S1812" t="str">
            <v>Belum TL</v>
          </cell>
          <cell r="T1812" t="str">
            <v>90171841 - Rifqi Aziz</v>
          </cell>
          <cell r="U1812" t="str">
            <v>"-"</v>
          </cell>
        </row>
        <row r="1813">
          <cell r="A1813">
            <v>46265</v>
          </cell>
          <cell r="B1813" t="str">
            <v xml:space="preserve">SURYA CITRA KHATULISTIWA                </v>
          </cell>
          <cell r="C1813" t="str">
            <v>SGPA039</v>
          </cell>
          <cell r="D1813">
            <v>38201000381157</v>
          </cell>
          <cell r="E1813" t="str">
            <v>SEDANG</v>
          </cell>
          <cell r="F1813" t="str">
            <v>Tidak</v>
          </cell>
          <cell r="G1813" t="str">
            <v>Tidak</v>
          </cell>
          <cell r="H1813" t="str">
            <v>Tidak</v>
          </cell>
          <cell r="I1813" t="str">
            <v>Korupsi - Loan View</v>
          </cell>
          <cell r="J1813">
            <v>48</v>
          </cell>
          <cell r="K1813">
            <v>15</v>
          </cell>
          <cell r="L1813" t="str">
            <v>Korupsi</v>
          </cell>
          <cell r="M1813" t="str">
            <v>Kas Kanpus</v>
          </cell>
          <cell r="N1813" t="str">
            <v>Kas Kanpus</v>
          </cell>
          <cell r="O1813" t="str">
            <v>KAS KANPUS</v>
          </cell>
          <cell r="R1813" t="str">
            <v>Belum TL</v>
          </cell>
          <cell r="S1813" t="str">
            <v>Belum TL</v>
          </cell>
          <cell r="T1813" t="str">
            <v>90185538 - Muhammad Fahikal Auz</v>
          </cell>
          <cell r="U1813" t="str">
            <v>"-"</v>
          </cell>
        </row>
        <row r="1814">
          <cell r="A1814">
            <v>46265</v>
          </cell>
          <cell r="B1814" t="str">
            <v xml:space="preserve">SATYA EKA DHARMA                        </v>
          </cell>
          <cell r="C1814" t="str">
            <v>SGPLB56</v>
          </cell>
          <cell r="D1814">
            <v>21201015000103</v>
          </cell>
          <cell r="E1814" t="str">
            <v>SEDANG</v>
          </cell>
          <cell r="F1814" t="str">
            <v>Tidak</v>
          </cell>
          <cell r="G1814" t="str">
            <v>Tidak</v>
          </cell>
          <cell r="H1814" t="str">
            <v>Tidak</v>
          </cell>
          <cell r="I1814" t="str">
            <v>Korupsi - Loan View</v>
          </cell>
          <cell r="J1814">
            <v>48</v>
          </cell>
          <cell r="K1814">
            <v>15</v>
          </cell>
          <cell r="L1814" t="str">
            <v>Korupsi</v>
          </cell>
          <cell r="M1814" t="str">
            <v>Kas Kanpus</v>
          </cell>
          <cell r="N1814" t="str">
            <v>Kas Kanpus</v>
          </cell>
          <cell r="O1814" t="str">
            <v>KAS KANPUS</v>
          </cell>
          <cell r="R1814" t="str">
            <v>Belum TL</v>
          </cell>
          <cell r="S1814" t="str">
            <v>Belum TL</v>
          </cell>
          <cell r="T1814" t="str">
            <v>90186790 - Muhammad Alfin Farha</v>
          </cell>
          <cell r="U1814" t="str">
            <v>"-"</v>
          </cell>
        </row>
        <row r="1815">
          <cell r="A1815">
            <v>46265</v>
          </cell>
          <cell r="B1815" t="str">
            <v xml:space="preserve">SENO PADANG                             </v>
          </cell>
          <cell r="C1815" t="str">
            <v>SGSJ910</v>
          </cell>
          <cell r="D1815">
            <v>218901001669106</v>
          </cell>
          <cell r="E1815" t="str">
            <v>RENDAH</v>
          </cell>
          <cell r="F1815" t="str">
            <v>Tidak</v>
          </cell>
          <cell r="G1815" t="str">
            <v>Tidak</v>
          </cell>
          <cell r="H1815" t="str">
            <v>Tidak</v>
          </cell>
          <cell r="I1815" t="str">
            <v>Korupsi - Loan View</v>
          </cell>
          <cell r="J1815">
            <v>33</v>
          </cell>
          <cell r="K1815">
            <v>15</v>
          </cell>
          <cell r="L1815" t="str">
            <v>Korupsi</v>
          </cell>
          <cell r="M1815" t="str">
            <v>Kas Kanpus</v>
          </cell>
          <cell r="N1815" t="str">
            <v>Kas Kanpus</v>
          </cell>
          <cell r="O1815" t="str">
            <v>KAS KANPUS</v>
          </cell>
          <cell r="R1815" t="str">
            <v>Belum TL</v>
          </cell>
          <cell r="S1815" t="str">
            <v>Belum TL</v>
          </cell>
          <cell r="T1815" t="str">
            <v>90171841 - Rifqi Aziz</v>
          </cell>
          <cell r="U1815" t="str">
            <v>"-"</v>
          </cell>
        </row>
        <row r="1816">
          <cell r="A1816">
            <v>46265</v>
          </cell>
          <cell r="B1816" t="str">
            <v xml:space="preserve">SITI AMAJIDA HAFILAH                    </v>
          </cell>
          <cell r="C1816" t="str">
            <v>SGUTD28</v>
          </cell>
          <cell r="D1816">
            <v>20701078587507</v>
          </cell>
          <cell r="E1816" t="str">
            <v>SEDANG</v>
          </cell>
          <cell r="F1816" t="str">
            <v>Tidak</v>
          </cell>
          <cell r="G1816" t="str">
            <v>Tidak</v>
          </cell>
          <cell r="H1816" t="str">
            <v>Tidak</v>
          </cell>
          <cell r="I1816" t="str">
            <v>Bandar Judol Depo</v>
          </cell>
          <cell r="J1816">
            <v>50</v>
          </cell>
          <cell r="K1816" t="str">
            <v>86,74,87</v>
          </cell>
          <cell r="L1816" t="str">
            <v>Judi Online</v>
          </cell>
          <cell r="M1816" t="str">
            <v xml:space="preserve">Kas Kanpus                              </v>
          </cell>
          <cell r="N1816" t="str">
            <v xml:space="preserve">Kas Kanpus                              </v>
          </cell>
          <cell r="O1816" t="str">
            <v xml:space="preserve">KAS KANPUS                              </v>
          </cell>
          <cell r="R1816" t="str">
            <v>Belum TL</v>
          </cell>
          <cell r="S1816" t="str">
            <v>Belum TL</v>
          </cell>
          <cell r="T1816" t="str">
            <v>00394520 - Frida Akbar Rani</v>
          </cell>
          <cell r="U1816" t="str">
            <v>"-"</v>
          </cell>
        </row>
        <row r="1817">
          <cell r="A1817">
            <v>46265</v>
          </cell>
          <cell r="B1817" t="str">
            <v xml:space="preserve">SUYANDI                                 </v>
          </cell>
          <cell r="C1817" t="str">
            <v>SHBEA51</v>
          </cell>
          <cell r="D1817">
            <v>334501007146509</v>
          </cell>
          <cell r="E1817" t="str">
            <v>SEDANG</v>
          </cell>
          <cell r="F1817" t="str">
            <v>Tidak</v>
          </cell>
          <cell r="G1817" t="str">
            <v>Tidak</v>
          </cell>
          <cell r="H1817" t="str">
            <v>Ya</v>
          </cell>
          <cell r="I1817" t="str">
            <v>Bandar Judol Withdrawal</v>
          </cell>
          <cell r="J1817">
            <v>50</v>
          </cell>
          <cell r="K1817" t="str">
            <v>86,88,87</v>
          </cell>
          <cell r="L1817" t="str">
            <v>Judi Online</v>
          </cell>
          <cell r="M1817" t="str">
            <v xml:space="preserve">Kas Kanpus                              </v>
          </cell>
          <cell r="N1817" t="str">
            <v xml:space="preserve">Kas Kanpus                              </v>
          </cell>
          <cell r="O1817" t="str">
            <v xml:space="preserve">KAS KANPUS                              </v>
          </cell>
          <cell r="R1817" t="str">
            <v>Belum TL</v>
          </cell>
          <cell r="S1817" t="str">
            <v>Belum TL</v>
          </cell>
          <cell r="T1817" t="str">
            <v>90186790 - Muhammad Alfin Farha</v>
          </cell>
          <cell r="U1817" t="str">
            <v>"-"</v>
          </cell>
        </row>
        <row r="1818">
          <cell r="A1818">
            <v>46265</v>
          </cell>
          <cell r="B1818" t="str">
            <v xml:space="preserve">SU PING                                 </v>
          </cell>
          <cell r="C1818" t="str">
            <v>SHBRP23</v>
          </cell>
          <cell r="D1818">
            <v>335301053450537</v>
          </cell>
          <cell r="E1818" t="str">
            <v>SEDANG</v>
          </cell>
          <cell r="F1818" t="str">
            <v>Tidak</v>
          </cell>
          <cell r="G1818" t="str">
            <v>Tidak</v>
          </cell>
          <cell r="H1818" t="str">
            <v>Tidak</v>
          </cell>
          <cell r="I1818" t="str">
            <v>Bandar Judol Withdrawal</v>
          </cell>
          <cell r="J1818">
            <v>50</v>
          </cell>
          <cell r="K1818" t="str">
            <v>86,88,87</v>
          </cell>
          <cell r="L1818" t="str">
            <v>Judi Online</v>
          </cell>
          <cell r="M1818" t="str">
            <v xml:space="preserve">Kas Kanpus                              </v>
          </cell>
          <cell r="N1818" t="str">
            <v xml:space="preserve">Kas Kanpus                              </v>
          </cell>
          <cell r="O1818" t="str">
            <v xml:space="preserve">KAS KANPUS                              </v>
          </cell>
          <cell r="R1818" t="str">
            <v>Belum TL</v>
          </cell>
          <cell r="S1818" t="str">
            <v>Belum TL</v>
          </cell>
          <cell r="T1818" t="str">
            <v>90150130 - Intan Aida Pratiwi</v>
          </cell>
          <cell r="U1818" t="str">
            <v>"-"</v>
          </cell>
        </row>
        <row r="1819">
          <cell r="A1819">
            <v>46265</v>
          </cell>
          <cell r="B1819" t="str">
            <v xml:space="preserve">SARIYO                                  </v>
          </cell>
          <cell r="C1819" t="str">
            <v>SHCGU06</v>
          </cell>
          <cell r="D1819">
            <v>801002363567</v>
          </cell>
          <cell r="E1819" t="str">
            <v>SEDANG</v>
          </cell>
          <cell r="F1819" t="str">
            <v>Tidak</v>
          </cell>
          <cell r="G1819" t="str">
            <v>Tidak</v>
          </cell>
          <cell r="H1819" t="str">
            <v>Tidak</v>
          </cell>
          <cell r="I1819" t="str">
            <v>Korupsi - Cash &amp; Amount</v>
          </cell>
          <cell r="J1819">
            <v>58</v>
          </cell>
          <cell r="K1819" t="str">
            <v>1,2,20</v>
          </cell>
          <cell r="L1819" t="str">
            <v>Korupsi</v>
          </cell>
          <cell r="M1819" t="str">
            <v>Kas Kanpus</v>
          </cell>
          <cell r="N1819" t="str">
            <v>Kas Kanpus</v>
          </cell>
          <cell r="O1819" t="str">
            <v>KAS KANPUS</v>
          </cell>
          <cell r="R1819" t="str">
            <v>Belum TL</v>
          </cell>
          <cell r="S1819" t="str">
            <v>Belum TL</v>
          </cell>
          <cell r="T1819" t="str">
            <v>90186790 - Muhammad Alfin Farha</v>
          </cell>
          <cell r="U1819" t="str">
            <v>"-"</v>
          </cell>
        </row>
        <row r="1820">
          <cell r="A1820">
            <v>46265</v>
          </cell>
          <cell r="B1820" t="str">
            <v xml:space="preserve">SUGANDI SYARIF                          </v>
          </cell>
          <cell r="C1820" t="str">
            <v>SHCNF48</v>
          </cell>
          <cell r="D1820">
            <v>702801011098104</v>
          </cell>
          <cell r="E1820" t="str">
            <v>RENDAH</v>
          </cell>
          <cell r="F1820" t="str">
            <v>Tidak</v>
          </cell>
          <cell r="G1820" t="str">
            <v>Tidak</v>
          </cell>
          <cell r="H1820" t="str">
            <v>Tidak</v>
          </cell>
          <cell r="I1820" t="str">
            <v>Korupsi - Loan View</v>
          </cell>
          <cell r="J1820">
            <v>33</v>
          </cell>
          <cell r="K1820">
            <v>15</v>
          </cell>
          <cell r="L1820" t="str">
            <v>Korupsi</v>
          </cell>
          <cell r="M1820" t="str">
            <v>Kas Kanpus</v>
          </cell>
          <cell r="N1820" t="str">
            <v>Kas Kanpus</v>
          </cell>
          <cell r="O1820" t="str">
            <v>KAS KANPUS</v>
          </cell>
          <cell r="R1820" t="str">
            <v>Belum TL</v>
          </cell>
          <cell r="S1820" t="str">
            <v>Belum TL</v>
          </cell>
          <cell r="T1820" t="str">
            <v>90170665 - Mutiara Ayuningtyas</v>
          </cell>
          <cell r="U1820" t="str">
            <v>"-"</v>
          </cell>
        </row>
        <row r="1821">
          <cell r="A1821">
            <v>46265</v>
          </cell>
          <cell r="B1821" t="str">
            <v xml:space="preserve">SUMUANG TARIPAR CAPAH                   </v>
          </cell>
          <cell r="C1821" t="str">
            <v>SHIW333</v>
          </cell>
          <cell r="D1821">
            <v>15901090788508</v>
          </cell>
          <cell r="E1821" t="str">
            <v>SEDANG</v>
          </cell>
          <cell r="F1821" t="str">
            <v>Tidak</v>
          </cell>
          <cell r="G1821" t="str">
            <v>Tidak</v>
          </cell>
          <cell r="H1821" t="str">
            <v>Tidak</v>
          </cell>
          <cell r="I1821" t="str">
            <v>Bandar Judol Withdrawal</v>
          </cell>
          <cell r="J1821">
            <v>50</v>
          </cell>
          <cell r="K1821" t="str">
            <v>86,88,87</v>
          </cell>
          <cell r="L1821" t="str">
            <v>Judi Online</v>
          </cell>
          <cell r="M1821" t="str">
            <v xml:space="preserve">Kas Kanpus                              </v>
          </cell>
          <cell r="N1821" t="str">
            <v xml:space="preserve">Kas Kanpus                              </v>
          </cell>
          <cell r="O1821" t="str">
            <v xml:space="preserve">KAS KANPUS                              </v>
          </cell>
          <cell r="R1821" t="str">
            <v>Belum TL</v>
          </cell>
          <cell r="S1821" t="str">
            <v>Belum TL</v>
          </cell>
          <cell r="T1821" t="str">
            <v>90171841 - Rifqi Aziz</v>
          </cell>
          <cell r="U1821" t="str">
            <v>"-"</v>
          </cell>
        </row>
        <row r="1822">
          <cell r="A1822">
            <v>46265</v>
          </cell>
          <cell r="B1822" t="str">
            <v xml:space="preserve">SELARAS SIMPATI NUSANTARA               </v>
          </cell>
          <cell r="C1822" t="str">
            <v>SHJV195</v>
          </cell>
          <cell r="D1822">
            <v>5901501714159</v>
          </cell>
          <cell r="E1822" t="str">
            <v>SEDANG</v>
          </cell>
          <cell r="F1822" t="str">
            <v>Tidak</v>
          </cell>
          <cell r="G1822" t="str">
            <v>Tidak</v>
          </cell>
          <cell r="H1822" t="str">
            <v>Tidak</v>
          </cell>
          <cell r="I1822" t="str">
            <v>Korupsi - Loan View</v>
          </cell>
          <cell r="J1822">
            <v>48</v>
          </cell>
          <cell r="K1822">
            <v>15</v>
          </cell>
          <cell r="L1822" t="str">
            <v>Korupsi</v>
          </cell>
          <cell r="M1822" t="str">
            <v>Kas Kanpus</v>
          </cell>
          <cell r="N1822" t="str">
            <v>Kas Kanpus</v>
          </cell>
          <cell r="O1822" t="str">
            <v>KAS KANPUS</v>
          </cell>
          <cell r="R1822" t="str">
            <v>Belum TL</v>
          </cell>
          <cell r="S1822" t="str">
            <v>Belum TL</v>
          </cell>
          <cell r="T1822" t="str">
            <v>00394521 - Muhammad Hibbanduta</v>
          </cell>
          <cell r="U1822" t="str">
            <v>"-"</v>
          </cell>
        </row>
        <row r="1823">
          <cell r="A1823">
            <v>46265</v>
          </cell>
          <cell r="B1823" t="str">
            <v xml:space="preserve">SETIA AGRO ABADI                        </v>
          </cell>
          <cell r="C1823" t="str">
            <v>SHMFF21</v>
          </cell>
          <cell r="D1823">
            <v>62601001268304</v>
          </cell>
          <cell r="E1823" t="str">
            <v>SEDANG</v>
          </cell>
          <cell r="F1823" t="str">
            <v>Tidak</v>
          </cell>
          <cell r="G1823" t="str">
            <v>Tidak</v>
          </cell>
          <cell r="H1823" t="str">
            <v>Tidak</v>
          </cell>
          <cell r="I1823" t="str">
            <v>Korupsi - Cash &amp; Amount</v>
          </cell>
          <cell r="J1823">
            <v>48</v>
          </cell>
          <cell r="K1823" t="str">
            <v>1,2,20</v>
          </cell>
          <cell r="L1823" t="str">
            <v>Korupsi</v>
          </cell>
          <cell r="M1823" t="str">
            <v>Kas Kanpus</v>
          </cell>
          <cell r="N1823" t="str">
            <v>Kas Kanpus</v>
          </cell>
          <cell r="O1823" t="str">
            <v>KAS KANPUS</v>
          </cell>
          <cell r="R1823" t="str">
            <v>Belum TL</v>
          </cell>
          <cell r="S1823" t="str">
            <v>Belum TL</v>
          </cell>
          <cell r="T1823" t="str">
            <v>90185537 - Moh.Khoerul Fajar Ar</v>
          </cell>
          <cell r="U1823" t="str">
            <v>"-"</v>
          </cell>
        </row>
        <row r="1824">
          <cell r="A1824">
            <v>46265</v>
          </cell>
          <cell r="B1824" t="str">
            <v xml:space="preserve">SUPARTO IBRAHIM                         </v>
          </cell>
          <cell r="C1824" t="str">
            <v>SHVYZ47</v>
          </cell>
          <cell r="D1824">
            <v>521201016238102</v>
          </cell>
          <cell r="E1824" t="str">
            <v>SEDANG</v>
          </cell>
          <cell r="F1824" t="str">
            <v>Tidak</v>
          </cell>
          <cell r="G1824" t="str">
            <v>Tidak</v>
          </cell>
          <cell r="H1824" t="str">
            <v>Tidak</v>
          </cell>
          <cell r="I1824" t="str">
            <v>Korupsi - Loan View</v>
          </cell>
          <cell r="J1824">
            <v>48</v>
          </cell>
          <cell r="K1824">
            <v>15</v>
          </cell>
          <cell r="L1824" t="str">
            <v>Korupsi</v>
          </cell>
          <cell r="M1824" t="str">
            <v>Kas Kanpus</v>
          </cell>
          <cell r="N1824" t="str">
            <v>Kas Kanpus</v>
          </cell>
          <cell r="O1824" t="str">
            <v>KAS KANPUS</v>
          </cell>
          <cell r="R1824" t="str">
            <v>Belum TL</v>
          </cell>
          <cell r="S1824" t="str">
            <v>Belum TL</v>
          </cell>
          <cell r="T1824" t="str">
            <v>00336949 - Mochammad Al Farabi</v>
          </cell>
          <cell r="U1824" t="str">
            <v>"-"</v>
          </cell>
        </row>
        <row r="1825">
          <cell r="A1825">
            <v>46265</v>
          </cell>
          <cell r="B1825" t="str">
            <v xml:space="preserve">SRIYATUN                                </v>
          </cell>
          <cell r="C1825" t="str">
            <v>SHU3027</v>
          </cell>
          <cell r="D1825">
            <v>54101025913507</v>
          </cell>
          <cell r="E1825" t="str">
            <v>SEDANG</v>
          </cell>
          <cell r="F1825" t="str">
            <v>Tidak</v>
          </cell>
          <cell r="G1825" t="str">
            <v>Tidak</v>
          </cell>
          <cell r="H1825" t="str">
            <v>Tidak</v>
          </cell>
          <cell r="I1825" t="str">
            <v>Bandar Judol Withdrawal</v>
          </cell>
          <cell r="J1825">
            <v>50</v>
          </cell>
          <cell r="K1825" t="str">
            <v>86,88,87</v>
          </cell>
          <cell r="L1825" t="str">
            <v>Judi Online</v>
          </cell>
          <cell r="M1825" t="str">
            <v xml:space="preserve">Kas Kanpus                              </v>
          </cell>
          <cell r="N1825" t="str">
            <v xml:space="preserve">Kas Kanpus                              </v>
          </cell>
          <cell r="O1825" t="str">
            <v xml:space="preserve">KAS KANPUS                              </v>
          </cell>
          <cell r="R1825" t="str">
            <v>Belum TL</v>
          </cell>
          <cell r="S1825" t="str">
            <v>Belum TL</v>
          </cell>
          <cell r="T1825" t="str">
            <v>90171841 - Rifqi Aziz</v>
          </cell>
          <cell r="U1825" t="str">
            <v>"-"</v>
          </cell>
        </row>
        <row r="1826">
          <cell r="A1826">
            <v>46265</v>
          </cell>
          <cell r="B1826" t="str">
            <v xml:space="preserve">SORI MUDA HARAHAP                       </v>
          </cell>
          <cell r="C1826" t="str">
            <v>SIESE73</v>
          </cell>
          <cell r="D1826">
            <v>108801006156531</v>
          </cell>
          <cell r="E1826" t="str">
            <v>SEDANG</v>
          </cell>
          <cell r="F1826" t="str">
            <v>Tidak</v>
          </cell>
          <cell r="G1826" t="str">
            <v>Tidak</v>
          </cell>
          <cell r="H1826" t="str">
            <v>Ya</v>
          </cell>
          <cell r="I1826" t="str">
            <v>Bandar Judol Withdrawal</v>
          </cell>
          <cell r="J1826">
            <v>50</v>
          </cell>
          <cell r="K1826" t="str">
            <v>86,88,87</v>
          </cell>
          <cell r="L1826" t="str">
            <v>Judi Online</v>
          </cell>
          <cell r="M1826" t="str">
            <v xml:space="preserve">Kas Kanpus                              </v>
          </cell>
          <cell r="N1826" t="str">
            <v xml:space="preserve">Kas Kanpus                              </v>
          </cell>
          <cell r="O1826" t="str">
            <v xml:space="preserve">KAS KANPUS                              </v>
          </cell>
          <cell r="R1826" t="str">
            <v>Belum TL</v>
          </cell>
          <cell r="S1826" t="str">
            <v>Belum TL</v>
          </cell>
          <cell r="T1826" t="str">
            <v>00394520 - Frida Akbar Rani</v>
          </cell>
          <cell r="U1826" t="str">
            <v>"-"</v>
          </cell>
        </row>
        <row r="1827">
          <cell r="A1827">
            <v>46265</v>
          </cell>
          <cell r="B1827" t="str">
            <v xml:space="preserve">SAPRUDIN AR SALAM                       </v>
          </cell>
          <cell r="C1827" t="str">
            <v>SIGL693</v>
          </cell>
          <cell r="D1827">
            <v>344801030999531</v>
          </cell>
          <cell r="E1827" t="str">
            <v>SEDANG</v>
          </cell>
          <cell r="F1827" t="str">
            <v>Tidak</v>
          </cell>
          <cell r="G1827" t="str">
            <v>Tidak</v>
          </cell>
          <cell r="H1827" t="str">
            <v>Tidak</v>
          </cell>
          <cell r="I1827" t="str">
            <v>Perikanan dan Kelautan</v>
          </cell>
          <cell r="J1827">
            <v>48</v>
          </cell>
          <cell r="K1827">
            <v>101</v>
          </cell>
          <cell r="L1827" t="str">
            <v>Perikanan dan Kelautan</v>
          </cell>
          <cell r="M1827" t="str">
            <v xml:space="preserve">UNIT TAWAELI PALU                       </v>
          </cell>
          <cell r="N1827" t="str">
            <v xml:space="preserve">KC Palu                                 </v>
          </cell>
          <cell r="O1827" t="str">
            <v xml:space="preserve">Manado                                  </v>
          </cell>
          <cell r="R1827" t="str">
            <v>Belum TL</v>
          </cell>
          <cell r="S1827" t="str">
            <v>Belum TL</v>
          </cell>
          <cell r="T1827" t="str">
            <v>90186790 - Muhammad Alfin Farha</v>
          </cell>
          <cell r="U1827" t="str">
            <v>"-"</v>
          </cell>
        </row>
        <row r="1828">
          <cell r="A1828">
            <v>46265</v>
          </cell>
          <cell r="B1828" t="str">
            <v xml:space="preserve">SHINTA ARIYONA                          </v>
          </cell>
          <cell r="C1828" t="str">
            <v>SIBRV76</v>
          </cell>
          <cell r="D1828">
            <v>808401000026561</v>
          </cell>
          <cell r="E1828" t="str">
            <v>SEDANG</v>
          </cell>
          <cell r="F1828" t="str">
            <v>Tidak</v>
          </cell>
          <cell r="G1828" t="str">
            <v>Tidak</v>
          </cell>
          <cell r="H1828" t="str">
            <v>Tidak</v>
          </cell>
          <cell r="I1828" t="str">
            <v>Bandar Judol Depo</v>
          </cell>
          <cell r="J1828">
            <v>50</v>
          </cell>
          <cell r="K1828" t="str">
            <v>86,74,87</v>
          </cell>
          <cell r="L1828" t="str">
            <v>Judi Online</v>
          </cell>
          <cell r="M1828" t="str">
            <v xml:space="preserve">Kas Kanpus                              </v>
          </cell>
          <cell r="N1828" t="str">
            <v xml:space="preserve">Kas Kanpus                              </v>
          </cell>
          <cell r="O1828" t="str">
            <v xml:space="preserve">KAS KANPUS                              </v>
          </cell>
          <cell r="R1828" t="str">
            <v>Belum TL</v>
          </cell>
          <cell r="S1828" t="str">
            <v>Belum TL</v>
          </cell>
          <cell r="T1828" t="str">
            <v>00394520 - Frida Akbar Rani</v>
          </cell>
          <cell r="U1828" t="str">
            <v>"-"</v>
          </cell>
        </row>
        <row r="1829">
          <cell r="A1829">
            <v>46265</v>
          </cell>
          <cell r="B1829" t="str">
            <v xml:space="preserve">SYARIFA FADILA                          </v>
          </cell>
          <cell r="C1829" t="str">
            <v>SIOAH13</v>
          </cell>
          <cell r="D1829">
            <v>352801000037565</v>
          </cell>
          <cell r="E1829" t="str">
            <v>SEDANG</v>
          </cell>
          <cell r="F1829" t="str">
            <v>Tidak</v>
          </cell>
          <cell r="G1829" t="str">
            <v>Tidak</v>
          </cell>
          <cell r="H1829" t="str">
            <v>Tidak</v>
          </cell>
          <cell r="I1829" t="str">
            <v>Bandar Judol Withdrawal</v>
          </cell>
          <cell r="J1829">
            <v>50</v>
          </cell>
          <cell r="K1829" t="str">
            <v>86,88,87</v>
          </cell>
          <cell r="L1829" t="str">
            <v>Judi Online</v>
          </cell>
          <cell r="M1829" t="str">
            <v xml:space="preserve">Kas Kanpus                              </v>
          </cell>
          <cell r="N1829" t="str">
            <v xml:space="preserve">Kas Kanpus                              </v>
          </cell>
          <cell r="O1829" t="str">
            <v xml:space="preserve">KAS KANPUS                              </v>
          </cell>
          <cell r="R1829" t="str">
            <v>Belum TL</v>
          </cell>
          <cell r="S1829" t="str">
            <v>Belum TL</v>
          </cell>
          <cell r="T1829" t="str">
            <v>00394521 - Muhammad Hibbanduta</v>
          </cell>
          <cell r="U1829" t="str">
            <v>"-"</v>
          </cell>
        </row>
        <row r="1830">
          <cell r="A1830">
            <v>46265</v>
          </cell>
          <cell r="B1830" t="str">
            <v xml:space="preserve">SAHRONI                                 </v>
          </cell>
          <cell r="C1830" t="str">
            <v>SIPOD39</v>
          </cell>
          <cell r="D1830">
            <v>112901009034538</v>
          </cell>
          <cell r="E1830" t="str">
            <v>SEDANG</v>
          </cell>
          <cell r="F1830" t="str">
            <v>Tidak</v>
          </cell>
          <cell r="G1830" t="str">
            <v>Tidak</v>
          </cell>
          <cell r="H1830" t="str">
            <v>Tidak</v>
          </cell>
          <cell r="I1830" t="str">
            <v>Bandar Judol Depo</v>
          </cell>
          <cell r="J1830">
            <v>50</v>
          </cell>
          <cell r="K1830" t="str">
            <v>86,74,87</v>
          </cell>
          <cell r="L1830" t="str">
            <v>Judi Online</v>
          </cell>
          <cell r="M1830" t="str">
            <v xml:space="preserve">Kas Kanpus                              </v>
          </cell>
          <cell r="N1830" t="str">
            <v xml:space="preserve">Kas Kanpus                              </v>
          </cell>
          <cell r="O1830" t="str">
            <v xml:space="preserve">KAS KANPUS                              </v>
          </cell>
          <cell r="R1830" t="str">
            <v>Belum TL</v>
          </cell>
          <cell r="S1830" t="str">
            <v>Belum TL</v>
          </cell>
          <cell r="T1830" t="str">
            <v>90171841 - Rifqi Aziz</v>
          </cell>
          <cell r="U1830" t="str">
            <v>"-"</v>
          </cell>
        </row>
        <row r="1831">
          <cell r="A1831">
            <v>46265</v>
          </cell>
          <cell r="B1831" t="str">
            <v xml:space="preserve">SUKMA WARDANA                           </v>
          </cell>
          <cell r="C1831" t="str">
            <v>SIPRJ88</v>
          </cell>
          <cell r="D1831">
            <v>736501028113533</v>
          </cell>
          <cell r="E1831" t="str">
            <v>SEDANG</v>
          </cell>
          <cell r="F1831" t="str">
            <v>Tidak</v>
          </cell>
          <cell r="G1831" t="str">
            <v>Tidak</v>
          </cell>
          <cell r="H1831" t="str">
            <v>Tidak</v>
          </cell>
          <cell r="I1831" t="str">
            <v>Money Mules</v>
          </cell>
          <cell r="J1831">
            <v>42</v>
          </cell>
          <cell r="K1831">
            <v>77</v>
          </cell>
          <cell r="L1831" t="str">
            <v>Narkotika/Judi Online</v>
          </cell>
          <cell r="M1831" t="str">
            <v xml:space="preserve">Kas Kanpus                              </v>
          </cell>
          <cell r="N1831" t="str">
            <v xml:space="preserve">Kas Kanpus                              </v>
          </cell>
          <cell r="O1831" t="str">
            <v xml:space="preserve">KAS KANPUS                              </v>
          </cell>
          <cell r="R1831" t="str">
            <v>Belum TL</v>
          </cell>
          <cell r="S1831" t="str">
            <v>Belum TL</v>
          </cell>
          <cell r="T1831" t="str">
            <v>90185538 - Muhammad Fahikal Auz</v>
          </cell>
          <cell r="U1831" t="str">
            <v>"-"</v>
          </cell>
        </row>
        <row r="1832">
          <cell r="A1832">
            <v>46265</v>
          </cell>
          <cell r="B1832" t="str">
            <v xml:space="preserve">STEVIANUS CHANDRA                       </v>
          </cell>
          <cell r="C1832" t="str">
            <v>SITDW24</v>
          </cell>
          <cell r="D1832">
            <v>708701004400500</v>
          </cell>
          <cell r="E1832" t="str">
            <v>SEDANG</v>
          </cell>
          <cell r="F1832" t="str">
            <v>Tidak</v>
          </cell>
          <cell r="G1832" t="str">
            <v>Tidak</v>
          </cell>
          <cell r="H1832" t="str">
            <v>Tidak</v>
          </cell>
          <cell r="I1832" t="str">
            <v>Bandar Judol Depo</v>
          </cell>
          <cell r="J1832">
            <v>50</v>
          </cell>
          <cell r="K1832" t="str">
            <v>86,74,87</v>
          </cell>
          <cell r="L1832" t="str">
            <v>Judi Online</v>
          </cell>
          <cell r="M1832" t="str">
            <v xml:space="preserve">Kas Kanpus                              </v>
          </cell>
          <cell r="N1832" t="str">
            <v xml:space="preserve">Kas Kanpus                              </v>
          </cell>
          <cell r="O1832" t="str">
            <v xml:space="preserve">KAS KANPUS                              </v>
          </cell>
          <cell r="R1832" t="str">
            <v>Belum TL</v>
          </cell>
          <cell r="S1832" t="str">
            <v>Belum TL</v>
          </cell>
          <cell r="T1832" t="str">
            <v>00394521 - Muhammad Hibbanduta</v>
          </cell>
          <cell r="U1832" t="str">
            <v>"-"</v>
          </cell>
        </row>
        <row r="1833">
          <cell r="A1833">
            <v>46265</v>
          </cell>
          <cell r="B1833" t="str">
            <v xml:space="preserve">SUMBER BIRINGERE                        </v>
          </cell>
          <cell r="C1833" t="str">
            <v>SIUJN51</v>
          </cell>
          <cell r="D1833">
            <v>5001021293108</v>
          </cell>
          <cell r="E1833" t="str">
            <v>SEDANG</v>
          </cell>
          <cell r="F1833" t="str">
            <v>Tidak</v>
          </cell>
          <cell r="G1833" t="str">
            <v>Tidak</v>
          </cell>
          <cell r="H1833" t="str">
            <v>Tidak</v>
          </cell>
          <cell r="I1833" t="str">
            <v>Korupsi - Loan View</v>
          </cell>
          <cell r="J1833">
            <v>48</v>
          </cell>
          <cell r="K1833">
            <v>15</v>
          </cell>
          <cell r="L1833" t="str">
            <v>Korupsi</v>
          </cell>
          <cell r="M1833" t="str">
            <v>Kas Kanpus</v>
          </cell>
          <cell r="N1833" t="str">
            <v>Kas Kanpus</v>
          </cell>
          <cell r="O1833" t="str">
            <v>KAS KANPUS</v>
          </cell>
          <cell r="R1833" t="str">
            <v>Belum TL</v>
          </cell>
          <cell r="S1833" t="str">
            <v>Belum TL</v>
          </cell>
          <cell r="T1833" t="str">
            <v>90150130 - Intan Aida Pratiwi</v>
          </cell>
          <cell r="U1833" t="str">
            <v>"-"</v>
          </cell>
        </row>
        <row r="1834">
          <cell r="A1834">
            <v>46265</v>
          </cell>
          <cell r="B1834" t="str">
            <v xml:space="preserve">SPICES JOB                              </v>
          </cell>
          <cell r="C1834" t="str">
            <v>SIUVX64</v>
          </cell>
          <cell r="D1834">
            <v>36001111168309</v>
          </cell>
          <cell r="E1834" t="str">
            <v>SEDANG</v>
          </cell>
          <cell r="F1834" t="str">
            <v>Tidak</v>
          </cell>
          <cell r="G1834" t="str">
            <v>Tidak</v>
          </cell>
          <cell r="H1834" t="str">
            <v>Tidak</v>
          </cell>
          <cell r="I1834" t="str">
            <v>Perpajakan</v>
          </cell>
          <cell r="J1834">
            <v>48</v>
          </cell>
          <cell r="K1834">
            <v>41</v>
          </cell>
          <cell r="L1834" t="str">
            <v>Perpajakan</v>
          </cell>
          <cell r="M1834" t="str">
            <v xml:space="preserve">KC Surabaya Kusuma bangsa               </v>
          </cell>
          <cell r="N1834" t="str">
            <v xml:space="preserve">KC Surabaya Kusuma bangsa               </v>
          </cell>
          <cell r="O1834" t="str">
            <v xml:space="preserve">Surabaya                                </v>
          </cell>
          <cell r="R1834" t="str">
            <v>Belum TL</v>
          </cell>
          <cell r="S1834" t="str">
            <v>Belum TL</v>
          </cell>
          <cell r="T1834" t="str">
            <v>00336949 - Mochammad Al Farabi</v>
          </cell>
          <cell r="U1834" t="str">
            <v>"-"</v>
          </cell>
        </row>
        <row r="1835">
          <cell r="A1835">
            <v>46265</v>
          </cell>
          <cell r="B1835" t="str">
            <v xml:space="preserve">SITI NURHIDAYAH                         </v>
          </cell>
          <cell r="C1835" t="str">
            <v>SIYHR98</v>
          </cell>
          <cell r="D1835">
            <v>112901028321506</v>
          </cell>
          <cell r="F1835" t="str">
            <v>Tidak</v>
          </cell>
          <cell r="G1835" t="str">
            <v>Tidak</v>
          </cell>
          <cell r="H1835" t="str">
            <v>Tidak</v>
          </cell>
          <cell r="I1835" t="str">
            <v>Bandar Judol Withdrawal</v>
          </cell>
          <cell r="J1835">
            <v>35</v>
          </cell>
          <cell r="K1835" t="str">
            <v>86,88,87</v>
          </cell>
          <cell r="L1835" t="str">
            <v>Judi Online</v>
          </cell>
          <cell r="M1835" t="str">
            <v xml:space="preserve">Kas Kanpus                              </v>
          </cell>
          <cell r="N1835" t="str">
            <v xml:space="preserve">Kas Kanpus                              </v>
          </cell>
          <cell r="O1835" t="str">
            <v xml:space="preserve">KAS KANPUS                              </v>
          </cell>
          <cell r="R1835" t="str">
            <v>Belum TL</v>
          </cell>
          <cell r="S1835" t="str">
            <v>Belum TL</v>
          </cell>
          <cell r="T1835" t="str">
            <v>90185538 - Muhammad Fahikal Auz</v>
          </cell>
          <cell r="U1835" t="str">
            <v>"-"</v>
          </cell>
        </row>
        <row r="1836">
          <cell r="A1836">
            <v>46265</v>
          </cell>
          <cell r="B1836" t="str">
            <v xml:space="preserve">SANTI WULAN                             </v>
          </cell>
          <cell r="C1836" t="str">
            <v>SIZWQ46</v>
          </cell>
          <cell r="D1836">
            <v>757601029367536</v>
          </cell>
          <cell r="F1836" t="str">
            <v>Tidak</v>
          </cell>
          <cell r="G1836" t="str">
            <v>Tidak</v>
          </cell>
          <cell r="H1836" t="str">
            <v>Tidak</v>
          </cell>
          <cell r="I1836" t="str">
            <v>Bandar Judol Withdrawal</v>
          </cell>
          <cell r="J1836">
            <v>35</v>
          </cell>
          <cell r="K1836" t="str">
            <v>86,88,87</v>
          </cell>
          <cell r="L1836" t="str">
            <v>Judi Online</v>
          </cell>
          <cell r="M1836" t="str">
            <v xml:space="preserve">Kas Kanpus                              </v>
          </cell>
          <cell r="N1836" t="str">
            <v xml:space="preserve">Kas Kanpus                              </v>
          </cell>
          <cell r="O1836" t="str">
            <v xml:space="preserve">KAS KANPUS                              </v>
          </cell>
          <cell r="R1836" t="str">
            <v>Belum TL</v>
          </cell>
          <cell r="S1836" t="str">
            <v>Belum TL</v>
          </cell>
          <cell r="T1836" t="str">
            <v>90171841 - Rifqi Aziz</v>
          </cell>
          <cell r="U1836" t="str">
            <v>"-"</v>
          </cell>
        </row>
        <row r="1837">
          <cell r="A1837">
            <v>46265</v>
          </cell>
          <cell r="B1837" t="str">
            <v xml:space="preserve">SUGANDI WIJAYA                          </v>
          </cell>
          <cell r="C1837" t="str">
            <v>SJABQ10</v>
          </cell>
          <cell r="D1837">
            <v>80801045079503</v>
          </cell>
          <cell r="F1837" t="str">
            <v>Tidak</v>
          </cell>
          <cell r="G1837" t="str">
            <v>Tidak</v>
          </cell>
          <cell r="H1837" t="str">
            <v>Tidak</v>
          </cell>
          <cell r="I1837" t="str">
            <v>Bandar Judol Withdrawal</v>
          </cell>
          <cell r="J1837">
            <v>35</v>
          </cell>
          <cell r="K1837" t="str">
            <v>86,88,87</v>
          </cell>
          <cell r="L1837" t="str">
            <v>Judi Online</v>
          </cell>
          <cell r="M1837" t="str">
            <v xml:space="preserve">Kas Kanpus                              </v>
          </cell>
          <cell r="N1837" t="str">
            <v xml:space="preserve">Kas Kanpus                              </v>
          </cell>
          <cell r="O1837" t="str">
            <v xml:space="preserve">KAS KANPUS                              </v>
          </cell>
          <cell r="R1837" t="str">
            <v>Belum TL</v>
          </cell>
          <cell r="S1837" t="str">
            <v>Belum TL</v>
          </cell>
          <cell r="T1837" t="str">
            <v>00394521 - Muhammad Hibbanduta</v>
          </cell>
          <cell r="U1837" t="str">
            <v>"-"</v>
          </cell>
        </row>
        <row r="1838">
          <cell r="A1838">
            <v>46265</v>
          </cell>
          <cell r="B1838" t="str">
            <v xml:space="preserve">SAMSUDIN                                </v>
          </cell>
          <cell r="C1838" t="str">
            <v>SJAMJ30</v>
          </cell>
          <cell r="D1838">
            <v>721001013402504</v>
          </cell>
          <cell r="F1838" t="str">
            <v>Tidak</v>
          </cell>
          <cell r="G1838" t="str">
            <v>Tidak</v>
          </cell>
          <cell r="H1838" t="str">
            <v>Tidak</v>
          </cell>
          <cell r="I1838" t="str">
            <v>Bandar Judol Depo</v>
          </cell>
          <cell r="J1838">
            <v>35</v>
          </cell>
          <cell r="K1838" t="str">
            <v>86,74,87</v>
          </cell>
          <cell r="L1838" t="str">
            <v>Judi Online</v>
          </cell>
          <cell r="M1838" t="str">
            <v xml:space="preserve">Kas Kanpus                              </v>
          </cell>
          <cell r="N1838" t="str">
            <v xml:space="preserve">Kas Kanpus                              </v>
          </cell>
          <cell r="O1838" t="str">
            <v xml:space="preserve">KAS KANPUS                              </v>
          </cell>
          <cell r="R1838" t="str">
            <v>Belum TL</v>
          </cell>
          <cell r="S1838" t="str">
            <v>Belum TL</v>
          </cell>
          <cell r="T1838" t="str">
            <v>90186790 - Muhammad Alfin Farha</v>
          </cell>
          <cell r="U1838" t="str">
            <v>"-"</v>
          </cell>
        </row>
        <row r="1839">
          <cell r="A1839">
            <v>46265</v>
          </cell>
          <cell r="B1839" t="str">
            <v xml:space="preserve">SRI WAHYUMI MARIA MANALIP               </v>
          </cell>
          <cell r="C1839" t="str">
            <v>SJCQ686</v>
          </cell>
          <cell r="D1839">
            <v>200301080577566</v>
          </cell>
          <cell r="E1839" t="str">
            <v>TINGGI</v>
          </cell>
          <cell r="F1839" t="str">
            <v>Tidak</v>
          </cell>
          <cell r="G1839" t="str">
            <v>Tidak</v>
          </cell>
          <cell r="H1839" t="str">
            <v>Tidak</v>
          </cell>
          <cell r="I1839" t="str">
            <v>Korupsi - Significant Trx View</v>
          </cell>
          <cell r="J1839">
            <v>83</v>
          </cell>
          <cell r="K1839">
            <v>1.19</v>
          </cell>
          <cell r="L1839" t="str">
            <v>Korupsi</v>
          </cell>
          <cell r="M1839" t="str">
            <v>Kas Kanpus</v>
          </cell>
          <cell r="N1839" t="str">
            <v>Kas Kanpus</v>
          </cell>
          <cell r="O1839" t="str">
            <v>KAS KANPUS</v>
          </cell>
          <cell r="R1839" t="str">
            <v>Belum TL</v>
          </cell>
          <cell r="S1839" t="str">
            <v>Belum TL</v>
          </cell>
          <cell r="T1839" t="str">
            <v>90185538 - Muhammad Fahikal Auz</v>
          </cell>
          <cell r="U1839" t="str">
            <v>"-"</v>
          </cell>
        </row>
        <row r="1840">
          <cell r="A1840">
            <v>46265</v>
          </cell>
          <cell r="B1840" t="str">
            <v xml:space="preserve">SAHRIYADI                               </v>
          </cell>
          <cell r="C1840" t="str">
            <v>SJIXR91</v>
          </cell>
          <cell r="D1840">
            <v>1201265655508</v>
          </cell>
          <cell r="F1840" t="str">
            <v>Tidak</v>
          </cell>
          <cell r="G1840" t="str">
            <v>Tidak</v>
          </cell>
          <cell r="H1840" t="str">
            <v>Tidak</v>
          </cell>
          <cell r="I1840" t="str">
            <v>Bandar Judol Withdrawal</v>
          </cell>
          <cell r="J1840">
            <v>35</v>
          </cell>
          <cell r="K1840" t="str">
            <v>86,88,87</v>
          </cell>
          <cell r="L1840" t="str">
            <v>Judi Online</v>
          </cell>
          <cell r="M1840" t="str">
            <v xml:space="preserve">Kas Kanpus                              </v>
          </cell>
          <cell r="N1840" t="str">
            <v xml:space="preserve">Kas Kanpus                              </v>
          </cell>
          <cell r="O1840" t="str">
            <v xml:space="preserve">KAS KANPUS                              </v>
          </cell>
          <cell r="R1840" t="str">
            <v>Belum TL</v>
          </cell>
          <cell r="S1840" t="str">
            <v>Belum TL</v>
          </cell>
          <cell r="T1840" t="str">
            <v>90150130 - Intan Aida Pratiwi</v>
          </cell>
          <cell r="U1840" t="str">
            <v>"-"</v>
          </cell>
        </row>
        <row r="1841">
          <cell r="A1841">
            <v>46265</v>
          </cell>
          <cell r="B1841" t="str">
            <v xml:space="preserve">SUHENDRA                                </v>
          </cell>
          <cell r="C1841" t="str">
            <v>SJJFU38</v>
          </cell>
          <cell r="D1841">
            <v>384801029030508</v>
          </cell>
          <cell r="F1841" t="str">
            <v>Tidak</v>
          </cell>
          <cell r="G1841" t="str">
            <v>Tidak</v>
          </cell>
          <cell r="H1841" t="str">
            <v>Tidak</v>
          </cell>
          <cell r="I1841" t="str">
            <v>Bandar Judol Withdrawal</v>
          </cell>
          <cell r="J1841">
            <v>35</v>
          </cell>
          <cell r="K1841" t="str">
            <v>86,88,87</v>
          </cell>
          <cell r="L1841" t="str">
            <v>Judi Online</v>
          </cell>
          <cell r="M1841" t="str">
            <v xml:space="preserve">Kas Kanpus                              </v>
          </cell>
          <cell r="N1841" t="str">
            <v xml:space="preserve">Kas Kanpus                              </v>
          </cell>
          <cell r="O1841" t="str">
            <v xml:space="preserve">KAS KANPUS                              </v>
          </cell>
          <cell r="R1841" t="str">
            <v>Belum TL</v>
          </cell>
          <cell r="S1841" t="str">
            <v>Belum TL</v>
          </cell>
          <cell r="T1841" t="str">
            <v>00394520 - Frida Akbar Rani</v>
          </cell>
          <cell r="U1841" t="str">
            <v>"-"</v>
          </cell>
        </row>
        <row r="1842">
          <cell r="A1842">
            <v>46265</v>
          </cell>
          <cell r="B1842" t="str">
            <v xml:space="preserve">SANDRIAN                                </v>
          </cell>
          <cell r="C1842" t="str">
            <v>SJJHU50</v>
          </cell>
          <cell r="D1842">
            <v>40801052836504</v>
          </cell>
          <cell r="F1842" t="str">
            <v>Tidak</v>
          </cell>
          <cell r="G1842" t="str">
            <v>Tidak</v>
          </cell>
          <cell r="H1842" t="str">
            <v>Tidak</v>
          </cell>
          <cell r="I1842" t="str">
            <v>Bandar Judol Withdrawal</v>
          </cell>
          <cell r="J1842">
            <v>35</v>
          </cell>
          <cell r="K1842" t="str">
            <v>86,88,87</v>
          </cell>
          <cell r="L1842" t="str">
            <v>Judi Online</v>
          </cell>
          <cell r="M1842" t="str">
            <v xml:space="preserve">Kas Kanpus                              </v>
          </cell>
          <cell r="N1842" t="str">
            <v xml:space="preserve">Kas Kanpus                              </v>
          </cell>
          <cell r="O1842" t="str">
            <v xml:space="preserve">KAS KANPUS                              </v>
          </cell>
          <cell r="R1842" t="str">
            <v>Belum TL</v>
          </cell>
          <cell r="S1842" t="str">
            <v>Belum TL</v>
          </cell>
          <cell r="T1842" t="str">
            <v>90185538 - Muhammad Fahikal Auz</v>
          </cell>
          <cell r="U1842" t="str">
            <v>"-"</v>
          </cell>
        </row>
        <row r="1843">
          <cell r="A1843">
            <v>46246</v>
          </cell>
          <cell r="B1843" t="str">
            <v xml:space="preserve">SUPARNO                                 </v>
          </cell>
          <cell r="C1843" t="str">
            <v>SJLJ577</v>
          </cell>
          <cell r="D1843">
            <v>746401020498535</v>
          </cell>
          <cell r="E1843" t="str">
            <v>SEDANG</v>
          </cell>
          <cell r="F1843" t="str">
            <v>Tidak</v>
          </cell>
          <cell r="G1843" t="str">
            <v>Tidak</v>
          </cell>
          <cell r="I1843" t="str">
            <v>Teroris - Remark</v>
          </cell>
          <cell r="J1843">
            <v>168</v>
          </cell>
          <cell r="K1843">
            <v>50</v>
          </cell>
          <cell r="L1843" t="str">
            <v>Terorisme</v>
          </cell>
          <cell r="M1843" t="str">
            <v xml:space="preserve">Kas Kanpus                              </v>
          </cell>
          <cell r="N1843" t="str">
            <v xml:space="preserve">Kas Kanpus                              </v>
          </cell>
          <cell r="O1843" t="str">
            <v xml:space="preserve">KAS KANPUS                              </v>
          </cell>
          <cell r="R1843" t="str">
            <v>Belum TL</v>
          </cell>
          <cell r="S1843" t="str">
            <v>Belum TL</v>
          </cell>
          <cell r="T1843" t="str">
            <v>90150130 - Intan Aida Pratiwi</v>
          </cell>
          <cell r="U1843" t="str">
            <v>"-"</v>
          </cell>
        </row>
        <row r="1844">
          <cell r="A1844">
            <v>46265</v>
          </cell>
          <cell r="B1844" t="str">
            <v xml:space="preserve">SRI SURYATI                             </v>
          </cell>
          <cell r="C1844" t="str">
            <v>SJLWO74</v>
          </cell>
          <cell r="D1844">
            <v>784601044841536</v>
          </cell>
          <cell r="F1844" t="str">
            <v>Tidak</v>
          </cell>
          <cell r="G1844" t="str">
            <v>Tidak</v>
          </cell>
          <cell r="H1844" t="str">
            <v>Tidak</v>
          </cell>
          <cell r="I1844" t="str">
            <v>Bandar Judol Withdrawal</v>
          </cell>
          <cell r="J1844">
            <v>35</v>
          </cell>
          <cell r="K1844" t="str">
            <v>86,88,87</v>
          </cell>
          <cell r="L1844" t="str">
            <v>Judi Online</v>
          </cell>
          <cell r="M1844" t="str">
            <v xml:space="preserve">Kas Kanpus                              </v>
          </cell>
          <cell r="N1844" t="str">
            <v xml:space="preserve">Kas Kanpus                              </v>
          </cell>
          <cell r="O1844" t="str">
            <v xml:space="preserve">KAS KANPUS                              </v>
          </cell>
          <cell r="R1844" t="str">
            <v>Belum TL</v>
          </cell>
          <cell r="S1844" t="str">
            <v>Belum TL</v>
          </cell>
          <cell r="T1844" t="str">
            <v>90171841 - Rifqi Aziz</v>
          </cell>
          <cell r="U1844" t="str">
            <v>"-"</v>
          </cell>
        </row>
        <row r="1845">
          <cell r="A1845">
            <v>46265</v>
          </cell>
          <cell r="B1845" t="str">
            <v xml:space="preserve">SARWINA RAHMAWANTI                      </v>
          </cell>
          <cell r="C1845" t="str">
            <v>SJRZG08</v>
          </cell>
          <cell r="D1845">
            <v>301001000010568</v>
          </cell>
          <cell r="F1845" t="str">
            <v>Tidak</v>
          </cell>
          <cell r="G1845" t="str">
            <v>Tidak</v>
          </cell>
          <cell r="H1845" t="str">
            <v>Tidak</v>
          </cell>
          <cell r="I1845" t="str">
            <v>Bandar Judol Depo</v>
          </cell>
          <cell r="J1845">
            <v>35</v>
          </cell>
          <cell r="K1845" t="str">
            <v>86,74,87</v>
          </cell>
          <cell r="L1845" t="str">
            <v>Judi Online</v>
          </cell>
          <cell r="M1845" t="str">
            <v xml:space="preserve">Kas Kanpus                              </v>
          </cell>
          <cell r="N1845" t="str">
            <v xml:space="preserve">Kas Kanpus                              </v>
          </cell>
          <cell r="O1845" t="str">
            <v xml:space="preserve">KAS KANPUS                              </v>
          </cell>
          <cell r="R1845" t="str">
            <v>Belum TL</v>
          </cell>
          <cell r="S1845" t="str">
            <v>Belum TL</v>
          </cell>
          <cell r="T1845" t="str">
            <v>90171841 - Rifqi Aziz</v>
          </cell>
          <cell r="U1845" t="str">
            <v>"-"</v>
          </cell>
        </row>
        <row r="1846">
          <cell r="A1846">
            <v>46265</v>
          </cell>
          <cell r="B1846" t="str">
            <v xml:space="preserve">SUHARTATIK                              </v>
          </cell>
          <cell r="C1846" t="str">
            <v>SJSCZ28</v>
          </cell>
          <cell r="D1846">
            <v>795501014068505</v>
          </cell>
          <cell r="F1846" t="str">
            <v>Tidak</v>
          </cell>
          <cell r="G1846" t="str">
            <v>Tidak</v>
          </cell>
          <cell r="H1846" t="str">
            <v>Tidak</v>
          </cell>
          <cell r="I1846" t="str">
            <v>Bandar Judol Withdrawal</v>
          </cell>
          <cell r="J1846">
            <v>35</v>
          </cell>
          <cell r="K1846" t="str">
            <v>86,88,87</v>
          </cell>
          <cell r="L1846" t="str">
            <v>Judi Online</v>
          </cell>
          <cell r="M1846" t="str">
            <v xml:space="preserve">Kas Kanpus                              </v>
          </cell>
          <cell r="N1846" t="str">
            <v xml:space="preserve">Kas Kanpus                              </v>
          </cell>
          <cell r="O1846" t="str">
            <v xml:space="preserve">KAS KANPUS                              </v>
          </cell>
          <cell r="R1846" t="str">
            <v>Belum TL</v>
          </cell>
          <cell r="S1846" t="str">
            <v>Belum TL</v>
          </cell>
          <cell r="T1846" t="str">
            <v>00394520 - Frida Akbar Rani</v>
          </cell>
          <cell r="U1846" t="str">
            <v>"-"</v>
          </cell>
        </row>
        <row r="1847">
          <cell r="A1847">
            <v>46265</v>
          </cell>
          <cell r="B1847" t="str">
            <v xml:space="preserve">SANTI                                   </v>
          </cell>
          <cell r="C1847" t="str">
            <v>SJRNV58</v>
          </cell>
          <cell r="D1847">
            <v>525901012888507</v>
          </cell>
          <cell r="F1847" t="str">
            <v>Tidak</v>
          </cell>
          <cell r="G1847" t="str">
            <v>Tidak</v>
          </cell>
          <cell r="H1847" t="str">
            <v>Tidak</v>
          </cell>
          <cell r="I1847" t="str">
            <v>Bandar Judol Depo</v>
          </cell>
          <cell r="J1847">
            <v>35</v>
          </cell>
          <cell r="K1847" t="str">
            <v>86,74,87</v>
          </cell>
          <cell r="L1847" t="str">
            <v>Judi Online</v>
          </cell>
          <cell r="M1847" t="str">
            <v xml:space="preserve">Kas Kanpus                              </v>
          </cell>
          <cell r="N1847" t="str">
            <v xml:space="preserve">Kas Kanpus                              </v>
          </cell>
          <cell r="O1847" t="str">
            <v xml:space="preserve">KAS KANPUS                              </v>
          </cell>
          <cell r="R1847" t="str">
            <v>Belum TL</v>
          </cell>
          <cell r="S1847" t="str">
            <v>Belum TL</v>
          </cell>
          <cell r="T1847" t="str">
            <v>90186790 - Muhammad Alfin Farha</v>
          </cell>
          <cell r="U1847" t="str">
            <v>"-"</v>
          </cell>
        </row>
        <row r="1848">
          <cell r="A1848">
            <v>46265</v>
          </cell>
          <cell r="B1848" t="str">
            <v xml:space="preserve">SALWA                                   </v>
          </cell>
          <cell r="C1848" t="str">
            <v>SJSLK29</v>
          </cell>
          <cell r="D1848">
            <v>112901038546502</v>
          </cell>
          <cell r="F1848" t="str">
            <v>Tidak</v>
          </cell>
          <cell r="G1848" t="str">
            <v>Tidak</v>
          </cell>
          <cell r="H1848" t="str">
            <v>Tidak</v>
          </cell>
          <cell r="I1848" t="str">
            <v>Bandar Judol Withdrawal</v>
          </cell>
          <cell r="J1848">
            <v>35</v>
          </cell>
          <cell r="K1848" t="str">
            <v>86,88,87</v>
          </cell>
          <cell r="L1848" t="str">
            <v>Judi Online</v>
          </cell>
          <cell r="M1848" t="str">
            <v xml:space="preserve">Kas Kanpus                              </v>
          </cell>
          <cell r="N1848" t="str">
            <v xml:space="preserve">Kas Kanpus                              </v>
          </cell>
          <cell r="O1848" t="str">
            <v xml:space="preserve">KAS KANPUS                              </v>
          </cell>
          <cell r="R1848" t="str">
            <v>Belum TL</v>
          </cell>
          <cell r="S1848" t="str">
            <v>Belum TL</v>
          </cell>
          <cell r="T1848" t="str">
            <v>90186796 - Devito Arya Wiradila</v>
          </cell>
          <cell r="U1848" t="str">
            <v>"-"</v>
          </cell>
        </row>
        <row r="1849">
          <cell r="A1849">
            <v>46265</v>
          </cell>
          <cell r="B1849" t="str">
            <v xml:space="preserve">SULASMI                                 </v>
          </cell>
          <cell r="C1849" t="str">
            <v>SJSML89</v>
          </cell>
          <cell r="D1849">
            <v>529401007494501</v>
          </cell>
          <cell r="F1849" t="str">
            <v>Tidak</v>
          </cell>
          <cell r="G1849" t="str">
            <v>Tidak</v>
          </cell>
          <cell r="I1849" t="str">
            <v>Jual Beli Rekening - E channel Trx</v>
          </cell>
          <cell r="J1849">
            <v>33</v>
          </cell>
          <cell r="K1849">
            <v>113</v>
          </cell>
          <cell r="L1849" t="str">
            <v>Narkotika/Judi Online/Penipuan</v>
          </cell>
          <cell r="M1849" t="str">
            <v xml:space="preserve">UNIT SIMPANG KOLAM THAMRIN              </v>
          </cell>
          <cell r="N1849" t="str">
            <v xml:space="preserve">KC Medan Thamrin                        </v>
          </cell>
          <cell r="O1849" t="str">
            <v xml:space="preserve">Medan                                   </v>
          </cell>
          <cell r="R1849" t="str">
            <v>Belum TL</v>
          </cell>
          <cell r="S1849" t="str">
            <v>Belum TL</v>
          </cell>
          <cell r="U1849" t="str">
            <v>"-"</v>
          </cell>
        </row>
        <row r="1850">
          <cell r="A1850">
            <v>46265</v>
          </cell>
          <cell r="B1850" t="str">
            <v xml:space="preserve">SUTRISNO                                </v>
          </cell>
          <cell r="C1850" t="str">
            <v>SJSMQ52</v>
          </cell>
          <cell r="D1850">
            <v>54101025097505</v>
          </cell>
          <cell r="F1850" t="str">
            <v>Tidak</v>
          </cell>
          <cell r="G1850" t="str">
            <v>Tidak</v>
          </cell>
          <cell r="H1850" t="str">
            <v>Tidak</v>
          </cell>
          <cell r="I1850" t="str">
            <v>Bandar Judol Withdrawal</v>
          </cell>
          <cell r="J1850">
            <v>35</v>
          </cell>
          <cell r="K1850" t="str">
            <v>86,88,87</v>
          </cell>
          <cell r="L1850" t="str">
            <v>Judi Online</v>
          </cell>
          <cell r="M1850" t="str">
            <v xml:space="preserve">Kas Kanpus                              </v>
          </cell>
          <cell r="N1850" t="str">
            <v xml:space="preserve">Kas Kanpus                              </v>
          </cell>
          <cell r="O1850" t="str">
            <v xml:space="preserve">KAS KANPUS                              </v>
          </cell>
          <cell r="R1850" t="str">
            <v>Belum TL</v>
          </cell>
          <cell r="S1850" t="str">
            <v>Belum TL</v>
          </cell>
          <cell r="T1850" t="str">
            <v>00336949 - Mochammad Al Farabi</v>
          </cell>
          <cell r="U1850" t="str">
            <v>"-"</v>
          </cell>
        </row>
        <row r="1851">
          <cell r="A1851">
            <v>46265</v>
          </cell>
          <cell r="B1851" t="str">
            <v xml:space="preserve">PT SAMUDRA KARYA MUSTIKA                </v>
          </cell>
          <cell r="C1851" t="str">
            <v>SJSPW84</v>
          </cell>
          <cell r="D1851">
            <v>24501003307308</v>
          </cell>
          <cell r="F1851" t="str">
            <v>Tidak</v>
          </cell>
          <cell r="G1851" t="str">
            <v>Tidak</v>
          </cell>
          <cell r="H1851" t="str">
            <v>Tidak</v>
          </cell>
          <cell r="I1851" t="str">
            <v>Korupsi - Cash &amp; Amount</v>
          </cell>
          <cell r="J1851">
            <v>33</v>
          </cell>
          <cell r="K1851" t="str">
            <v>1,2,20</v>
          </cell>
          <cell r="L1851" t="str">
            <v>Korupsi</v>
          </cell>
          <cell r="M1851" t="str">
            <v>Kas Kanpus</v>
          </cell>
          <cell r="N1851" t="str">
            <v>Kas Kanpus</v>
          </cell>
          <cell r="O1851" t="str">
            <v>KAS KANPUS</v>
          </cell>
          <cell r="R1851" t="str">
            <v>Belum TL</v>
          </cell>
          <cell r="S1851" t="str">
            <v>Belum TL</v>
          </cell>
          <cell r="T1851" t="str">
            <v>90171841 - Rifqi Aziz</v>
          </cell>
          <cell r="U1851" t="str">
            <v>"-"</v>
          </cell>
        </row>
        <row r="1852">
          <cell r="A1852">
            <v>46265</v>
          </cell>
          <cell r="B1852" t="str">
            <v xml:space="preserve">SURYANTO                                </v>
          </cell>
          <cell r="C1852" t="str">
            <v>SJXIM19</v>
          </cell>
          <cell r="D1852">
            <v>324401005324507</v>
          </cell>
          <cell r="F1852" t="str">
            <v>Tidak</v>
          </cell>
          <cell r="G1852" t="str">
            <v>Tidak</v>
          </cell>
          <cell r="H1852" t="str">
            <v>Tidak</v>
          </cell>
          <cell r="I1852" t="str">
            <v>Bandar Judol Withdrawal</v>
          </cell>
          <cell r="J1852">
            <v>35</v>
          </cell>
          <cell r="K1852" t="str">
            <v>86,88,87</v>
          </cell>
          <cell r="L1852" t="str">
            <v>Judi Online</v>
          </cell>
          <cell r="M1852" t="str">
            <v xml:space="preserve">Kas Kanpus                              </v>
          </cell>
          <cell r="N1852" t="str">
            <v xml:space="preserve">Kas Kanpus                              </v>
          </cell>
          <cell r="O1852" t="str">
            <v xml:space="preserve">KAS KANPUS                              </v>
          </cell>
          <cell r="R1852" t="str">
            <v>Belum TL</v>
          </cell>
          <cell r="S1852" t="str">
            <v>Belum TL</v>
          </cell>
          <cell r="T1852" t="str">
            <v>90185537 - Moh.Khoerul Fajar Ar</v>
          </cell>
          <cell r="U1852" t="str">
            <v>"-"</v>
          </cell>
        </row>
        <row r="1853">
          <cell r="A1853">
            <v>46265</v>
          </cell>
          <cell r="B1853" t="str">
            <v xml:space="preserve">SIULAN FELICIA                          </v>
          </cell>
          <cell r="C1853" t="str">
            <v>SJXIU37</v>
          </cell>
          <cell r="D1853">
            <v>33201003379560</v>
          </cell>
          <cell r="F1853" t="str">
            <v>Tidak</v>
          </cell>
          <cell r="G1853" t="str">
            <v>Tidak</v>
          </cell>
          <cell r="H1853" t="str">
            <v>Tidak</v>
          </cell>
          <cell r="I1853" t="str">
            <v>Bandar Judol Withdrawal</v>
          </cell>
          <cell r="J1853">
            <v>35</v>
          </cell>
          <cell r="K1853" t="str">
            <v>86,88,87</v>
          </cell>
          <cell r="L1853" t="str">
            <v>Judi Online</v>
          </cell>
          <cell r="M1853" t="str">
            <v xml:space="preserve">Kas Kanpus                              </v>
          </cell>
          <cell r="N1853" t="str">
            <v xml:space="preserve">Kas Kanpus                              </v>
          </cell>
          <cell r="O1853" t="str">
            <v xml:space="preserve">KAS KANPUS                              </v>
          </cell>
          <cell r="R1853" t="str">
            <v>Belum TL</v>
          </cell>
          <cell r="S1853" t="str">
            <v>Belum TL</v>
          </cell>
          <cell r="T1853" t="str">
            <v>00394521 - Muhammad Hibbanduta</v>
          </cell>
          <cell r="U1853" t="str">
            <v>"-"</v>
          </cell>
        </row>
        <row r="1854">
          <cell r="A1854">
            <v>46265</v>
          </cell>
          <cell r="B1854" t="str">
            <v xml:space="preserve">SUKIR                                   </v>
          </cell>
          <cell r="C1854" t="str">
            <v>SJVPT98</v>
          </cell>
          <cell r="D1854">
            <v>309401002800503</v>
          </cell>
          <cell r="F1854" t="str">
            <v>Tidak</v>
          </cell>
          <cell r="G1854" t="str">
            <v>Tidak</v>
          </cell>
          <cell r="H1854" t="str">
            <v>Tidak</v>
          </cell>
          <cell r="I1854" t="str">
            <v>Bandar Judol Depo</v>
          </cell>
          <cell r="J1854">
            <v>35</v>
          </cell>
          <cell r="K1854" t="str">
            <v>86,74,87</v>
          </cell>
          <cell r="L1854" t="str">
            <v>Judi Online</v>
          </cell>
          <cell r="M1854" t="str">
            <v xml:space="preserve">Kas Kanpus                              </v>
          </cell>
          <cell r="N1854" t="str">
            <v xml:space="preserve">Kas Kanpus                              </v>
          </cell>
          <cell r="O1854" t="str">
            <v xml:space="preserve">KAS KANPUS                              </v>
          </cell>
          <cell r="R1854" t="str">
            <v>Belum TL</v>
          </cell>
          <cell r="S1854" t="str">
            <v>Belum TL</v>
          </cell>
          <cell r="T1854" t="str">
            <v>90185538 - Muhammad Fahikal Auz</v>
          </cell>
          <cell r="U1854" t="str">
            <v>"-"</v>
          </cell>
        </row>
        <row r="1855">
          <cell r="A1855">
            <v>46265</v>
          </cell>
          <cell r="B1855" t="str">
            <v xml:space="preserve">SOFIANI                                 </v>
          </cell>
          <cell r="C1855" t="str">
            <v>SJVWT17</v>
          </cell>
          <cell r="D1855">
            <v>767901026356536</v>
          </cell>
          <cell r="F1855" t="str">
            <v>Tidak</v>
          </cell>
          <cell r="G1855" t="str">
            <v>Tidak</v>
          </cell>
          <cell r="H1855" t="str">
            <v>Tidak</v>
          </cell>
          <cell r="I1855" t="str">
            <v>Bandar Judol Withdrawal</v>
          </cell>
          <cell r="J1855">
            <v>35</v>
          </cell>
          <cell r="K1855" t="str">
            <v>86,88,87</v>
          </cell>
          <cell r="L1855" t="str">
            <v>Judi Online</v>
          </cell>
          <cell r="M1855" t="str">
            <v xml:space="preserve">Kas Kanpus                              </v>
          </cell>
          <cell r="N1855" t="str">
            <v xml:space="preserve">Kas Kanpus                              </v>
          </cell>
          <cell r="O1855" t="str">
            <v xml:space="preserve">KAS KANPUS                              </v>
          </cell>
          <cell r="R1855" t="str">
            <v>Belum TL</v>
          </cell>
          <cell r="S1855" t="str">
            <v>Belum TL</v>
          </cell>
          <cell r="T1855" t="str">
            <v>90170665 - Mutiara Ayuningtyas</v>
          </cell>
          <cell r="U1855" t="str">
            <v>"-"</v>
          </cell>
        </row>
        <row r="1856">
          <cell r="A1856">
            <v>46265</v>
          </cell>
          <cell r="B1856" t="str">
            <v xml:space="preserve">SHADDAD ADYY                            </v>
          </cell>
          <cell r="C1856" t="str">
            <v>SJWAW73</v>
          </cell>
          <cell r="D1856">
            <v>8001385264507</v>
          </cell>
          <cell r="F1856" t="str">
            <v>Tidak</v>
          </cell>
          <cell r="G1856" t="str">
            <v>Tidak</v>
          </cell>
          <cell r="H1856" t="str">
            <v>Tidak</v>
          </cell>
          <cell r="I1856" t="str">
            <v>Bandar Judol Withdrawal</v>
          </cell>
          <cell r="J1856">
            <v>35</v>
          </cell>
          <cell r="K1856" t="str">
            <v>86,88,87</v>
          </cell>
          <cell r="L1856" t="str">
            <v>Judi Online</v>
          </cell>
          <cell r="M1856" t="str">
            <v xml:space="preserve">Kas Kanpus                              </v>
          </cell>
          <cell r="N1856" t="str">
            <v xml:space="preserve">Kas Kanpus                              </v>
          </cell>
          <cell r="O1856" t="str">
            <v xml:space="preserve">KAS KANPUS                              </v>
          </cell>
          <cell r="R1856" t="str">
            <v>Belum TL</v>
          </cell>
          <cell r="S1856" t="str">
            <v>Belum TL</v>
          </cell>
          <cell r="T1856" t="str">
            <v>90185538 - Muhammad Fahikal Auz</v>
          </cell>
          <cell r="U1856" t="str">
            <v>"-"</v>
          </cell>
        </row>
        <row r="1857">
          <cell r="A1857">
            <v>46265</v>
          </cell>
          <cell r="B1857" t="str">
            <v xml:space="preserve">SHEILLA ARIANA SAFITRI                  </v>
          </cell>
          <cell r="C1857" t="str">
            <v>SJUVL15</v>
          </cell>
          <cell r="D1857">
            <v>4359720234514600</v>
          </cell>
          <cell r="F1857" t="str">
            <v>Tidak</v>
          </cell>
          <cell r="G1857" t="str">
            <v>Tidak</v>
          </cell>
          <cell r="H1857" t="str">
            <v>Tidak</v>
          </cell>
          <cell r="I1857" t="str">
            <v>Penghindaran Pajak (Transaksi Fiktif)/Penyuapan CC</v>
          </cell>
          <cell r="J1857">
            <v>30</v>
          </cell>
          <cell r="K1857">
            <v>118</v>
          </cell>
          <cell r="L1857" t="str">
            <v>Penyuapan / Penghindaran Pajak CC View</v>
          </cell>
          <cell r="M1857" t="str">
            <v xml:space="preserve">Kas Kanpus                              </v>
          </cell>
          <cell r="N1857" t="str">
            <v xml:space="preserve">Kas Kanpus                              </v>
          </cell>
          <cell r="O1857" t="str">
            <v xml:space="preserve">KAS KANPUS                              </v>
          </cell>
          <cell r="R1857" t="str">
            <v>Belum TL</v>
          </cell>
          <cell r="S1857" t="str">
            <v>Belum TL</v>
          </cell>
          <cell r="T1857" t="str">
            <v>00394520 - Frida Akbar Rani</v>
          </cell>
          <cell r="U1857" t="str">
            <v>"-"</v>
          </cell>
        </row>
        <row r="1858">
          <cell r="A1858">
            <v>46265</v>
          </cell>
          <cell r="B1858" t="str">
            <v xml:space="preserve">SALIYAH                                 </v>
          </cell>
          <cell r="C1858" t="str">
            <v>SKDVR44</v>
          </cell>
          <cell r="D1858">
            <v>321801013109508</v>
          </cell>
          <cell r="F1858" t="str">
            <v>Tidak</v>
          </cell>
          <cell r="G1858" t="str">
            <v>Tidak</v>
          </cell>
          <cell r="I1858" t="str">
            <v>Jual Beli Rekening - E channel Trx</v>
          </cell>
          <cell r="J1858">
            <v>33</v>
          </cell>
          <cell r="K1858">
            <v>113</v>
          </cell>
          <cell r="L1858" t="str">
            <v>Narkotika/Judi Online/Penipuan</v>
          </cell>
          <cell r="M1858" t="str">
            <v xml:space="preserve">UNIT PISANGAN LAMA                      </v>
          </cell>
          <cell r="N1858" t="str">
            <v xml:space="preserve">KC JAKARTA OTISTA                       </v>
          </cell>
          <cell r="O1858" t="str">
            <v xml:space="preserve">DKI                                     </v>
          </cell>
          <cell r="R1858" t="str">
            <v>Belum TL</v>
          </cell>
          <cell r="S1858" t="str">
            <v>Belum TL</v>
          </cell>
          <cell r="U1858" t="str">
            <v>"-"</v>
          </cell>
        </row>
        <row r="1859">
          <cell r="A1859">
            <v>46265</v>
          </cell>
          <cell r="B1859" t="str">
            <v xml:space="preserve">SAEPUDIN                                </v>
          </cell>
          <cell r="C1859" t="str">
            <v>SKEAH87</v>
          </cell>
          <cell r="D1859">
            <v>112201016758507</v>
          </cell>
          <cell r="F1859" t="str">
            <v>Tidak</v>
          </cell>
          <cell r="G1859" t="str">
            <v>Tidak</v>
          </cell>
          <cell r="H1859" t="str">
            <v>Tidak</v>
          </cell>
          <cell r="I1859" t="str">
            <v>Bandar Judol Withdrawal</v>
          </cell>
          <cell r="J1859">
            <v>35</v>
          </cell>
          <cell r="K1859" t="str">
            <v>86,88,87</v>
          </cell>
          <cell r="L1859" t="str">
            <v>Judi Online</v>
          </cell>
          <cell r="M1859" t="str">
            <v xml:space="preserve">Kas Kanpus                              </v>
          </cell>
          <cell r="N1859" t="str">
            <v xml:space="preserve">Kas Kanpus                              </v>
          </cell>
          <cell r="O1859" t="str">
            <v xml:space="preserve">KAS KANPUS                              </v>
          </cell>
          <cell r="R1859" t="str">
            <v>Belum TL</v>
          </cell>
          <cell r="S1859" t="str">
            <v>Belum TL</v>
          </cell>
          <cell r="T1859" t="str">
            <v>00394520 - Frida Akbar Rani</v>
          </cell>
          <cell r="U1859" t="str">
            <v>"-"</v>
          </cell>
        </row>
        <row r="1860">
          <cell r="A1860">
            <v>46265</v>
          </cell>
          <cell r="B1860" t="str">
            <v xml:space="preserve">SURATRI                                 </v>
          </cell>
          <cell r="C1860" t="str">
            <v>SKEMM29</v>
          </cell>
          <cell r="D1860">
            <v>663601012096509</v>
          </cell>
          <cell r="F1860" t="str">
            <v>Tidak</v>
          </cell>
          <cell r="G1860" t="str">
            <v>Tidak</v>
          </cell>
          <cell r="H1860" t="str">
            <v>Tidak</v>
          </cell>
          <cell r="I1860" t="str">
            <v>Bandar Judol Depo</v>
          </cell>
          <cell r="J1860">
            <v>35</v>
          </cell>
          <cell r="K1860" t="str">
            <v>86,74,87</v>
          </cell>
          <cell r="L1860" t="str">
            <v>Judi Online</v>
          </cell>
          <cell r="M1860" t="str">
            <v xml:space="preserve">Kas Kanpus                              </v>
          </cell>
          <cell r="N1860" t="str">
            <v xml:space="preserve">Kas Kanpus                              </v>
          </cell>
          <cell r="O1860" t="str">
            <v xml:space="preserve">KAS KANPUS                              </v>
          </cell>
          <cell r="R1860" t="str">
            <v>Belum TL</v>
          </cell>
          <cell r="S1860" t="str">
            <v>Belum TL</v>
          </cell>
          <cell r="T1860" t="str">
            <v>90150130 - Intan Aida Pratiwi</v>
          </cell>
          <cell r="U1860" t="str">
            <v>"-"</v>
          </cell>
        </row>
        <row r="1861">
          <cell r="A1861">
            <v>46265</v>
          </cell>
          <cell r="B1861" t="str">
            <v xml:space="preserve">SUGANDI                                 </v>
          </cell>
          <cell r="C1861" t="str">
            <v>SKESM08</v>
          </cell>
          <cell r="D1861">
            <v>114501029174504</v>
          </cell>
          <cell r="F1861" t="str">
            <v>Tidak</v>
          </cell>
          <cell r="G1861" t="str">
            <v>Tidak</v>
          </cell>
          <cell r="H1861" t="str">
            <v>Tidak</v>
          </cell>
          <cell r="I1861" t="str">
            <v>Bandar Judol Withdrawal</v>
          </cell>
          <cell r="J1861">
            <v>35</v>
          </cell>
          <cell r="K1861" t="str">
            <v>86,88,87</v>
          </cell>
          <cell r="L1861" t="str">
            <v>Judi Online</v>
          </cell>
          <cell r="M1861" t="str">
            <v xml:space="preserve">Kas Kanpus                              </v>
          </cell>
          <cell r="N1861" t="str">
            <v xml:space="preserve">Kas Kanpus                              </v>
          </cell>
          <cell r="O1861" t="str">
            <v xml:space="preserve">KAS KANPUS                              </v>
          </cell>
          <cell r="R1861" t="str">
            <v>Belum TL</v>
          </cell>
          <cell r="S1861" t="str">
            <v>Belum TL</v>
          </cell>
          <cell r="T1861" t="str">
            <v>90171841 - Rifqi Aziz</v>
          </cell>
          <cell r="U1861" t="str">
            <v>"-"</v>
          </cell>
        </row>
        <row r="1862">
          <cell r="A1862">
            <v>46265</v>
          </cell>
          <cell r="B1862" t="str">
            <v xml:space="preserve">SUPRIONO                                </v>
          </cell>
          <cell r="C1862" t="str">
            <v>SKESZ39</v>
          </cell>
          <cell r="D1862">
            <v>335301013819501</v>
          </cell>
          <cell r="F1862" t="str">
            <v>Tidak</v>
          </cell>
          <cell r="G1862" t="str">
            <v>Tidak</v>
          </cell>
          <cell r="H1862" t="str">
            <v>Tidak</v>
          </cell>
          <cell r="I1862" t="str">
            <v>Bandar Judol Depo</v>
          </cell>
          <cell r="J1862">
            <v>35</v>
          </cell>
          <cell r="K1862" t="str">
            <v>86,74,87</v>
          </cell>
          <cell r="L1862" t="str">
            <v>Judi Online</v>
          </cell>
          <cell r="M1862" t="str">
            <v xml:space="preserve">Kas Kanpus                              </v>
          </cell>
          <cell r="N1862" t="str">
            <v xml:space="preserve">Kas Kanpus                              </v>
          </cell>
          <cell r="O1862" t="str">
            <v xml:space="preserve">KAS KANPUS                              </v>
          </cell>
          <cell r="R1862" t="str">
            <v>Belum TL</v>
          </cell>
          <cell r="S1862" t="str">
            <v>Belum TL</v>
          </cell>
          <cell r="T1862" t="str">
            <v>00336949 - Mochammad Al Farabi</v>
          </cell>
          <cell r="U1862" t="str">
            <v>"-"</v>
          </cell>
        </row>
        <row r="1863">
          <cell r="A1863">
            <v>46265</v>
          </cell>
          <cell r="B1863" t="str">
            <v xml:space="preserve">SANTHO MARULITUA SIMANJUNTAK            </v>
          </cell>
          <cell r="C1863" t="str">
            <v>SKFB213</v>
          </cell>
          <cell r="D1863">
            <v>343001062467539</v>
          </cell>
          <cell r="E1863" t="str">
            <v>SEDANG</v>
          </cell>
          <cell r="F1863" t="str">
            <v>Tidak</v>
          </cell>
          <cell r="G1863" t="str">
            <v>Tidak</v>
          </cell>
          <cell r="H1863" t="str">
            <v>Tidak</v>
          </cell>
          <cell r="I1863" t="str">
            <v>Korupsi - Payroll View</v>
          </cell>
          <cell r="J1863">
            <v>60</v>
          </cell>
          <cell r="K1863">
            <v>84</v>
          </cell>
          <cell r="L1863" t="str">
            <v>Korupsi</v>
          </cell>
          <cell r="M1863" t="str">
            <v>Kas Kanpus</v>
          </cell>
          <cell r="N1863" t="str">
            <v>Kas Kanpus</v>
          </cell>
          <cell r="O1863" t="str">
            <v>KAS KANPUS</v>
          </cell>
          <cell r="R1863" t="str">
            <v>Belum TL</v>
          </cell>
          <cell r="S1863" t="str">
            <v>Belum TL</v>
          </cell>
          <cell r="T1863" t="str">
            <v>90171841 - Rifqi Aziz</v>
          </cell>
          <cell r="U1863" t="str">
            <v>"-"</v>
          </cell>
        </row>
        <row r="1864">
          <cell r="A1864">
            <v>46265</v>
          </cell>
          <cell r="B1864" t="str">
            <v xml:space="preserve">SUMARNA                                 </v>
          </cell>
          <cell r="C1864" t="str">
            <v>SKGEM46</v>
          </cell>
          <cell r="D1864">
            <v>481701011753506</v>
          </cell>
          <cell r="F1864" t="str">
            <v>Tidak</v>
          </cell>
          <cell r="G1864" t="str">
            <v>Tidak</v>
          </cell>
          <cell r="H1864" t="str">
            <v>Tidak</v>
          </cell>
          <cell r="I1864" t="str">
            <v>Bandar Judol Depo</v>
          </cell>
          <cell r="J1864">
            <v>35</v>
          </cell>
          <cell r="K1864" t="str">
            <v>86,74,87</v>
          </cell>
          <cell r="L1864" t="str">
            <v>Judi Online</v>
          </cell>
          <cell r="M1864" t="str">
            <v xml:space="preserve">Kas Kanpus                              </v>
          </cell>
          <cell r="N1864" t="str">
            <v xml:space="preserve">Kas Kanpus                              </v>
          </cell>
          <cell r="O1864" t="str">
            <v xml:space="preserve">KAS KANPUS                              </v>
          </cell>
          <cell r="R1864" t="str">
            <v>Belum TL</v>
          </cell>
          <cell r="S1864" t="str">
            <v>Belum TL</v>
          </cell>
          <cell r="T1864" t="str">
            <v>00336949 - Mochammad Al Farabi</v>
          </cell>
          <cell r="U1864" t="str">
            <v>"-"</v>
          </cell>
        </row>
        <row r="1865">
          <cell r="A1865">
            <v>46265</v>
          </cell>
          <cell r="B1865" t="str">
            <v xml:space="preserve">SITI ANDINI                             </v>
          </cell>
          <cell r="C1865" t="str">
            <v>SKGOW06</v>
          </cell>
          <cell r="D1865">
            <v>720701006852501</v>
          </cell>
          <cell r="F1865" t="str">
            <v>Tidak</v>
          </cell>
          <cell r="G1865" t="str">
            <v>Tidak</v>
          </cell>
          <cell r="H1865" t="str">
            <v>Tidak</v>
          </cell>
          <cell r="I1865" t="str">
            <v>Bandar Judol Withdrawal</v>
          </cell>
          <cell r="J1865">
            <v>35</v>
          </cell>
          <cell r="K1865" t="str">
            <v>86,88,87</v>
          </cell>
          <cell r="L1865" t="str">
            <v>Judi Online</v>
          </cell>
          <cell r="M1865" t="str">
            <v xml:space="preserve">Kas Kanpus                              </v>
          </cell>
          <cell r="N1865" t="str">
            <v xml:space="preserve">Kas Kanpus                              </v>
          </cell>
          <cell r="O1865" t="str">
            <v xml:space="preserve">KAS KANPUS                              </v>
          </cell>
          <cell r="R1865" t="str">
            <v>Belum TL</v>
          </cell>
          <cell r="S1865" t="str">
            <v>Belum TL</v>
          </cell>
          <cell r="T1865" t="str">
            <v>90186790 - Muhammad Alfin Farha</v>
          </cell>
          <cell r="U1865" t="str">
            <v>"-"</v>
          </cell>
        </row>
        <row r="1866">
          <cell r="A1866">
            <v>46265</v>
          </cell>
          <cell r="B1866" t="str">
            <v xml:space="preserve">SUMIYATI                                </v>
          </cell>
          <cell r="C1866" t="str">
            <v>SKIIN22</v>
          </cell>
          <cell r="D1866">
            <v>135401021141502</v>
          </cell>
          <cell r="F1866" t="str">
            <v>Tidak</v>
          </cell>
          <cell r="G1866" t="str">
            <v>Tidak</v>
          </cell>
          <cell r="H1866" t="str">
            <v>Tidak</v>
          </cell>
          <cell r="I1866" t="str">
            <v>Bandar Judol Depo</v>
          </cell>
          <cell r="J1866">
            <v>35</v>
          </cell>
          <cell r="K1866" t="str">
            <v>86,74,87</v>
          </cell>
          <cell r="L1866" t="str">
            <v>Judi Online</v>
          </cell>
          <cell r="M1866" t="str">
            <v xml:space="preserve">Kas Kanpus                              </v>
          </cell>
          <cell r="N1866" t="str">
            <v xml:space="preserve">Kas Kanpus                              </v>
          </cell>
          <cell r="O1866" t="str">
            <v xml:space="preserve">KAS KANPUS                              </v>
          </cell>
          <cell r="R1866" t="str">
            <v>Belum TL</v>
          </cell>
          <cell r="S1866" t="str">
            <v>Belum TL</v>
          </cell>
          <cell r="T1866" t="str">
            <v>90186790 - Muhammad Alfin Farha</v>
          </cell>
          <cell r="U1866" t="str">
            <v>"-"</v>
          </cell>
        </row>
        <row r="1867">
          <cell r="A1867">
            <v>46265</v>
          </cell>
          <cell r="B1867" t="str">
            <v xml:space="preserve">SYAHRUL AKMAL                           </v>
          </cell>
          <cell r="C1867" t="str">
            <v>SKJDY16</v>
          </cell>
          <cell r="D1867">
            <v>63801001088569</v>
          </cell>
          <cell r="F1867" t="str">
            <v>Tidak</v>
          </cell>
          <cell r="G1867" t="str">
            <v>Tidak</v>
          </cell>
          <cell r="H1867" t="str">
            <v>Tidak</v>
          </cell>
          <cell r="I1867" t="str">
            <v>Bandar Judol Withdrawal</v>
          </cell>
          <cell r="J1867">
            <v>35</v>
          </cell>
          <cell r="K1867" t="str">
            <v>86,88,87</v>
          </cell>
          <cell r="L1867" t="str">
            <v>Judi Online</v>
          </cell>
          <cell r="M1867" t="str">
            <v xml:space="preserve">Kas Kanpus                              </v>
          </cell>
          <cell r="N1867" t="str">
            <v xml:space="preserve">Kas Kanpus                              </v>
          </cell>
          <cell r="O1867" t="str">
            <v xml:space="preserve">KAS KANPUS                              </v>
          </cell>
          <cell r="R1867" t="str">
            <v>Belum TL</v>
          </cell>
          <cell r="S1867" t="str">
            <v>Belum TL</v>
          </cell>
          <cell r="T1867" t="str">
            <v>00394521 - Muhammad Hibbanduta</v>
          </cell>
          <cell r="U1867" t="str">
            <v>"-"</v>
          </cell>
        </row>
        <row r="1868">
          <cell r="A1868">
            <v>46265</v>
          </cell>
          <cell r="B1868" t="str">
            <v xml:space="preserve">SAEPUL HIDAYAT                          </v>
          </cell>
          <cell r="C1868" t="str">
            <v>SKJGU04</v>
          </cell>
          <cell r="D1868">
            <v>401001004136509</v>
          </cell>
          <cell r="F1868" t="str">
            <v>Tidak</v>
          </cell>
          <cell r="G1868" t="str">
            <v>Tidak</v>
          </cell>
          <cell r="H1868" t="str">
            <v>Tidak</v>
          </cell>
          <cell r="I1868" t="str">
            <v>Bandar Judol Withdrawal</v>
          </cell>
          <cell r="J1868">
            <v>35</v>
          </cell>
          <cell r="K1868" t="str">
            <v>86,88,87</v>
          </cell>
          <cell r="L1868" t="str">
            <v>Judi Online</v>
          </cell>
          <cell r="M1868" t="str">
            <v xml:space="preserve">Kas Kanpus                              </v>
          </cell>
          <cell r="N1868" t="str">
            <v xml:space="preserve">Kas Kanpus                              </v>
          </cell>
          <cell r="O1868" t="str">
            <v xml:space="preserve">KAS KANPUS                              </v>
          </cell>
          <cell r="R1868" t="str">
            <v>Belum TL</v>
          </cell>
          <cell r="S1868" t="str">
            <v>Belum TL</v>
          </cell>
          <cell r="T1868" t="str">
            <v>90185537 - Moh.Khoerul Fajar Ar</v>
          </cell>
          <cell r="U1868" t="str">
            <v>"-"</v>
          </cell>
        </row>
        <row r="1869">
          <cell r="A1869">
            <v>46265</v>
          </cell>
          <cell r="B1869" t="str">
            <v xml:space="preserve">SYAHRUL AMIN                            </v>
          </cell>
          <cell r="C1869" t="str">
            <v>SKKJH74</v>
          </cell>
          <cell r="D1869">
            <v>334501010019505</v>
          </cell>
          <cell r="F1869" t="str">
            <v>Tidak</v>
          </cell>
          <cell r="G1869" t="str">
            <v>Tidak</v>
          </cell>
          <cell r="H1869" t="str">
            <v>Tidak</v>
          </cell>
          <cell r="I1869" t="str">
            <v>Bandar Judol Withdrawal</v>
          </cell>
          <cell r="J1869">
            <v>35</v>
          </cell>
          <cell r="K1869" t="str">
            <v>86,88,87</v>
          </cell>
          <cell r="L1869" t="str">
            <v>Judi Online</v>
          </cell>
          <cell r="M1869" t="str">
            <v xml:space="preserve">Kas Kanpus                              </v>
          </cell>
          <cell r="N1869" t="str">
            <v xml:space="preserve">Kas Kanpus                              </v>
          </cell>
          <cell r="O1869" t="str">
            <v xml:space="preserve">KAS KANPUS                              </v>
          </cell>
          <cell r="R1869" t="str">
            <v>Belum TL</v>
          </cell>
          <cell r="S1869" t="str">
            <v>Belum TL</v>
          </cell>
          <cell r="T1869" t="str">
            <v>90186796 - Devito Arya Wiradila</v>
          </cell>
          <cell r="U1869" t="str">
            <v>"-"</v>
          </cell>
        </row>
        <row r="1870">
          <cell r="A1870">
            <v>46265</v>
          </cell>
          <cell r="B1870" t="str">
            <v xml:space="preserve">SYARIFAH SITI KHADIZAH                  </v>
          </cell>
          <cell r="C1870" t="str">
            <v>SKLBS44</v>
          </cell>
          <cell r="D1870">
            <v>347201012933506</v>
          </cell>
          <cell r="F1870" t="str">
            <v>Tidak</v>
          </cell>
          <cell r="G1870" t="str">
            <v>Tidak</v>
          </cell>
          <cell r="H1870" t="str">
            <v>Tidak</v>
          </cell>
          <cell r="I1870" t="str">
            <v>Bandar Judol Withdrawal</v>
          </cell>
          <cell r="J1870">
            <v>35</v>
          </cell>
          <cell r="K1870" t="str">
            <v>86,88,87</v>
          </cell>
          <cell r="L1870" t="str">
            <v>Judi Online</v>
          </cell>
          <cell r="M1870" t="str">
            <v xml:space="preserve">Kas Kanpus                              </v>
          </cell>
          <cell r="N1870" t="str">
            <v xml:space="preserve">Kas Kanpus                              </v>
          </cell>
          <cell r="O1870" t="str">
            <v xml:space="preserve">KAS KANPUS                              </v>
          </cell>
          <cell r="R1870" t="str">
            <v>Belum TL</v>
          </cell>
          <cell r="S1870" t="str">
            <v>Belum TL</v>
          </cell>
          <cell r="T1870" t="str">
            <v>00336949 - Mochammad Al Farabi</v>
          </cell>
          <cell r="U1870" t="str">
            <v>"-"</v>
          </cell>
        </row>
        <row r="1871">
          <cell r="A1871">
            <v>46265</v>
          </cell>
          <cell r="B1871" t="str">
            <v xml:space="preserve">SONY ROSYANA                            </v>
          </cell>
          <cell r="C1871" t="str">
            <v>SKNTG36</v>
          </cell>
          <cell r="D1871">
            <v>112201001109569</v>
          </cell>
          <cell r="F1871" t="str">
            <v>Tidak</v>
          </cell>
          <cell r="G1871" t="str">
            <v>Tidak</v>
          </cell>
          <cell r="H1871" t="str">
            <v>Tidak</v>
          </cell>
          <cell r="I1871" t="str">
            <v>Bandar Judol Withdrawal</v>
          </cell>
          <cell r="J1871">
            <v>35</v>
          </cell>
          <cell r="K1871" t="str">
            <v>86,88,87</v>
          </cell>
          <cell r="L1871" t="str">
            <v>Judi Online</v>
          </cell>
          <cell r="M1871" t="str">
            <v xml:space="preserve">Kas Kanpus                              </v>
          </cell>
          <cell r="N1871" t="str">
            <v xml:space="preserve">Kas Kanpus                              </v>
          </cell>
          <cell r="O1871" t="str">
            <v xml:space="preserve">KAS KANPUS                              </v>
          </cell>
          <cell r="R1871" t="str">
            <v>Belum TL</v>
          </cell>
          <cell r="S1871" t="str">
            <v>Belum TL</v>
          </cell>
          <cell r="T1871" t="str">
            <v>90185537 - Moh.Khoerul Fajar Ar</v>
          </cell>
          <cell r="U1871" t="str">
            <v>"-"</v>
          </cell>
        </row>
        <row r="1872">
          <cell r="A1872">
            <v>46265</v>
          </cell>
          <cell r="B1872" t="str">
            <v xml:space="preserve">SONIA                                   </v>
          </cell>
          <cell r="C1872" t="str">
            <v>SKNVJ97</v>
          </cell>
          <cell r="D1872">
            <v>112201001125565</v>
          </cell>
          <cell r="F1872" t="str">
            <v>Tidak</v>
          </cell>
          <cell r="G1872" t="str">
            <v>Tidak</v>
          </cell>
          <cell r="H1872" t="str">
            <v>Tidak</v>
          </cell>
          <cell r="I1872" t="str">
            <v>Bandar Judol Withdrawal</v>
          </cell>
          <cell r="J1872">
            <v>35</v>
          </cell>
          <cell r="K1872" t="str">
            <v>86,88,87</v>
          </cell>
          <cell r="L1872" t="str">
            <v>Judi Online</v>
          </cell>
          <cell r="M1872" t="str">
            <v xml:space="preserve">Kas Kanpus                              </v>
          </cell>
          <cell r="N1872" t="str">
            <v xml:space="preserve">Kas Kanpus                              </v>
          </cell>
          <cell r="O1872" t="str">
            <v xml:space="preserve">KAS KANPUS                              </v>
          </cell>
          <cell r="R1872" t="str">
            <v>Belum TL</v>
          </cell>
          <cell r="S1872" t="str">
            <v>Belum TL</v>
          </cell>
          <cell r="T1872" t="str">
            <v>90150130 - Intan Aida Pratiwi</v>
          </cell>
          <cell r="U1872" t="str">
            <v>"-"</v>
          </cell>
        </row>
        <row r="1873">
          <cell r="A1873">
            <v>46265</v>
          </cell>
          <cell r="B1873" t="str">
            <v xml:space="preserve">SUGANDI                                 </v>
          </cell>
          <cell r="C1873" t="str">
            <v>SKREP43</v>
          </cell>
          <cell r="D1873">
            <v>484401026028503</v>
          </cell>
          <cell r="F1873" t="str">
            <v>Tidak</v>
          </cell>
          <cell r="G1873" t="str">
            <v>Tidak</v>
          </cell>
          <cell r="I1873" t="str">
            <v>Jual Beli Rekening - E channel Trx</v>
          </cell>
          <cell r="J1873">
            <v>33</v>
          </cell>
          <cell r="K1873">
            <v>113</v>
          </cell>
          <cell r="L1873" t="str">
            <v>Narkotika/Judi Online/Penipuan</v>
          </cell>
          <cell r="M1873" t="str">
            <v xml:space="preserve">UNIT HASANUDIN SERANG                   </v>
          </cell>
          <cell r="N1873" t="str">
            <v xml:space="preserve">KC Serang                               </v>
          </cell>
          <cell r="O1873" t="str">
            <v xml:space="preserve">KANWIL JAKARTA 3                        </v>
          </cell>
          <cell r="R1873" t="str">
            <v>Belum TL</v>
          </cell>
          <cell r="S1873" t="str">
            <v>Belum TL</v>
          </cell>
          <cell r="U1873" t="str">
            <v>"-"</v>
          </cell>
        </row>
        <row r="1874">
          <cell r="A1874">
            <v>46265</v>
          </cell>
          <cell r="B1874" t="str">
            <v xml:space="preserve">SORAYA                                  </v>
          </cell>
          <cell r="C1874" t="str">
            <v>SKSAX55</v>
          </cell>
          <cell r="D1874">
            <v>385001018882507</v>
          </cell>
          <cell r="F1874" t="str">
            <v>Tidak</v>
          </cell>
          <cell r="G1874" t="str">
            <v>Tidak</v>
          </cell>
          <cell r="H1874" t="str">
            <v>Tidak</v>
          </cell>
          <cell r="I1874" t="str">
            <v>Bandar Judol Withdrawal</v>
          </cell>
          <cell r="J1874">
            <v>35</v>
          </cell>
          <cell r="K1874" t="str">
            <v>86,88,87</v>
          </cell>
          <cell r="L1874" t="str">
            <v>Judi Online</v>
          </cell>
          <cell r="M1874" t="str">
            <v xml:space="preserve">Kas Kanpus                              </v>
          </cell>
          <cell r="N1874" t="str">
            <v xml:space="preserve">Kas Kanpus                              </v>
          </cell>
          <cell r="O1874" t="str">
            <v xml:space="preserve">KAS KANPUS                              </v>
          </cell>
          <cell r="R1874" t="str">
            <v>Belum TL</v>
          </cell>
          <cell r="S1874" t="str">
            <v>Belum TL</v>
          </cell>
          <cell r="T1874" t="str">
            <v>00394521 - Muhammad Hibbanduta</v>
          </cell>
          <cell r="U1874" t="str">
            <v>"-"</v>
          </cell>
        </row>
        <row r="1875">
          <cell r="A1875">
            <v>46265</v>
          </cell>
          <cell r="B1875" t="str">
            <v xml:space="preserve">SANTI                                   </v>
          </cell>
          <cell r="C1875" t="str">
            <v>SKSDI46</v>
          </cell>
          <cell r="D1875">
            <v>782701003633504</v>
          </cell>
          <cell r="F1875" t="str">
            <v>Tidak</v>
          </cell>
          <cell r="G1875" t="str">
            <v>Tidak</v>
          </cell>
          <cell r="H1875" t="str">
            <v>Tidak</v>
          </cell>
          <cell r="I1875" t="str">
            <v>Bandar Judol Withdrawal</v>
          </cell>
          <cell r="J1875">
            <v>35</v>
          </cell>
          <cell r="K1875" t="str">
            <v>86,88,87</v>
          </cell>
          <cell r="L1875" t="str">
            <v>Judi Online</v>
          </cell>
          <cell r="M1875" t="str">
            <v xml:space="preserve">Kas Kanpus                              </v>
          </cell>
          <cell r="N1875" t="str">
            <v xml:space="preserve">Kas Kanpus                              </v>
          </cell>
          <cell r="O1875" t="str">
            <v xml:space="preserve">KAS KANPUS                              </v>
          </cell>
          <cell r="R1875" t="str">
            <v>Belum TL</v>
          </cell>
          <cell r="S1875" t="str">
            <v>Belum TL</v>
          </cell>
          <cell r="T1875" t="str">
            <v>00336949 - Mochammad Al Farabi</v>
          </cell>
          <cell r="U1875" t="str">
            <v>"-"</v>
          </cell>
        </row>
        <row r="1876">
          <cell r="A1876">
            <v>46265</v>
          </cell>
          <cell r="B1876" t="str">
            <v xml:space="preserve">SILMI BERLIAN                           </v>
          </cell>
          <cell r="C1876" t="str">
            <v>SKSYO07</v>
          </cell>
          <cell r="D1876">
            <v>56501000465157</v>
          </cell>
          <cell r="F1876" t="str">
            <v>Tidak</v>
          </cell>
          <cell r="G1876" t="str">
            <v>Tidak</v>
          </cell>
          <cell r="H1876" t="str">
            <v>Tidak</v>
          </cell>
          <cell r="I1876" t="str">
            <v>Korupsi - Loan View</v>
          </cell>
          <cell r="J1876">
            <v>33</v>
          </cell>
          <cell r="K1876">
            <v>15</v>
          </cell>
          <cell r="L1876" t="str">
            <v>Korupsi</v>
          </cell>
          <cell r="M1876" t="str">
            <v>Kas Kanpus</v>
          </cell>
          <cell r="N1876" t="str">
            <v>Kas Kanpus</v>
          </cell>
          <cell r="O1876" t="str">
            <v>KAS KANPUS</v>
          </cell>
          <cell r="R1876" t="str">
            <v>Belum TL</v>
          </cell>
          <cell r="S1876" t="str">
            <v>Belum TL</v>
          </cell>
          <cell r="T1876" t="str">
            <v>90171841 - Rifqi Aziz</v>
          </cell>
          <cell r="U1876" t="str">
            <v>"-"</v>
          </cell>
        </row>
        <row r="1877">
          <cell r="A1877">
            <v>46265</v>
          </cell>
          <cell r="B1877" t="str">
            <v xml:space="preserve">SITI RAMANIAH                           </v>
          </cell>
          <cell r="C1877" t="str">
            <v>SKUVL55</v>
          </cell>
          <cell r="D1877">
            <v>732601024816539</v>
          </cell>
          <cell r="F1877" t="str">
            <v>Tidak</v>
          </cell>
          <cell r="G1877" t="str">
            <v>Tidak</v>
          </cell>
          <cell r="H1877" t="str">
            <v>Tidak</v>
          </cell>
          <cell r="I1877" t="str">
            <v>Bandar Judol Withdrawal</v>
          </cell>
          <cell r="J1877">
            <v>35</v>
          </cell>
          <cell r="K1877" t="str">
            <v>86,88,87</v>
          </cell>
          <cell r="L1877" t="str">
            <v>Judi Online</v>
          </cell>
          <cell r="M1877" t="str">
            <v xml:space="preserve">Kas Kanpus                              </v>
          </cell>
          <cell r="N1877" t="str">
            <v xml:space="preserve">Kas Kanpus                              </v>
          </cell>
          <cell r="O1877" t="str">
            <v xml:space="preserve">KAS KANPUS                              </v>
          </cell>
          <cell r="R1877" t="str">
            <v>Belum TL</v>
          </cell>
          <cell r="S1877" t="str">
            <v>Belum TL</v>
          </cell>
          <cell r="T1877" t="str">
            <v>90171841 - Rifqi Aziz</v>
          </cell>
          <cell r="U1877" t="str">
            <v>"-"</v>
          </cell>
        </row>
        <row r="1878">
          <cell r="A1878">
            <v>46265</v>
          </cell>
          <cell r="B1878" t="str">
            <v xml:space="preserve">SUTRISNO                                </v>
          </cell>
          <cell r="C1878" t="str">
            <v>SKUWO67</v>
          </cell>
          <cell r="D1878">
            <v>714401019405507</v>
          </cell>
          <cell r="F1878" t="str">
            <v>Tidak</v>
          </cell>
          <cell r="G1878" t="str">
            <v>Tidak</v>
          </cell>
          <cell r="H1878" t="str">
            <v>Tidak</v>
          </cell>
          <cell r="I1878" t="str">
            <v>Bandar Judol Withdrawal</v>
          </cell>
          <cell r="J1878">
            <v>35</v>
          </cell>
          <cell r="K1878" t="str">
            <v>86,88,87</v>
          </cell>
          <cell r="L1878" t="str">
            <v>Judi Online</v>
          </cell>
          <cell r="M1878" t="str">
            <v xml:space="preserve">Kas Kanpus                              </v>
          </cell>
          <cell r="N1878" t="str">
            <v xml:space="preserve">Kas Kanpus                              </v>
          </cell>
          <cell r="O1878" t="str">
            <v xml:space="preserve">KAS KANPUS                              </v>
          </cell>
          <cell r="R1878" t="str">
            <v>Belum TL</v>
          </cell>
          <cell r="S1878" t="str">
            <v>Belum TL</v>
          </cell>
          <cell r="T1878" t="str">
            <v>90185537 - Moh.Khoerul Fajar Ar</v>
          </cell>
          <cell r="U1878" t="str">
            <v>"-"</v>
          </cell>
        </row>
        <row r="1879">
          <cell r="A1879">
            <v>46265</v>
          </cell>
          <cell r="B1879" t="str">
            <v xml:space="preserve">SUPARNO                                 </v>
          </cell>
          <cell r="C1879" t="str">
            <v>SKUXH94</v>
          </cell>
          <cell r="D1879">
            <v>36701131453504</v>
          </cell>
          <cell r="F1879" t="str">
            <v>Tidak</v>
          </cell>
          <cell r="G1879" t="str">
            <v>Tidak</v>
          </cell>
          <cell r="H1879" t="str">
            <v>Tidak</v>
          </cell>
          <cell r="I1879" t="str">
            <v>Bandar Judol Withdrawal</v>
          </cell>
          <cell r="J1879">
            <v>35</v>
          </cell>
          <cell r="K1879" t="str">
            <v>86,88,87</v>
          </cell>
          <cell r="L1879" t="str">
            <v>Judi Online</v>
          </cell>
          <cell r="M1879" t="str">
            <v xml:space="preserve">Kas Kanpus                              </v>
          </cell>
          <cell r="N1879" t="str">
            <v xml:space="preserve">Kas Kanpus                              </v>
          </cell>
          <cell r="O1879" t="str">
            <v xml:space="preserve">KAS KANPUS                              </v>
          </cell>
          <cell r="R1879" t="str">
            <v>Belum TL</v>
          </cell>
          <cell r="S1879" t="str">
            <v>Belum TL</v>
          </cell>
          <cell r="T1879" t="str">
            <v>90185537 - Moh.Khoerul Fajar Ar</v>
          </cell>
          <cell r="U1879" t="str">
            <v>"-"</v>
          </cell>
        </row>
        <row r="1880">
          <cell r="A1880">
            <v>46265</v>
          </cell>
          <cell r="B1880" t="str">
            <v xml:space="preserve">SATIR                                   </v>
          </cell>
          <cell r="C1880" t="str">
            <v>SKVMR06</v>
          </cell>
          <cell r="D1880">
            <v>384801028889506</v>
          </cell>
          <cell r="F1880" t="str">
            <v>Tidak</v>
          </cell>
          <cell r="G1880" t="str">
            <v>Tidak</v>
          </cell>
          <cell r="H1880" t="str">
            <v>Tidak</v>
          </cell>
          <cell r="I1880" t="str">
            <v>Bandar Judol Withdrawal</v>
          </cell>
          <cell r="J1880">
            <v>35</v>
          </cell>
          <cell r="K1880" t="str">
            <v>86,88,87</v>
          </cell>
          <cell r="L1880" t="str">
            <v>Judi Online</v>
          </cell>
          <cell r="M1880" t="str">
            <v xml:space="preserve">Kas Kanpus                              </v>
          </cell>
          <cell r="N1880" t="str">
            <v xml:space="preserve">Kas Kanpus                              </v>
          </cell>
          <cell r="O1880" t="str">
            <v xml:space="preserve">KAS KANPUS                              </v>
          </cell>
          <cell r="R1880" t="str">
            <v>Belum TL</v>
          </cell>
          <cell r="S1880" t="str">
            <v>Belum TL</v>
          </cell>
          <cell r="T1880" t="str">
            <v>00394521 - Muhammad Hibbanduta</v>
          </cell>
          <cell r="U1880" t="str">
            <v>"-"</v>
          </cell>
        </row>
        <row r="1881">
          <cell r="A1881">
            <v>46265</v>
          </cell>
          <cell r="B1881" t="str">
            <v xml:space="preserve">SISKA BR GINTING                        </v>
          </cell>
          <cell r="C1881" t="str">
            <v>SKVTI91</v>
          </cell>
          <cell r="D1881">
            <v>108401020398509</v>
          </cell>
          <cell r="F1881" t="str">
            <v>Tidak</v>
          </cell>
          <cell r="G1881" t="str">
            <v>Tidak</v>
          </cell>
          <cell r="H1881" t="str">
            <v>Tidak</v>
          </cell>
          <cell r="I1881" t="str">
            <v>Bandar Judol Withdrawal</v>
          </cell>
          <cell r="J1881">
            <v>35</v>
          </cell>
          <cell r="K1881" t="str">
            <v>86,88,87</v>
          </cell>
          <cell r="L1881" t="str">
            <v>Judi Online</v>
          </cell>
          <cell r="M1881" t="str">
            <v xml:space="preserve">Kas Kanpus                              </v>
          </cell>
          <cell r="N1881" t="str">
            <v xml:space="preserve">Kas Kanpus                              </v>
          </cell>
          <cell r="O1881" t="str">
            <v xml:space="preserve">KAS KANPUS                              </v>
          </cell>
          <cell r="R1881" t="str">
            <v>Belum TL</v>
          </cell>
          <cell r="S1881" t="str">
            <v>Belum TL</v>
          </cell>
          <cell r="T1881" t="str">
            <v>90186796 - Devito Arya Wiradila</v>
          </cell>
          <cell r="U1881" t="str">
            <v>"-"</v>
          </cell>
        </row>
        <row r="1882">
          <cell r="A1882">
            <v>46265</v>
          </cell>
          <cell r="B1882" t="str">
            <v xml:space="preserve">SYARUDDIN                               </v>
          </cell>
          <cell r="C1882" t="str">
            <v>SKVZH78</v>
          </cell>
          <cell r="D1882">
            <v>499301008143506</v>
          </cell>
          <cell r="F1882" t="str">
            <v>Tidak</v>
          </cell>
          <cell r="G1882" t="str">
            <v>Tidak</v>
          </cell>
          <cell r="I1882" t="str">
            <v>Jual Beli Rekening - E channel Trx</v>
          </cell>
          <cell r="J1882">
            <v>33</v>
          </cell>
          <cell r="K1882">
            <v>113</v>
          </cell>
          <cell r="L1882" t="str">
            <v>Narkotika/Judi Online/Penipuan</v>
          </cell>
          <cell r="M1882" t="str">
            <v xml:space="preserve">UNIT KAPPUNA MASAMBA                    </v>
          </cell>
          <cell r="N1882" t="str">
            <v xml:space="preserve">KC Masamba                              </v>
          </cell>
          <cell r="O1882" t="str">
            <v xml:space="preserve">Makassar                                </v>
          </cell>
          <cell r="R1882" t="str">
            <v>Belum TL</v>
          </cell>
          <cell r="S1882" t="str">
            <v>Belum TL</v>
          </cell>
          <cell r="U1882" t="str">
            <v>"-"</v>
          </cell>
        </row>
        <row r="1883">
          <cell r="A1883">
            <v>46265</v>
          </cell>
          <cell r="B1883" t="str">
            <v xml:space="preserve">SAEPUL                                  </v>
          </cell>
          <cell r="C1883" t="str">
            <v>SKWFP27</v>
          </cell>
          <cell r="D1883">
            <v>407201009807509</v>
          </cell>
          <cell r="F1883" t="str">
            <v>Tidak</v>
          </cell>
          <cell r="G1883" t="str">
            <v>Tidak</v>
          </cell>
          <cell r="H1883" t="str">
            <v>Tidak</v>
          </cell>
          <cell r="I1883" t="str">
            <v>Bandar Judol Depo</v>
          </cell>
          <cell r="J1883">
            <v>35</v>
          </cell>
          <cell r="K1883" t="str">
            <v>86,74,87</v>
          </cell>
          <cell r="L1883" t="str">
            <v>Judi Online</v>
          </cell>
          <cell r="M1883" t="str">
            <v xml:space="preserve">Kas Kanpus                              </v>
          </cell>
          <cell r="N1883" t="str">
            <v xml:space="preserve">Kas Kanpus                              </v>
          </cell>
          <cell r="O1883" t="str">
            <v xml:space="preserve">KAS KANPUS                              </v>
          </cell>
          <cell r="R1883" t="str">
            <v>Belum TL</v>
          </cell>
          <cell r="S1883" t="str">
            <v>Belum TL</v>
          </cell>
          <cell r="T1883" t="str">
            <v>00336949 - Mochammad Al Farabi</v>
          </cell>
          <cell r="U1883" t="str">
            <v>"-"</v>
          </cell>
        </row>
        <row r="1884">
          <cell r="A1884">
            <v>46265</v>
          </cell>
          <cell r="B1884" t="str">
            <v xml:space="preserve">SAPTO DWI PRASETIYO                     </v>
          </cell>
          <cell r="C1884" t="str">
            <v>SKWR728</v>
          </cell>
          <cell r="D1884">
            <v>730401007903107</v>
          </cell>
          <cell r="E1884" t="str">
            <v>SEDANG</v>
          </cell>
          <cell r="F1884" t="str">
            <v>Tidak</v>
          </cell>
          <cell r="G1884" t="str">
            <v>Tidak</v>
          </cell>
          <cell r="H1884" t="str">
            <v>Tidak</v>
          </cell>
          <cell r="I1884" t="str">
            <v>Korupsi - Loan View</v>
          </cell>
          <cell r="J1884">
            <v>48</v>
          </cell>
          <cell r="K1884">
            <v>15</v>
          </cell>
          <cell r="L1884" t="str">
            <v>Korupsi</v>
          </cell>
          <cell r="M1884" t="str">
            <v>Kas Kanpus</v>
          </cell>
          <cell r="N1884" t="str">
            <v>Kas Kanpus</v>
          </cell>
          <cell r="O1884" t="str">
            <v>KAS KANPUS</v>
          </cell>
          <cell r="R1884" t="str">
            <v>Belum TL</v>
          </cell>
          <cell r="S1884" t="str">
            <v>Belum TL</v>
          </cell>
          <cell r="T1884" t="str">
            <v>90185538 - Muhammad Fahikal Auz</v>
          </cell>
          <cell r="U1884" t="str">
            <v>"-"</v>
          </cell>
        </row>
        <row r="1885">
          <cell r="A1885">
            <v>46265</v>
          </cell>
          <cell r="B1885" t="str">
            <v xml:space="preserve">SEPTINUS ROBINSON FATBINAN              </v>
          </cell>
          <cell r="C1885" t="str">
            <v>SKYH933</v>
          </cell>
          <cell r="D1885">
            <v>715801022862103</v>
          </cell>
          <cell r="E1885" t="str">
            <v>SEDANG</v>
          </cell>
          <cell r="F1885" t="str">
            <v>Tidak</v>
          </cell>
          <cell r="G1885" t="str">
            <v>Tidak</v>
          </cell>
          <cell r="H1885" t="str">
            <v>Tidak</v>
          </cell>
          <cell r="I1885" t="str">
            <v>Korupsi - Loan View</v>
          </cell>
          <cell r="J1885">
            <v>48</v>
          </cell>
          <cell r="K1885">
            <v>15</v>
          </cell>
          <cell r="L1885" t="str">
            <v>Korupsi</v>
          </cell>
          <cell r="M1885" t="str">
            <v>Kas Kanpus</v>
          </cell>
          <cell r="N1885" t="str">
            <v>Kas Kanpus</v>
          </cell>
          <cell r="O1885" t="str">
            <v>KAS KANPUS</v>
          </cell>
          <cell r="R1885" t="str">
            <v>Belum TL</v>
          </cell>
          <cell r="S1885" t="str">
            <v>Belum TL</v>
          </cell>
          <cell r="T1885" t="str">
            <v>90185538 - Muhammad Fahikal Auz</v>
          </cell>
          <cell r="U1885" t="str">
            <v>"-"</v>
          </cell>
        </row>
        <row r="1886">
          <cell r="A1886">
            <v>46265</v>
          </cell>
          <cell r="B1886" t="str">
            <v xml:space="preserve">SUNITA                                  </v>
          </cell>
          <cell r="C1886" t="str">
            <v>SKTDL74</v>
          </cell>
          <cell r="D1886">
            <v>486301008017504</v>
          </cell>
          <cell r="F1886" t="str">
            <v>Tidak</v>
          </cell>
          <cell r="G1886" t="str">
            <v>Tidak</v>
          </cell>
          <cell r="H1886" t="str">
            <v>Tidak</v>
          </cell>
          <cell r="I1886" t="str">
            <v>Bandar Judol Withdrawal</v>
          </cell>
          <cell r="J1886">
            <v>35</v>
          </cell>
          <cell r="K1886" t="str">
            <v>86,88,87</v>
          </cell>
          <cell r="L1886" t="str">
            <v>Judi Online</v>
          </cell>
          <cell r="M1886" t="str">
            <v xml:space="preserve">Kas Kanpus                              </v>
          </cell>
          <cell r="N1886" t="str">
            <v xml:space="preserve">Kas Kanpus                              </v>
          </cell>
          <cell r="O1886" t="str">
            <v xml:space="preserve">KAS KANPUS                              </v>
          </cell>
          <cell r="R1886" t="str">
            <v>Belum TL</v>
          </cell>
          <cell r="S1886" t="str">
            <v>Belum TL</v>
          </cell>
          <cell r="T1886" t="str">
            <v>90186796 - Devito Arya Wiradila</v>
          </cell>
          <cell r="U1886" t="str">
            <v>"-"</v>
          </cell>
        </row>
        <row r="1887">
          <cell r="A1887">
            <v>46265</v>
          </cell>
          <cell r="B1887" t="str">
            <v xml:space="preserve">SUHARTO                                 </v>
          </cell>
          <cell r="C1887" t="str">
            <v>SKU1799</v>
          </cell>
          <cell r="D1887">
            <v>360501011968107</v>
          </cell>
          <cell r="E1887" t="str">
            <v>SEDANG</v>
          </cell>
          <cell r="F1887" t="str">
            <v>Tidak</v>
          </cell>
          <cell r="G1887" t="str">
            <v>Tidak</v>
          </cell>
          <cell r="H1887" t="str">
            <v>Tidak</v>
          </cell>
          <cell r="I1887" t="str">
            <v>Korupsi - Loan View</v>
          </cell>
          <cell r="J1887">
            <v>48</v>
          </cell>
          <cell r="K1887">
            <v>15</v>
          </cell>
          <cell r="L1887" t="str">
            <v>Korupsi</v>
          </cell>
          <cell r="M1887" t="str">
            <v>Kas Kanpus</v>
          </cell>
          <cell r="N1887" t="str">
            <v>Kas Kanpus</v>
          </cell>
          <cell r="O1887" t="str">
            <v>KAS KANPUS</v>
          </cell>
          <cell r="R1887" t="str">
            <v>Belum TL</v>
          </cell>
          <cell r="S1887" t="str">
            <v>Belum TL</v>
          </cell>
          <cell r="T1887" t="str">
            <v>90150130 - Intan Aida Pratiwi</v>
          </cell>
          <cell r="U1887" t="str">
            <v>"-"</v>
          </cell>
        </row>
        <row r="1888">
          <cell r="A1888">
            <v>46265</v>
          </cell>
          <cell r="B1888" t="str">
            <v xml:space="preserve">SANTOSO                                 </v>
          </cell>
          <cell r="C1888" t="str">
            <v>SKZC885</v>
          </cell>
          <cell r="D1888">
            <v>9001505259157</v>
          </cell>
          <cell r="E1888" t="str">
            <v>SEDANG</v>
          </cell>
          <cell r="F1888" t="str">
            <v>Tidak</v>
          </cell>
          <cell r="G1888" t="str">
            <v>Tidak</v>
          </cell>
          <cell r="H1888" t="str">
            <v>Tidak</v>
          </cell>
          <cell r="I1888" t="str">
            <v>Korupsi - Loan View</v>
          </cell>
          <cell r="J1888">
            <v>58</v>
          </cell>
          <cell r="K1888">
            <v>15</v>
          </cell>
          <cell r="L1888" t="str">
            <v>Korupsi</v>
          </cell>
          <cell r="M1888" t="str">
            <v>Kas Kanpus</v>
          </cell>
          <cell r="N1888" t="str">
            <v>Kas Kanpus</v>
          </cell>
          <cell r="O1888" t="str">
            <v>KAS KANPUS</v>
          </cell>
          <cell r="R1888" t="str">
            <v>Belum TL</v>
          </cell>
          <cell r="S1888" t="str">
            <v>Belum TL</v>
          </cell>
          <cell r="T1888" t="str">
            <v>90170665 - Mutiara Ayuningtyas</v>
          </cell>
          <cell r="U1888" t="str">
            <v>"-"</v>
          </cell>
        </row>
        <row r="1889">
          <cell r="A1889">
            <v>46265</v>
          </cell>
          <cell r="B1889" t="str">
            <v xml:space="preserve">SUWANDI                                 </v>
          </cell>
          <cell r="C1889" t="str">
            <v>SKZON96</v>
          </cell>
          <cell r="D1889">
            <v>1901281457504</v>
          </cell>
          <cell r="F1889" t="str">
            <v>Tidak</v>
          </cell>
          <cell r="G1889" t="str">
            <v>Tidak</v>
          </cell>
          <cell r="H1889" t="str">
            <v>Tidak</v>
          </cell>
          <cell r="I1889" t="str">
            <v>Bandar Judol Withdrawal</v>
          </cell>
          <cell r="J1889">
            <v>35</v>
          </cell>
          <cell r="K1889" t="str">
            <v>86,88,87</v>
          </cell>
          <cell r="L1889" t="str">
            <v>Judi Online</v>
          </cell>
          <cell r="M1889" t="str">
            <v xml:space="preserve">Kas Kanpus                              </v>
          </cell>
          <cell r="N1889" t="str">
            <v xml:space="preserve">Kas Kanpus                              </v>
          </cell>
          <cell r="O1889" t="str">
            <v xml:space="preserve">KAS KANPUS                              </v>
          </cell>
          <cell r="R1889" t="str">
            <v>Belum TL</v>
          </cell>
          <cell r="S1889" t="str">
            <v>Belum TL</v>
          </cell>
          <cell r="T1889" t="str">
            <v>90186790 - Muhammad Alfin Farha</v>
          </cell>
          <cell r="U1889" t="str">
            <v>"-"</v>
          </cell>
        </row>
        <row r="1890">
          <cell r="A1890">
            <v>46265</v>
          </cell>
          <cell r="B1890" t="str">
            <v xml:space="preserve">SOPIAN HADI                             </v>
          </cell>
          <cell r="C1890" t="str">
            <v>SKZXB27</v>
          </cell>
          <cell r="D1890">
            <v>118401034090507</v>
          </cell>
          <cell r="F1890" t="str">
            <v>Tidak</v>
          </cell>
          <cell r="G1890" t="str">
            <v>Tidak</v>
          </cell>
          <cell r="H1890" t="str">
            <v>Tidak</v>
          </cell>
          <cell r="I1890" t="str">
            <v>Bandar Judol Withdrawal</v>
          </cell>
          <cell r="J1890">
            <v>35</v>
          </cell>
          <cell r="K1890" t="str">
            <v>86,88,87</v>
          </cell>
          <cell r="L1890" t="str">
            <v>Judi Online</v>
          </cell>
          <cell r="M1890" t="str">
            <v xml:space="preserve">Kas Kanpus                              </v>
          </cell>
          <cell r="N1890" t="str">
            <v xml:space="preserve">Kas Kanpus                              </v>
          </cell>
          <cell r="O1890" t="str">
            <v xml:space="preserve">KAS KANPUS                              </v>
          </cell>
          <cell r="R1890" t="str">
            <v>Belum TL</v>
          </cell>
          <cell r="S1890" t="str">
            <v>Belum TL</v>
          </cell>
          <cell r="T1890" t="str">
            <v>90171841 - Rifqi Aziz</v>
          </cell>
          <cell r="U1890" t="str">
            <v>"-"</v>
          </cell>
        </row>
        <row r="1891">
          <cell r="A1891">
            <v>46265</v>
          </cell>
          <cell r="B1891" t="str">
            <v xml:space="preserve">SUCI RAHAYU                             </v>
          </cell>
          <cell r="C1891" t="str">
            <v>SLAAN01</v>
          </cell>
          <cell r="D1891">
            <v>573701011760508</v>
          </cell>
          <cell r="F1891" t="str">
            <v>Tidak</v>
          </cell>
          <cell r="G1891" t="str">
            <v>Tidak</v>
          </cell>
          <cell r="I1891" t="str">
            <v>Jual Beli Rekening - E channel Trx</v>
          </cell>
          <cell r="J1891">
            <v>33</v>
          </cell>
          <cell r="K1891">
            <v>113</v>
          </cell>
          <cell r="L1891" t="str">
            <v>Narkotika/Judi Online/Penipuan</v>
          </cell>
          <cell r="M1891" t="str">
            <v xml:space="preserve">UNIT PENDOPO PAGAR ALAM                 </v>
          </cell>
          <cell r="N1891" t="str">
            <v xml:space="preserve">KC Pagar Alam                           </v>
          </cell>
          <cell r="O1891" t="str">
            <v xml:space="preserve">Palembang                               </v>
          </cell>
          <cell r="R1891" t="str">
            <v>Belum TL</v>
          </cell>
          <cell r="S1891" t="str">
            <v>Belum TL</v>
          </cell>
          <cell r="U1891" t="str">
            <v>"-"</v>
          </cell>
        </row>
        <row r="1892">
          <cell r="A1892">
            <v>46265</v>
          </cell>
          <cell r="B1892" t="str">
            <v xml:space="preserve">SITI SALMA                              </v>
          </cell>
          <cell r="C1892" t="str">
            <v>SLAIB18</v>
          </cell>
          <cell r="D1892">
            <v>80101018234508</v>
          </cell>
          <cell r="F1892" t="str">
            <v>Tidak</v>
          </cell>
          <cell r="G1892" t="str">
            <v>Tidak</v>
          </cell>
          <cell r="H1892" t="str">
            <v>Tidak</v>
          </cell>
          <cell r="I1892" t="str">
            <v>Bandar Judol Withdrawal</v>
          </cell>
          <cell r="J1892">
            <v>35</v>
          </cell>
          <cell r="K1892" t="str">
            <v>86,88,87</v>
          </cell>
          <cell r="L1892" t="str">
            <v>Judi Online</v>
          </cell>
          <cell r="M1892" t="str">
            <v xml:space="preserve">Kas Kanpus                              </v>
          </cell>
          <cell r="N1892" t="str">
            <v xml:space="preserve">Kas Kanpus                              </v>
          </cell>
          <cell r="O1892" t="str">
            <v xml:space="preserve">KAS KANPUS                              </v>
          </cell>
          <cell r="R1892" t="str">
            <v>Belum TL</v>
          </cell>
          <cell r="S1892" t="str">
            <v>Belum TL</v>
          </cell>
          <cell r="T1892" t="str">
            <v>90186796 - Devito Arya Wiradila</v>
          </cell>
          <cell r="U1892" t="str">
            <v>"-"</v>
          </cell>
        </row>
        <row r="1893">
          <cell r="A1893">
            <v>46265</v>
          </cell>
          <cell r="B1893" t="str">
            <v xml:space="preserve">SHELA AGUSTIN                           </v>
          </cell>
          <cell r="C1893" t="str">
            <v>SLAJI15</v>
          </cell>
          <cell r="D1893">
            <v>118401034125506</v>
          </cell>
          <cell r="F1893" t="str">
            <v>Tidak</v>
          </cell>
          <cell r="G1893" t="str">
            <v>Tidak</v>
          </cell>
          <cell r="H1893" t="str">
            <v>Tidak</v>
          </cell>
          <cell r="I1893" t="str">
            <v>Bandar Judol Withdrawal</v>
          </cell>
          <cell r="J1893">
            <v>35</v>
          </cell>
          <cell r="K1893" t="str">
            <v>86,88,87</v>
          </cell>
          <cell r="L1893" t="str">
            <v>Judi Online</v>
          </cell>
          <cell r="M1893" t="str">
            <v xml:space="preserve">Kas Kanpus                              </v>
          </cell>
          <cell r="N1893" t="str">
            <v xml:space="preserve">Kas Kanpus                              </v>
          </cell>
          <cell r="O1893" t="str">
            <v xml:space="preserve">KAS KANPUS                              </v>
          </cell>
          <cell r="R1893" t="str">
            <v>Belum TL</v>
          </cell>
          <cell r="S1893" t="str">
            <v>Belum TL</v>
          </cell>
          <cell r="T1893" t="str">
            <v>90185538 - Muhammad Fahikal Auz</v>
          </cell>
          <cell r="U1893" t="str">
            <v>"-"</v>
          </cell>
        </row>
        <row r="1894">
          <cell r="A1894">
            <v>46265</v>
          </cell>
          <cell r="B1894" t="str">
            <v xml:space="preserve">SANDY HAN WIJAYA                        </v>
          </cell>
          <cell r="C1894" t="str">
            <v>SLAZD13</v>
          </cell>
          <cell r="D1894">
            <v>43801004425560</v>
          </cell>
          <cell r="F1894" t="str">
            <v>Tidak</v>
          </cell>
          <cell r="G1894" t="str">
            <v>Tidak</v>
          </cell>
          <cell r="H1894" t="str">
            <v>Tidak</v>
          </cell>
          <cell r="I1894" t="str">
            <v>Bandar Judol Depo</v>
          </cell>
          <cell r="J1894">
            <v>35</v>
          </cell>
          <cell r="K1894" t="str">
            <v>86,74,87</v>
          </cell>
          <cell r="L1894" t="str">
            <v>Judi Online</v>
          </cell>
          <cell r="M1894" t="str">
            <v xml:space="preserve">Kas Kanpus                              </v>
          </cell>
          <cell r="N1894" t="str">
            <v xml:space="preserve">Kas Kanpus                              </v>
          </cell>
          <cell r="O1894" t="str">
            <v xml:space="preserve">KAS KANPUS                              </v>
          </cell>
          <cell r="R1894" t="str">
            <v>Belum TL</v>
          </cell>
          <cell r="S1894" t="str">
            <v>Belum TL</v>
          </cell>
          <cell r="T1894" t="str">
            <v>90185538 - Muhammad Fahikal Auz</v>
          </cell>
          <cell r="U1894" t="str">
            <v>"-"</v>
          </cell>
        </row>
        <row r="1895">
          <cell r="A1895">
            <v>46265</v>
          </cell>
          <cell r="B1895" t="str">
            <v xml:space="preserve">SUKAITO                                 </v>
          </cell>
          <cell r="C1895" t="str">
            <v>SLBAH48</v>
          </cell>
          <cell r="D1895">
            <v>722301018501502</v>
          </cell>
          <cell r="F1895" t="str">
            <v>Tidak</v>
          </cell>
          <cell r="G1895" t="str">
            <v>Tidak</v>
          </cell>
          <cell r="H1895" t="str">
            <v>Tidak</v>
          </cell>
          <cell r="I1895" t="str">
            <v>Bandar Judol Withdrawal</v>
          </cell>
          <cell r="J1895">
            <v>35</v>
          </cell>
          <cell r="K1895" t="str">
            <v>86,88,87</v>
          </cell>
          <cell r="L1895" t="str">
            <v>Judi Online</v>
          </cell>
          <cell r="M1895" t="str">
            <v xml:space="preserve">Kas Kanpus                              </v>
          </cell>
          <cell r="N1895" t="str">
            <v xml:space="preserve">Kas Kanpus                              </v>
          </cell>
          <cell r="O1895" t="str">
            <v xml:space="preserve">KAS KANPUS                              </v>
          </cell>
          <cell r="R1895" t="str">
            <v>Belum TL</v>
          </cell>
          <cell r="S1895" t="str">
            <v>Belum TL</v>
          </cell>
          <cell r="T1895" t="str">
            <v>90185537 - Moh.Khoerul Fajar Ar</v>
          </cell>
          <cell r="U1895" t="str">
            <v>"-"</v>
          </cell>
        </row>
        <row r="1896">
          <cell r="A1896">
            <v>46265</v>
          </cell>
          <cell r="B1896" t="str">
            <v xml:space="preserve">SYAHRIAL                                </v>
          </cell>
          <cell r="C1896" t="str">
            <v>SLBCO64</v>
          </cell>
          <cell r="D1896">
            <v>734701014018507</v>
          </cell>
          <cell r="F1896" t="str">
            <v>Tidak</v>
          </cell>
          <cell r="G1896" t="str">
            <v>Tidak</v>
          </cell>
          <cell r="H1896" t="str">
            <v>Tidak</v>
          </cell>
          <cell r="I1896" t="str">
            <v>Bandar Judol Withdrawal</v>
          </cell>
          <cell r="J1896">
            <v>35</v>
          </cell>
          <cell r="K1896" t="str">
            <v>86,88,87</v>
          </cell>
          <cell r="L1896" t="str">
            <v>Judi Online</v>
          </cell>
          <cell r="M1896" t="str">
            <v xml:space="preserve">Kas Kanpus                              </v>
          </cell>
          <cell r="N1896" t="str">
            <v xml:space="preserve">Kas Kanpus                              </v>
          </cell>
          <cell r="O1896" t="str">
            <v xml:space="preserve">KAS KANPUS                              </v>
          </cell>
          <cell r="R1896" t="str">
            <v>Belum TL</v>
          </cell>
          <cell r="S1896" t="str">
            <v>Belum TL</v>
          </cell>
          <cell r="T1896" t="str">
            <v>00394521 - Muhammad Hibbanduta</v>
          </cell>
          <cell r="U1896" t="str">
            <v>"-"</v>
          </cell>
        </row>
        <row r="1897">
          <cell r="A1897">
            <v>46265</v>
          </cell>
          <cell r="B1897" t="str">
            <v xml:space="preserve">SABAR GANDA L SITORUS                   </v>
          </cell>
          <cell r="C1897" t="str">
            <v>SLBD091</v>
          </cell>
          <cell r="D1897">
            <v>1801002265568</v>
          </cell>
          <cell r="E1897" t="str">
            <v>TINGGI</v>
          </cell>
          <cell r="F1897" t="str">
            <v>Tidak</v>
          </cell>
          <cell r="G1897" t="str">
            <v>Tidak</v>
          </cell>
          <cell r="H1897" t="str">
            <v>Tidak</v>
          </cell>
          <cell r="I1897" t="str">
            <v>Perpajakan</v>
          </cell>
          <cell r="J1897">
            <v>80</v>
          </cell>
          <cell r="K1897">
            <v>1.33</v>
          </cell>
          <cell r="L1897" t="str">
            <v>Perpajakan</v>
          </cell>
          <cell r="M1897" t="str">
            <v xml:space="preserve">KC Jakarta Tanah Abang                  </v>
          </cell>
          <cell r="N1897" t="str">
            <v xml:space="preserve">KC Jakarta Tanah Abang                  </v>
          </cell>
          <cell r="O1897" t="str">
            <v xml:space="preserve">DKI                                     </v>
          </cell>
          <cell r="R1897" t="str">
            <v>Belum TL</v>
          </cell>
          <cell r="S1897" t="str">
            <v>Belum TL</v>
          </cell>
          <cell r="T1897" t="str">
            <v>00394520 - Frida Akbar Rani</v>
          </cell>
          <cell r="U1897" t="str">
            <v>"-"</v>
          </cell>
        </row>
        <row r="1898">
          <cell r="A1898">
            <v>46265</v>
          </cell>
          <cell r="B1898" t="str">
            <v xml:space="preserve">SITI NURLELA                            </v>
          </cell>
          <cell r="C1898" t="str">
            <v>SLBEK51</v>
          </cell>
          <cell r="D1898">
            <v>93601016835509</v>
          </cell>
          <cell r="F1898" t="str">
            <v>Tidak</v>
          </cell>
          <cell r="G1898" t="str">
            <v>Tidak</v>
          </cell>
          <cell r="H1898" t="str">
            <v>Tidak</v>
          </cell>
          <cell r="I1898" t="str">
            <v>Bandar Judol Depo</v>
          </cell>
          <cell r="J1898">
            <v>35</v>
          </cell>
          <cell r="K1898" t="str">
            <v>86,74,87</v>
          </cell>
          <cell r="L1898" t="str">
            <v>Judi Online</v>
          </cell>
          <cell r="M1898" t="str">
            <v xml:space="preserve">Kas Kanpus                              </v>
          </cell>
          <cell r="N1898" t="str">
            <v xml:space="preserve">Kas Kanpus                              </v>
          </cell>
          <cell r="O1898" t="str">
            <v xml:space="preserve">KAS KANPUS                              </v>
          </cell>
          <cell r="R1898" t="str">
            <v>Belum TL</v>
          </cell>
          <cell r="S1898" t="str">
            <v>Belum TL</v>
          </cell>
          <cell r="T1898" t="str">
            <v>90171841 - Rifqi Aziz</v>
          </cell>
          <cell r="U1898" t="str">
            <v>"-"</v>
          </cell>
        </row>
        <row r="1899">
          <cell r="A1899">
            <v>46265</v>
          </cell>
          <cell r="B1899" t="str">
            <v xml:space="preserve">SATRIYA                                 </v>
          </cell>
          <cell r="C1899" t="str">
            <v>SLDCC34</v>
          </cell>
          <cell r="D1899">
            <v>39501043271502</v>
          </cell>
          <cell r="F1899" t="str">
            <v>Tidak</v>
          </cell>
          <cell r="G1899" t="str">
            <v>Tidak</v>
          </cell>
          <cell r="H1899" t="str">
            <v>Tidak</v>
          </cell>
          <cell r="I1899" t="str">
            <v>Bandar Judol Depo</v>
          </cell>
          <cell r="J1899">
            <v>35</v>
          </cell>
          <cell r="K1899" t="str">
            <v>86,74,87</v>
          </cell>
          <cell r="L1899" t="str">
            <v>Judi Online</v>
          </cell>
          <cell r="M1899" t="str">
            <v xml:space="preserve">Kas Kanpus                              </v>
          </cell>
          <cell r="N1899" t="str">
            <v xml:space="preserve">Kas Kanpus                              </v>
          </cell>
          <cell r="O1899" t="str">
            <v xml:space="preserve">KAS KANPUS                              </v>
          </cell>
          <cell r="R1899" t="str">
            <v>Belum TL</v>
          </cell>
          <cell r="S1899" t="str">
            <v>Belum TL</v>
          </cell>
          <cell r="T1899" t="str">
            <v>90186790 - Muhammad Alfin Farha</v>
          </cell>
          <cell r="U1899" t="str">
            <v>"-"</v>
          </cell>
        </row>
        <row r="1900">
          <cell r="A1900">
            <v>46265</v>
          </cell>
          <cell r="B1900" t="str">
            <v xml:space="preserve">SHIDDIQ ARIANSYAH PANGARIBUAN           </v>
          </cell>
          <cell r="C1900" t="str">
            <v>SLDTU27</v>
          </cell>
          <cell r="D1900">
            <v>11301161268508</v>
          </cell>
          <cell r="F1900" t="str">
            <v>Tidak</v>
          </cell>
          <cell r="G1900" t="str">
            <v>Tidak</v>
          </cell>
          <cell r="H1900" t="str">
            <v>Tidak</v>
          </cell>
          <cell r="I1900" t="str">
            <v>Bandar Judol Withdrawal</v>
          </cell>
          <cell r="J1900">
            <v>35</v>
          </cell>
          <cell r="K1900" t="str">
            <v>86,88,87</v>
          </cell>
          <cell r="L1900" t="str">
            <v>Judi Online</v>
          </cell>
          <cell r="M1900" t="str">
            <v xml:space="preserve">Kas Kanpus                              </v>
          </cell>
          <cell r="N1900" t="str">
            <v xml:space="preserve">Kas Kanpus                              </v>
          </cell>
          <cell r="O1900" t="str">
            <v xml:space="preserve">KAS KANPUS                              </v>
          </cell>
          <cell r="R1900" t="str">
            <v>Belum TL</v>
          </cell>
          <cell r="S1900" t="str">
            <v>Belum TL</v>
          </cell>
          <cell r="T1900" t="str">
            <v>90186790 - Muhammad Alfin Farha</v>
          </cell>
          <cell r="U1900" t="str">
            <v>"-"</v>
          </cell>
        </row>
        <row r="1901">
          <cell r="A1901">
            <v>46265</v>
          </cell>
          <cell r="B1901" t="str">
            <v xml:space="preserve">SITI BADRIAH                            </v>
          </cell>
          <cell r="C1901" t="str">
            <v>SLEET74</v>
          </cell>
          <cell r="D1901">
            <v>78701049015537</v>
          </cell>
          <cell r="F1901" t="str">
            <v>Tidak</v>
          </cell>
          <cell r="G1901" t="str">
            <v>Tidak</v>
          </cell>
          <cell r="H1901" t="str">
            <v>Tidak</v>
          </cell>
          <cell r="I1901" t="str">
            <v>Bandar Judol Withdrawal</v>
          </cell>
          <cell r="J1901">
            <v>35</v>
          </cell>
          <cell r="K1901" t="str">
            <v>86,88,87</v>
          </cell>
          <cell r="L1901" t="str">
            <v>Judi Online</v>
          </cell>
          <cell r="M1901" t="str">
            <v xml:space="preserve">Kas Kanpus                              </v>
          </cell>
          <cell r="N1901" t="str">
            <v xml:space="preserve">Kas Kanpus                              </v>
          </cell>
          <cell r="O1901" t="str">
            <v xml:space="preserve">KAS KANPUS                              </v>
          </cell>
          <cell r="R1901" t="str">
            <v>Belum TL</v>
          </cell>
          <cell r="S1901" t="str">
            <v>Belum TL</v>
          </cell>
          <cell r="T1901" t="str">
            <v>00394521 - Muhammad Hibbanduta</v>
          </cell>
          <cell r="U1901" t="str">
            <v>"-"</v>
          </cell>
        </row>
        <row r="1902">
          <cell r="A1902">
            <v>46265</v>
          </cell>
          <cell r="B1902" t="str">
            <v xml:space="preserve">SYARIFUDIN                              </v>
          </cell>
          <cell r="C1902" t="str">
            <v>SLESE47</v>
          </cell>
          <cell r="D1902">
            <v>574201024331503</v>
          </cell>
          <cell r="F1902" t="str">
            <v>Tidak</v>
          </cell>
          <cell r="G1902" t="str">
            <v>Tidak</v>
          </cell>
          <cell r="I1902" t="str">
            <v>Jual Beli Rekening - E channel Trx</v>
          </cell>
          <cell r="J1902">
            <v>33</v>
          </cell>
          <cell r="K1902">
            <v>113</v>
          </cell>
          <cell r="L1902" t="str">
            <v>Narkotika/Judi Online/Penipuan</v>
          </cell>
          <cell r="M1902" t="str">
            <v xml:space="preserve">UNIT 5 ULU PALEMBANG A RIVAI            </v>
          </cell>
          <cell r="N1902" t="str">
            <v xml:space="preserve">KC Palembang A. Rivai                   </v>
          </cell>
          <cell r="O1902" t="str">
            <v xml:space="preserve">Palembang                               </v>
          </cell>
          <cell r="R1902" t="str">
            <v>Belum TL</v>
          </cell>
          <cell r="S1902" t="str">
            <v>Belum TL</v>
          </cell>
          <cell r="U1902" t="str">
            <v>"-"</v>
          </cell>
        </row>
        <row r="1903">
          <cell r="A1903">
            <v>46265</v>
          </cell>
          <cell r="B1903" t="str">
            <v xml:space="preserve">SEHAT DIGITAL SUKSES                    </v>
          </cell>
          <cell r="C1903" t="str">
            <v>SLFSC56</v>
          </cell>
          <cell r="D1903">
            <v>32001999168563</v>
          </cell>
          <cell r="F1903" t="str">
            <v>Tidak</v>
          </cell>
          <cell r="G1903" t="str">
            <v>Tidak</v>
          </cell>
          <cell r="H1903" t="str">
            <v>Tidak</v>
          </cell>
          <cell r="I1903" t="str">
            <v>Perpajakan</v>
          </cell>
          <cell r="J1903">
            <v>33</v>
          </cell>
          <cell r="K1903">
            <v>41</v>
          </cell>
          <cell r="L1903" t="str">
            <v>Perpajakan</v>
          </cell>
          <cell r="M1903" t="str">
            <v xml:space="preserve">KC  Jakarta Kelapa Gading               </v>
          </cell>
          <cell r="N1903" t="str">
            <v xml:space="preserve">KC  Jakarta Kelapa Gading               </v>
          </cell>
          <cell r="O1903" t="str">
            <v xml:space="preserve">DKI                                     </v>
          </cell>
          <cell r="R1903" t="str">
            <v>Belum TL</v>
          </cell>
          <cell r="S1903" t="str">
            <v>Belum TL</v>
          </cell>
          <cell r="T1903" t="str">
            <v>00394521 - Muhammad Hibbanduta</v>
          </cell>
          <cell r="U1903" t="str">
            <v>"-"</v>
          </cell>
        </row>
        <row r="1904">
          <cell r="A1904">
            <v>46265</v>
          </cell>
          <cell r="B1904" t="str">
            <v xml:space="preserve">SURIANA                                 </v>
          </cell>
          <cell r="C1904" t="str">
            <v>SLGE896</v>
          </cell>
          <cell r="D1904">
            <v>11801503123152</v>
          </cell>
          <cell r="E1904" t="str">
            <v>SEDANG</v>
          </cell>
          <cell r="F1904" t="str">
            <v>Tidak</v>
          </cell>
          <cell r="G1904" t="str">
            <v>Tidak</v>
          </cell>
          <cell r="H1904" t="str">
            <v>Tidak</v>
          </cell>
          <cell r="I1904" t="str">
            <v>Korupsi - Loan View</v>
          </cell>
          <cell r="J1904">
            <v>48</v>
          </cell>
          <cell r="K1904">
            <v>15</v>
          </cell>
          <cell r="L1904" t="str">
            <v>Korupsi</v>
          </cell>
          <cell r="M1904" t="str">
            <v>Kas Kanpus</v>
          </cell>
          <cell r="N1904" t="str">
            <v>Kas Kanpus</v>
          </cell>
          <cell r="O1904" t="str">
            <v>KAS KANPUS</v>
          </cell>
          <cell r="R1904" t="str">
            <v>Belum TL</v>
          </cell>
          <cell r="S1904" t="str">
            <v>Belum TL</v>
          </cell>
          <cell r="T1904" t="str">
            <v>90185538 - Muhammad Fahikal Auz</v>
          </cell>
          <cell r="U1904" t="str">
            <v>"-"</v>
          </cell>
        </row>
        <row r="1905">
          <cell r="A1905">
            <v>46265</v>
          </cell>
          <cell r="B1905" t="str">
            <v xml:space="preserve">SPABANDYA KOMSOS                        </v>
          </cell>
          <cell r="C1905" t="str">
            <v>SLGHU68</v>
          </cell>
          <cell r="D1905">
            <v>719001000026569</v>
          </cell>
          <cell r="F1905" t="str">
            <v>Tidak</v>
          </cell>
          <cell r="G1905" t="str">
            <v>Tidak</v>
          </cell>
          <cell r="H1905" t="str">
            <v>Tidak</v>
          </cell>
          <cell r="I1905" t="str">
            <v>Korupsi - Cash &amp; Amount</v>
          </cell>
          <cell r="J1905">
            <v>33</v>
          </cell>
          <cell r="K1905" t="str">
            <v>1,2,20</v>
          </cell>
          <cell r="L1905" t="str">
            <v>Korupsi</v>
          </cell>
          <cell r="M1905" t="str">
            <v>Kas Kanpus</v>
          </cell>
          <cell r="N1905" t="str">
            <v>Kas Kanpus</v>
          </cell>
          <cell r="O1905" t="str">
            <v>KAS KANPUS</v>
          </cell>
          <cell r="R1905" t="str">
            <v>Belum TL</v>
          </cell>
          <cell r="S1905" t="str">
            <v>Belum TL</v>
          </cell>
          <cell r="T1905" t="str">
            <v>90186796 - Devito Arya Wiradila</v>
          </cell>
          <cell r="U1905" t="str">
            <v>"-"</v>
          </cell>
        </row>
        <row r="1906">
          <cell r="A1906">
            <v>46265</v>
          </cell>
          <cell r="B1906" t="str">
            <v xml:space="preserve">SILVIANDA ENERGI                        </v>
          </cell>
          <cell r="C1906" t="str">
            <v>SLGYV14</v>
          </cell>
          <cell r="D1906">
            <v>16701002858564</v>
          </cell>
          <cell r="F1906" t="str">
            <v>Tidak</v>
          </cell>
          <cell r="G1906" t="str">
            <v>Tidak</v>
          </cell>
          <cell r="H1906" t="str">
            <v>Tidak</v>
          </cell>
          <cell r="I1906" t="str">
            <v>Perpajakan</v>
          </cell>
          <cell r="J1906">
            <v>33</v>
          </cell>
          <cell r="K1906">
            <v>41</v>
          </cell>
          <cell r="L1906" t="str">
            <v>Perpajakan</v>
          </cell>
          <cell r="M1906" t="str">
            <v xml:space="preserve">KC Luwuk                                </v>
          </cell>
          <cell r="N1906" t="str">
            <v xml:space="preserve">KC Luwuk                                </v>
          </cell>
          <cell r="O1906" t="str">
            <v xml:space="preserve">Manado                                  </v>
          </cell>
          <cell r="R1906" t="str">
            <v>Belum TL</v>
          </cell>
          <cell r="S1906" t="str">
            <v>Belum TL</v>
          </cell>
          <cell r="T1906" t="str">
            <v>90150130 - Intan Aida Pratiwi</v>
          </cell>
          <cell r="U1906" t="str">
            <v>"-"</v>
          </cell>
        </row>
        <row r="1907">
          <cell r="A1907">
            <v>46265</v>
          </cell>
          <cell r="B1907" t="str">
            <v xml:space="preserve">CV SURYA                                </v>
          </cell>
          <cell r="C1907" t="str">
            <v>SLIP968</v>
          </cell>
          <cell r="D1907">
            <v>13901502227157</v>
          </cell>
          <cell r="E1907" t="str">
            <v>SEDANG</v>
          </cell>
          <cell r="F1907" t="str">
            <v>Tidak</v>
          </cell>
          <cell r="G1907" t="str">
            <v>Tidak</v>
          </cell>
          <cell r="H1907" t="str">
            <v>Tidak</v>
          </cell>
          <cell r="I1907" t="str">
            <v>Korupsi - Loan View</v>
          </cell>
          <cell r="J1907">
            <v>48</v>
          </cell>
          <cell r="K1907">
            <v>15</v>
          </cell>
          <cell r="L1907" t="str">
            <v>Korupsi</v>
          </cell>
          <cell r="M1907" t="str">
            <v>Kas Kanpus</v>
          </cell>
          <cell r="N1907" t="str">
            <v>Kas Kanpus</v>
          </cell>
          <cell r="O1907" t="str">
            <v>KAS KANPUS</v>
          </cell>
          <cell r="R1907" t="str">
            <v>Belum TL</v>
          </cell>
          <cell r="S1907" t="str">
            <v>Belum TL</v>
          </cell>
          <cell r="T1907" t="str">
            <v>90171841 - Rifqi Aziz</v>
          </cell>
          <cell r="U1907" t="str">
            <v>"-"</v>
          </cell>
        </row>
        <row r="1908">
          <cell r="A1908">
            <v>46265</v>
          </cell>
          <cell r="B1908" t="str">
            <v xml:space="preserve">SUPRIYANTO                              </v>
          </cell>
          <cell r="C1908" t="str">
            <v>SMHL247</v>
          </cell>
          <cell r="D1908">
            <v>16001000315562</v>
          </cell>
          <cell r="E1908" t="str">
            <v>TINGGI</v>
          </cell>
          <cell r="F1908" t="str">
            <v>Tidak</v>
          </cell>
          <cell r="G1908" t="str">
            <v>Tidak</v>
          </cell>
          <cell r="H1908" t="str">
            <v>Tidak</v>
          </cell>
          <cell r="I1908" t="str">
            <v>Perpajakan</v>
          </cell>
          <cell r="J1908">
            <v>75</v>
          </cell>
          <cell r="K1908">
            <v>1.33</v>
          </cell>
          <cell r="L1908" t="str">
            <v>Perpajakan</v>
          </cell>
          <cell r="M1908" t="str">
            <v xml:space="preserve">KC Muara Bungo                          </v>
          </cell>
          <cell r="N1908" t="str">
            <v xml:space="preserve">KC Muara Bungo                          </v>
          </cell>
          <cell r="O1908" t="str">
            <v xml:space="preserve">Palembang                               </v>
          </cell>
          <cell r="R1908" t="str">
            <v>Belum TL</v>
          </cell>
          <cell r="S1908" t="str">
            <v>Belum TL</v>
          </cell>
          <cell r="T1908" t="str">
            <v>90171841 - Rifqi Aziz</v>
          </cell>
          <cell r="U1908" t="str">
            <v>"-"</v>
          </cell>
        </row>
        <row r="1909">
          <cell r="A1909">
            <v>46265</v>
          </cell>
          <cell r="B1909" t="str">
            <v xml:space="preserve">STEFANUS PALAKA                         </v>
          </cell>
          <cell r="C1909" t="str">
            <v>SLWI617</v>
          </cell>
          <cell r="D1909">
            <v>767701003404108</v>
          </cell>
          <cell r="E1909" t="str">
            <v>SEDANG</v>
          </cell>
          <cell r="F1909" t="str">
            <v>Tidak</v>
          </cell>
          <cell r="G1909" t="str">
            <v>Tidak</v>
          </cell>
          <cell r="H1909" t="str">
            <v>Tidak</v>
          </cell>
          <cell r="I1909" t="str">
            <v>Korupsi - Loan View</v>
          </cell>
          <cell r="J1909">
            <v>48</v>
          </cell>
          <cell r="K1909">
            <v>15</v>
          </cell>
          <cell r="L1909" t="str">
            <v>Korupsi</v>
          </cell>
          <cell r="M1909" t="str">
            <v>Kas Kanpus</v>
          </cell>
          <cell r="N1909" t="str">
            <v>Kas Kanpus</v>
          </cell>
          <cell r="O1909" t="str">
            <v>KAS KANPUS</v>
          </cell>
          <cell r="R1909" t="str">
            <v>Belum TL</v>
          </cell>
          <cell r="S1909" t="str">
            <v>Belum TL</v>
          </cell>
          <cell r="T1909" t="str">
            <v>00394520 - Frida Akbar Rani</v>
          </cell>
          <cell r="U1909" t="str">
            <v>"-"</v>
          </cell>
        </row>
        <row r="1910">
          <cell r="A1910">
            <v>46265</v>
          </cell>
          <cell r="B1910" t="str">
            <v xml:space="preserve">SUJADI                                  </v>
          </cell>
          <cell r="C1910" t="str">
            <v>SNAO578</v>
          </cell>
          <cell r="D1910">
            <v>308401021310100</v>
          </cell>
          <cell r="E1910" t="str">
            <v>SEDANG</v>
          </cell>
          <cell r="F1910" t="str">
            <v>Tidak</v>
          </cell>
          <cell r="G1910" t="str">
            <v>Tidak</v>
          </cell>
          <cell r="H1910" t="str">
            <v>Tidak</v>
          </cell>
          <cell r="I1910" t="str">
            <v>Korupsi - Loan View</v>
          </cell>
          <cell r="J1910">
            <v>48</v>
          </cell>
          <cell r="K1910">
            <v>15</v>
          </cell>
          <cell r="L1910" t="str">
            <v>Korupsi</v>
          </cell>
          <cell r="M1910" t="str">
            <v>Kas Kanpus</v>
          </cell>
          <cell r="N1910" t="str">
            <v>Kas Kanpus</v>
          </cell>
          <cell r="O1910" t="str">
            <v>KAS KANPUS</v>
          </cell>
          <cell r="R1910" t="str">
            <v>Belum TL</v>
          </cell>
          <cell r="S1910" t="str">
            <v>Belum TL</v>
          </cell>
          <cell r="T1910" t="str">
            <v>00394521 - Muhammad Hibbanduta</v>
          </cell>
          <cell r="U1910" t="str">
            <v>"-"</v>
          </cell>
        </row>
        <row r="1911">
          <cell r="A1911">
            <v>46265</v>
          </cell>
          <cell r="B1911" t="str">
            <v xml:space="preserve">SITI MARHANA                            </v>
          </cell>
          <cell r="C1911" t="str">
            <v>SNKR522</v>
          </cell>
          <cell r="D1911">
            <v>35201103491501</v>
          </cell>
          <cell r="E1911" t="str">
            <v>SEDANG</v>
          </cell>
          <cell r="F1911" t="str">
            <v>Tidak</v>
          </cell>
          <cell r="G1911" t="str">
            <v>Tidak</v>
          </cell>
          <cell r="H1911" t="str">
            <v>Tidak</v>
          </cell>
          <cell r="I1911" t="str">
            <v>Perikanan dan Kelautan</v>
          </cell>
          <cell r="J1911">
            <v>48</v>
          </cell>
          <cell r="K1911">
            <v>101</v>
          </cell>
          <cell r="L1911" t="str">
            <v>Perikanan dan Kelautan</v>
          </cell>
          <cell r="M1911" t="str">
            <v xml:space="preserve">KCP KOTA MERAUKE                        </v>
          </cell>
          <cell r="N1911" t="str">
            <v xml:space="preserve">KC Merauke                              </v>
          </cell>
          <cell r="O1911" t="str">
            <v xml:space="preserve">KANWIL JAYAPURA                         </v>
          </cell>
          <cell r="R1911" t="str">
            <v>Belum TL</v>
          </cell>
          <cell r="S1911" t="str">
            <v>Belum TL</v>
          </cell>
          <cell r="T1911" t="str">
            <v>00336949 - Mochammad Al Farabi</v>
          </cell>
          <cell r="U1911" t="str">
            <v>"-"</v>
          </cell>
        </row>
        <row r="1912">
          <cell r="A1912">
            <v>46256</v>
          </cell>
          <cell r="B1912" t="str">
            <v xml:space="preserve">SURYADI                                 </v>
          </cell>
          <cell r="C1912" t="str">
            <v>SNZP596</v>
          </cell>
          <cell r="D1912">
            <v>682801026545533</v>
          </cell>
          <cell r="E1912" t="str">
            <v>SEDANG</v>
          </cell>
          <cell r="F1912" t="str">
            <v>Tidak</v>
          </cell>
          <cell r="G1912" t="str">
            <v>Tidak</v>
          </cell>
          <cell r="I1912" t="str">
            <v>Teroris - Remark</v>
          </cell>
          <cell r="J1912">
            <v>168</v>
          </cell>
          <cell r="K1912">
            <v>50</v>
          </cell>
          <cell r="L1912" t="str">
            <v>Terorisme</v>
          </cell>
          <cell r="M1912" t="str">
            <v xml:space="preserve">Kas Kanpus                              </v>
          </cell>
          <cell r="N1912" t="str">
            <v xml:space="preserve">Kas Kanpus                              </v>
          </cell>
          <cell r="O1912" t="str">
            <v xml:space="preserve">KAS KANPUS                              </v>
          </cell>
          <cell r="R1912" t="str">
            <v>Belum TL</v>
          </cell>
          <cell r="S1912" t="str">
            <v>Belum TL</v>
          </cell>
          <cell r="T1912" t="str">
            <v>00394520 - Frida Akbar Rani</v>
          </cell>
          <cell r="U1912" t="str">
            <v>"-"</v>
          </cell>
        </row>
        <row r="1913">
          <cell r="A1913">
            <v>46265</v>
          </cell>
          <cell r="B1913" t="str">
            <v xml:space="preserve">STHEVEN TIUJI                           </v>
          </cell>
          <cell r="C1913" t="str">
            <v>SNZU691</v>
          </cell>
          <cell r="D1913">
            <v>4359720219930100</v>
          </cell>
          <cell r="E1913" t="str">
            <v>SEDANG</v>
          </cell>
          <cell r="F1913" t="str">
            <v>Tidak</v>
          </cell>
          <cell r="G1913" t="str">
            <v>Tidak</v>
          </cell>
          <cell r="H1913" t="str">
            <v>Tidak</v>
          </cell>
          <cell r="I1913" t="str">
            <v>Penghindaran Pajak (Transaksi Fiktif)/Penyuapan CC</v>
          </cell>
          <cell r="J1913">
            <v>45</v>
          </cell>
          <cell r="K1913">
            <v>118</v>
          </cell>
          <cell r="L1913" t="str">
            <v>Penyuapan / Penghindaran Pajak CC View</v>
          </cell>
          <cell r="M1913" t="str">
            <v xml:space="preserve">Kas Kanpus                              </v>
          </cell>
          <cell r="N1913" t="str">
            <v xml:space="preserve">Kas Kanpus                              </v>
          </cell>
          <cell r="O1913" t="str">
            <v xml:space="preserve">KAS KANPUS                              </v>
          </cell>
          <cell r="R1913" t="str">
            <v>Belum TL</v>
          </cell>
          <cell r="S1913" t="str">
            <v>Belum TL</v>
          </cell>
          <cell r="T1913" t="str">
            <v>90185537 - Moh.Khoerul Fajar Ar</v>
          </cell>
          <cell r="U1913" t="str">
            <v>"-"</v>
          </cell>
        </row>
        <row r="1914">
          <cell r="A1914">
            <v>46255</v>
          </cell>
          <cell r="B1914" t="str">
            <v xml:space="preserve">SHELLA PRIYANTI                         </v>
          </cell>
          <cell r="C1914" t="str">
            <v>SOQM428</v>
          </cell>
          <cell r="D1914">
            <v>456101027635531</v>
          </cell>
          <cell r="E1914" t="str">
            <v>SEDANG</v>
          </cell>
          <cell r="F1914" t="str">
            <v>Tidak</v>
          </cell>
          <cell r="G1914" t="str">
            <v>Tidak</v>
          </cell>
          <cell r="I1914" t="str">
            <v>Teroris - Remark</v>
          </cell>
          <cell r="J1914">
            <v>168</v>
          </cell>
          <cell r="K1914">
            <v>50</v>
          </cell>
          <cell r="L1914" t="str">
            <v>Terorisme</v>
          </cell>
          <cell r="M1914" t="str">
            <v xml:space="preserve">Kas Kanpus                              </v>
          </cell>
          <cell r="N1914" t="str">
            <v xml:space="preserve">Kas Kanpus                              </v>
          </cell>
          <cell r="O1914" t="str">
            <v xml:space="preserve">KAS KANPUS                              </v>
          </cell>
          <cell r="R1914" t="str">
            <v>Belum TL</v>
          </cell>
          <cell r="S1914" t="str">
            <v>Belum TL</v>
          </cell>
          <cell r="T1914" t="str">
            <v>00394520 - Frida Akbar Rani</v>
          </cell>
          <cell r="U1914" t="str">
            <v>"-"</v>
          </cell>
        </row>
        <row r="1915">
          <cell r="A1915">
            <v>46265</v>
          </cell>
          <cell r="B1915" t="str">
            <v xml:space="preserve">SUCI ELLYANI                            </v>
          </cell>
          <cell r="C1915" t="str">
            <v>SPJJ818</v>
          </cell>
          <cell r="D1915">
            <v>56901053244506</v>
          </cell>
          <cell r="E1915" t="str">
            <v>SEDANG</v>
          </cell>
          <cell r="F1915" t="str">
            <v>Tidak</v>
          </cell>
          <cell r="G1915" t="str">
            <v>Tidak</v>
          </cell>
          <cell r="H1915" t="str">
            <v>Tidak</v>
          </cell>
          <cell r="I1915" t="str">
            <v>Bandar Judol Withdrawal</v>
          </cell>
          <cell r="J1915">
            <v>50</v>
          </cell>
          <cell r="K1915" t="str">
            <v>86,88,87</v>
          </cell>
          <cell r="L1915" t="str">
            <v>Judi Online</v>
          </cell>
          <cell r="M1915" t="str">
            <v xml:space="preserve">Kas Kanpus                              </v>
          </cell>
          <cell r="N1915" t="str">
            <v xml:space="preserve">Kas Kanpus                              </v>
          </cell>
          <cell r="O1915" t="str">
            <v xml:space="preserve">KAS KANPUS                              </v>
          </cell>
          <cell r="R1915" t="str">
            <v>Belum TL</v>
          </cell>
          <cell r="S1915" t="str">
            <v>Belum TL</v>
          </cell>
          <cell r="T1915" t="str">
            <v>90170665 - Mutiara Ayuningtyas</v>
          </cell>
          <cell r="U1915" t="str">
            <v>"-"</v>
          </cell>
        </row>
        <row r="1916">
          <cell r="A1916">
            <v>46265</v>
          </cell>
          <cell r="B1916" t="str">
            <v xml:space="preserve">SARILING ANEKA ENERGI                   </v>
          </cell>
          <cell r="C1916" t="str">
            <v>SPXP288</v>
          </cell>
          <cell r="D1916">
            <v>43801000599155</v>
          </cell>
          <cell r="E1916" t="str">
            <v>SEDANG</v>
          </cell>
          <cell r="F1916" t="str">
            <v>Tidak</v>
          </cell>
          <cell r="G1916" t="str">
            <v>Tidak</v>
          </cell>
          <cell r="H1916" t="str">
            <v>Tidak</v>
          </cell>
          <cell r="I1916" t="str">
            <v>Korupsi - Loan View</v>
          </cell>
          <cell r="J1916">
            <v>48</v>
          </cell>
          <cell r="K1916">
            <v>15</v>
          </cell>
          <cell r="L1916" t="str">
            <v>Korupsi</v>
          </cell>
          <cell r="M1916" t="str">
            <v>Kas Kanpus</v>
          </cell>
          <cell r="N1916" t="str">
            <v>Kas Kanpus</v>
          </cell>
          <cell r="O1916" t="str">
            <v>KAS KANPUS</v>
          </cell>
          <cell r="R1916" t="str">
            <v>Belum TL</v>
          </cell>
          <cell r="S1916" t="str">
            <v>Belum TL</v>
          </cell>
          <cell r="T1916" t="str">
            <v>90171841 - Rifqi Aziz</v>
          </cell>
          <cell r="U1916" t="str">
            <v>"-"</v>
          </cell>
        </row>
        <row r="1917">
          <cell r="A1917">
            <v>46262</v>
          </cell>
          <cell r="B1917" t="str">
            <v xml:space="preserve">SITI AISAH                              </v>
          </cell>
          <cell r="C1917" t="str">
            <v>SRCG476</v>
          </cell>
          <cell r="D1917">
            <v>639201010956531</v>
          </cell>
          <cell r="E1917" t="str">
            <v>SEDANG</v>
          </cell>
          <cell r="F1917" t="str">
            <v>Tidak</v>
          </cell>
          <cell r="G1917" t="str">
            <v>Tidak</v>
          </cell>
          <cell r="I1917" t="str">
            <v>Teroris - Remark</v>
          </cell>
          <cell r="J1917">
            <v>168</v>
          </cell>
          <cell r="K1917">
            <v>50</v>
          </cell>
          <cell r="L1917" t="str">
            <v>Terorisme</v>
          </cell>
          <cell r="M1917" t="str">
            <v xml:space="preserve">Kas Kanpus                              </v>
          </cell>
          <cell r="N1917" t="str">
            <v xml:space="preserve">Kas Kanpus                              </v>
          </cell>
          <cell r="O1917" t="str">
            <v xml:space="preserve">KAS KANPUS                              </v>
          </cell>
          <cell r="R1917" t="str">
            <v>Belum TL</v>
          </cell>
          <cell r="S1917" t="str">
            <v>Belum TL</v>
          </cell>
          <cell r="T1917" t="str">
            <v>00394520 - Frida Akbar Rani</v>
          </cell>
          <cell r="U1917" t="str">
            <v>"-"</v>
          </cell>
        </row>
        <row r="1918">
          <cell r="A1918">
            <v>46265</v>
          </cell>
          <cell r="B1918" t="str">
            <v xml:space="preserve">ST BERWARD K KERAF                      </v>
          </cell>
          <cell r="C1918" t="str">
            <v>SRDZ881</v>
          </cell>
          <cell r="D1918">
            <v>468201013361106</v>
          </cell>
          <cell r="E1918" t="str">
            <v>RENDAH</v>
          </cell>
          <cell r="F1918" t="str">
            <v>Tidak</v>
          </cell>
          <cell r="G1918" t="str">
            <v>Tidak</v>
          </cell>
          <cell r="H1918" t="str">
            <v>Tidak</v>
          </cell>
          <cell r="I1918" t="str">
            <v>Korupsi - Loan View</v>
          </cell>
          <cell r="J1918">
            <v>38</v>
          </cell>
          <cell r="K1918">
            <v>15</v>
          </cell>
          <cell r="L1918" t="str">
            <v>Korupsi</v>
          </cell>
          <cell r="M1918" t="str">
            <v>Kas Kanpus</v>
          </cell>
          <cell r="N1918" t="str">
            <v>Kas Kanpus</v>
          </cell>
          <cell r="O1918" t="str">
            <v>KAS KANPUS</v>
          </cell>
          <cell r="R1918" t="str">
            <v>Belum TL</v>
          </cell>
          <cell r="S1918" t="str">
            <v>Belum TL</v>
          </cell>
          <cell r="T1918" t="str">
            <v>90185537 - Moh.Khoerul Fajar Ar</v>
          </cell>
          <cell r="U1918" t="str">
            <v>"-"</v>
          </cell>
        </row>
        <row r="1919">
          <cell r="A1919">
            <v>46265</v>
          </cell>
          <cell r="B1919" t="str">
            <v xml:space="preserve">SURYA MUMU KURNIA ABADI                 </v>
          </cell>
          <cell r="C1919" t="str">
            <v>SREC681</v>
          </cell>
          <cell r="D1919">
            <v>38401004266103</v>
          </cell>
          <cell r="E1919" t="str">
            <v>SEDANG</v>
          </cell>
          <cell r="F1919" t="str">
            <v>Tidak</v>
          </cell>
          <cell r="G1919" t="str">
            <v>Tidak</v>
          </cell>
          <cell r="H1919" t="str">
            <v>Tidak</v>
          </cell>
          <cell r="I1919" t="str">
            <v>Korupsi - Loan View</v>
          </cell>
          <cell r="J1919">
            <v>48</v>
          </cell>
          <cell r="K1919">
            <v>15</v>
          </cell>
          <cell r="L1919" t="str">
            <v>Korupsi</v>
          </cell>
          <cell r="M1919" t="str">
            <v>Kas Kanpus</v>
          </cell>
          <cell r="N1919" t="str">
            <v>Kas Kanpus</v>
          </cell>
          <cell r="O1919" t="str">
            <v>KAS KANPUS</v>
          </cell>
          <cell r="R1919" t="str">
            <v>Belum TL</v>
          </cell>
          <cell r="S1919" t="str">
            <v>Belum TL</v>
          </cell>
          <cell r="T1919" t="str">
            <v>90150130 - Intan Aida Pratiwi</v>
          </cell>
          <cell r="U1919" t="str">
            <v>"-"</v>
          </cell>
        </row>
        <row r="1920">
          <cell r="A1920">
            <v>46265</v>
          </cell>
          <cell r="B1920" t="str">
            <v xml:space="preserve">STEVEN                                  </v>
          </cell>
          <cell r="C1920" t="str">
            <v>SRFI605</v>
          </cell>
          <cell r="D1920">
            <v>4359650300933100</v>
          </cell>
          <cell r="E1920" t="str">
            <v>RENDAH</v>
          </cell>
          <cell r="F1920" t="str">
            <v>Tidak</v>
          </cell>
          <cell r="G1920" t="str">
            <v>Tidak</v>
          </cell>
          <cell r="H1920" t="str">
            <v>Tidak</v>
          </cell>
          <cell r="I1920" t="str">
            <v>Penghindaran Pajak (Transaksi Fiktif)/Penyuapan CC</v>
          </cell>
          <cell r="J1920">
            <v>30</v>
          </cell>
          <cell r="K1920">
            <v>118</v>
          </cell>
          <cell r="L1920" t="str">
            <v>Penyuapan / Penghindaran Pajak CC View</v>
          </cell>
          <cell r="M1920" t="str">
            <v xml:space="preserve">Kas Kanpus                              </v>
          </cell>
          <cell r="N1920" t="str">
            <v xml:space="preserve">Kas Kanpus                              </v>
          </cell>
          <cell r="O1920" t="str">
            <v xml:space="preserve">KAS KANPUS                              </v>
          </cell>
          <cell r="R1920" t="str">
            <v>Belum TL</v>
          </cell>
          <cell r="S1920" t="str">
            <v>Belum TL</v>
          </cell>
          <cell r="T1920" t="str">
            <v>90186790 - Muhammad Alfin Farha</v>
          </cell>
          <cell r="U1920" t="str">
            <v>"-"</v>
          </cell>
        </row>
        <row r="1921">
          <cell r="A1921">
            <v>46265</v>
          </cell>
          <cell r="B1921" t="str">
            <v xml:space="preserve">SHEILLA NURSHEIHA                       </v>
          </cell>
          <cell r="C1921" t="str">
            <v>SRNS481</v>
          </cell>
          <cell r="D1921">
            <v>4359720225962600</v>
          </cell>
          <cell r="E1921" t="str">
            <v>SEDANG</v>
          </cell>
          <cell r="F1921" t="str">
            <v>Tidak</v>
          </cell>
          <cell r="G1921" t="str">
            <v>Tidak</v>
          </cell>
          <cell r="H1921" t="str">
            <v>Tidak</v>
          </cell>
          <cell r="I1921" t="str">
            <v>Penghindaran Pajak (Transaksi Fiktif)/Penyuapan CC</v>
          </cell>
          <cell r="J1921">
            <v>45</v>
          </cell>
          <cell r="K1921">
            <v>118</v>
          </cell>
          <cell r="L1921" t="str">
            <v>Penyuapan / Penghindaran Pajak CC View</v>
          </cell>
          <cell r="M1921" t="str">
            <v xml:space="preserve">Kas Kanpus                              </v>
          </cell>
          <cell r="N1921" t="str">
            <v xml:space="preserve">Kas Kanpus                              </v>
          </cell>
          <cell r="O1921" t="str">
            <v xml:space="preserve">KAS KANPUS                              </v>
          </cell>
          <cell r="R1921" t="str">
            <v>Belum TL</v>
          </cell>
          <cell r="S1921" t="str">
            <v>Belum TL</v>
          </cell>
          <cell r="T1921" t="str">
            <v>00394520 - Frida Akbar Rani</v>
          </cell>
          <cell r="U1921" t="str">
            <v>"-"</v>
          </cell>
        </row>
        <row r="1922">
          <cell r="A1922">
            <v>46265</v>
          </cell>
          <cell r="B1922" t="str">
            <v xml:space="preserve">SRIYATI                                 </v>
          </cell>
          <cell r="C1922" t="str">
            <v>SRV0386</v>
          </cell>
          <cell r="D1922">
            <v>558901029838538</v>
          </cell>
          <cell r="E1922" t="str">
            <v>SEDANG</v>
          </cell>
          <cell r="F1922" t="str">
            <v>Ya</v>
          </cell>
          <cell r="G1922" t="str">
            <v>Tidak</v>
          </cell>
          <cell r="H1922" t="str">
            <v>Tidak</v>
          </cell>
          <cell r="I1922" t="str">
            <v>Pencurian Rekening</v>
          </cell>
          <cell r="J1922">
            <v>46</v>
          </cell>
          <cell r="K1922">
            <v>58</v>
          </cell>
          <cell r="L1922" t="str">
            <v>Perbankan</v>
          </cell>
          <cell r="M1922" t="str">
            <v xml:space="preserve">KC BANDA ACEH CUT MEUTIA                </v>
          </cell>
          <cell r="N1922" t="str">
            <v xml:space="preserve">KANWIL Medan                            </v>
          </cell>
          <cell r="O1922" t="str">
            <v xml:space="preserve">Medan                                   </v>
          </cell>
          <cell r="R1922" t="str">
            <v>Belum TL</v>
          </cell>
          <cell r="S1922" t="str">
            <v>Belum TL</v>
          </cell>
          <cell r="T1922" t="str">
            <v>00394520 - Frida Akbar Rani</v>
          </cell>
          <cell r="U1922" t="str">
            <v>"-"</v>
          </cell>
        </row>
        <row r="1923">
          <cell r="A1923">
            <v>46265</v>
          </cell>
          <cell r="B1923" t="str">
            <v xml:space="preserve">SAOR PARULIAN SAMOSIR                   </v>
          </cell>
          <cell r="C1923" t="str">
            <v>SSCH544</v>
          </cell>
          <cell r="D1923">
            <v>107901002180563</v>
          </cell>
          <cell r="E1923" t="str">
            <v>SEDANG</v>
          </cell>
          <cell r="F1923" t="str">
            <v>Tidak</v>
          </cell>
          <cell r="G1923" t="str">
            <v>Tidak</v>
          </cell>
          <cell r="H1923" t="str">
            <v>Tidak</v>
          </cell>
          <cell r="I1923" t="str">
            <v>Perpajakan</v>
          </cell>
          <cell r="J1923">
            <v>60</v>
          </cell>
          <cell r="K1923">
            <v>1.33</v>
          </cell>
          <cell r="L1923" t="str">
            <v>Perpajakan</v>
          </cell>
          <cell r="M1923" t="str">
            <v xml:space="preserve">KC Pekanbaru Lancang Kuning             </v>
          </cell>
          <cell r="N1923" t="str">
            <v xml:space="preserve">KC Pekanbaru Lancang Kuning             </v>
          </cell>
          <cell r="O1923" t="str">
            <v xml:space="preserve">KANWIL PEKANBARU                        </v>
          </cell>
          <cell r="R1923" t="str">
            <v>Belum TL</v>
          </cell>
          <cell r="S1923" t="str">
            <v>Belum TL</v>
          </cell>
          <cell r="T1923" t="str">
            <v>90150130 - Intan Aida Pratiwi</v>
          </cell>
          <cell r="U1923" t="str">
            <v>"-"</v>
          </cell>
        </row>
        <row r="1924">
          <cell r="A1924">
            <v>46265</v>
          </cell>
          <cell r="B1924" t="str">
            <v xml:space="preserve">SYAYURITA                               </v>
          </cell>
          <cell r="C1924" t="str">
            <v>SSHD790</v>
          </cell>
          <cell r="D1924">
            <v>108601028633503</v>
          </cell>
          <cell r="E1924" t="str">
            <v>SEDANG</v>
          </cell>
          <cell r="F1924" t="str">
            <v>Tidak</v>
          </cell>
          <cell r="G1924" t="str">
            <v>Tidak</v>
          </cell>
          <cell r="H1924" t="str">
            <v>Tidak</v>
          </cell>
          <cell r="I1924" t="str">
            <v>Bandar Judol Withdrawal</v>
          </cell>
          <cell r="J1924">
            <v>50</v>
          </cell>
          <cell r="K1924" t="str">
            <v>86,88,87</v>
          </cell>
          <cell r="L1924" t="str">
            <v>Judi Online</v>
          </cell>
          <cell r="M1924" t="str">
            <v xml:space="preserve">Kas Kanpus                              </v>
          </cell>
          <cell r="N1924" t="str">
            <v xml:space="preserve">Kas Kanpus                              </v>
          </cell>
          <cell r="O1924" t="str">
            <v xml:space="preserve">KAS KANPUS                              </v>
          </cell>
          <cell r="R1924" t="str">
            <v>Belum TL</v>
          </cell>
          <cell r="S1924" t="str">
            <v>Belum TL</v>
          </cell>
          <cell r="T1924" t="str">
            <v>90170665 - Mutiara Ayuningtyas</v>
          </cell>
          <cell r="U1924" t="str">
            <v>"-"</v>
          </cell>
        </row>
        <row r="1925">
          <cell r="A1925">
            <v>46265</v>
          </cell>
          <cell r="B1925" t="str">
            <v xml:space="preserve">SURYADI                                 </v>
          </cell>
          <cell r="C1925" t="str">
            <v>SSRR287</v>
          </cell>
          <cell r="D1925">
            <v>38501050544503</v>
          </cell>
          <cell r="E1925" t="str">
            <v>SEDANG</v>
          </cell>
          <cell r="F1925" t="str">
            <v>Tidak</v>
          </cell>
          <cell r="G1925" t="str">
            <v>Tidak</v>
          </cell>
          <cell r="H1925" t="str">
            <v>Tidak</v>
          </cell>
          <cell r="I1925" t="str">
            <v>Bandar Judol Withdrawal</v>
          </cell>
          <cell r="J1925">
            <v>50</v>
          </cell>
          <cell r="K1925" t="str">
            <v>86,88,87</v>
          </cell>
          <cell r="L1925" t="str">
            <v>Judi Online</v>
          </cell>
          <cell r="M1925" t="str">
            <v xml:space="preserve">Kas Kanpus                              </v>
          </cell>
          <cell r="N1925" t="str">
            <v xml:space="preserve">Kas Kanpus                              </v>
          </cell>
          <cell r="O1925" t="str">
            <v xml:space="preserve">KAS KANPUS                              </v>
          </cell>
          <cell r="R1925" t="str">
            <v>Belum TL</v>
          </cell>
          <cell r="S1925" t="str">
            <v>Belum TL</v>
          </cell>
          <cell r="T1925" t="str">
            <v>90170665 - Mutiara Ayuningtyas</v>
          </cell>
          <cell r="U1925" t="str">
            <v>"-"</v>
          </cell>
        </row>
        <row r="1926">
          <cell r="A1926">
            <v>46265</v>
          </cell>
          <cell r="B1926" t="str">
            <v xml:space="preserve">SIGIT PRASETYO, SH                      </v>
          </cell>
          <cell r="C1926" t="str">
            <v>SQNJ810</v>
          </cell>
          <cell r="D1926">
            <v>616901024768101</v>
          </cell>
          <cell r="E1926" t="str">
            <v>SEDANG</v>
          </cell>
          <cell r="F1926" t="str">
            <v>Tidak</v>
          </cell>
          <cell r="G1926" t="str">
            <v>Tidak</v>
          </cell>
          <cell r="H1926" t="str">
            <v>Tidak</v>
          </cell>
          <cell r="I1926" t="str">
            <v>Korupsi - Loan View</v>
          </cell>
          <cell r="J1926">
            <v>48</v>
          </cell>
          <cell r="K1926">
            <v>15</v>
          </cell>
          <cell r="L1926" t="str">
            <v>Korupsi</v>
          </cell>
          <cell r="M1926" t="str">
            <v>Kas Kanpus</v>
          </cell>
          <cell r="N1926" t="str">
            <v>Kas Kanpus</v>
          </cell>
          <cell r="O1926" t="str">
            <v>KAS KANPUS</v>
          </cell>
          <cell r="R1926" t="str">
            <v>Belum TL</v>
          </cell>
          <cell r="S1926" t="str">
            <v>Belum TL</v>
          </cell>
          <cell r="T1926" t="str">
            <v>00394521 - Muhammad Hibbanduta</v>
          </cell>
          <cell r="U1926" t="str">
            <v>"-"</v>
          </cell>
        </row>
        <row r="1927">
          <cell r="A1927">
            <v>46265</v>
          </cell>
          <cell r="B1927" t="str">
            <v xml:space="preserve">SRIKANDI BERSAUDARA                     </v>
          </cell>
          <cell r="C1927" t="str">
            <v>STGB029</v>
          </cell>
          <cell r="D1927">
            <v>44301000289151</v>
          </cell>
          <cell r="E1927" t="str">
            <v>SEDANG</v>
          </cell>
          <cell r="F1927" t="str">
            <v>Tidak</v>
          </cell>
          <cell r="G1927" t="str">
            <v>Tidak</v>
          </cell>
          <cell r="H1927" t="str">
            <v>Tidak</v>
          </cell>
          <cell r="I1927" t="str">
            <v>Korupsi - Loan View</v>
          </cell>
          <cell r="J1927">
            <v>48</v>
          </cell>
          <cell r="K1927">
            <v>15</v>
          </cell>
          <cell r="L1927" t="str">
            <v>Korupsi</v>
          </cell>
          <cell r="M1927" t="str">
            <v>Kas Kanpus</v>
          </cell>
          <cell r="N1927" t="str">
            <v>Kas Kanpus</v>
          </cell>
          <cell r="O1927" t="str">
            <v>KAS KANPUS</v>
          </cell>
          <cell r="R1927" t="str">
            <v>Belum TL</v>
          </cell>
          <cell r="S1927" t="str">
            <v>Belum TL</v>
          </cell>
          <cell r="T1927" t="str">
            <v>90186796 - Devito Arya Wiradila</v>
          </cell>
          <cell r="U1927" t="str">
            <v>"-"</v>
          </cell>
        </row>
        <row r="1928">
          <cell r="A1928">
            <v>46265</v>
          </cell>
          <cell r="B1928" t="str">
            <v xml:space="preserve">SEHATI JAYA PERKASA                     </v>
          </cell>
          <cell r="C1928" t="str">
            <v>STIA803</v>
          </cell>
          <cell r="D1928">
            <v>18401502021158</v>
          </cell>
          <cell r="E1928" t="str">
            <v>SEDANG</v>
          </cell>
          <cell r="F1928" t="str">
            <v>Tidak</v>
          </cell>
          <cell r="G1928" t="str">
            <v>Tidak</v>
          </cell>
          <cell r="H1928" t="str">
            <v>Tidak</v>
          </cell>
          <cell r="I1928" t="str">
            <v>Korupsi - Loan View</v>
          </cell>
          <cell r="J1928">
            <v>48</v>
          </cell>
          <cell r="K1928">
            <v>15</v>
          </cell>
          <cell r="L1928" t="str">
            <v>Korupsi</v>
          </cell>
          <cell r="M1928" t="str">
            <v>Kas Kanpus</v>
          </cell>
          <cell r="N1928" t="str">
            <v>Kas Kanpus</v>
          </cell>
          <cell r="O1928" t="str">
            <v>KAS KANPUS</v>
          </cell>
          <cell r="R1928" t="str">
            <v>Belum TL</v>
          </cell>
          <cell r="S1928" t="str">
            <v>Belum TL</v>
          </cell>
          <cell r="T1928" t="str">
            <v>90185538 - Muhammad Fahikal Auz</v>
          </cell>
          <cell r="U1928" t="str">
            <v>"-"</v>
          </cell>
        </row>
        <row r="1929">
          <cell r="A1929">
            <v>46257</v>
          </cell>
          <cell r="B1929" t="str">
            <v xml:space="preserve">SRI HARWATI                             </v>
          </cell>
          <cell r="C1929" t="str">
            <v>SUER364</v>
          </cell>
          <cell r="D1929">
            <v>60401035800506</v>
          </cell>
          <cell r="E1929" t="str">
            <v>SEDANG</v>
          </cell>
          <cell r="F1929" t="str">
            <v>Tidak</v>
          </cell>
          <cell r="G1929" t="str">
            <v>Tidak</v>
          </cell>
          <cell r="I1929" t="str">
            <v>Teroris - Remark</v>
          </cell>
          <cell r="J1929">
            <v>173</v>
          </cell>
          <cell r="K1929">
            <v>50</v>
          </cell>
          <cell r="L1929" t="str">
            <v>Terorisme</v>
          </cell>
          <cell r="M1929" t="str">
            <v xml:space="preserve">Kas Kanpus                              </v>
          </cell>
          <cell r="N1929" t="str">
            <v xml:space="preserve">Kas Kanpus                              </v>
          </cell>
          <cell r="O1929" t="str">
            <v xml:space="preserve">KAS KANPUS                              </v>
          </cell>
          <cell r="R1929" t="str">
            <v>Belum TL</v>
          </cell>
          <cell r="S1929" t="str">
            <v>Belum TL</v>
          </cell>
          <cell r="T1929" t="str">
            <v>00394520 - Frida Akbar Rani</v>
          </cell>
          <cell r="U1929" t="str">
            <v>"-"</v>
          </cell>
        </row>
        <row r="1930">
          <cell r="A1930">
            <v>46265</v>
          </cell>
          <cell r="B1930" t="str">
            <v xml:space="preserve">SLAMET SUGIONO                          </v>
          </cell>
          <cell r="C1930" t="str">
            <v>SVBK145</v>
          </cell>
          <cell r="D1930">
            <v>21101087864505</v>
          </cell>
          <cell r="E1930" t="str">
            <v>SEDANG</v>
          </cell>
          <cell r="F1930" t="str">
            <v>Tidak</v>
          </cell>
          <cell r="G1930" t="str">
            <v>Tidak</v>
          </cell>
          <cell r="H1930" t="str">
            <v>Tidak</v>
          </cell>
          <cell r="I1930" t="str">
            <v>Bandar Judol Withdrawal</v>
          </cell>
          <cell r="J1930">
            <v>50</v>
          </cell>
          <cell r="K1930" t="str">
            <v>86,88,87</v>
          </cell>
          <cell r="L1930" t="str">
            <v>Judi Online</v>
          </cell>
          <cell r="M1930" t="str">
            <v xml:space="preserve">Kas Kanpus                              </v>
          </cell>
          <cell r="N1930" t="str">
            <v xml:space="preserve">Kas Kanpus                              </v>
          </cell>
          <cell r="O1930" t="str">
            <v xml:space="preserve">KAS KANPUS                              </v>
          </cell>
          <cell r="R1930" t="str">
            <v>Belum TL</v>
          </cell>
          <cell r="S1930" t="str">
            <v>Belum TL</v>
          </cell>
          <cell r="T1930" t="str">
            <v>90186796 - Devito Arya Wiradila</v>
          </cell>
          <cell r="U1930" t="str">
            <v>"-"</v>
          </cell>
        </row>
        <row r="1931">
          <cell r="A1931">
            <v>46265</v>
          </cell>
          <cell r="B1931" t="str">
            <v xml:space="preserve">SAPRUDIN                                </v>
          </cell>
          <cell r="C1931" t="str">
            <v>SW51182</v>
          </cell>
          <cell r="D1931">
            <v>19101502331156</v>
          </cell>
          <cell r="E1931" t="str">
            <v>TINGGI</v>
          </cell>
          <cell r="F1931" t="str">
            <v>Tidak</v>
          </cell>
          <cell r="G1931" t="str">
            <v>Tidak</v>
          </cell>
          <cell r="H1931" t="str">
            <v>Tidak</v>
          </cell>
          <cell r="I1931" t="str">
            <v>Korupsi - Loan View</v>
          </cell>
          <cell r="J1931">
            <v>63</v>
          </cell>
          <cell r="K1931">
            <v>15</v>
          </cell>
          <cell r="L1931" t="str">
            <v>Korupsi</v>
          </cell>
          <cell r="M1931" t="str">
            <v>Kas Kanpus</v>
          </cell>
          <cell r="N1931" t="str">
            <v>Kas Kanpus</v>
          </cell>
          <cell r="O1931" t="str">
            <v>KAS KANPUS</v>
          </cell>
          <cell r="R1931" t="str">
            <v>Belum TL</v>
          </cell>
          <cell r="S1931" t="str">
            <v>Belum TL</v>
          </cell>
          <cell r="T1931" t="str">
            <v>90150130 - Intan Aida Pratiwi</v>
          </cell>
          <cell r="U1931" t="str">
            <v>"-"</v>
          </cell>
        </row>
        <row r="1932">
          <cell r="A1932">
            <v>46265</v>
          </cell>
          <cell r="B1932" t="str">
            <v xml:space="preserve">SEPTI INDRIYANI                         </v>
          </cell>
          <cell r="C1932" t="str">
            <v>SWYW625</v>
          </cell>
          <cell r="D1932">
            <v>5901212646500</v>
          </cell>
          <cell r="F1932" t="str">
            <v>Tidak</v>
          </cell>
          <cell r="G1932" t="str">
            <v>Tidak</v>
          </cell>
          <cell r="I1932" t="str">
            <v>Jual Beli Rekening - E channel Trx</v>
          </cell>
          <cell r="J1932">
            <v>33</v>
          </cell>
          <cell r="K1932">
            <v>113</v>
          </cell>
          <cell r="L1932" t="str">
            <v>Narkotika/Judi Online/Penipuan</v>
          </cell>
          <cell r="M1932" t="str">
            <v xml:space="preserve">KC Palembang A. Rivai                   </v>
          </cell>
          <cell r="N1932" t="str">
            <v xml:space="preserve">KC Palembang A. Rivai                   </v>
          </cell>
          <cell r="O1932" t="str">
            <v xml:space="preserve">Palembang                               </v>
          </cell>
          <cell r="R1932" t="str">
            <v>Belum TL</v>
          </cell>
          <cell r="S1932" t="str">
            <v>Belum TL</v>
          </cell>
          <cell r="U1932" t="str">
            <v>"-"</v>
          </cell>
        </row>
        <row r="1933">
          <cell r="A1933">
            <v>46265</v>
          </cell>
          <cell r="B1933" t="str">
            <v xml:space="preserve">SUMBER SEGARA PRIMADAYA                 </v>
          </cell>
          <cell r="C1933" t="str">
            <v>SXC9474</v>
          </cell>
          <cell r="D1933">
            <v>20601501121151</v>
          </cell>
          <cell r="E1933" t="str">
            <v>SEDANG</v>
          </cell>
          <cell r="F1933" t="str">
            <v>Tidak</v>
          </cell>
          <cell r="G1933" t="str">
            <v>Tidak</v>
          </cell>
          <cell r="H1933" t="str">
            <v>Tidak</v>
          </cell>
          <cell r="I1933" t="str">
            <v>Korupsi - Loan View</v>
          </cell>
          <cell r="J1933">
            <v>48</v>
          </cell>
          <cell r="K1933">
            <v>15</v>
          </cell>
          <cell r="L1933" t="str">
            <v>Korupsi</v>
          </cell>
          <cell r="M1933" t="str">
            <v>Kas Kanpus</v>
          </cell>
          <cell r="N1933" t="str">
            <v>Kas Kanpus</v>
          </cell>
          <cell r="O1933" t="str">
            <v>KAS KANPUS</v>
          </cell>
          <cell r="R1933" t="str">
            <v>Belum TL</v>
          </cell>
          <cell r="S1933" t="str">
            <v>Belum TL</v>
          </cell>
          <cell r="T1933" t="str">
            <v>90171841 - Rifqi Aziz</v>
          </cell>
          <cell r="U1933" t="str">
            <v>"-"</v>
          </cell>
        </row>
        <row r="1934">
          <cell r="A1934">
            <v>46265</v>
          </cell>
          <cell r="B1934" t="str">
            <v xml:space="preserve">SUSILOWATI                              </v>
          </cell>
          <cell r="C1934" t="str">
            <v>SXLR563</v>
          </cell>
          <cell r="D1934">
            <v>4359720232735500</v>
          </cell>
          <cell r="E1934" t="str">
            <v>SEDANG</v>
          </cell>
          <cell r="F1934" t="str">
            <v>Tidak</v>
          </cell>
          <cell r="G1934" t="str">
            <v>Tidak</v>
          </cell>
          <cell r="H1934" t="str">
            <v>Tidak</v>
          </cell>
          <cell r="I1934" t="str">
            <v>Penyuapan - CC View</v>
          </cell>
          <cell r="J1934">
            <v>45</v>
          </cell>
          <cell r="K1934">
            <v>16.170000000000002</v>
          </cell>
          <cell r="L1934" t="str">
            <v>Penyuapan</v>
          </cell>
          <cell r="M1934" t="str">
            <v xml:space="preserve">Kas Kanpus                              </v>
          </cell>
          <cell r="N1934" t="str">
            <v xml:space="preserve">Kas Kanpus                              </v>
          </cell>
          <cell r="O1934" t="str">
            <v xml:space="preserve">KAS KANPUS                              </v>
          </cell>
          <cell r="R1934" t="str">
            <v>Belum TL</v>
          </cell>
          <cell r="S1934" t="str">
            <v>Belum TL</v>
          </cell>
          <cell r="T1934" t="str">
            <v>90185537 - Moh.Khoerul Fajar Ar</v>
          </cell>
          <cell r="U1934" t="str">
            <v>"-"</v>
          </cell>
        </row>
        <row r="1935">
          <cell r="A1935">
            <v>46265</v>
          </cell>
          <cell r="B1935" t="str">
            <v xml:space="preserve">SUSILOWATI                              </v>
          </cell>
          <cell r="C1935" t="str">
            <v>SXLR563</v>
          </cell>
          <cell r="D1935">
            <v>4359720232735500</v>
          </cell>
          <cell r="E1935" t="str">
            <v>SEDANG</v>
          </cell>
          <cell r="F1935" t="str">
            <v>Tidak</v>
          </cell>
          <cell r="G1935" t="str">
            <v>Tidak</v>
          </cell>
          <cell r="H1935" t="str">
            <v>Tidak</v>
          </cell>
          <cell r="I1935" t="str">
            <v>Penghindaran Pajak (Transaksi Fiktif)/Penyuapan CC</v>
          </cell>
          <cell r="J1935">
            <v>45</v>
          </cell>
          <cell r="K1935">
            <v>118</v>
          </cell>
          <cell r="L1935" t="str">
            <v>Penyuapan / Penghindaran Pajak CC View</v>
          </cell>
          <cell r="M1935" t="str">
            <v xml:space="preserve">Kas Kanpus                              </v>
          </cell>
          <cell r="N1935" t="str">
            <v xml:space="preserve">Kas Kanpus                              </v>
          </cell>
          <cell r="O1935" t="str">
            <v xml:space="preserve">KAS KANPUS                              </v>
          </cell>
          <cell r="R1935" t="str">
            <v>Belum TL</v>
          </cell>
          <cell r="S1935" t="str">
            <v>Belum TL</v>
          </cell>
          <cell r="T1935" t="str">
            <v>00336949 - Mochammad Al Farabi</v>
          </cell>
          <cell r="U1935" t="str">
            <v>"-"</v>
          </cell>
        </row>
        <row r="1936">
          <cell r="A1936">
            <v>46265</v>
          </cell>
          <cell r="B1936" t="str">
            <v xml:space="preserve">SUGENG PRIYONO                          </v>
          </cell>
          <cell r="C1936" t="str">
            <v>SXN0378</v>
          </cell>
          <cell r="D1936">
            <v>42101000753156</v>
          </cell>
          <cell r="E1936" t="str">
            <v>TINGGI</v>
          </cell>
          <cell r="F1936" t="str">
            <v>Tidak</v>
          </cell>
          <cell r="G1936" t="str">
            <v>Tidak</v>
          </cell>
          <cell r="H1936" t="str">
            <v>Tidak</v>
          </cell>
          <cell r="I1936" t="str">
            <v>Korupsi - Loan View</v>
          </cell>
          <cell r="J1936">
            <v>68</v>
          </cell>
          <cell r="K1936">
            <v>15</v>
          </cell>
          <cell r="L1936" t="str">
            <v>Korupsi</v>
          </cell>
          <cell r="M1936" t="str">
            <v>Kas Kanpus</v>
          </cell>
          <cell r="N1936" t="str">
            <v>Kas Kanpus</v>
          </cell>
          <cell r="O1936" t="str">
            <v>KAS KANPUS</v>
          </cell>
          <cell r="R1936" t="str">
            <v>Belum TL</v>
          </cell>
          <cell r="S1936" t="str">
            <v>Belum TL</v>
          </cell>
          <cell r="T1936" t="str">
            <v>90171841 - Rifqi Aziz</v>
          </cell>
          <cell r="U1936" t="str">
            <v>"-"</v>
          </cell>
        </row>
        <row r="1937">
          <cell r="A1937">
            <v>46265</v>
          </cell>
          <cell r="B1937" t="str">
            <v xml:space="preserve">SALMAN ALFARIZI                         </v>
          </cell>
          <cell r="C1937" t="str">
            <v>SXQV433</v>
          </cell>
          <cell r="D1937">
            <v>6501003680560</v>
          </cell>
          <cell r="E1937" t="str">
            <v>SEDANG</v>
          </cell>
          <cell r="F1937" t="str">
            <v>Tidak</v>
          </cell>
          <cell r="G1937" t="str">
            <v>Tidak</v>
          </cell>
          <cell r="H1937" t="str">
            <v>Tidak</v>
          </cell>
          <cell r="I1937" t="str">
            <v>Bandar Judol Withdrawal</v>
          </cell>
          <cell r="J1937">
            <v>50</v>
          </cell>
          <cell r="K1937" t="str">
            <v>86,88,87</v>
          </cell>
          <cell r="L1937" t="str">
            <v>Judi Online</v>
          </cell>
          <cell r="M1937" t="str">
            <v xml:space="preserve">Kas Kanpus                              </v>
          </cell>
          <cell r="N1937" t="str">
            <v xml:space="preserve">Kas Kanpus                              </v>
          </cell>
          <cell r="O1937" t="str">
            <v xml:space="preserve">KAS KANPUS                              </v>
          </cell>
          <cell r="R1937" t="str">
            <v>Belum TL</v>
          </cell>
          <cell r="S1937" t="str">
            <v>Belum TL</v>
          </cell>
          <cell r="T1937" t="str">
            <v>00336949 - Mochammad Al Farabi</v>
          </cell>
          <cell r="U1937" t="str">
            <v>"-"</v>
          </cell>
        </row>
        <row r="1938">
          <cell r="A1938">
            <v>46265</v>
          </cell>
          <cell r="B1938" t="str">
            <v xml:space="preserve">SEKAR LAUT                              </v>
          </cell>
          <cell r="C1938" t="str">
            <v>SYT2579</v>
          </cell>
          <cell r="D1938">
            <v>17201500425151</v>
          </cell>
          <cell r="E1938" t="str">
            <v>TINGGI</v>
          </cell>
          <cell r="F1938" t="str">
            <v>Tidak</v>
          </cell>
          <cell r="G1938" t="str">
            <v>Tidak</v>
          </cell>
          <cell r="H1938" t="str">
            <v>Tidak</v>
          </cell>
          <cell r="I1938" t="str">
            <v>Korupsi - Loan View</v>
          </cell>
          <cell r="J1938">
            <v>63</v>
          </cell>
          <cell r="K1938">
            <v>15</v>
          </cell>
          <cell r="L1938" t="str">
            <v>Korupsi</v>
          </cell>
          <cell r="M1938" t="str">
            <v>Kas Kanpus</v>
          </cell>
          <cell r="N1938" t="str">
            <v>Kas Kanpus</v>
          </cell>
          <cell r="O1938" t="str">
            <v>KAS KANPUS</v>
          </cell>
          <cell r="R1938" t="str">
            <v>Belum TL</v>
          </cell>
          <cell r="S1938" t="str">
            <v>Belum TL</v>
          </cell>
          <cell r="T1938" t="str">
            <v>90186790 - Muhammad Alfin Farha</v>
          </cell>
          <cell r="U1938" t="str">
            <v>"-"</v>
          </cell>
        </row>
        <row r="1939">
          <cell r="A1939">
            <v>46265</v>
          </cell>
          <cell r="B1939" t="str">
            <v xml:space="preserve">SUSI LIDIANA                            </v>
          </cell>
          <cell r="C1939" t="str">
            <v>SZET018</v>
          </cell>
          <cell r="D1939">
            <v>95901012875505</v>
          </cell>
          <cell r="E1939" t="str">
            <v>SEDANG</v>
          </cell>
          <cell r="F1939" t="str">
            <v>Tidak</v>
          </cell>
          <cell r="G1939" t="str">
            <v>Tidak</v>
          </cell>
          <cell r="H1939" t="str">
            <v>Tidak</v>
          </cell>
          <cell r="I1939" t="str">
            <v>Bandar Judol Withdrawal</v>
          </cell>
          <cell r="J1939">
            <v>50</v>
          </cell>
          <cell r="K1939" t="str">
            <v>86,88,87</v>
          </cell>
          <cell r="L1939" t="str">
            <v>Judi Online</v>
          </cell>
          <cell r="M1939" t="str">
            <v xml:space="preserve">Kas Kanpus                              </v>
          </cell>
          <cell r="N1939" t="str">
            <v xml:space="preserve">Kas Kanpus                              </v>
          </cell>
          <cell r="O1939" t="str">
            <v xml:space="preserve">KAS KANPUS                              </v>
          </cell>
          <cell r="R1939" t="str">
            <v>Belum TL</v>
          </cell>
          <cell r="S1939" t="str">
            <v>Belum TL</v>
          </cell>
          <cell r="T1939" t="str">
            <v>90186796 - Devito Arya Wiradila</v>
          </cell>
          <cell r="U1939" t="str">
            <v>"-"</v>
          </cell>
        </row>
        <row r="1940">
          <cell r="A1940">
            <v>46265</v>
          </cell>
          <cell r="B1940" t="str">
            <v xml:space="preserve">TELAGA ENDE                             </v>
          </cell>
          <cell r="C1940" t="str">
            <v>T185881</v>
          </cell>
          <cell r="D1940">
            <v>2401500069154</v>
          </cell>
          <cell r="E1940" t="str">
            <v>SEDANG</v>
          </cell>
          <cell r="F1940" t="str">
            <v>Tidak</v>
          </cell>
          <cell r="G1940" t="str">
            <v>Tidak</v>
          </cell>
          <cell r="H1940" t="str">
            <v>Tidak</v>
          </cell>
          <cell r="I1940" t="str">
            <v>Korupsi - Loan View</v>
          </cell>
          <cell r="J1940">
            <v>48</v>
          </cell>
          <cell r="K1940">
            <v>15</v>
          </cell>
          <cell r="L1940" t="str">
            <v>Korupsi</v>
          </cell>
          <cell r="M1940" t="str">
            <v>Kas Kanpus</v>
          </cell>
          <cell r="N1940" t="str">
            <v>Kas Kanpus</v>
          </cell>
          <cell r="O1940" t="str">
            <v>KAS KANPUS</v>
          </cell>
          <cell r="R1940" t="str">
            <v>Belum TL</v>
          </cell>
          <cell r="S1940" t="str">
            <v>Belum TL</v>
          </cell>
          <cell r="T1940" t="str">
            <v>90185538 - Muhammad Fahikal Auz</v>
          </cell>
          <cell r="U1940" t="str">
            <v>"-"</v>
          </cell>
        </row>
        <row r="1941">
          <cell r="A1941">
            <v>46265</v>
          </cell>
          <cell r="B1941" t="str">
            <v xml:space="preserve">TUNAS BARU LAMPUNG PT                   </v>
          </cell>
          <cell r="C1941" t="str">
            <v>T214221</v>
          </cell>
          <cell r="D1941">
            <v>20601500112159</v>
          </cell>
          <cell r="E1941" t="str">
            <v>SEDANG</v>
          </cell>
          <cell r="F1941" t="str">
            <v>Tidak</v>
          </cell>
          <cell r="G1941" t="str">
            <v>Tidak</v>
          </cell>
          <cell r="H1941" t="str">
            <v>Tidak</v>
          </cell>
          <cell r="I1941" t="str">
            <v>Korupsi - Loan View</v>
          </cell>
          <cell r="J1941">
            <v>48</v>
          </cell>
          <cell r="K1941">
            <v>15</v>
          </cell>
          <cell r="L1941" t="str">
            <v>Korupsi</v>
          </cell>
          <cell r="M1941" t="str">
            <v>Kas Kanpus</v>
          </cell>
          <cell r="N1941" t="str">
            <v>Kas Kanpus</v>
          </cell>
          <cell r="O1941" t="str">
            <v>KAS KANPUS</v>
          </cell>
          <cell r="R1941" t="str">
            <v>Belum TL</v>
          </cell>
          <cell r="S1941" t="str">
            <v>Belum TL</v>
          </cell>
          <cell r="T1941" t="str">
            <v>00336949 - Mochammad Al Farabi</v>
          </cell>
          <cell r="U1941" t="str">
            <v>"-"</v>
          </cell>
        </row>
        <row r="1942">
          <cell r="A1942">
            <v>46265</v>
          </cell>
          <cell r="B1942" t="str">
            <v xml:space="preserve">TOKO BESI SUMBER BARU (00300027296)     </v>
          </cell>
          <cell r="C1942" t="str">
            <v>T229699</v>
          </cell>
          <cell r="D1942">
            <v>202701666555560</v>
          </cell>
          <cell r="E1942" t="str">
            <v>SEDANG</v>
          </cell>
          <cell r="F1942" t="str">
            <v>Tidak</v>
          </cell>
          <cell r="G1942" t="str">
            <v>Tidak</v>
          </cell>
          <cell r="H1942" t="str">
            <v>Tidak</v>
          </cell>
          <cell r="I1942" t="str">
            <v>Perpajakan</v>
          </cell>
          <cell r="J1942">
            <v>48</v>
          </cell>
          <cell r="K1942">
            <v>1.33</v>
          </cell>
          <cell r="L1942" t="str">
            <v>Perpajakan</v>
          </cell>
          <cell r="M1942" t="str">
            <v xml:space="preserve">KCP PONDOK                              </v>
          </cell>
          <cell r="N1942" t="str">
            <v xml:space="preserve">KC Padang                               </v>
          </cell>
          <cell r="O1942" t="str">
            <v xml:space="preserve">Padang                                  </v>
          </cell>
          <cell r="R1942" t="str">
            <v>Belum TL</v>
          </cell>
          <cell r="S1942" t="str">
            <v>Belum TL</v>
          </cell>
          <cell r="T1942" t="str">
            <v>90171841 - Rifqi Aziz</v>
          </cell>
          <cell r="U1942" t="str">
            <v>"-"</v>
          </cell>
        </row>
        <row r="1943">
          <cell r="A1943">
            <v>46265</v>
          </cell>
          <cell r="B1943" t="str">
            <v xml:space="preserve">TERANG CAHAYA ANUGERAH                  </v>
          </cell>
          <cell r="C1943" t="str">
            <v>TAU5218</v>
          </cell>
          <cell r="D1943">
            <v>18601500527156</v>
          </cell>
          <cell r="E1943" t="str">
            <v>SEDANG</v>
          </cell>
          <cell r="F1943" t="str">
            <v>Tidak</v>
          </cell>
          <cell r="G1943" t="str">
            <v>Tidak</v>
          </cell>
          <cell r="H1943" t="str">
            <v>Tidak</v>
          </cell>
          <cell r="I1943" t="str">
            <v>Korupsi - Loan View</v>
          </cell>
          <cell r="J1943">
            <v>48</v>
          </cell>
          <cell r="K1943">
            <v>15</v>
          </cell>
          <cell r="L1943" t="str">
            <v>Korupsi</v>
          </cell>
          <cell r="M1943" t="str">
            <v>Kas Kanpus</v>
          </cell>
          <cell r="N1943" t="str">
            <v>Kas Kanpus</v>
          </cell>
          <cell r="O1943" t="str">
            <v>KAS KANPUS</v>
          </cell>
          <cell r="R1943" t="str">
            <v>Belum TL</v>
          </cell>
          <cell r="S1943" t="str">
            <v>Belum TL</v>
          </cell>
          <cell r="T1943" t="str">
            <v>90185538 - Muhammad Fahikal Auz</v>
          </cell>
          <cell r="U1943" t="str">
            <v>"-"</v>
          </cell>
        </row>
        <row r="1944">
          <cell r="A1944">
            <v>46265</v>
          </cell>
          <cell r="B1944" t="str">
            <v xml:space="preserve">TA'YIN ABDUL AZIZ                       </v>
          </cell>
          <cell r="C1944" t="str">
            <v>TDB9221</v>
          </cell>
          <cell r="D1944">
            <v>4359720283378520</v>
          </cell>
          <cell r="E1944" t="str">
            <v>SEDANG</v>
          </cell>
          <cell r="F1944" t="str">
            <v>Tidak</v>
          </cell>
          <cell r="G1944" t="str">
            <v>Tidak</v>
          </cell>
          <cell r="H1944" t="str">
            <v>Tidak</v>
          </cell>
          <cell r="I1944" t="str">
            <v>Penghindaran Pajak (Transaksi Fiktif)/Penyuapan CC</v>
          </cell>
          <cell r="J1944">
            <v>45</v>
          </cell>
          <cell r="K1944">
            <v>118</v>
          </cell>
          <cell r="L1944" t="str">
            <v>Penyuapan / Penghindaran Pajak CC View</v>
          </cell>
          <cell r="M1944" t="str">
            <v xml:space="preserve">Kas Kanpus                              </v>
          </cell>
          <cell r="N1944" t="str">
            <v xml:space="preserve">Kas Kanpus                              </v>
          </cell>
          <cell r="O1944" t="str">
            <v xml:space="preserve">KAS KANPUS                              </v>
          </cell>
          <cell r="R1944" t="str">
            <v>Belum TL</v>
          </cell>
          <cell r="S1944" t="str">
            <v>Belum TL</v>
          </cell>
          <cell r="T1944" t="str">
            <v>90186790 - Muhammad Alfin Farha</v>
          </cell>
          <cell r="U1944" t="str">
            <v>"-"</v>
          </cell>
        </row>
        <row r="1945">
          <cell r="A1945">
            <v>46265</v>
          </cell>
          <cell r="B1945" t="str">
            <v xml:space="preserve">TUTUN MUSTOPA                           </v>
          </cell>
          <cell r="C1945" t="str">
            <v>TEK8618</v>
          </cell>
          <cell r="D1945">
            <v>89501089454532</v>
          </cell>
          <cell r="E1945" t="str">
            <v>SEDANG</v>
          </cell>
          <cell r="F1945" t="str">
            <v>Tidak</v>
          </cell>
          <cell r="G1945" t="str">
            <v>Tidak</v>
          </cell>
          <cell r="H1945" t="str">
            <v>Tidak</v>
          </cell>
          <cell r="I1945" t="str">
            <v>Korupsi - Cash &amp; Amount</v>
          </cell>
          <cell r="J1945">
            <v>48</v>
          </cell>
          <cell r="K1945" t="str">
            <v>1,2,20</v>
          </cell>
          <cell r="L1945" t="str">
            <v>Korupsi</v>
          </cell>
          <cell r="M1945" t="str">
            <v>Kas Kanpus</v>
          </cell>
          <cell r="N1945" t="str">
            <v>Kas Kanpus</v>
          </cell>
          <cell r="O1945" t="str">
            <v>KAS KANPUS</v>
          </cell>
          <cell r="R1945" t="str">
            <v>Belum TL</v>
          </cell>
          <cell r="S1945" t="str">
            <v>Belum TL</v>
          </cell>
          <cell r="T1945" t="str">
            <v>00336949 - Mochammad Al Farabi</v>
          </cell>
          <cell r="U1945" t="str">
            <v>"-"</v>
          </cell>
        </row>
        <row r="1946">
          <cell r="A1946">
            <v>46265</v>
          </cell>
          <cell r="B1946" t="str">
            <v xml:space="preserve">TEKINDO BUANA SARANA                    </v>
          </cell>
          <cell r="C1946" t="str">
            <v>TF38692</v>
          </cell>
          <cell r="D1946">
            <v>41601000222152</v>
          </cell>
          <cell r="E1946" t="str">
            <v>TINGGI</v>
          </cell>
          <cell r="F1946" t="str">
            <v>Tidak</v>
          </cell>
          <cell r="G1946" t="str">
            <v>Tidak</v>
          </cell>
          <cell r="H1946" t="str">
            <v>Tidak</v>
          </cell>
          <cell r="I1946" t="str">
            <v>Korupsi - Loan View</v>
          </cell>
          <cell r="J1946">
            <v>63</v>
          </cell>
          <cell r="K1946">
            <v>15</v>
          </cell>
          <cell r="L1946" t="str">
            <v>Korupsi</v>
          </cell>
          <cell r="M1946" t="str">
            <v>Kas Kanpus</v>
          </cell>
          <cell r="N1946" t="str">
            <v>Kas Kanpus</v>
          </cell>
          <cell r="O1946" t="str">
            <v>KAS KANPUS</v>
          </cell>
          <cell r="R1946" t="str">
            <v>Belum TL</v>
          </cell>
          <cell r="S1946" t="str">
            <v>Belum TL</v>
          </cell>
          <cell r="T1946" t="str">
            <v>90170665 - Mutiara Ayuningtyas</v>
          </cell>
          <cell r="U1946" t="str">
            <v>"-"</v>
          </cell>
        </row>
        <row r="1947">
          <cell r="A1947">
            <v>46265</v>
          </cell>
          <cell r="B1947" t="str">
            <v xml:space="preserve">TUSNU ROCHMAT                           </v>
          </cell>
          <cell r="C1947" t="str">
            <v>TG14959</v>
          </cell>
          <cell r="D1947">
            <v>8001500458151</v>
          </cell>
          <cell r="E1947" t="str">
            <v>SEDANG</v>
          </cell>
          <cell r="F1947" t="str">
            <v>Tidak</v>
          </cell>
          <cell r="G1947" t="str">
            <v>Tidak</v>
          </cell>
          <cell r="H1947" t="str">
            <v>Tidak</v>
          </cell>
          <cell r="I1947" t="str">
            <v>Korupsi - Loan View</v>
          </cell>
          <cell r="J1947">
            <v>48</v>
          </cell>
          <cell r="K1947">
            <v>15</v>
          </cell>
          <cell r="L1947" t="str">
            <v>Korupsi</v>
          </cell>
          <cell r="M1947" t="str">
            <v>Kas Kanpus</v>
          </cell>
          <cell r="N1947" t="str">
            <v>Kas Kanpus</v>
          </cell>
          <cell r="O1947" t="str">
            <v>KAS KANPUS</v>
          </cell>
          <cell r="R1947" t="str">
            <v>Belum TL</v>
          </cell>
          <cell r="S1947" t="str">
            <v>Belum TL</v>
          </cell>
          <cell r="T1947" t="str">
            <v>90170665 - Mutiara Ayuningtyas</v>
          </cell>
          <cell r="U1947" t="str">
            <v>"-"</v>
          </cell>
        </row>
        <row r="1948">
          <cell r="A1948">
            <v>46245</v>
          </cell>
          <cell r="B1948" t="str">
            <v xml:space="preserve">TIRTO RIFAI                             </v>
          </cell>
          <cell r="C1948" t="str">
            <v>TGH3617</v>
          </cell>
          <cell r="D1948">
            <v>598301017790530</v>
          </cell>
          <cell r="E1948" t="str">
            <v>SEDANG</v>
          </cell>
          <cell r="F1948" t="str">
            <v>Tidak</v>
          </cell>
          <cell r="G1948" t="str">
            <v>Tidak</v>
          </cell>
          <cell r="I1948" t="str">
            <v>Teroris - Remark</v>
          </cell>
          <cell r="J1948">
            <v>168</v>
          </cell>
          <cell r="K1948">
            <v>50</v>
          </cell>
          <cell r="L1948" t="str">
            <v>Terorisme</v>
          </cell>
          <cell r="M1948" t="str">
            <v xml:space="preserve">Kas Kanpus                              </v>
          </cell>
          <cell r="N1948" t="str">
            <v xml:space="preserve">Kas Kanpus                              </v>
          </cell>
          <cell r="O1948" t="str">
            <v xml:space="preserve">KAS KANPUS                              </v>
          </cell>
          <cell r="R1948" t="str">
            <v>Belum TL</v>
          </cell>
          <cell r="S1948" t="str">
            <v>Belum TL</v>
          </cell>
          <cell r="T1948" t="str">
            <v>00394520 - Frida Akbar Rani</v>
          </cell>
          <cell r="U1948" t="str">
            <v>"-"</v>
          </cell>
        </row>
        <row r="1949">
          <cell r="A1949">
            <v>46248</v>
          </cell>
          <cell r="B1949" t="str">
            <v xml:space="preserve">TIRTO RIFAI                             </v>
          </cell>
          <cell r="C1949" t="str">
            <v>TGH3617</v>
          </cell>
          <cell r="D1949">
            <v>598301017790530</v>
          </cell>
          <cell r="E1949" t="str">
            <v>SEDANG</v>
          </cell>
          <cell r="F1949" t="str">
            <v>Tidak</v>
          </cell>
          <cell r="G1949" t="str">
            <v>Tidak</v>
          </cell>
          <cell r="I1949" t="str">
            <v>Teroris - Remark</v>
          </cell>
          <cell r="J1949">
            <v>168</v>
          </cell>
          <cell r="K1949">
            <v>50</v>
          </cell>
          <cell r="L1949" t="str">
            <v>Terorisme</v>
          </cell>
          <cell r="M1949" t="str">
            <v xml:space="preserve">Kas Kanpus                              </v>
          </cell>
          <cell r="N1949" t="str">
            <v xml:space="preserve">Kas Kanpus                              </v>
          </cell>
          <cell r="O1949" t="str">
            <v xml:space="preserve">KAS KANPUS                              </v>
          </cell>
          <cell r="R1949" t="str">
            <v>Belum TL</v>
          </cell>
          <cell r="S1949" t="str">
            <v>Belum TL</v>
          </cell>
          <cell r="T1949" t="str">
            <v>00394520 - Frida Akbar Rani</v>
          </cell>
          <cell r="U1949" t="str">
            <v>"-"</v>
          </cell>
        </row>
        <row r="1950">
          <cell r="A1950">
            <v>46240</v>
          </cell>
          <cell r="B1950" t="str">
            <v xml:space="preserve">TIRTO RIFAI                             </v>
          </cell>
          <cell r="C1950" t="str">
            <v>TGH3617</v>
          </cell>
          <cell r="D1950">
            <v>598301017790530</v>
          </cell>
          <cell r="E1950" t="str">
            <v>SEDANG</v>
          </cell>
          <cell r="F1950" t="str">
            <v>Tidak</v>
          </cell>
          <cell r="G1950" t="str">
            <v>Tidak</v>
          </cell>
          <cell r="I1950" t="str">
            <v>Teroris - Remark</v>
          </cell>
          <cell r="J1950">
            <v>168</v>
          </cell>
          <cell r="K1950">
            <v>50</v>
          </cell>
          <cell r="L1950" t="str">
            <v>Terorisme</v>
          </cell>
          <cell r="M1950" t="str">
            <v xml:space="preserve">Kas Kanpus                              </v>
          </cell>
          <cell r="N1950" t="str">
            <v xml:space="preserve">Kas Kanpus                              </v>
          </cell>
          <cell r="O1950" t="str">
            <v xml:space="preserve">KAS KANPUS                              </v>
          </cell>
          <cell r="R1950" t="str">
            <v>Belum TL</v>
          </cell>
          <cell r="S1950" t="str">
            <v>Belum TL</v>
          </cell>
          <cell r="T1950" t="str">
            <v>00394520 - Frida Akbar Rani</v>
          </cell>
          <cell r="U1950" t="str">
            <v>"-"</v>
          </cell>
        </row>
        <row r="1951">
          <cell r="A1951">
            <v>46265</v>
          </cell>
          <cell r="B1951" t="str">
            <v xml:space="preserve">TRIPATRA MANUNGGAL                      </v>
          </cell>
          <cell r="C1951" t="str">
            <v>TGI2767</v>
          </cell>
          <cell r="D1951">
            <v>33001501333159</v>
          </cell>
          <cell r="E1951" t="str">
            <v>SEDANG</v>
          </cell>
          <cell r="F1951" t="str">
            <v>Tidak</v>
          </cell>
          <cell r="G1951" t="str">
            <v>Tidak</v>
          </cell>
          <cell r="H1951" t="str">
            <v>Tidak</v>
          </cell>
          <cell r="I1951" t="str">
            <v>Korupsi - Loan View</v>
          </cell>
          <cell r="J1951">
            <v>48</v>
          </cell>
          <cell r="K1951">
            <v>15</v>
          </cell>
          <cell r="L1951" t="str">
            <v>Korupsi</v>
          </cell>
          <cell r="M1951" t="str">
            <v>Kas Kanpus</v>
          </cell>
          <cell r="N1951" t="str">
            <v>Kas Kanpus</v>
          </cell>
          <cell r="O1951" t="str">
            <v>KAS KANPUS</v>
          </cell>
          <cell r="R1951" t="str">
            <v>Belum TL</v>
          </cell>
          <cell r="S1951" t="str">
            <v>Belum TL</v>
          </cell>
          <cell r="T1951" t="str">
            <v>90185537 - Moh.Khoerul Fajar Ar</v>
          </cell>
          <cell r="U1951" t="str">
            <v>"-"</v>
          </cell>
        </row>
        <row r="1952">
          <cell r="A1952">
            <v>46265</v>
          </cell>
          <cell r="B1952" t="str">
            <v xml:space="preserve">PT TRI SAKTI PURWOSARI MAKMUR           </v>
          </cell>
          <cell r="C1952" t="str">
            <v>TGR7069</v>
          </cell>
          <cell r="D1952">
            <v>13201001552302</v>
          </cell>
          <cell r="E1952" t="str">
            <v>SEDANG</v>
          </cell>
          <cell r="F1952" t="str">
            <v>Tidak</v>
          </cell>
          <cell r="G1952" t="str">
            <v>Tidak</v>
          </cell>
          <cell r="H1952" t="str">
            <v>Tidak</v>
          </cell>
          <cell r="I1952" t="str">
            <v>Perpajakan</v>
          </cell>
          <cell r="J1952">
            <v>50</v>
          </cell>
          <cell r="K1952">
            <v>1.33</v>
          </cell>
          <cell r="L1952" t="str">
            <v>Perpajakan</v>
          </cell>
          <cell r="M1952" t="str">
            <v xml:space="preserve">KC Majalaya                             </v>
          </cell>
          <cell r="N1952" t="str">
            <v xml:space="preserve">KC Majalaya                             </v>
          </cell>
          <cell r="O1952" t="str">
            <v xml:space="preserve">Bandung                                 </v>
          </cell>
          <cell r="R1952" t="str">
            <v>Belum TL</v>
          </cell>
          <cell r="S1952" t="str">
            <v>Belum TL</v>
          </cell>
          <cell r="T1952" t="str">
            <v>90185538 - Muhammad Fahikal Auz</v>
          </cell>
          <cell r="U1952" t="str">
            <v>"-"</v>
          </cell>
        </row>
        <row r="1953">
          <cell r="A1953">
            <v>46265</v>
          </cell>
          <cell r="B1953" t="str">
            <v xml:space="preserve">TONY                                    </v>
          </cell>
          <cell r="C1953" t="str">
            <v>THC8845</v>
          </cell>
          <cell r="D1953">
            <v>711601005761504</v>
          </cell>
          <cell r="E1953" t="str">
            <v>SEDANG</v>
          </cell>
          <cell r="F1953" t="str">
            <v>Tidak</v>
          </cell>
          <cell r="G1953" t="str">
            <v>Tidak</v>
          </cell>
          <cell r="H1953" t="str">
            <v>Tidak</v>
          </cell>
          <cell r="I1953" t="str">
            <v>Bandar Judol Withdrawal</v>
          </cell>
          <cell r="J1953">
            <v>50</v>
          </cell>
          <cell r="K1953" t="str">
            <v>86,88,87</v>
          </cell>
          <cell r="L1953" t="str">
            <v>Judi Online</v>
          </cell>
          <cell r="M1953" t="str">
            <v xml:space="preserve">Kas Kanpus                              </v>
          </cell>
          <cell r="N1953" t="str">
            <v xml:space="preserve">Kas Kanpus                              </v>
          </cell>
          <cell r="O1953" t="str">
            <v xml:space="preserve">KAS KANPUS                              </v>
          </cell>
          <cell r="R1953" t="str">
            <v>Belum TL</v>
          </cell>
          <cell r="S1953" t="str">
            <v>Belum TL</v>
          </cell>
          <cell r="T1953" t="str">
            <v>90150130 - Intan Aida Pratiwi</v>
          </cell>
          <cell r="U1953" t="str">
            <v>"-"</v>
          </cell>
        </row>
        <row r="1954">
          <cell r="A1954">
            <v>46265</v>
          </cell>
          <cell r="B1954" t="str">
            <v xml:space="preserve">TUBAGUS SETIAWAN                        </v>
          </cell>
          <cell r="C1954" t="str">
            <v>TIB0036</v>
          </cell>
          <cell r="D1954">
            <v>9801006162562</v>
          </cell>
          <cell r="E1954" t="str">
            <v>SEDANG</v>
          </cell>
          <cell r="F1954" t="str">
            <v>Tidak</v>
          </cell>
          <cell r="G1954" t="str">
            <v>Tidak</v>
          </cell>
          <cell r="H1954" t="str">
            <v>Tidak</v>
          </cell>
          <cell r="I1954" t="str">
            <v>Bandar Judol Withdrawal</v>
          </cell>
          <cell r="J1954">
            <v>50</v>
          </cell>
          <cell r="K1954" t="str">
            <v>86,88,87</v>
          </cell>
          <cell r="L1954" t="str">
            <v>Judi Online</v>
          </cell>
          <cell r="M1954" t="str">
            <v xml:space="preserve">Kas Kanpus                              </v>
          </cell>
          <cell r="N1954" t="str">
            <v xml:space="preserve">Kas Kanpus                              </v>
          </cell>
          <cell r="O1954" t="str">
            <v xml:space="preserve">KAS KANPUS                              </v>
          </cell>
          <cell r="R1954" t="str">
            <v>Belum TL</v>
          </cell>
          <cell r="S1954" t="str">
            <v>Belum TL</v>
          </cell>
          <cell r="T1954" t="str">
            <v>90171841 - Rifqi Aziz</v>
          </cell>
          <cell r="U1954" t="str">
            <v>"-"</v>
          </cell>
        </row>
        <row r="1955">
          <cell r="A1955">
            <v>46265</v>
          </cell>
          <cell r="B1955" t="str">
            <v xml:space="preserve">TIMBALA SUHERDI                         </v>
          </cell>
          <cell r="C1955" t="str">
            <v>TII5093</v>
          </cell>
          <cell r="D1955">
            <v>526401012882504</v>
          </cell>
          <cell r="E1955" t="str">
            <v>SEDANG</v>
          </cell>
          <cell r="F1955" t="str">
            <v>Tidak</v>
          </cell>
          <cell r="G1955" t="str">
            <v>Tidak</v>
          </cell>
          <cell r="H1955" t="str">
            <v>Tidak</v>
          </cell>
          <cell r="I1955" t="str">
            <v>Bandar Judol Withdrawal</v>
          </cell>
          <cell r="J1955">
            <v>50</v>
          </cell>
          <cell r="K1955" t="str">
            <v>86,88,87</v>
          </cell>
          <cell r="L1955" t="str">
            <v>Judi Online</v>
          </cell>
          <cell r="M1955" t="str">
            <v xml:space="preserve">Kas Kanpus                              </v>
          </cell>
          <cell r="N1955" t="str">
            <v xml:space="preserve">Kas Kanpus                              </v>
          </cell>
          <cell r="O1955" t="str">
            <v xml:space="preserve">KAS KANPUS                              </v>
          </cell>
          <cell r="R1955" t="str">
            <v>Belum TL</v>
          </cell>
          <cell r="S1955" t="str">
            <v>Belum TL</v>
          </cell>
          <cell r="T1955" t="str">
            <v>00336949 - Mochammad Al Farabi</v>
          </cell>
          <cell r="U1955" t="str">
            <v>"-"</v>
          </cell>
        </row>
        <row r="1956">
          <cell r="A1956">
            <v>46265</v>
          </cell>
          <cell r="B1956" t="str">
            <v xml:space="preserve">TJOA RACHMAT SYAEFUDDIN                 </v>
          </cell>
          <cell r="C1956" t="str">
            <v>TBN9161</v>
          </cell>
          <cell r="D1956">
            <v>110601028973509</v>
          </cell>
          <cell r="E1956" t="str">
            <v>SEDANG</v>
          </cell>
          <cell r="F1956" t="str">
            <v>Tidak</v>
          </cell>
          <cell r="G1956" t="str">
            <v>Tidak</v>
          </cell>
          <cell r="H1956" t="str">
            <v>Tidak</v>
          </cell>
          <cell r="I1956" t="str">
            <v>Bandar Judol Withdrawal</v>
          </cell>
          <cell r="J1956">
            <v>50</v>
          </cell>
          <cell r="K1956" t="str">
            <v>86,88,87</v>
          </cell>
          <cell r="L1956" t="str">
            <v>Judi Online</v>
          </cell>
          <cell r="M1956" t="str">
            <v xml:space="preserve">Kas Kanpus                              </v>
          </cell>
          <cell r="N1956" t="str">
            <v xml:space="preserve">Kas Kanpus                              </v>
          </cell>
          <cell r="O1956" t="str">
            <v xml:space="preserve">KAS KANPUS                              </v>
          </cell>
          <cell r="R1956" t="str">
            <v>Belum TL</v>
          </cell>
          <cell r="S1956" t="str">
            <v>Belum TL</v>
          </cell>
          <cell r="T1956" t="str">
            <v>90186796 - Devito Arya Wiradila</v>
          </cell>
          <cell r="U1956" t="str">
            <v>"-"</v>
          </cell>
        </row>
        <row r="1957">
          <cell r="A1957">
            <v>46265</v>
          </cell>
          <cell r="B1957" t="str">
            <v xml:space="preserve">TJHAI, CHANDRA ATMAJA                   </v>
          </cell>
          <cell r="C1957" t="str">
            <v>TJK4053</v>
          </cell>
          <cell r="D1957">
            <v>38901880800565</v>
          </cell>
          <cell r="E1957" t="str">
            <v>SEDANG</v>
          </cell>
          <cell r="F1957" t="str">
            <v>Tidak</v>
          </cell>
          <cell r="G1957" t="str">
            <v>Tidak</v>
          </cell>
          <cell r="H1957" t="str">
            <v>Tidak</v>
          </cell>
          <cell r="I1957" t="str">
            <v>Korupsi - Significant Trx View</v>
          </cell>
          <cell r="J1957">
            <v>48</v>
          </cell>
          <cell r="K1957">
            <v>1.19</v>
          </cell>
          <cell r="L1957" t="str">
            <v>Korupsi</v>
          </cell>
          <cell r="M1957" t="str">
            <v>Kas Kanpus</v>
          </cell>
          <cell r="N1957" t="str">
            <v>Kas Kanpus</v>
          </cell>
          <cell r="O1957" t="str">
            <v>KAS KANPUS</v>
          </cell>
          <cell r="R1957" t="str">
            <v>Belum TL</v>
          </cell>
          <cell r="S1957" t="str">
            <v>Belum TL</v>
          </cell>
          <cell r="T1957" t="str">
            <v>90185538 - Muhammad Fahikal Auz</v>
          </cell>
          <cell r="U1957" t="str">
            <v>"-"</v>
          </cell>
        </row>
        <row r="1958">
          <cell r="A1958">
            <v>46265</v>
          </cell>
          <cell r="B1958" t="str">
            <v xml:space="preserve">TRI LESTIYO                             </v>
          </cell>
          <cell r="C1958" t="str">
            <v>TK13409</v>
          </cell>
          <cell r="D1958">
            <v>203401000502560</v>
          </cell>
          <cell r="E1958" t="str">
            <v>SEDANG</v>
          </cell>
          <cell r="F1958" t="str">
            <v>Tidak</v>
          </cell>
          <cell r="G1958" t="str">
            <v>Tidak</v>
          </cell>
          <cell r="H1958" t="str">
            <v>Tidak</v>
          </cell>
          <cell r="I1958" t="str">
            <v>Narkotika - Area Lapas</v>
          </cell>
          <cell r="J1958">
            <v>50</v>
          </cell>
          <cell r="K1958">
            <v>46</v>
          </cell>
          <cell r="L1958" t="str">
            <v>Narkotika</v>
          </cell>
          <cell r="M1958" t="str">
            <v>KCP BOBOTSARI</v>
          </cell>
          <cell r="N1958" t="str">
            <v>KC Purbalingga</v>
          </cell>
          <cell r="O1958" t="str">
            <v>Yogyakarta</v>
          </cell>
          <cell r="R1958" t="str">
            <v>Belum TL</v>
          </cell>
          <cell r="S1958" t="str">
            <v>Belum TL</v>
          </cell>
          <cell r="T1958" t="str">
            <v>90150130 - Intan Aida Pratiwi</v>
          </cell>
          <cell r="U1958" t="str">
            <v>"-"</v>
          </cell>
        </row>
        <row r="1959">
          <cell r="A1959">
            <v>46238</v>
          </cell>
          <cell r="B1959" t="str">
            <v xml:space="preserve">TINI KHOIRIAH                           </v>
          </cell>
          <cell r="C1959" t="str">
            <v>TL10448</v>
          </cell>
          <cell r="D1959">
            <v>16001050915508</v>
          </cell>
          <cell r="E1959" t="str">
            <v>SEDANG</v>
          </cell>
          <cell r="F1959" t="str">
            <v>Tidak</v>
          </cell>
          <cell r="G1959" t="str">
            <v>Tidak</v>
          </cell>
          <cell r="I1959" t="str">
            <v>Teroris - Remark</v>
          </cell>
          <cell r="J1959">
            <v>168</v>
          </cell>
          <cell r="K1959">
            <v>50</v>
          </cell>
          <cell r="L1959" t="str">
            <v>Terorisme</v>
          </cell>
          <cell r="M1959" t="str">
            <v xml:space="preserve">Kas Kanpus                              </v>
          </cell>
          <cell r="N1959" t="str">
            <v xml:space="preserve">Kas Kanpus                              </v>
          </cell>
          <cell r="O1959" t="str">
            <v xml:space="preserve">KAS KANPUS                              </v>
          </cell>
          <cell r="R1959" t="str">
            <v>Belum TL</v>
          </cell>
          <cell r="S1959" t="str">
            <v>Belum TL</v>
          </cell>
          <cell r="T1959" t="str">
            <v>00394521 - Muhammad Hibbanduta</v>
          </cell>
          <cell r="U1959" t="str">
            <v>"-"</v>
          </cell>
        </row>
        <row r="1960">
          <cell r="A1960">
            <v>46265</v>
          </cell>
          <cell r="B1960" t="str">
            <v xml:space="preserve">TIMAH Persero Tbk                       </v>
          </cell>
          <cell r="C1960" t="str">
            <v>TL83956</v>
          </cell>
          <cell r="D1960">
            <v>6301000937300</v>
          </cell>
          <cell r="E1960" t="str">
            <v>SEDANG</v>
          </cell>
          <cell r="F1960" t="str">
            <v>Tidak</v>
          </cell>
          <cell r="G1960" t="str">
            <v>Tidak</v>
          </cell>
          <cell r="H1960" t="str">
            <v>Tidak</v>
          </cell>
          <cell r="I1960" t="str">
            <v>Korupsi - Cash &amp; Amount</v>
          </cell>
          <cell r="J1960">
            <v>50</v>
          </cell>
          <cell r="K1960" t="str">
            <v>1,2,20</v>
          </cell>
          <cell r="L1960" t="str">
            <v>Korupsi</v>
          </cell>
          <cell r="M1960" t="str">
            <v>Kas Kanpus</v>
          </cell>
          <cell r="N1960" t="str">
            <v>Kas Kanpus</v>
          </cell>
          <cell r="O1960" t="str">
            <v>KAS KANPUS</v>
          </cell>
          <cell r="R1960" t="str">
            <v>Belum TL</v>
          </cell>
          <cell r="S1960" t="str">
            <v>Belum TL</v>
          </cell>
          <cell r="T1960" t="str">
            <v>00394521 - Muhammad Hibbanduta</v>
          </cell>
          <cell r="U1960" t="str">
            <v>"-"</v>
          </cell>
        </row>
        <row r="1961">
          <cell r="A1961">
            <v>46265</v>
          </cell>
          <cell r="B1961" t="str">
            <v xml:space="preserve">TIARA MULTI TEKNIK                      </v>
          </cell>
          <cell r="C1961" t="str">
            <v>TM03027</v>
          </cell>
          <cell r="D1961">
            <v>8601502869158</v>
          </cell>
          <cell r="E1961" t="str">
            <v>SEDANG</v>
          </cell>
          <cell r="F1961" t="str">
            <v>Tidak</v>
          </cell>
          <cell r="G1961" t="str">
            <v>Tidak</v>
          </cell>
          <cell r="H1961" t="str">
            <v>Tidak</v>
          </cell>
          <cell r="I1961" t="str">
            <v>Korupsi - Loan View</v>
          </cell>
          <cell r="J1961">
            <v>48</v>
          </cell>
          <cell r="K1961">
            <v>15</v>
          </cell>
          <cell r="L1961" t="str">
            <v>Korupsi</v>
          </cell>
          <cell r="M1961" t="str">
            <v>Kas Kanpus</v>
          </cell>
          <cell r="N1961" t="str">
            <v>Kas Kanpus</v>
          </cell>
          <cell r="O1961" t="str">
            <v>KAS KANPUS</v>
          </cell>
          <cell r="R1961" t="str">
            <v>Belum TL</v>
          </cell>
          <cell r="S1961" t="str">
            <v>Belum TL</v>
          </cell>
          <cell r="T1961" t="str">
            <v>00394521 - Muhammad Hibbanduta</v>
          </cell>
          <cell r="U1961" t="str">
            <v>"-"</v>
          </cell>
        </row>
        <row r="1962">
          <cell r="A1962">
            <v>46265</v>
          </cell>
          <cell r="B1962" t="str">
            <v xml:space="preserve">TIARA AYUNDA                            </v>
          </cell>
          <cell r="C1962" t="str">
            <v>TMU9686</v>
          </cell>
          <cell r="D1962">
            <v>352801076706532</v>
          </cell>
          <cell r="E1962" t="str">
            <v>SEDANG</v>
          </cell>
          <cell r="F1962" t="str">
            <v>Tidak</v>
          </cell>
          <cell r="G1962" t="str">
            <v>Tidak</v>
          </cell>
          <cell r="H1962" t="str">
            <v>Tidak</v>
          </cell>
          <cell r="I1962" t="str">
            <v>Bandar Judol Withdrawal</v>
          </cell>
          <cell r="J1962">
            <v>50</v>
          </cell>
          <cell r="K1962" t="str">
            <v>86,88,87</v>
          </cell>
          <cell r="L1962" t="str">
            <v>Judi Online</v>
          </cell>
          <cell r="M1962" t="str">
            <v xml:space="preserve">Kas Kanpus                              </v>
          </cell>
          <cell r="N1962" t="str">
            <v xml:space="preserve">Kas Kanpus                              </v>
          </cell>
          <cell r="O1962" t="str">
            <v xml:space="preserve">KAS KANPUS                              </v>
          </cell>
          <cell r="R1962" t="str">
            <v>Belum TL</v>
          </cell>
          <cell r="S1962" t="str">
            <v>Belum TL</v>
          </cell>
          <cell r="T1962" t="str">
            <v>00394520 - Frida Akbar Rani</v>
          </cell>
          <cell r="U1962" t="str">
            <v>"-"</v>
          </cell>
        </row>
        <row r="1963">
          <cell r="A1963">
            <v>46265</v>
          </cell>
          <cell r="B1963" t="str">
            <v xml:space="preserve">TITIPAN BRIPENS                         </v>
          </cell>
          <cell r="C1963" t="str">
            <v>TN94325</v>
          </cell>
          <cell r="D1963">
            <v>10301001104308</v>
          </cell>
          <cell r="E1963" t="str">
            <v>RENDAH</v>
          </cell>
          <cell r="F1963" t="str">
            <v>Tidak</v>
          </cell>
          <cell r="G1963" t="str">
            <v>Tidak</v>
          </cell>
          <cell r="H1963" t="str">
            <v>Tidak</v>
          </cell>
          <cell r="I1963" t="str">
            <v>Korupsi - Significant Trx View</v>
          </cell>
          <cell r="J1963">
            <v>33</v>
          </cell>
          <cell r="K1963">
            <v>1.19</v>
          </cell>
          <cell r="L1963" t="str">
            <v>Korupsi</v>
          </cell>
          <cell r="M1963" t="str">
            <v>Kas Kanpus</v>
          </cell>
          <cell r="N1963" t="str">
            <v>Kas Kanpus</v>
          </cell>
          <cell r="O1963" t="str">
            <v>KAS KANPUS</v>
          </cell>
          <cell r="R1963" t="str">
            <v>Belum TL</v>
          </cell>
          <cell r="S1963" t="str">
            <v>Belum TL</v>
          </cell>
          <cell r="T1963" t="str">
            <v>90171841 - Rifqi Aziz</v>
          </cell>
          <cell r="U1963" t="str">
            <v>"-"</v>
          </cell>
        </row>
        <row r="1964">
          <cell r="A1964">
            <v>46265</v>
          </cell>
          <cell r="B1964" t="str">
            <v xml:space="preserve">TRUST TRADING INDONESIA                 </v>
          </cell>
          <cell r="C1964" t="str">
            <v>TNP2250</v>
          </cell>
          <cell r="D1964">
            <v>32801502120150</v>
          </cell>
          <cell r="E1964" t="str">
            <v>SEDANG</v>
          </cell>
          <cell r="F1964" t="str">
            <v>Tidak</v>
          </cell>
          <cell r="G1964" t="str">
            <v>Tidak</v>
          </cell>
          <cell r="H1964" t="str">
            <v>Tidak</v>
          </cell>
          <cell r="I1964" t="str">
            <v>Korupsi - Loan View</v>
          </cell>
          <cell r="J1964">
            <v>48</v>
          </cell>
          <cell r="K1964">
            <v>15</v>
          </cell>
          <cell r="L1964" t="str">
            <v>Korupsi</v>
          </cell>
          <cell r="M1964" t="str">
            <v>Kas Kanpus</v>
          </cell>
          <cell r="N1964" t="str">
            <v>Kas Kanpus</v>
          </cell>
          <cell r="O1964" t="str">
            <v>KAS KANPUS</v>
          </cell>
          <cell r="R1964" t="str">
            <v>Belum TL</v>
          </cell>
          <cell r="S1964" t="str">
            <v>Belum TL</v>
          </cell>
          <cell r="T1964" t="str">
            <v>90170665 - Mutiara Ayuningtyas</v>
          </cell>
          <cell r="U1964" t="str">
            <v>"-"</v>
          </cell>
        </row>
        <row r="1965">
          <cell r="A1965">
            <v>46265</v>
          </cell>
          <cell r="B1965" t="str">
            <v xml:space="preserve">TATI HEROYANTI                          </v>
          </cell>
          <cell r="C1965" t="str">
            <v>TO67723</v>
          </cell>
          <cell r="D1965">
            <v>41901057667509</v>
          </cell>
          <cell r="E1965" t="str">
            <v>SEDANG</v>
          </cell>
          <cell r="F1965" t="str">
            <v>Tidak</v>
          </cell>
          <cell r="G1965" t="str">
            <v>Tidak</v>
          </cell>
          <cell r="H1965" t="str">
            <v>Tidak</v>
          </cell>
          <cell r="I1965" t="str">
            <v>Bandar Judol Withdrawal</v>
          </cell>
          <cell r="J1965">
            <v>50</v>
          </cell>
          <cell r="K1965" t="str">
            <v>86,88,87</v>
          </cell>
          <cell r="L1965" t="str">
            <v>Judi Online</v>
          </cell>
          <cell r="M1965" t="str">
            <v xml:space="preserve">Kas Kanpus                              </v>
          </cell>
          <cell r="N1965" t="str">
            <v xml:space="preserve">Kas Kanpus                              </v>
          </cell>
          <cell r="O1965" t="str">
            <v xml:space="preserve">KAS KANPUS                              </v>
          </cell>
          <cell r="R1965" t="str">
            <v>Belum TL</v>
          </cell>
          <cell r="S1965" t="str">
            <v>Belum TL</v>
          </cell>
          <cell r="T1965" t="str">
            <v>00394521 - Muhammad Hibbanduta</v>
          </cell>
          <cell r="U1965" t="str">
            <v>"-"</v>
          </cell>
        </row>
        <row r="1966">
          <cell r="A1966">
            <v>46265</v>
          </cell>
          <cell r="B1966" t="str">
            <v xml:space="preserve">TAMIN                                   </v>
          </cell>
          <cell r="C1966" t="str">
            <v>TOE0068</v>
          </cell>
          <cell r="D1966">
            <v>434501017282538</v>
          </cell>
          <cell r="E1966" t="str">
            <v>SEDANG</v>
          </cell>
          <cell r="F1966" t="str">
            <v>Ya</v>
          </cell>
          <cell r="G1966" t="str">
            <v>Tidak</v>
          </cell>
          <cell r="H1966" t="str">
            <v>Tidak</v>
          </cell>
          <cell r="I1966" t="str">
            <v>Narkotika - Area Lapas</v>
          </cell>
          <cell r="J1966">
            <v>50</v>
          </cell>
          <cell r="K1966">
            <v>46</v>
          </cell>
          <cell r="L1966" t="str">
            <v>Narkotika</v>
          </cell>
          <cell r="M1966" t="str">
            <v>UNIT SUKASARI PAMANUKAN</v>
          </cell>
          <cell r="N1966" t="str">
            <v>KC Pamanukan</v>
          </cell>
          <cell r="O1966" t="str">
            <v>Bandung</v>
          </cell>
          <cell r="R1966" t="str">
            <v>Belum TL</v>
          </cell>
          <cell r="S1966" t="str">
            <v>Belum TL</v>
          </cell>
          <cell r="T1966" t="str">
            <v>00394520 - Frida Akbar Rani</v>
          </cell>
          <cell r="U1966" t="str">
            <v>"-"</v>
          </cell>
        </row>
        <row r="1967">
          <cell r="A1967">
            <v>46265</v>
          </cell>
          <cell r="B1967" t="str">
            <v xml:space="preserve">TRANS GLOBAL SEJAHTERA                  </v>
          </cell>
          <cell r="C1967" t="str">
            <v>TOQ8936</v>
          </cell>
          <cell r="D1967">
            <v>2701503501157</v>
          </cell>
          <cell r="E1967" t="str">
            <v>RENDAH</v>
          </cell>
          <cell r="F1967" t="str">
            <v>Tidak</v>
          </cell>
          <cell r="G1967" t="str">
            <v>Tidak</v>
          </cell>
          <cell r="H1967" t="str">
            <v>Tidak</v>
          </cell>
          <cell r="I1967" t="str">
            <v>Korupsi - Loan View</v>
          </cell>
          <cell r="J1967">
            <v>33</v>
          </cell>
          <cell r="K1967">
            <v>15</v>
          </cell>
          <cell r="L1967" t="str">
            <v>Korupsi</v>
          </cell>
          <cell r="M1967" t="str">
            <v>Kas Kanpus</v>
          </cell>
          <cell r="N1967" t="str">
            <v>Kas Kanpus</v>
          </cell>
          <cell r="O1967" t="str">
            <v>KAS KANPUS</v>
          </cell>
          <cell r="R1967" t="str">
            <v>Belum TL</v>
          </cell>
          <cell r="S1967" t="str">
            <v>Belum TL</v>
          </cell>
          <cell r="T1967" t="str">
            <v>90185537 - Moh.Khoerul Fajar Ar</v>
          </cell>
          <cell r="U1967" t="str">
            <v>"-"</v>
          </cell>
        </row>
        <row r="1968">
          <cell r="A1968">
            <v>46265</v>
          </cell>
          <cell r="B1968" t="str">
            <v xml:space="preserve">TAUPIASKAR                              </v>
          </cell>
          <cell r="C1968" t="str">
            <v>TOS3758</v>
          </cell>
          <cell r="D1968">
            <v>522701019109101</v>
          </cell>
          <cell r="E1968" t="str">
            <v>RENDAH</v>
          </cell>
          <cell r="F1968" t="str">
            <v>Tidak</v>
          </cell>
          <cell r="G1968" t="str">
            <v>Tidak</v>
          </cell>
          <cell r="H1968" t="str">
            <v>Tidak</v>
          </cell>
          <cell r="I1968" t="str">
            <v>Korupsi - Loan View</v>
          </cell>
          <cell r="J1968">
            <v>33</v>
          </cell>
          <cell r="K1968">
            <v>15</v>
          </cell>
          <cell r="L1968" t="str">
            <v>Korupsi</v>
          </cell>
          <cell r="M1968" t="str">
            <v>Kas Kanpus</v>
          </cell>
          <cell r="N1968" t="str">
            <v>Kas Kanpus</v>
          </cell>
          <cell r="O1968" t="str">
            <v>KAS KANPUS</v>
          </cell>
          <cell r="R1968" t="str">
            <v>Belum TL</v>
          </cell>
          <cell r="S1968" t="str">
            <v>Belum TL</v>
          </cell>
          <cell r="T1968" t="str">
            <v>90186796 - Devito Arya Wiradila</v>
          </cell>
          <cell r="U1968" t="str">
            <v>"-"</v>
          </cell>
        </row>
        <row r="1969">
          <cell r="A1969">
            <v>46265</v>
          </cell>
          <cell r="B1969" t="str">
            <v xml:space="preserve">TAUFIQ AGUS DARMAWAN                    </v>
          </cell>
          <cell r="C1969" t="str">
            <v>TP74826</v>
          </cell>
          <cell r="D1969">
            <v>21201001169567</v>
          </cell>
          <cell r="E1969" t="str">
            <v>SEDANG</v>
          </cell>
          <cell r="F1969" t="str">
            <v>Tidak</v>
          </cell>
          <cell r="G1969" t="str">
            <v>Tidak</v>
          </cell>
          <cell r="H1969" t="str">
            <v>Tidak</v>
          </cell>
          <cell r="I1969" t="str">
            <v>Korupsi - Cash &amp; Amount</v>
          </cell>
          <cell r="J1969">
            <v>48</v>
          </cell>
          <cell r="K1969" t="str">
            <v>1,2,20</v>
          </cell>
          <cell r="L1969" t="str">
            <v>Korupsi</v>
          </cell>
          <cell r="M1969" t="str">
            <v>Kas Kanpus</v>
          </cell>
          <cell r="N1969" t="str">
            <v>Kas Kanpus</v>
          </cell>
          <cell r="O1969" t="str">
            <v>KAS KANPUS</v>
          </cell>
          <cell r="R1969" t="str">
            <v>Belum TL</v>
          </cell>
          <cell r="S1969" t="str">
            <v>Belum TL</v>
          </cell>
          <cell r="T1969" t="str">
            <v>90185538 - Muhammad Fahikal Auz</v>
          </cell>
          <cell r="U1969" t="str">
            <v>"-"</v>
          </cell>
        </row>
        <row r="1970">
          <cell r="A1970">
            <v>46265</v>
          </cell>
          <cell r="B1970" t="str">
            <v xml:space="preserve">TONY SUHENDRA                           </v>
          </cell>
          <cell r="C1970" t="str">
            <v>TPM0320</v>
          </cell>
          <cell r="D1970">
            <v>158101005596502</v>
          </cell>
          <cell r="E1970" t="str">
            <v>SEDANG</v>
          </cell>
          <cell r="F1970" t="str">
            <v>Tidak</v>
          </cell>
          <cell r="G1970" t="str">
            <v>Tidak</v>
          </cell>
          <cell r="H1970" t="str">
            <v>Tidak</v>
          </cell>
          <cell r="I1970" t="str">
            <v>Bandar Judol Withdrawal</v>
          </cell>
          <cell r="J1970">
            <v>50</v>
          </cell>
          <cell r="K1970" t="str">
            <v>86,88,87</v>
          </cell>
          <cell r="L1970" t="str">
            <v>Judi Online</v>
          </cell>
          <cell r="M1970" t="str">
            <v xml:space="preserve">Kas Kanpus                              </v>
          </cell>
          <cell r="N1970" t="str">
            <v xml:space="preserve">Kas Kanpus                              </v>
          </cell>
          <cell r="O1970" t="str">
            <v xml:space="preserve">KAS KANPUS                              </v>
          </cell>
          <cell r="R1970" t="str">
            <v>Belum TL</v>
          </cell>
          <cell r="S1970" t="str">
            <v>Belum TL</v>
          </cell>
          <cell r="T1970" t="str">
            <v>90185537 - Moh.Khoerul Fajar Ar</v>
          </cell>
          <cell r="U1970" t="str">
            <v>"-"</v>
          </cell>
        </row>
        <row r="1971">
          <cell r="A1971">
            <v>46265</v>
          </cell>
          <cell r="B1971" t="str">
            <v xml:space="preserve">TUBAGUS A SYAFARI                       </v>
          </cell>
          <cell r="C1971" t="str">
            <v>TPX5413</v>
          </cell>
          <cell r="D1971">
            <v>173101006513508</v>
          </cell>
          <cell r="E1971" t="str">
            <v>SEDANG</v>
          </cell>
          <cell r="F1971" t="str">
            <v>Tidak</v>
          </cell>
          <cell r="G1971" t="str">
            <v>Tidak</v>
          </cell>
          <cell r="H1971" t="str">
            <v>Ya</v>
          </cell>
          <cell r="I1971" t="str">
            <v>Bandar Judol Withdrawal</v>
          </cell>
          <cell r="J1971">
            <v>50</v>
          </cell>
          <cell r="K1971" t="str">
            <v>86,88,87</v>
          </cell>
          <cell r="L1971" t="str">
            <v>Judi Online</v>
          </cell>
          <cell r="M1971" t="str">
            <v xml:space="preserve">Kas Kanpus                              </v>
          </cell>
          <cell r="N1971" t="str">
            <v xml:space="preserve">Kas Kanpus                              </v>
          </cell>
          <cell r="O1971" t="str">
            <v xml:space="preserve">KAS KANPUS                              </v>
          </cell>
          <cell r="R1971" t="str">
            <v>Belum TL</v>
          </cell>
          <cell r="S1971" t="str">
            <v>Belum TL</v>
          </cell>
          <cell r="T1971" t="str">
            <v>90186790 - Muhammad Alfin Farha</v>
          </cell>
          <cell r="U1971" t="str">
            <v>"-"</v>
          </cell>
        </row>
        <row r="1972">
          <cell r="A1972">
            <v>46265</v>
          </cell>
          <cell r="B1972" t="str">
            <v xml:space="preserve">TIRTAJAYA                               </v>
          </cell>
          <cell r="C1972" t="str">
            <v>TRI3871</v>
          </cell>
          <cell r="D1972">
            <v>9201125552501</v>
          </cell>
          <cell r="E1972" t="str">
            <v>SEDANG</v>
          </cell>
          <cell r="F1972" t="str">
            <v>Tidak</v>
          </cell>
          <cell r="G1972" t="str">
            <v>Tidak</v>
          </cell>
          <cell r="H1972" t="str">
            <v>Tidak</v>
          </cell>
          <cell r="I1972" t="str">
            <v>Bandar Judol Withdrawal</v>
          </cell>
          <cell r="J1972">
            <v>50</v>
          </cell>
          <cell r="K1972" t="str">
            <v>86,88,87</v>
          </cell>
          <cell r="L1972" t="str">
            <v>Judi Online</v>
          </cell>
          <cell r="M1972" t="str">
            <v xml:space="preserve">Kas Kanpus                              </v>
          </cell>
          <cell r="N1972" t="str">
            <v xml:space="preserve">Kas Kanpus                              </v>
          </cell>
          <cell r="O1972" t="str">
            <v xml:space="preserve">KAS KANPUS                              </v>
          </cell>
          <cell r="R1972" t="str">
            <v>Belum TL</v>
          </cell>
          <cell r="S1972" t="str">
            <v>Belum TL</v>
          </cell>
          <cell r="T1972" t="str">
            <v>90186796 - Devito Arya Wiradila</v>
          </cell>
          <cell r="U1972" t="str">
            <v>"-"</v>
          </cell>
        </row>
        <row r="1973">
          <cell r="A1973">
            <v>46265</v>
          </cell>
          <cell r="B1973" t="str">
            <v xml:space="preserve">TEGAR PAMUNGKAS                         </v>
          </cell>
          <cell r="C1973" t="str">
            <v>TRW7882</v>
          </cell>
          <cell r="D1973">
            <v>33201165727502</v>
          </cell>
          <cell r="E1973" t="str">
            <v>SEDANG</v>
          </cell>
          <cell r="F1973" t="str">
            <v>Tidak</v>
          </cell>
          <cell r="G1973" t="str">
            <v>Tidak</v>
          </cell>
          <cell r="H1973" t="str">
            <v>Tidak</v>
          </cell>
          <cell r="I1973" t="str">
            <v>Bandar Judol Withdrawal</v>
          </cell>
          <cell r="J1973">
            <v>50</v>
          </cell>
          <cell r="K1973" t="str">
            <v>86,88,87</v>
          </cell>
          <cell r="L1973" t="str">
            <v>Judi Online</v>
          </cell>
          <cell r="M1973" t="str">
            <v xml:space="preserve">Kas Kanpus                              </v>
          </cell>
          <cell r="N1973" t="str">
            <v xml:space="preserve">Kas Kanpus                              </v>
          </cell>
          <cell r="O1973" t="str">
            <v xml:space="preserve">KAS KANPUS                              </v>
          </cell>
          <cell r="R1973" t="str">
            <v>Belum TL</v>
          </cell>
          <cell r="S1973" t="str">
            <v>Belum TL</v>
          </cell>
          <cell r="T1973" t="str">
            <v>00336949 - Mochammad Al Farabi</v>
          </cell>
          <cell r="U1973" t="str">
            <v>"-"</v>
          </cell>
        </row>
        <row r="1974">
          <cell r="A1974">
            <v>46265</v>
          </cell>
          <cell r="B1974" t="str">
            <v xml:space="preserve">TRADERS MINING TIN BABEL                </v>
          </cell>
          <cell r="C1974" t="str">
            <v>TSH4324</v>
          </cell>
          <cell r="D1974">
            <v>6301003634309</v>
          </cell>
          <cell r="E1974" t="str">
            <v>SEDANG</v>
          </cell>
          <cell r="F1974" t="str">
            <v>Tidak</v>
          </cell>
          <cell r="G1974" t="str">
            <v>Tidak</v>
          </cell>
          <cell r="H1974" t="str">
            <v>Tidak</v>
          </cell>
          <cell r="I1974" t="str">
            <v>Korupsi - Cash &amp; Amount</v>
          </cell>
          <cell r="J1974">
            <v>50</v>
          </cell>
          <cell r="K1974" t="str">
            <v>1,2,20</v>
          </cell>
          <cell r="L1974" t="str">
            <v>Korupsi</v>
          </cell>
          <cell r="M1974" t="str">
            <v>Kas Kanpus</v>
          </cell>
          <cell r="N1974" t="str">
            <v>Kas Kanpus</v>
          </cell>
          <cell r="O1974" t="str">
            <v>KAS KANPUS</v>
          </cell>
          <cell r="R1974" t="str">
            <v>Belum TL</v>
          </cell>
          <cell r="S1974" t="str">
            <v>Belum TL</v>
          </cell>
          <cell r="T1974" t="str">
            <v>00336949 - Mochammad Al Farabi</v>
          </cell>
          <cell r="U1974" t="str">
            <v>"-"</v>
          </cell>
        </row>
        <row r="1975">
          <cell r="A1975">
            <v>46265</v>
          </cell>
          <cell r="B1975" t="str">
            <v xml:space="preserve">TOMI IRAWAN                             </v>
          </cell>
          <cell r="C1975" t="str">
            <v>TSK3503</v>
          </cell>
          <cell r="D1975">
            <v>57201045041503</v>
          </cell>
          <cell r="E1975" t="str">
            <v>SEDANG</v>
          </cell>
          <cell r="F1975" t="str">
            <v>Tidak</v>
          </cell>
          <cell r="G1975" t="str">
            <v>Tidak</v>
          </cell>
          <cell r="H1975" t="str">
            <v>Tidak</v>
          </cell>
          <cell r="I1975" t="str">
            <v>Bandar Judol Withdrawal</v>
          </cell>
          <cell r="J1975">
            <v>50</v>
          </cell>
          <cell r="K1975" t="str">
            <v>86,88,87</v>
          </cell>
          <cell r="L1975" t="str">
            <v>Judi Online</v>
          </cell>
          <cell r="M1975" t="str">
            <v xml:space="preserve">Kas Kanpus                              </v>
          </cell>
          <cell r="N1975" t="str">
            <v xml:space="preserve">Kas Kanpus                              </v>
          </cell>
          <cell r="O1975" t="str">
            <v xml:space="preserve">KAS KANPUS                              </v>
          </cell>
          <cell r="R1975" t="str">
            <v>Belum TL</v>
          </cell>
          <cell r="S1975" t="str">
            <v>Belum TL</v>
          </cell>
          <cell r="T1975" t="str">
            <v>00394520 - Frida Akbar Rani</v>
          </cell>
          <cell r="U1975" t="str">
            <v>"-"</v>
          </cell>
        </row>
        <row r="1976">
          <cell r="A1976">
            <v>46265</v>
          </cell>
          <cell r="B1976" t="str">
            <v xml:space="preserve">TOTO SUHERMANTO                         </v>
          </cell>
          <cell r="C1976" t="str">
            <v>TSY1548</v>
          </cell>
          <cell r="D1976">
            <v>117201009017509</v>
          </cell>
          <cell r="F1976" t="str">
            <v>Tidak</v>
          </cell>
          <cell r="G1976" t="str">
            <v>Tidak</v>
          </cell>
          <cell r="H1976" t="str">
            <v>Tidak</v>
          </cell>
          <cell r="I1976" t="str">
            <v>Bandar Judol Withdrawal</v>
          </cell>
          <cell r="J1976">
            <v>35</v>
          </cell>
          <cell r="K1976" t="str">
            <v>86,88,87</v>
          </cell>
          <cell r="L1976" t="str">
            <v>Judi Online</v>
          </cell>
          <cell r="M1976" t="str">
            <v xml:space="preserve">Kas Kanpus                              </v>
          </cell>
          <cell r="N1976" t="str">
            <v xml:space="preserve">Kas Kanpus                              </v>
          </cell>
          <cell r="O1976" t="str">
            <v xml:space="preserve">KAS KANPUS                              </v>
          </cell>
          <cell r="R1976" t="str">
            <v>Belum TL</v>
          </cell>
          <cell r="S1976" t="str">
            <v>Belum TL</v>
          </cell>
          <cell r="T1976" t="str">
            <v>90186796 - Devito Arya Wiradila</v>
          </cell>
          <cell r="U1976" t="str">
            <v>"-"</v>
          </cell>
        </row>
        <row r="1977">
          <cell r="A1977">
            <v>46265</v>
          </cell>
          <cell r="B1977" t="str">
            <v xml:space="preserve">TIAN MULYADI                            </v>
          </cell>
          <cell r="C1977" t="str">
            <v>TTE2010</v>
          </cell>
          <cell r="D1977">
            <v>418401027847508</v>
          </cell>
          <cell r="F1977" t="str">
            <v>Tidak</v>
          </cell>
          <cell r="G1977" t="str">
            <v>Tidak</v>
          </cell>
          <cell r="H1977" t="str">
            <v>Tidak</v>
          </cell>
          <cell r="I1977" t="str">
            <v>Bandar Judol Withdrawal</v>
          </cell>
          <cell r="J1977">
            <v>35</v>
          </cell>
          <cell r="K1977" t="str">
            <v>86,88,87</v>
          </cell>
          <cell r="L1977" t="str">
            <v>Judi Online</v>
          </cell>
          <cell r="M1977" t="str">
            <v xml:space="preserve">Kas Kanpus                              </v>
          </cell>
          <cell r="N1977" t="str">
            <v xml:space="preserve">Kas Kanpus                              </v>
          </cell>
          <cell r="O1977" t="str">
            <v xml:space="preserve">KAS KANPUS                              </v>
          </cell>
          <cell r="R1977" t="str">
            <v>Belum TL</v>
          </cell>
          <cell r="S1977" t="str">
            <v>Belum TL</v>
          </cell>
          <cell r="T1977" t="str">
            <v>90186790 - Muhammad Alfin Farha</v>
          </cell>
          <cell r="U1977" t="str">
            <v>"-"</v>
          </cell>
        </row>
        <row r="1978">
          <cell r="A1978">
            <v>46265</v>
          </cell>
          <cell r="B1978" t="str">
            <v xml:space="preserve">THAMRIPRABU AKBAR                       </v>
          </cell>
          <cell r="C1978" t="str">
            <v>TTP9789</v>
          </cell>
          <cell r="D1978">
            <v>43801004054563</v>
          </cell>
          <cell r="F1978" t="str">
            <v>Tidak</v>
          </cell>
          <cell r="G1978" t="str">
            <v>Tidak</v>
          </cell>
          <cell r="H1978" t="str">
            <v>Tidak</v>
          </cell>
          <cell r="I1978" t="str">
            <v>Bandar Judol Withdrawal</v>
          </cell>
          <cell r="J1978">
            <v>35</v>
          </cell>
          <cell r="K1978" t="str">
            <v>86,88,87</v>
          </cell>
          <cell r="L1978" t="str">
            <v>Judi Online</v>
          </cell>
          <cell r="M1978" t="str">
            <v xml:space="preserve">Kas Kanpus                              </v>
          </cell>
          <cell r="N1978" t="str">
            <v xml:space="preserve">Kas Kanpus                              </v>
          </cell>
          <cell r="O1978" t="str">
            <v xml:space="preserve">KAS KANPUS                              </v>
          </cell>
          <cell r="R1978" t="str">
            <v>Belum TL</v>
          </cell>
          <cell r="S1978" t="str">
            <v>Belum TL</v>
          </cell>
          <cell r="T1978" t="str">
            <v>90185538 - Muhammad Fahikal Auz</v>
          </cell>
          <cell r="U1978" t="str">
            <v>"-"</v>
          </cell>
        </row>
        <row r="1979">
          <cell r="A1979">
            <v>46265</v>
          </cell>
          <cell r="B1979" t="str">
            <v xml:space="preserve">TOMMY EDWARD PA                         </v>
          </cell>
          <cell r="C1979" t="str">
            <v>TTQ6676</v>
          </cell>
          <cell r="D1979">
            <v>23801093358504</v>
          </cell>
          <cell r="F1979" t="str">
            <v>Tidak</v>
          </cell>
          <cell r="G1979" t="str">
            <v>Tidak</v>
          </cell>
          <cell r="H1979" t="str">
            <v>Tidak</v>
          </cell>
          <cell r="I1979" t="str">
            <v>Bandar Judol Withdrawal</v>
          </cell>
          <cell r="J1979">
            <v>35</v>
          </cell>
          <cell r="K1979" t="str">
            <v>86,88,87</v>
          </cell>
          <cell r="L1979" t="str">
            <v>Judi Online</v>
          </cell>
          <cell r="M1979" t="str">
            <v xml:space="preserve">Kas Kanpus                              </v>
          </cell>
          <cell r="N1979" t="str">
            <v xml:space="preserve">Kas Kanpus                              </v>
          </cell>
          <cell r="O1979" t="str">
            <v xml:space="preserve">KAS KANPUS                              </v>
          </cell>
          <cell r="R1979" t="str">
            <v>Belum TL</v>
          </cell>
          <cell r="S1979" t="str">
            <v>Belum TL</v>
          </cell>
          <cell r="T1979" t="str">
            <v>90185537 - Moh.Khoerul Fajar Ar</v>
          </cell>
          <cell r="U1979" t="str">
            <v>"-"</v>
          </cell>
        </row>
        <row r="1980">
          <cell r="A1980">
            <v>46265</v>
          </cell>
          <cell r="B1980" t="str">
            <v xml:space="preserve">TAUFIK BARJAH WAHYU                     </v>
          </cell>
          <cell r="C1980" t="str">
            <v>TTZ9557</v>
          </cell>
          <cell r="D1980">
            <v>501241021506</v>
          </cell>
          <cell r="F1980" t="str">
            <v>Tidak</v>
          </cell>
          <cell r="G1980" t="str">
            <v>Tidak</v>
          </cell>
          <cell r="H1980" t="str">
            <v>Tidak</v>
          </cell>
          <cell r="I1980" t="str">
            <v>Bandar Judol Depo</v>
          </cell>
          <cell r="J1980">
            <v>35</v>
          </cell>
          <cell r="K1980" t="str">
            <v>86,74,87</v>
          </cell>
          <cell r="L1980" t="str">
            <v>Judi Online</v>
          </cell>
          <cell r="M1980" t="str">
            <v xml:space="preserve">Kas Kanpus                              </v>
          </cell>
          <cell r="N1980" t="str">
            <v xml:space="preserve">Kas Kanpus                              </v>
          </cell>
          <cell r="O1980" t="str">
            <v xml:space="preserve">KAS KANPUS                              </v>
          </cell>
          <cell r="R1980" t="str">
            <v>Belum TL</v>
          </cell>
          <cell r="S1980" t="str">
            <v>Belum TL</v>
          </cell>
          <cell r="T1980" t="str">
            <v>90150130 - Intan Aida Pratiwi</v>
          </cell>
          <cell r="U1980" t="str">
            <v>"-"</v>
          </cell>
        </row>
        <row r="1981">
          <cell r="A1981">
            <v>46265</v>
          </cell>
          <cell r="B1981" t="str">
            <v xml:space="preserve">TONY                                    </v>
          </cell>
          <cell r="C1981" t="str">
            <v>TU36714</v>
          </cell>
          <cell r="D1981">
            <v>11601145740508</v>
          </cell>
          <cell r="E1981" t="str">
            <v>SEDANG</v>
          </cell>
          <cell r="F1981" t="str">
            <v>Tidak</v>
          </cell>
          <cell r="G1981" t="str">
            <v>Tidak</v>
          </cell>
          <cell r="H1981" t="str">
            <v>Tidak</v>
          </cell>
          <cell r="I1981" t="str">
            <v>Bandar Judol Withdrawal</v>
          </cell>
          <cell r="J1981">
            <v>50</v>
          </cell>
          <cell r="K1981" t="str">
            <v>86,88,87</v>
          </cell>
          <cell r="L1981" t="str">
            <v>Judi Online</v>
          </cell>
          <cell r="M1981" t="str">
            <v xml:space="preserve">Kas Kanpus                              </v>
          </cell>
          <cell r="N1981" t="str">
            <v xml:space="preserve">Kas Kanpus                              </v>
          </cell>
          <cell r="O1981" t="str">
            <v xml:space="preserve">KAS KANPUS                              </v>
          </cell>
          <cell r="R1981" t="str">
            <v>Belum TL</v>
          </cell>
          <cell r="S1981" t="str">
            <v>Belum TL</v>
          </cell>
          <cell r="T1981" t="str">
            <v>90150130 - Intan Aida Pratiwi</v>
          </cell>
          <cell r="U1981" t="str">
            <v>"-"</v>
          </cell>
        </row>
        <row r="1982">
          <cell r="A1982">
            <v>46265</v>
          </cell>
          <cell r="B1982" t="str">
            <v xml:space="preserve">TUNAS IRJA                              </v>
          </cell>
          <cell r="C1982" t="str">
            <v>TU74001</v>
          </cell>
          <cell r="D1982">
            <v>35301003404307</v>
          </cell>
          <cell r="E1982" t="str">
            <v>SEDANG</v>
          </cell>
          <cell r="F1982" t="str">
            <v>Tidak</v>
          </cell>
          <cell r="G1982" t="str">
            <v>Tidak</v>
          </cell>
          <cell r="H1982" t="str">
            <v>Tidak</v>
          </cell>
          <cell r="I1982" t="str">
            <v>Korupsi - Cash &amp; Amount</v>
          </cell>
          <cell r="J1982">
            <v>48</v>
          </cell>
          <cell r="K1982" t="str">
            <v>1,2,20</v>
          </cell>
          <cell r="L1982" t="str">
            <v>Korupsi</v>
          </cell>
          <cell r="M1982" t="str">
            <v>Kas Kanpus</v>
          </cell>
          <cell r="N1982" t="str">
            <v>Kas Kanpus</v>
          </cell>
          <cell r="O1982" t="str">
            <v>KAS KANPUS</v>
          </cell>
          <cell r="R1982" t="str">
            <v>Belum TL</v>
          </cell>
          <cell r="S1982" t="str">
            <v>Belum TL</v>
          </cell>
          <cell r="T1982" t="str">
            <v>90171841 - Rifqi Aziz</v>
          </cell>
          <cell r="U1982" t="str">
            <v>"-"</v>
          </cell>
        </row>
        <row r="1983">
          <cell r="A1983">
            <v>46265</v>
          </cell>
          <cell r="B1983" t="str">
            <v xml:space="preserve">THAUFIO ARYA DENATA                     </v>
          </cell>
          <cell r="C1983" t="str">
            <v>TUD0239</v>
          </cell>
          <cell r="D1983">
            <v>663201007528507</v>
          </cell>
          <cell r="F1983" t="str">
            <v>Tidak</v>
          </cell>
          <cell r="G1983" t="str">
            <v>Tidak</v>
          </cell>
          <cell r="H1983" t="str">
            <v>Tidak</v>
          </cell>
          <cell r="I1983" t="str">
            <v>Bandar Judol Withdrawal</v>
          </cell>
          <cell r="J1983">
            <v>35</v>
          </cell>
          <cell r="K1983" t="str">
            <v>86,88,87</v>
          </cell>
          <cell r="L1983" t="str">
            <v>Judi Online</v>
          </cell>
          <cell r="M1983" t="str">
            <v xml:space="preserve">Kas Kanpus                              </v>
          </cell>
          <cell r="N1983" t="str">
            <v xml:space="preserve">Kas Kanpus                              </v>
          </cell>
          <cell r="O1983" t="str">
            <v xml:space="preserve">KAS KANPUS                              </v>
          </cell>
          <cell r="R1983" t="str">
            <v>Belum TL</v>
          </cell>
          <cell r="S1983" t="str">
            <v>Belum TL</v>
          </cell>
          <cell r="T1983" t="str">
            <v>90150130 - Intan Aida Pratiwi</v>
          </cell>
          <cell r="U1983" t="str">
            <v>"-"</v>
          </cell>
        </row>
        <row r="1984">
          <cell r="A1984">
            <v>46265</v>
          </cell>
          <cell r="B1984" t="str">
            <v xml:space="preserve">TEDI SUTISNA                            </v>
          </cell>
          <cell r="C1984" t="str">
            <v>TUE1214</v>
          </cell>
          <cell r="D1984">
            <v>16601136593503</v>
          </cell>
          <cell r="F1984" t="str">
            <v>Tidak</v>
          </cell>
          <cell r="G1984" t="str">
            <v>Tidak</v>
          </cell>
          <cell r="H1984" t="str">
            <v>Tidak</v>
          </cell>
          <cell r="I1984" t="str">
            <v>Bandar Judol Withdrawal</v>
          </cell>
          <cell r="J1984">
            <v>35</v>
          </cell>
          <cell r="K1984" t="str">
            <v>86,88,87</v>
          </cell>
          <cell r="L1984" t="str">
            <v>Judi Online</v>
          </cell>
          <cell r="M1984" t="str">
            <v xml:space="preserve">Kas Kanpus                              </v>
          </cell>
          <cell r="N1984" t="str">
            <v xml:space="preserve">Kas Kanpus                              </v>
          </cell>
          <cell r="O1984" t="str">
            <v xml:space="preserve">KAS KANPUS                              </v>
          </cell>
          <cell r="R1984" t="str">
            <v>Belum TL</v>
          </cell>
          <cell r="S1984" t="str">
            <v>Belum TL</v>
          </cell>
          <cell r="T1984" t="str">
            <v>90171841 - Rifqi Aziz</v>
          </cell>
          <cell r="U1984" t="str">
            <v>"-"</v>
          </cell>
        </row>
        <row r="1985">
          <cell r="A1985">
            <v>46265</v>
          </cell>
          <cell r="B1985" t="str">
            <v xml:space="preserve">TONI                                    </v>
          </cell>
          <cell r="C1985" t="str">
            <v>TUK9064</v>
          </cell>
          <cell r="D1985">
            <v>11601186936502</v>
          </cell>
          <cell r="F1985" t="str">
            <v>Tidak</v>
          </cell>
          <cell r="G1985" t="str">
            <v>Tidak</v>
          </cell>
          <cell r="H1985" t="str">
            <v>Tidak</v>
          </cell>
          <cell r="I1985" t="str">
            <v>Bandar Judol Withdrawal</v>
          </cell>
          <cell r="J1985">
            <v>35</v>
          </cell>
          <cell r="K1985" t="str">
            <v>86,88,87</v>
          </cell>
          <cell r="L1985" t="str">
            <v>Judi Online</v>
          </cell>
          <cell r="M1985" t="str">
            <v xml:space="preserve">Kas Kanpus                              </v>
          </cell>
          <cell r="N1985" t="str">
            <v xml:space="preserve">Kas Kanpus                              </v>
          </cell>
          <cell r="O1985" t="str">
            <v xml:space="preserve">KAS KANPUS                              </v>
          </cell>
          <cell r="R1985" t="str">
            <v>Belum TL</v>
          </cell>
          <cell r="S1985" t="str">
            <v>Belum TL</v>
          </cell>
          <cell r="T1985" t="str">
            <v>90170665 - Mutiara Ayuningtyas</v>
          </cell>
          <cell r="U1985" t="str">
            <v>"-"</v>
          </cell>
        </row>
        <row r="1986">
          <cell r="A1986">
            <v>46265</v>
          </cell>
          <cell r="B1986" t="str">
            <v xml:space="preserve">TUA SIMANJUNTAK                         </v>
          </cell>
          <cell r="C1986" t="str">
            <v>TUR7288</v>
          </cell>
          <cell r="D1986">
            <v>529401008535504</v>
          </cell>
          <cell r="F1986" t="str">
            <v>Tidak</v>
          </cell>
          <cell r="G1986" t="str">
            <v>Tidak</v>
          </cell>
          <cell r="H1986" t="str">
            <v>Tidak</v>
          </cell>
          <cell r="I1986" t="str">
            <v>Bandar Judol Withdrawal</v>
          </cell>
          <cell r="J1986">
            <v>35</v>
          </cell>
          <cell r="K1986" t="str">
            <v>86,88,87</v>
          </cell>
          <cell r="L1986" t="str">
            <v>Judi Online</v>
          </cell>
          <cell r="M1986" t="str">
            <v xml:space="preserve">Kas Kanpus                              </v>
          </cell>
          <cell r="N1986" t="str">
            <v xml:space="preserve">Kas Kanpus                              </v>
          </cell>
          <cell r="O1986" t="str">
            <v xml:space="preserve">KAS KANPUS                              </v>
          </cell>
          <cell r="R1986" t="str">
            <v>Belum TL</v>
          </cell>
          <cell r="S1986" t="str">
            <v>Belum TL</v>
          </cell>
          <cell r="T1986" t="str">
            <v>90171841 - Rifqi Aziz</v>
          </cell>
          <cell r="U1986" t="str">
            <v>"-"</v>
          </cell>
        </row>
        <row r="1987">
          <cell r="A1987">
            <v>46265</v>
          </cell>
          <cell r="B1987" t="str">
            <v xml:space="preserve">T. CICI QOMARIYAH                       </v>
          </cell>
          <cell r="C1987" t="str">
            <v>TUS0274</v>
          </cell>
          <cell r="D1987">
            <v>334501010274503</v>
          </cell>
          <cell r="F1987" t="str">
            <v>Tidak</v>
          </cell>
          <cell r="G1987" t="str">
            <v>Tidak</v>
          </cell>
          <cell r="H1987" t="str">
            <v>Tidak</v>
          </cell>
          <cell r="I1987" t="str">
            <v>Bandar Judol Withdrawal</v>
          </cell>
          <cell r="J1987">
            <v>35</v>
          </cell>
          <cell r="K1987" t="str">
            <v>86,88,87</v>
          </cell>
          <cell r="L1987" t="str">
            <v>Judi Online</v>
          </cell>
          <cell r="M1987" t="str">
            <v xml:space="preserve">Kas Kanpus                              </v>
          </cell>
          <cell r="N1987" t="str">
            <v xml:space="preserve">Kas Kanpus                              </v>
          </cell>
          <cell r="O1987" t="str">
            <v xml:space="preserve">KAS KANPUS                              </v>
          </cell>
          <cell r="R1987" t="str">
            <v>Belum TL</v>
          </cell>
          <cell r="S1987" t="str">
            <v>Belum TL</v>
          </cell>
          <cell r="T1987" t="str">
            <v>90171841 - Rifqi Aziz</v>
          </cell>
          <cell r="U1987" t="str">
            <v>"-"</v>
          </cell>
        </row>
        <row r="1988">
          <cell r="A1988">
            <v>46265</v>
          </cell>
          <cell r="B1988" t="str">
            <v xml:space="preserve">TEDI ROSADI                             </v>
          </cell>
          <cell r="C1988" t="str">
            <v>TUZ1093</v>
          </cell>
          <cell r="D1988">
            <v>332201005332504</v>
          </cell>
          <cell r="F1988" t="str">
            <v>Tidak</v>
          </cell>
          <cell r="G1988" t="str">
            <v>Tidak</v>
          </cell>
          <cell r="H1988" t="str">
            <v>Tidak</v>
          </cell>
          <cell r="I1988" t="str">
            <v>Bandar Judol Withdrawal</v>
          </cell>
          <cell r="J1988">
            <v>35</v>
          </cell>
          <cell r="K1988" t="str">
            <v>86,88,87</v>
          </cell>
          <cell r="L1988" t="str">
            <v>Judi Online</v>
          </cell>
          <cell r="M1988" t="str">
            <v xml:space="preserve">Kas Kanpus                              </v>
          </cell>
          <cell r="N1988" t="str">
            <v xml:space="preserve">Kas Kanpus                              </v>
          </cell>
          <cell r="O1988" t="str">
            <v xml:space="preserve">KAS KANPUS                              </v>
          </cell>
          <cell r="R1988" t="str">
            <v>Belum TL</v>
          </cell>
          <cell r="S1988" t="str">
            <v>Belum TL</v>
          </cell>
          <cell r="T1988" t="str">
            <v>90171841 - Rifqi Aziz</v>
          </cell>
          <cell r="U1988" t="str">
            <v>"-"</v>
          </cell>
        </row>
        <row r="1989">
          <cell r="A1989">
            <v>46265</v>
          </cell>
          <cell r="B1989" t="str">
            <v xml:space="preserve">TAUFIK HAIRUL ALHUDA                    </v>
          </cell>
          <cell r="C1989" t="str">
            <v>TVC1204</v>
          </cell>
          <cell r="D1989">
            <v>110601029206507</v>
          </cell>
          <cell r="F1989" t="str">
            <v>Tidak</v>
          </cell>
          <cell r="G1989" t="str">
            <v>Tidak</v>
          </cell>
          <cell r="H1989" t="str">
            <v>Tidak</v>
          </cell>
          <cell r="I1989" t="str">
            <v>Bandar Judol Withdrawal</v>
          </cell>
          <cell r="J1989">
            <v>35</v>
          </cell>
          <cell r="K1989" t="str">
            <v>86,88,87</v>
          </cell>
          <cell r="L1989" t="str">
            <v>Judi Online</v>
          </cell>
          <cell r="M1989" t="str">
            <v xml:space="preserve">Kas Kanpus                              </v>
          </cell>
          <cell r="N1989" t="str">
            <v xml:space="preserve">Kas Kanpus                              </v>
          </cell>
          <cell r="O1989" t="str">
            <v xml:space="preserve">KAS KANPUS                              </v>
          </cell>
          <cell r="R1989" t="str">
            <v>Belum TL</v>
          </cell>
          <cell r="S1989" t="str">
            <v>Belum TL</v>
          </cell>
          <cell r="T1989" t="str">
            <v>90186790 - Muhammad Alfin Farha</v>
          </cell>
          <cell r="U1989" t="str">
            <v>"-"</v>
          </cell>
        </row>
        <row r="1990">
          <cell r="A1990">
            <v>46265</v>
          </cell>
          <cell r="B1990" t="str">
            <v xml:space="preserve">TRI HARNANTO                            </v>
          </cell>
          <cell r="C1990" t="str">
            <v>TVD9371</v>
          </cell>
          <cell r="D1990">
            <v>767401008382503</v>
          </cell>
          <cell r="F1990" t="str">
            <v>Tidak</v>
          </cell>
          <cell r="G1990" t="str">
            <v>Tidak</v>
          </cell>
          <cell r="H1990" t="str">
            <v>Tidak</v>
          </cell>
          <cell r="I1990" t="str">
            <v>Korupsi - Significant Trx View</v>
          </cell>
          <cell r="J1990">
            <v>43</v>
          </cell>
          <cell r="K1990">
            <v>1.19</v>
          </cell>
          <cell r="L1990" t="str">
            <v>Korupsi</v>
          </cell>
          <cell r="M1990" t="str">
            <v>Kas Kanpus</v>
          </cell>
          <cell r="N1990" t="str">
            <v>Kas Kanpus</v>
          </cell>
          <cell r="O1990" t="str">
            <v>KAS KANPUS</v>
          </cell>
          <cell r="R1990" t="str">
            <v>Belum TL</v>
          </cell>
          <cell r="S1990" t="str">
            <v>Belum TL</v>
          </cell>
          <cell r="T1990" t="str">
            <v>90186790 - Muhammad Alfin Farha</v>
          </cell>
          <cell r="U1990" t="str">
            <v>"-"</v>
          </cell>
        </row>
        <row r="1991">
          <cell r="A1991">
            <v>46265</v>
          </cell>
          <cell r="B1991" t="str">
            <v xml:space="preserve">TIGA PUTRA                              </v>
          </cell>
          <cell r="C1991" t="str">
            <v>TY35196</v>
          </cell>
          <cell r="D1991">
            <v>10701502065150</v>
          </cell>
          <cell r="E1991" t="str">
            <v>SEDANG</v>
          </cell>
          <cell r="F1991" t="str">
            <v>Tidak</v>
          </cell>
          <cell r="G1991" t="str">
            <v>Tidak</v>
          </cell>
          <cell r="H1991" t="str">
            <v>Tidak</v>
          </cell>
          <cell r="I1991" t="str">
            <v>Korupsi - Loan View</v>
          </cell>
          <cell r="J1991">
            <v>48</v>
          </cell>
          <cell r="K1991">
            <v>15</v>
          </cell>
          <cell r="L1991" t="str">
            <v>Korupsi</v>
          </cell>
          <cell r="M1991" t="str">
            <v>Kas Kanpus</v>
          </cell>
          <cell r="N1991" t="str">
            <v>Kas Kanpus</v>
          </cell>
          <cell r="O1991" t="str">
            <v>KAS KANPUS</v>
          </cell>
          <cell r="R1991" t="str">
            <v>Belum TL</v>
          </cell>
          <cell r="S1991" t="str">
            <v>Belum TL</v>
          </cell>
          <cell r="T1991" t="str">
            <v>90186790 - Muhammad Alfin Farha</v>
          </cell>
          <cell r="U1991" t="str">
            <v>"-"</v>
          </cell>
        </row>
        <row r="1992">
          <cell r="A1992">
            <v>46265</v>
          </cell>
          <cell r="B1992" t="str">
            <v xml:space="preserve">TABAH ARIS NURJAMAN                     </v>
          </cell>
          <cell r="C1992" t="str">
            <v>TY72364</v>
          </cell>
          <cell r="D1992">
            <v>40901060840509</v>
          </cell>
          <cell r="F1992" t="str">
            <v>Tidak</v>
          </cell>
          <cell r="G1992" t="str">
            <v>Tidak</v>
          </cell>
          <cell r="I1992" t="str">
            <v>Jual Beli Rekening - E channel Trx</v>
          </cell>
          <cell r="J1992">
            <v>43</v>
          </cell>
          <cell r="K1992">
            <v>113</v>
          </cell>
          <cell r="L1992" t="str">
            <v>Narkotika/Judi Online/Penipuan</v>
          </cell>
          <cell r="M1992" t="str">
            <v xml:space="preserve">KC Yogyakarta Mlati                     </v>
          </cell>
          <cell r="N1992" t="str">
            <v xml:space="preserve">KC Yogyakarta Mlati                     </v>
          </cell>
          <cell r="O1992" t="str">
            <v xml:space="preserve">Yogyakarta                              </v>
          </cell>
          <cell r="R1992" t="str">
            <v>Belum TL</v>
          </cell>
          <cell r="S1992" t="str">
            <v>Belum TL</v>
          </cell>
          <cell r="U1992" t="str">
            <v>"-"</v>
          </cell>
        </row>
        <row r="1993">
          <cell r="A1993">
            <v>46265</v>
          </cell>
          <cell r="B1993" t="str">
            <v xml:space="preserve">UMAR KODOBO                             </v>
          </cell>
          <cell r="C1993" t="str">
            <v>U675572</v>
          </cell>
          <cell r="D1993">
            <v>522301005734104</v>
          </cell>
          <cell r="E1993" t="str">
            <v>SEDANG</v>
          </cell>
          <cell r="F1993" t="str">
            <v>Tidak</v>
          </cell>
          <cell r="G1993" t="str">
            <v>Tidak</v>
          </cell>
          <cell r="H1993" t="str">
            <v>Tidak</v>
          </cell>
          <cell r="I1993" t="str">
            <v>Korupsi - Loan View</v>
          </cell>
          <cell r="J1993">
            <v>48</v>
          </cell>
          <cell r="K1993">
            <v>15</v>
          </cell>
          <cell r="L1993" t="str">
            <v>Korupsi</v>
          </cell>
          <cell r="M1993" t="str">
            <v>Kas Kanpus</v>
          </cell>
          <cell r="N1993" t="str">
            <v>Kas Kanpus</v>
          </cell>
          <cell r="O1993" t="str">
            <v>KAS KANPUS</v>
          </cell>
          <cell r="R1993" t="str">
            <v>Belum TL</v>
          </cell>
          <cell r="S1993" t="str">
            <v>Belum TL</v>
          </cell>
          <cell r="T1993" t="str">
            <v>00394520 - Frida Akbar Rani</v>
          </cell>
          <cell r="U1993" t="str">
            <v>"-"</v>
          </cell>
        </row>
        <row r="1994">
          <cell r="A1994">
            <v>46265</v>
          </cell>
          <cell r="B1994" t="str">
            <v xml:space="preserve">UNANG SURYONO                           </v>
          </cell>
          <cell r="C1994" t="str">
            <v>U832130</v>
          </cell>
          <cell r="D1994">
            <v>20601375044109</v>
          </cell>
          <cell r="E1994" t="str">
            <v>SEDANG</v>
          </cell>
          <cell r="F1994" t="str">
            <v>Tidak</v>
          </cell>
          <cell r="G1994" t="str">
            <v>Ya</v>
          </cell>
          <cell r="H1994" t="str">
            <v>Tidak</v>
          </cell>
          <cell r="I1994" t="str">
            <v>Korupsi - Loan View</v>
          </cell>
          <cell r="J1994">
            <v>73</v>
          </cell>
          <cell r="K1994">
            <v>15</v>
          </cell>
          <cell r="L1994" t="str">
            <v>Korupsi</v>
          </cell>
          <cell r="M1994" t="str">
            <v>Kas Kanpus</v>
          </cell>
          <cell r="N1994" t="str">
            <v>Kas Kanpus</v>
          </cell>
          <cell r="O1994" t="str">
            <v>KAS KANPUS</v>
          </cell>
          <cell r="R1994" t="str">
            <v>Belum TL</v>
          </cell>
          <cell r="S1994" t="str">
            <v>Belum TL</v>
          </cell>
          <cell r="T1994" t="str">
            <v>90185538 - Muhammad Fahikal Auz</v>
          </cell>
          <cell r="U1994" t="str">
            <v>"-"</v>
          </cell>
        </row>
        <row r="1995">
          <cell r="A1995">
            <v>46265</v>
          </cell>
          <cell r="B1995" t="str">
            <v xml:space="preserve">USMAN UMASANGAJI                        </v>
          </cell>
          <cell r="C1995" t="str">
            <v>UD68799</v>
          </cell>
          <cell r="D1995">
            <v>522001015902101</v>
          </cell>
          <cell r="E1995" t="str">
            <v>SEDANG</v>
          </cell>
          <cell r="F1995" t="str">
            <v>Tidak</v>
          </cell>
          <cell r="G1995" t="str">
            <v>Tidak</v>
          </cell>
          <cell r="H1995" t="str">
            <v>Tidak</v>
          </cell>
          <cell r="I1995" t="str">
            <v>Korupsi - Loan View</v>
          </cell>
          <cell r="J1995">
            <v>48</v>
          </cell>
          <cell r="K1995">
            <v>15</v>
          </cell>
          <cell r="L1995" t="str">
            <v>Korupsi</v>
          </cell>
          <cell r="M1995" t="str">
            <v>Kas Kanpus</v>
          </cell>
          <cell r="N1995" t="str">
            <v>Kas Kanpus</v>
          </cell>
          <cell r="O1995" t="str">
            <v>KAS KANPUS</v>
          </cell>
          <cell r="R1995" t="str">
            <v>Belum TL</v>
          </cell>
          <cell r="S1995" t="str">
            <v>Belum TL</v>
          </cell>
          <cell r="T1995" t="str">
            <v>00336949 - Mochammad Al Farabi</v>
          </cell>
          <cell r="U1995" t="str">
            <v>"-"</v>
          </cell>
        </row>
        <row r="1996">
          <cell r="A1996">
            <v>46265</v>
          </cell>
          <cell r="B1996" t="str">
            <v xml:space="preserve">UUT DWI LESTARI                         </v>
          </cell>
          <cell r="C1996" t="str">
            <v>UF18876</v>
          </cell>
          <cell r="D1996">
            <v>316601021478534</v>
          </cell>
          <cell r="E1996" t="str">
            <v>SEDANG</v>
          </cell>
          <cell r="F1996" t="str">
            <v>Tidak</v>
          </cell>
          <cell r="G1996" t="str">
            <v>Tidak</v>
          </cell>
          <cell r="H1996" t="str">
            <v>Tidak</v>
          </cell>
          <cell r="I1996" t="str">
            <v>Money Mules</v>
          </cell>
          <cell r="J1996">
            <v>42</v>
          </cell>
          <cell r="K1996">
            <v>77</v>
          </cell>
          <cell r="L1996" t="str">
            <v>Narkotika/Judi Online</v>
          </cell>
          <cell r="M1996" t="str">
            <v xml:space="preserve">Kas Kanpus                              </v>
          </cell>
          <cell r="N1996" t="str">
            <v xml:space="preserve">Kas Kanpus                              </v>
          </cell>
          <cell r="O1996" t="str">
            <v xml:space="preserve">KAS KANPUS                              </v>
          </cell>
          <cell r="R1996" t="str">
            <v>Belum TL</v>
          </cell>
          <cell r="S1996" t="str">
            <v>Belum TL</v>
          </cell>
          <cell r="T1996" t="str">
            <v>00336949 - Mochammad Al Farabi</v>
          </cell>
          <cell r="U1996" t="str">
            <v>"-"</v>
          </cell>
        </row>
        <row r="1997">
          <cell r="A1997">
            <v>46265</v>
          </cell>
          <cell r="B1997" t="str">
            <v xml:space="preserve">UD INNAYA                               </v>
          </cell>
          <cell r="C1997" t="str">
            <v>UJ25185</v>
          </cell>
          <cell r="D1997">
            <v>66101001049304</v>
          </cell>
          <cell r="E1997" t="str">
            <v>SEDANG</v>
          </cell>
          <cell r="F1997" t="str">
            <v>Tidak</v>
          </cell>
          <cell r="G1997" t="str">
            <v>Tidak</v>
          </cell>
          <cell r="H1997" t="str">
            <v>Tidak</v>
          </cell>
          <cell r="I1997" t="str">
            <v>Perpajakan</v>
          </cell>
          <cell r="J1997">
            <v>48</v>
          </cell>
          <cell r="K1997">
            <v>41</v>
          </cell>
          <cell r="L1997" t="str">
            <v>Perpajakan</v>
          </cell>
          <cell r="M1997" t="str">
            <v xml:space="preserve">KC Slawi                                </v>
          </cell>
          <cell r="N1997" t="str">
            <v xml:space="preserve">KC Slawi                                </v>
          </cell>
          <cell r="O1997" t="str">
            <v xml:space="preserve">Semarang                                </v>
          </cell>
          <cell r="R1997" t="str">
            <v>Belum TL</v>
          </cell>
          <cell r="S1997" t="str">
            <v>Belum TL</v>
          </cell>
          <cell r="T1997" t="str">
            <v>90171841 - Rifqi Aziz</v>
          </cell>
          <cell r="U1997" t="str">
            <v>"-"</v>
          </cell>
        </row>
        <row r="1998">
          <cell r="A1998">
            <v>46265</v>
          </cell>
          <cell r="B1998" t="str">
            <v xml:space="preserve">UNTUNG PRAYOGO WICAKSONO                </v>
          </cell>
          <cell r="C1998" t="str">
            <v>UM70872</v>
          </cell>
          <cell r="D1998">
            <v>518901013454108</v>
          </cell>
          <cell r="E1998" t="str">
            <v>RENDAH</v>
          </cell>
          <cell r="F1998" t="str">
            <v>Tidak</v>
          </cell>
          <cell r="G1998" t="str">
            <v>Tidak</v>
          </cell>
          <cell r="H1998" t="str">
            <v>Tidak</v>
          </cell>
          <cell r="I1998" t="str">
            <v>Korupsi - Loan View</v>
          </cell>
          <cell r="J1998">
            <v>33</v>
          </cell>
          <cell r="K1998">
            <v>15</v>
          </cell>
          <cell r="L1998" t="str">
            <v>Korupsi</v>
          </cell>
          <cell r="M1998" t="str">
            <v>Kas Kanpus</v>
          </cell>
          <cell r="N1998" t="str">
            <v>Kas Kanpus</v>
          </cell>
          <cell r="O1998" t="str">
            <v>KAS KANPUS</v>
          </cell>
          <cell r="R1998" t="str">
            <v>Belum TL</v>
          </cell>
          <cell r="S1998" t="str">
            <v>Belum TL</v>
          </cell>
          <cell r="T1998" t="str">
            <v>90185537 - Moh.Khoerul Fajar Ar</v>
          </cell>
          <cell r="U1998" t="str">
            <v>"-"</v>
          </cell>
        </row>
        <row r="1999">
          <cell r="A1999">
            <v>46265</v>
          </cell>
          <cell r="B1999" t="str">
            <v xml:space="preserve">UMI SALIMATUL KHUSNA                    </v>
          </cell>
          <cell r="C1999" t="str">
            <v>UO77915</v>
          </cell>
          <cell r="D1999">
            <v>799101002411506</v>
          </cell>
          <cell r="F1999" t="str">
            <v>Tidak</v>
          </cell>
          <cell r="G1999" t="str">
            <v>Tidak</v>
          </cell>
          <cell r="I1999" t="str">
            <v>Jual Beli Rekening - E channel Trx</v>
          </cell>
          <cell r="J1999">
            <v>33</v>
          </cell>
          <cell r="K1999">
            <v>113</v>
          </cell>
          <cell r="L1999" t="str">
            <v>Narkotika/Judi Online/Penipuan</v>
          </cell>
          <cell r="M1999" t="str">
            <v xml:space="preserve">UNIT KRASAK MAGELANG                    </v>
          </cell>
          <cell r="N1999" t="str">
            <v xml:space="preserve">KC Magelang                             </v>
          </cell>
          <cell r="O1999" t="str">
            <v xml:space="preserve">Yogyakarta                              </v>
          </cell>
          <cell r="R1999" t="str">
            <v>Belum TL</v>
          </cell>
          <cell r="S1999" t="str">
            <v>Belum TL</v>
          </cell>
          <cell r="U1999" t="str">
            <v>"-"</v>
          </cell>
        </row>
        <row r="2000">
          <cell r="A2000">
            <v>46265</v>
          </cell>
          <cell r="B2000" t="str">
            <v xml:space="preserve">UTAMA SAKTI DELAPAN                     </v>
          </cell>
          <cell r="C2000" t="str">
            <v>UQ47896</v>
          </cell>
          <cell r="D2000">
            <v>50501001577569</v>
          </cell>
          <cell r="F2000" t="str">
            <v>Tidak</v>
          </cell>
          <cell r="G2000" t="str">
            <v>Tidak</v>
          </cell>
          <cell r="H2000" t="str">
            <v>Tidak</v>
          </cell>
          <cell r="I2000" t="str">
            <v>Perpajakan</v>
          </cell>
          <cell r="J2000">
            <v>33</v>
          </cell>
          <cell r="K2000">
            <v>41</v>
          </cell>
          <cell r="L2000" t="str">
            <v>Perpajakan</v>
          </cell>
          <cell r="M2000" t="str">
            <v xml:space="preserve">KCP Central Park                        </v>
          </cell>
          <cell r="N2000" t="str">
            <v xml:space="preserve">KC Jakarta Tanjung Duren                </v>
          </cell>
          <cell r="O2000" t="str">
            <v xml:space="preserve">KANWIL JAKARTA 3                        </v>
          </cell>
          <cell r="R2000" t="str">
            <v>Belum TL</v>
          </cell>
          <cell r="S2000" t="str">
            <v>Belum TL</v>
          </cell>
          <cell r="T2000" t="str">
            <v>90171841 - Rifqi Aziz</v>
          </cell>
          <cell r="U2000" t="str">
            <v>"-"</v>
          </cell>
        </row>
        <row r="2001">
          <cell r="A2001">
            <v>46254</v>
          </cell>
          <cell r="B2001" t="str">
            <v xml:space="preserve">UMI ROCHANAH                            </v>
          </cell>
          <cell r="C2001" t="str">
            <v>UA91713</v>
          </cell>
          <cell r="D2001">
            <v>401034246507</v>
          </cell>
          <cell r="E2001" t="str">
            <v>SEDANG</v>
          </cell>
          <cell r="F2001" t="str">
            <v>Tidak</v>
          </cell>
          <cell r="G2001" t="str">
            <v>Tidak</v>
          </cell>
          <cell r="I2001" t="str">
            <v>Teroris - Remark</v>
          </cell>
          <cell r="J2001">
            <v>168</v>
          </cell>
          <cell r="K2001">
            <v>50</v>
          </cell>
          <cell r="L2001" t="str">
            <v>Terorisme</v>
          </cell>
          <cell r="M2001" t="str">
            <v xml:space="preserve">Kas Kanpus                              </v>
          </cell>
          <cell r="N2001" t="str">
            <v xml:space="preserve">Kas Kanpus                              </v>
          </cell>
          <cell r="O2001" t="str">
            <v xml:space="preserve">KAS KANPUS                              </v>
          </cell>
          <cell r="R2001" t="str">
            <v>Belum TL</v>
          </cell>
          <cell r="S2001" t="str">
            <v>Belum TL</v>
          </cell>
          <cell r="T2001" t="str">
            <v>00394520 - Frida Akbar Rani</v>
          </cell>
          <cell r="U2001" t="str">
            <v>"-"</v>
          </cell>
        </row>
        <row r="2002">
          <cell r="A2002">
            <v>46265</v>
          </cell>
          <cell r="B2002" t="str">
            <v xml:space="preserve">UTON RAMLI                              </v>
          </cell>
          <cell r="C2002" t="str">
            <v>UR05214</v>
          </cell>
          <cell r="D2002">
            <v>93001012024500</v>
          </cell>
          <cell r="F2002" t="str">
            <v>Tidak</v>
          </cell>
          <cell r="G2002" t="str">
            <v>Tidak</v>
          </cell>
          <cell r="I2002" t="str">
            <v>Jual Beli Rekening - E channel Trx</v>
          </cell>
          <cell r="J2002">
            <v>33</v>
          </cell>
          <cell r="K2002">
            <v>113</v>
          </cell>
          <cell r="L2002" t="str">
            <v>Narkotika/Judi Online/Penipuan</v>
          </cell>
          <cell r="M2002" t="str">
            <v xml:space="preserve">UNIT PULOGADUNG                         </v>
          </cell>
          <cell r="N2002" t="str">
            <v xml:space="preserve">KC JAKARTA OTISTA                       </v>
          </cell>
          <cell r="O2002" t="str">
            <v xml:space="preserve">DKI                                     </v>
          </cell>
          <cell r="R2002" t="str">
            <v>Belum TL</v>
          </cell>
          <cell r="S2002" t="str">
            <v>Belum TL</v>
          </cell>
          <cell r="U2002" t="str">
            <v>"-"</v>
          </cell>
        </row>
        <row r="2003">
          <cell r="A2003">
            <v>46265</v>
          </cell>
          <cell r="B2003" t="str">
            <v xml:space="preserve">VICKY PRASETYA RAMDHANI                 </v>
          </cell>
          <cell r="C2003" t="str">
            <v>V131059</v>
          </cell>
          <cell r="D2003">
            <v>80201020402109</v>
          </cell>
          <cell r="E2003" t="str">
            <v>SEDANG</v>
          </cell>
          <cell r="F2003" t="str">
            <v>Tidak</v>
          </cell>
          <cell r="G2003" t="str">
            <v>Tidak</v>
          </cell>
          <cell r="H2003" t="str">
            <v>Tidak</v>
          </cell>
          <cell r="I2003" t="str">
            <v>Korupsi - Loan View</v>
          </cell>
          <cell r="J2003">
            <v>48</v>
          </cell>
          <cell r="K2003">
            <v>15</v>
          </cell>
          <cell r="L2003" t="str">
            <v>Korupsi</v>
          </cell>
          <cell r="M2003" t="str">
            <v>Kas Kanpus</v>
          </cell>
          <cell r="N2003" t="str">
            <v>Kas Kanpus</v>
          </cell>
          <cell r="O2003" t="str">
            <v>KAS KANPUS</v>
          </cell>
          <cell r="R2003" t="str">
            <v>Belum TL</v>
          </cell>
          <cell r="S2003" t="str">
            <v>Belum TL</v>
          </cell>
          <cell r="T2003" t="str">
            <v>00336949 - Mochammad Al Farabi</v>
          </cell>
          <cell r="U2003" t="str">
            <v>"-"</v>
          </cell>
        </row>
        <row r="2004">
          <cell r="A2004">
            <v>46265</v>
          </cell>
          <cell r="B2004" t="str">
            <v xml:space="preserve">VINSENSIUS CRILLAS TIMU                 </v>
          </cell>
          <cell r="C2004" t="str">
            <v>V152821</v>
          </cell>
          <cell r="D2004">
            <v>461501011862107</v>
          </cell>
          <cell r="E2004" t="str">
            <v>RENDAH</v>
          </cell>
          <cell r="F2004" t="str">
            <v>Tidak</v>
          </cell>
          <cell r="G2004" t="str">
            <v>Tidak</v>
          </cell>
          <cell r="H2004" t="str">
            <v>Tidak</v>
          </cell>
          <cell r="I2004" t="str">
            <v>Korupsi - Loan View</v>
          </cell>
          <cell r="J2004">
            <v>33</v>
          </cell>
          <cell r="K2004">
            <v>15</v>
          </cell>
          <cell r="L2004" t="str">
            <v>Korupsi</v>
          </cell>
          <cell r="M2004" t="str">
            <v>Kas Kanpus</v>
          </cell>
          <cell r="N2004" t="str">
            <v>Kas Kanpus</v>
          </cell>
          <cell r="O2004" t="str">
            <v>KAS KANPUS</v>
          </cell>
          <cell r="R2004" t="str">
            <v>Belum TL</v>
          </cell>
          <cell r="S2004" t="str">
            <v>Belum TL</v>
          </cell>
          <cell r="T2004" t="str">
            <v>90150130 - Intan Aida Pratiwi</v>
          </cell>
          <cell r="U2004" t="str">
            <v>"-"</v>
          </cell>
        </row>
        <row r="2005">
          <cell r="A2005">
            <v>46265</v>
          </cell>
          <cell r="B2005" t="str">
            <v xml:space="preserve">VICTOR JUNAIDI ASSAH                    </v>
          </cell>
          <cell r="C2005" t="str">
            <v>V228821</v>
          </cell>
          <cell r="D2005">
            <v>3601032889102</v>
          </cell>
          <cell r="E2005" t="str">
            <v>RENDAH</v>
          </cell>
          <cell r="F2005" t="str">
            <v>Tidak</v>
          </cell>
          <cell r="G2005" t="str">
            <v>Tidak</v>
          </cell>
          <cell r="H2005" t="str">
            <v>Tidak</v>
          </cell>
          <cell r="I2005" t="str">
            <v>Korupsi - Loan View</v>
          </cell>
          <cell r="J2005">
            <v>33</v>
          </cell>
          <cell r="K2005">
            <v>15</v>
          </cell>
          <cell r="L2005" t="str">
            <v>Korupsi</v>
          </cell>
          <cell r="M2005" t="str">
            <v>Kas Kanpus</v>
          </cell>
          <cell r="N2005" t="str">
            <v>Kas Kanpus</v>
          </cell>
          <cell r="O2005" t="str">
            <v>KAS KANPUS</v>
          </cell>
          <cell r="R2005" t="str">
            <v>Belum TL</v>
          </cell>
          <cell r="S2005" t="str">
            <v>Belum TL</v>
          </cell>
          <cell r="T2005" t="str">
            <v>90185538 - Muhammad Fahikal Auz</v>
          </cell>
          <cell r="U2005" t="str">
            <v>"-"</v>
          </cell>
        </row>
        <row r="2006">
          <cell r="A2006">
            <v>46265</v>
          </cell>
          <cell r="B2006" t="str">
            <v xml:space="preserve">VIVI ANGGITA HARAHAP                    </v>
          </cell>
          <cell r="C2006" t="str">
            <v>V298257</v>
          </cell>
          <cell r="D2006">
            <v>109401000618566</v>
          </cell>
          <cell r="E2006" t="str">
            <v>TINGGI</v>
          </cell>
          <cell r="F2006" t="str">
            <v>Tidak</v>
          </cell>
          <cell r="G2006" t="str">
            <v>Tidak</v>
          </cell>
          <cell r="H2006" t="str">
            <v>Tidak</v>
          </cell>
          <cell r="I2006" t="str">
            <v>Korupsi - Significant Trx View</v>
          </cell>
          <cell r="J2006">
            <v>73</v>
          </cell>
          <cell r="K2006">
            <v>1.19</v>
          </cell>
          <cell r="L2006" t="str">
            <v>Korupsi</v>
          </cell>
          <cell r="M2006" t="str">
            <v>Kas Kanpus</v>
          </cell>
          <cell r="N2006" t="str">
            <v>Kas Kanpus</v>
          </cell>
          <cell r="O2006" t="str">
            <v>KAS KANPUS</v>
          </cell>
          <cell r="R2006" t="str">
            <v>Belum TL</v>
          </cell>
          <cell r="S2006" t="str">
            <v>Belum TL</v>
          </cell>
          <cell r="T2006" t="str">
            <v>00394521 - Muhammad Hibbanduta</v>
          </cell>
          <cell r="U2006" t="str">
            <v>"-"</v>
          </cell>
        </row>
        <row r="2007">
          <cell r="A2007">
            <v>46265</v>
          </cell>
          <cell r="B2007" t="str">
            <v xml:space="preserve">VENA MELINDA                            </v>
          </cell>
          <cell r="C2007" t="str">
            <v>V569898</v>
          </cell>
          <cell r="D2007">
            <v>4359720233132400</v>
          </cell>
          <cell r="E2007" t="str">
            <v>SEDANG</v>
          </cell>
          <cell r="F2007" t="str">
            <v>Tidak</v>
          </cell>
          <cell r="G2007" t="str">
            <v>Tidak</v>
          </cell>
          <cell r="H2007" t="str">
            <v>Tidak</v>
          </cell>
          <cell r="I2007" t="str">
            <v>Penghindaran Pajak (Transaksi Fiktif)/Penyuapan CC</v>
          </cell>
          <cell r="J2007">
            <v>45</v>
          </cell>
          <cell r="K2007">
            <v>118</v>
          </cell>
          <cell r="L2007" t="str">
            <v>Penyuapan / Penghindaran Pajak CC View</v>
          </cell>
          <cell r="M2007" t="str">
            <v xml:space="preserve">Kas Kanpus                              </v>
          </cell>
          <cell r="N2007" t="str">
            <v xml:space="preserve">Kas Kanpus                              </v>
          </cell>
          <cell r="O2007" t="str">
            <v xml:space="preserve">KAS KANPUS                              </v>
          </cell>
          <cell r="R2007" t="str">
            <v>Belum TL</v>
          </cell>
          <cell r="S2007" t="str">
            <v>Belum TL</v>
          </cell>
          <cell r="T2007" t="str">
            <v>00336949 - Mochammad Al Farabi</v>
          </cell>
          <cell r="U2007" t="str">
            <v>"-"</v>
          </cell>
        </row>
        <row r="2008">
          <cell r="A2008">
            <v>46265</v>
          </cell>
          <cell r="B2008" t="str">
            <v xml:space="preserve">USMAN                                   </v>
          </cell>
          <cell r="C2008" t="str">
            <v>UR49554</v>
          </cell>
          <cell r="D2008">
            <v>33801068186508</v>
          </cell>
          <cell r="F2008" t="str">
            <v>Tidak</v>
          </cell>
          <cell r="G2008" t="str">
            <v>Tidak</v>
          </cell>
          <cell r="H2008" t="str">
            <v>Tidak</v>
          </cell>
          <cell r="I2008" t="str">
            <v>Bandar Judol Depo</v>
          </cell>
          <cell r="J2008">
            <v>35</v>
          </cell>
          <cell r="K2008" t="str">
            <v>86,74,87</v>
          </cell>
          <cell r="L2008" t="str">
            <v>Judi Online</v>
          </cell>
          <cell r="M2008" t="str">
            <v xml:space="preserve">Kas Kanpus                              </v>
          </cell>
          <cell r="N2008" t="str">
            <v xml:space="preserve">Kas Kanpus                              </v>
          </cell>
          <cell r="O2008" t="str">
            <v xml:space="preserve">KAS KANPUS                              </v>
          </cell>
          <cell r="R2008" t="str">
            <v>Belum TL</v>
          </cell>
          <cell r="S2008" t="str">
            <v>Belum TL</v>
          </cell>
          <cell r="T2008" t="str">
            <v>90150130 - Intan Aida Pratiwi</v>
          </cell>
          <cell r="U2008" t="str">
            <v>"-"</v>
          </cell>
        </row>
        <row r="2009">
          <cell r="A2009">
            <v>46265</v>
          </cell>
          <cell r="B2009" t="str">
            <v xml:space="preserve">ULFATUL HASANAH                         </v>
          </cell>
          <cell r="C2009" t="str">
            <v>UR69339</v>
          </cell>
          <cell r="D2009">
            <v>63801001194564</v>
          </cell>
          <cell r="F2009" t="str">
            <v>Tidak</v>
          </cell>
          <cell r="G2009" t="str">
            <v>Tidak</v>
          </cell>
          <cell r="H2009" t="str">
            <v>Tidak</v>
          </cell>
          <cell r="I2009" t="str">
            <v>Bandar Judol Withdrawal</v>
          </cell>
          <cell r="J2009">
            <v>35</v>
          </cell>
          <cell r="K2009" t="str">
            <v>86,88,87</v>
          </cell>
          <cell r="L2009" t="str">
            <v>Judi Online</v>
          </cell>
          <cell r="M2009" t="str">
            <v xml:space="preserve">Kas Kanpus                              </v>
          </cell>
          <cell r="N2009" t="str">
            <v xml:space="preserve">Kas Kanpus                              </v>
          </cell>
          <cell r="O2009" t="str">
            <v xml:space="preserve">KAS KANPUS                              </v>
          </cell>
          <cell r="R2009" t="str">
            <v>Belum TL</v>
          </cell>
          <cell r="S2009" t="str">
            <v>Belum TL</v>
          </cell>
          <cell r="T2009" t="str">
            <v>90186796 - Devito Arya Wiradila</v>
          </cell>
          <cell r="U2009" t="str">
            <v>"-"</v>
          </cell>
        </row>
        <row r="2010">
          <cell r="A2010">
            <v>46265</v>
          </cell>
          <cell r="B2010" t="str">
            <v xml:space="preserve">VANESA ANGEL ROSANANTA                  </v>
          </cell>
          <cell r="C2010" t="str">
            <v>V829146</v>
          </cell>
          <cell r="D2010">
            <v>387801009518509</v>
          </cell>
          <cell r="E2010" t="str">
            <v>SEDANG</v>
          </cell>
          <cell r="F2010" t="str">
            <v>Tidak</v>
          </cell>
          <cell r="G2010" t="str">
            <v>Tidak</v>
          </cell>
          <cell r="H2010" t="str">
            <v>Tidak</v>
          </cell>
          <cell r="I2010" t="str">
            <v>Perpajakan</v>
          </cell>
          <cell r="J2010">
            <v>48</v>
          </cell>
          <cell r="K2010">
            <v>41</v>
          </cell>
          <cell r="L2010" t="str">
            <v>Perpajakan</v>
          </cell>
          <cell r="M2010" t="str">
            <v xml:space="preserve">UNIT PARANG MAGETAN                     </v>
          </cell>
          <cell r="N2010" t="str">
            <v xml:space="preserve">KC Magetan                              </v>
          </cell>
          <cell r="O2010" t="str">
            <v xml:space="preserve">KANWIL MALANG                           </v>
          </cell>
          <cell r="R2010" t="str">
            <v>Belum TL</v>
          </cell>
          <cell r="S2010" t="str">
            <v>Belum TL</v>
          </cell>
          <cell r="T2010" t="str">
            <v>90185537 - Moh.Khoerul Fajar Ar</v>
          </cell>
          <cell r="U2010" t="str">
            <v>"-"</v>
          </cell>
        </row>
        <row r="2011">
          <cell r="A2011">
            <v>46265</v>
          </cell>
          <cell r="B2011" t="str">
            <v xml:space="preserve">VERONICA TAN                            </v>
          </cell>
          <cell r="C2011" t="str">
            <v>V945768</v>
          </cell>
          <cell r="D2011">
            <v>54001013491507</v>
          </cell>
          <cell r="E2011" t="str">
            <v>SEDANG</v>
          </cell>
          <cell r="F2011" t="str">
            <v>Tidak</v>
          </cell>
          <cell r="G2011" t="str">
            <v>Tidak</v>
          </cell>
          <cell r="H2011" t="str">
            <v>Tidak</v>
          </cell>
          <cell r="I2011" t="str">
            <v>Bandar Judol Withdrawal</v>
          </cell>
          <cell r="J2011">
            <v>50</v>
          </cell>
          <cell r="K2011" t="str">
            <v>86,88,87</v>
          </cell>
          <cell r="L2011" t="str">
            <v>Judi Online</v>
          </cell>
          <cell r="M2011" t="str">
            <v xml:space="preserve">Kas Kanpus                              </v>
          </cell>
          <cell r="N2011" t="str">
            <v xml:space="preserve">Kas Kanpus                              </v>
          </cell>
          <cell r="O2011" t="str">
            <v xml:space="preserve">KAS KANPUS                              </v>
          </cell>
          <cell r="R2011" t="str">
            <v>Belum TL</v>
          </cell>
          <cell r="S2011" t="str">
            <v>Belum TL</v>
          </cell>
          <cell r="T2011" t="str">
            <v>90186790 - Muhammad Alfin Farha</v>
          </cell>
          <cell r="U2011" t="str">
            <v>"-"</v>
          </cell>
        </row>
        <row r="2012">
          <cell r="A2012">
            <v>46265</v>
          </cell>
          <cell r="B2012" t="str">
            <v xml:space="preserve">VERAWATI                                </v>
          </cell>
          <cell r="C2012" t="str">
            <v>V948015</v>
          </cell>
          <cell r="D2012">
            <v>370501002579503</v>
          </cell>
          <cell r="E2012" t="str">
            <v>SEDANG</v>
          </cell>
          <cell r="F2012" t="str">
            <v>Tidak</v>
          </cell>
          <cell r="G2012" t="str">
            <v>Tidak</v>
          </cell>
          <cell r="H2012" t="str">
            <v>Tidak</v>
          </cell>
          <cell r="I2012" t="str">
            <v>Bandar Judol Withdrawal</v>
          </cell>
          <cell r="J2012">
            <v>50</v>
          </cell>
          <cell r="K2012" t="str">
            <v>86,88,87</v>
          </cell>
          <cell r="L2012" t="str">
            <v>Judi Online</v>
          </cell>
          <cell r="M2012" t="str">
            <v xml:space="preserve">Kas Kanpus                              </v>
          </cell>
          <cell r="N2012" t="str">
            <v xml:space="preserve">Kas Kanpus                              </v>
          </cell>
          <cell r="O2012" t="str">
            <v xml:space="preserve">KAS KANPUS                              </v>
          </cell>
          <cell r="R2012" t="str">
            <v>Belum TL</v>
          </cell>
          <cell r="S2012" t="str">
            <v>Belum TL</v>
          </cell>
          <cell r="T2012" t="str">
            <v>00394521 - Muhammad Hibbanduta</v>
          </cell>
          <cell r="U2012" t="str">
            <v>"-"</v>
          </cell>
        </row>
        <row r="2013">
          <cell r="A2013">
            <v>46265</v>
          </cell>
          <cell r="B2013" t="str">
            <v xml:space="preserve">VIED FEBRIYANTO                         </v>
          </cell>
          <cell r="C2013" t="str">
            <v>VB23555</v>
          </cell>
          <cell r="D2013">
            <v>36001080469507</v>
          </cell>
          <cell r="E2013" t="str">
            <v>TINGGI</v>
          </cell>
          <cell r="F2013" t="str">
            <v>Tidak</v>
          </cell>
          <cell r="G2013" t="str">
            <v>Tidak</v>
          </cell>
          <cell r="H2013" t="str">
            <v>Tidak</v>
          </cell>
          <cell r="I2013" t="str">
            <v>Terorisme - SIPENDAR</v>
          </cell>
          <cell r="J2013">
            <v>185</v>
          </cell>
          <cell r="K2013">
            <v>36</v>
          </cell>
          <cell r="L2013" t="str">
            <v>Terorisme</v>
          </cell>
          <cell r="M2013" t="str">
            <v xml:space="preserve">Kas Kanpus                              </v>
          </cell>
          <cell r="N2013" t="str">
            <v xml:space="preserve">Kas Kanpus                              </v>
          </cell>
          <cell r="O2013" t="str">
            <v xml:space="preserve">KAS KANPUS                              </v>
          </cell>
          <cell r="R2013" t="str">
            <v>Belum TL</v>
          </cell>
          <cell r="S2013" t="str">
            <v>Belum TL</v>
          </cell>
          <cell r="T2013" t="str">
            <v>00394521 - Muhammad Hibbanduta</v>
          </cell>
          <cell r="U2013" t="str">
            <v>"-"</v>
          </cell>
        </row>
        <row r="2014">
          <cell r="A2014">
            <v>46265</v>
          </cell>
          <cell r="B2014" t="str">
            <v xml:space="preserve">VIQI HAMDANY HARAHAP                    </v>
          </cell>
          <cell r="C2014" t="str">
            <v>VD59593</v>
          </cell>
          <cell r="D2014">
            <v>11301148196502</v>
          </cell>
          <cell r="F2014" t="str">
            <v>Tidak</v>
          </cell>
          <cell r="G2014" t="str">
            <v>Tidak</v>
          </cell>
          <cell r="H2014" t="str">
            <v>Tidak</v>
          </cell>
          <cell r="I2014" t="str">
            <v>Bandar Judol Withdrawal</v>
          </cell>
          <cell r="J2014">
            <v>35</v>
          </cell>
          <cell r="K2014" t="str">
            <v>86,88,87</v>
          </cell>
          <cell r="L2014" t="str">
            <v>Judi Online</v>
          </cell>
          <cell r="M2014" t="str">
            <v xml:space="preserve">Kas Kanpus                              </v>
          </cell>
          <cell r="N2014" t="str">
            <v xml:space="preserve">Kas Kanpus                              </v>
          </cell>
          <cell r="O2014" t="str">
            <v xml:space="preserve">KAS KANPUS                              </v>
          </cell>
          <cell r="R2014" t="str">
            <v>Belum TL</v>
          </cell>
          <cell r="S2014" t="str">
            <v>Belum TL</v>
          </cell>
          <cell r="T2014" t="str">
            <v>90185538 - Muhammad Fahikal Auz</v>
          </cell>
          <cell r="U2014" t="str">
            <v>"-"</v>
          </cell>
        </row>
        <row r="2015">
          <cell r="A2015">
            <v>46265</v>
          </cell>
          <cell r="B2015" t="str">
            <v xml:space="preserve">VENUS RAYNALDY                          </v>
          </cell>
          <cell r="C2015" t="str">
            <v>VG43993</v>
          </cell>
          <cell r="D2015">
            <v>12201190993501</v>
          </cell>
          <cell r="F2015" t="str">
            <v>Tidak</v>
          </cell>
          <cell r="G2015" t="str">
            <v>Tidak</v>
          </cell>
          <cell r="I2015" t="str">
            <v>Jual Beli Rekening - E channel Trx</v>
          </cell>
          <cell r="J2015">
            <v>33</v>
          </cell>
          <cell r="K2015">
            <v>113</v>
          </cell>
          <cell r="L2015" t="str">
            <v>Narkotika/Judi Online/Penipuan</v>
          </cell>
          <cell r="M2015" t="str">
            <v xml:space="preserve">KC Jakarta Jatinegara                   </v>
          </cell>
          <cell r="N2015" t="str">
            <v xml:space="preserve">KC Jakarta Jatinegara                   </v>
          </cell>
          <cell r="O2015" t="str">
            <v xml:space="preserve">DKI                                     </v>
          </cell>
          <cell r="R2015" t="str">
            <v>Belum TL</v>
          </cell>
          <cell r="S2015" t="str">
            <v>Belum TL</v>
          </cell>
          <cell r="U2015" t="str">
            <v>"-"</v>
          </cell>
        </row>
        <row r="2016">
          <cell r="A2016">
            <v>46265</v>
          </cell>
          <cell r="B2016" t="str">
            <v xml:space="preserve">VONNY                                   </v>
          </cell>
          <cell r="C2016" t="str">
            <v>VG68088</v>
          </cell>
          <cell r="D2016">
            <v>4359720227830700</v>
          </cell>
          <cell r="F2016" t="str">
            <v>Tidak</v>
          </cell>
          <cell r="G2016" t="str">
            <v>Tidak</v>
          </cell>
          <cell r="H2016" t="str">
            <v>Tidak</v>
          </cell>
          <cell r="I2016" t="str">
            <v>Penghindaran Pajak (Transaksi Fiktif)/Penyuapan CC</v>
          </cell>
          <cell r="J2016">
            <v>30</v>
          </cell>
          <cell r="K2016">
            <v>118</v>
          </cell>
          <cell r="L2016" t="str">
            <v>Penyuapan / Penghindaran Pajak CC View</v>
          </cell>
          <cell r="M2016" t="str">
            <v xml:space="preserve">Kas Kanpus                              </v>
          </cell>
          <cell r="N2016" t="str">
            <v xml:space="preserve">Kas Kanpus                              </v>
          </cell>
          <cell r="O2016" t="str">
            <v xml:space="preserve">KAS KANPUS                              </v>
          </cell>
          <cell r="R2016" t="str">
            <v>Belum TL</v>
          </cell>
          <cell r="S2016" t="str">
            <v>Belum TL</v>
          </cell>
          <cell r="T2016" t="str">
            <v>00394520 - Frida Akbar Rani</v>
          </cell>
          <cell r="U2016" t="str">
            <v>"-"</v>
          </cell>
        </row>
        <row r="2017">
          <cell r="A2017">
            <v>46265</v>
          </cell>
          <cell r="B2017" t="str">
            <v>VICTOR DUA TIGA MEGA DELAPAN SEMBILAN HD</v>
          </cell>
          <cell r="C2017" t="str">
            <v>VH84393</v>
          </cell>
          <cell r="D2017">
            <v>41601888899301</v>
          </cell>
          <cell r="F2017" t="str">
            <v>Tidak</v>
          </cell>
          <cell r="G2017" t="str">
            <v>Tidak</v>
          </cell>
          <cell r="H2017" t="str">
            <v>Tidak</v>
          </cell>
          <cell r="I2017" t="str">
            <v>Perpajakan</v>
          </cell>
          <cell r="J2017">
            <v>33</v>
          </cell>
          <cell r="K2017">
            <v>41</v>
          </cell>
          <cell r="L2017" t="str">
            <v>Perpajakan</v>
          </cell>
          <cell r="M2017" t="str">
            <v xml:space="preserve">KC Jakarta Artha Gading                 </v>
          </cell>
          <cell r="N2017" t="str">
            <v xml:space="preserve">KC Jakarta Artha Gading                 </v>
          </cell>
          <cell r="O2017" t="str">
            <v xml:space="preserve">DKI                                     </v>
          </cell>
          <cell r="R2017" t="str">
            <v>Belum TL</v>
          </cell>
          <cell r="S2017" t="str">
            <v>Belum TL</v>
          </cell>
          <cell r="T2017" t="str">
            <v>90185537 - Moh.Khoerul Fajar Ar</v>
          </cell>
          <cell r="U2017" t="str">
            <v>"-"</v>
          </cell>
        </row>
        <row r="2018">
          <cell r="A2018">
            <v>46265</v>
          </cell>
          <cell r="B2018" t="str">
            <v xml:space="preserve">WARDI                                   </v>
          </cell>
          <cell r="C2018" t="str">
            <v>W010000</v>
          </cell>
          <cell r="D2018">
            <v>41801000265158</v>
          </cell>
          <cell r="E2018" t="str">
            <v>RENDAH</v>
          </cell>
          <cell r="F2018" t="str">
            <v>Tidak</v>
          </cell>
          <cell r="G2018" t="str">
            <v>Tidak</v>
          </cell>
          <cell r="H2018" t="str">
            <v>Tidak</v>
          </cell>
          <cell r="I2018" t="str">
            <v>Korupsi - Loan View</v>
          </cell>
          <cell r="J2018">
            <v>33</v>
          </cell>
          <cell r="K2018">
            <v>15</v>
          </cell>
          <cell r="L2018" t="str">
            <v>Korupsi</v>
          </cell>
          <cell r="M2018" t="str">
            <v>Kas Kanpus</v>
          </cell>
          <cell r="N2018" t="str">
            <v>Kas Kanpus</v>
          </cell>
          <cell r="O2018" t="str">
            <v>KAS KANPUS</v>
          </cell>
          <cell r="R2018" t="str">
            <v>Belum TL</v>
          </cell>
          <cell r="S2018" t="str">
            <v>Belum TL</v>
          </cell>
          <cell r="T2018" t="str">
            <v>90185537 - Moh.Khoerul Fajar Ar</v>
          </cell>
          <cell r="U2018" t="str">
            <v>"-"</v>
          </cell>
        </row>
        <row r="2019">
          <cell r="A2019">
            <v>46265</v>
          </cell>
          <cell r="B2019" t="str">
            <v xml:space="preserve">WAHIDA ABDUL KARIM                      </v>
          </cell>
          <cell r="C2019" t="str">
            <v>W631933</v>
          </cell>
          <cell r="D2019">
            <v>22701029420102</v>
          </cell>
          <cell r="E2019" t="str">
            <v>SEDANG</v>
          </cell>
          <cell r="F2019" t="str">
            <v>Tidak</v>
          </cell>
          <cell r="G2019" t="str">
            <v>Tidak</v>
          </cell>
          <cell r="H2019" t="str">
            <v>Tidak</v>
          </cell>
          <cell r="I2019" t="str">
            <v>Korupsi - Loan View</v>
          </cell>
          <cell r="J2019">
            <v>48</v>
          </cell>
          <cell r="K2019">
            <v>15</v>
          </cell>
          <cell r="L2019" t="str">
            <v>Korupsi</v>
          </cell>
          <cell r="M2019" t="str">
            <v>Kas Kanpus</v>
          </cell>
          <cell r="N2019" t="str">
            <v>Kas Kanpus</v>
          </cell>
          <cell r="O2019" t="str">
            <v>KAS KANPUS</v>
          </cell>
          <cell r="R2019" t="str">
            <v>Belum TL</v>
          </cell>
          <cell r="S2019" t="str">
            <v>Belum TL</v>
          </cell>
          <cell r="T2019" t="str">
            <v>90150130 - Intan Aida Pratiwi</v>
          </cell>
          <cell r="U2019" t="str">
            <v>"-"</v>
          </cell>
        </row>
        <row r="2020">
          <cell r="A2020">
            <v>46265</v>
          </cell>
          <cell r="B2020" t="str">
            <v xml:space="preserve">WELMA ANLY GETREDA LIMBA                </v>
          </cell>
          <cell r="C2020" t="str">
            <v>WC86385</v>
          </cell>
          <cell r="D2020">
            <v>486401023390101</v>
          </cell>
          <cell r="E2020" t="str">
            <v>SEDANG</v>
          </cell>
          <cell r="F2020" t="str">
            <v>Tidak</v>
          </cell>
          <cell r="G2020" t="str">
            <v>Tidak</v>
          </cell>
          <cell r="H2020" t="str">
            <v>Tidak</v>
          </cell>
          <cell r="I2020" t="str">
            <v>Korupsi - Loan View</v>
          </cell>
          <cell r="J2020">
            <v>48</v>
          </cell>
          <cell r="K2020">
            <v>15</v>
          </cell>
          <cell r="L2020" t="str">
            <v>Korupsi</v>
          </cell>
          <cell r="M2020" t="str">
            <v>Kas Kanpus</v>
          </cell>
          <cell r="N2020" t="str">
            <v>Kas Kanpus</v>
          </cell>
          <cell r="O2020" t="str">
            <v>KAS KANPUS</v>
          </cell>
          <cell r="R2020" t="str">
            <v>Belum TL</v>
          </cell>
          <cell r="S2020" t="str">
            <v>Belum TL</v>
          </cell>
          <cell r="T2020" t="str">
            <v>90171841 - Rifqi Aziz</v>
          </cell>
          <cell r="U2020" t="str">
            <v>"-"</v>
          </cell>
        </row>
        <row r="2021">
          <cell r="A2021">
            <v>46265</v>
          </cell>
          <cell r="B2021" t="str">
            <v xml:space="preserve">WIDAYA                                  </v>
          </cell>
          <cell r="C2021" t="str">
            <v>WD68882</v>
          </cell>
          <cell r="D2021">
            <v>20601368798107</v>
          </cell>
          <cell r="E2021" t="str">
            <v>SEDANG</v>
          </cell>
          <cell r="F2021" t="str">
            <v>Tidak</v>
          </cell>
          <cell r="G2021" t="str">
            <v>Tidak</v>
          </cell>
          <cell r="H2021" t="str">
            <v>Tidak</v>
          </cell>
          <cell r="I2021" t="str">
            <v>Korupsi - Loan View</v>
          </cell>
          <cell r="J2021">
            <v>48</v>
          </cell>
          <cell r="K2021">
            <v>15</v>
          </cell>
          <cell r="L2021" t="str">
            <v>Korupsi</v>
          </cell>
          <cell r="M2021" t="str">
            <v>Kas Kanpus</v>
          </cell>
          <cell r="N2021" t="str">
            <v>Kas Kanpus</v>
          </cell>
          <cell r="O2021" t="str">
            <v>KAS KANPUS</v>
          </cell>
          <cell r="R2021" t="str">
            <v>Belum TL</v>
          </cell>
          <cell r="S2021" t="str">
            <v>Belum TL</v>
          </cell>
          <cell r="T2021" t="str">
            <v>90186790 - Muhammad Alfin Farha</v>
          </cell>
          <cell r="U2021" t="str">
            <v>"-"</v>
          </cell>
        </row>
        <row r="2022">
          <cell r="A2022">
            <v>46265</v>
          </cell>
          <cell r="B2022" t="str">
            <v xml:space="preserve">WENDY WIJAYA                            </v>
          </cell>
          <cell r="C2022" t="str">
            <v>WD84988</v>
          </cell>
          <cell r="D2022">
            <v>572401018503106</v>
          </cell>
          <cell r="E2022" t="str">
            <v>SEDANG</v>
          </cell>
          <cell r="F2022" t="str">
            <v>Tidak</v>
          </cell>
          <cell r="G2022" t="str">
            <v>Tidak</v>
          </cell>
          <cell r="H2022" t="str">
            <v>Tidak</v>
          </cell>
          <cell r="I2022" t="str">
            <v>Korupsi - Loan View</v>
          </cell>
          <cell r="J2022">
            <v>48</v>
          </cell>
          <cell r="K2022">
            <v>15</v>
          </cell>
          <cell r="L2022" t="str">
            <v>Korupsi</v>
          </cell>
          <cell r="M2022" t="str">
            <v>Kas Kanpus</v>
          </cell>
          <cell r="N2022" t="str">
            <v>Kas Kanpus</v>
          </cell>
          <cell r="O2022" t="str">
            <v>KAS KANPUS</v>
          </cell>
          <cell r="R2022" t="str">
            <v>Belum TL</v>
          </cell>
          <cell r="S2022" t="str">
            <v>Belum TL</v>
          </cell>
          <cell r="T2022" t="str">
            <v>90185538 - Muhammad Fahikal Auz</v>
          </cell>
          <cell r="U2022" t="str">
            <v>"-"</v>
          </cell>
        </row>
        <row r="2023">
          <cell r="A2023">
            <v>46265</v>
          </cell>
          <cell r="B2023" t="str">
            <v xml:space="preserve">WILLIAM                                 </v>
          </cell>
          <cell r="C2023" t="str">
            <v>WDC8381</v>
          </cell>
          <cell r="D2023">
            <v>11001061301501</v>
          </cell>
          <cell r="E2023" t="str">
            <v>SEDANG</v>
          </cell>
          <cell r="F2023" t="str">
            <v>Tidak</v>
          </cell>
          <cell r="G2023" t="str">
            <v>Tidak</v>
          </cell>
          <cell r="H2023" t="str">
            <v>Tidak</v>
          </cell>
          <cell r="I2023" t="str">
            <v>Bandar Judol Withdrawal</v>
          </cell>
          <cell r="J2023">
            <v>50</v>
          </cell>
          <cell r="K2023" t="str">
            <v>86,88,87</v>
          </cell>
          <cell r="L2023" t="str">
            <v>Judi Online</v>
          </cell>
          <cell r="M2023" t="str">
            <v xml:space="preserve">Kas Kanpus                              </v>
          </cell>
          <cell r="N2023" t="str">
            <v xml:space="preserve">Kas Kanpus                              </v>
          </cell>
          <cell r="O2023" t="str">
            <v xml:space="preserve">KAS KANPUS                              </v>
          </cell>
          <cell r="R2023" t="str">
            <v>Belum TL</v>
          </cell>
          <cell r="S2023" t="str">
            <v>Belum TL</v>
          </cell>
          <cell r="T2023" t="str">
            <v>90186790 - Muhammad Alfin Farha</v>
          </cell>
          <cell r="U2023" t="str">
            <v>"-"</v>
          </cell>
        </row>
        <row r="2024">
          <cell r="A2024">
            <v>46265</v>
          </cell>
          <cell r="B2024" t="str">
            <v xml:space="preserve">WINARTI                                 </v>
          </cell>
          <cell r="C2024" t="str">
            <v>WDF7079</v>
          </cell>
          <cell r="D2024">
            <v>735101028839538</v>
          </cell>
          <cell r="E2024" t="str">
            <v>SEDANG</v>
          </cell>
          <cell r="F2024" t="str">
            <v>Tidak</v>
          </cell>
          <cell r="G2024" t="str">
            <v>Tidak</v>
          </cell>
          <cell r="H2024" t="str">
            <v>Ya</v>
          </cell>
          <cell r="I2024" t="str">
            <v>Bandar Judol Depo</v>
          </cell>
          <cell r="J2024">
            <v>50</v>
          </cell>
          <cell r="K2024" t="str">
            <v>86,74,87</v>
          </cell>
          <cell r="L2024" t="str">
            <v>Judi Online</v>
          </cell>
          <cell r="M2024" t="str">
            <v xml:space="preserve">Kas Kanpus                              </v>
          </cell>
          <cell r="N2024" t="str">
            <v xml:space="preserve">Kas Kanpus                              </v>
          </cell>
          <cell r="O2024" t="str">
            <v xml:space="preserve">KAS KANPUS                              </v>
          </cell>
          <cell r="R2024" t="str">
            <v>Belum TL</v>
          </cell>
          <cell r="S2024" t="str">
            <v>Belum TL</v>
          </cell>
          <cell r="T2024" t="str">
            <v>00394520 - Frida Akbar Rani</v>
          </cell>
          <cell r="U2024" t="str">
            <v>"-"</v>
          </cell>
        </row>
        <row r="2025">
          <cell r="A2025">
            <v>46265</v>
          </cell>
          <cell r="B2025" t="str">
            <v xml:space="preserve">WENDA SAPUTRA                           </v>
          </cell>
          <cell r="C2025" t="str">
            <v>WDP4152</v>
          </cell>
          <cell r="D2025">
            <v>36801004696560</v>
          </cell>
          <cell r="E2025" t="str">
            <v>SEDANG</v>
          </cell>
          <cell r="F2025" t="str">
            <v>Tidak</v>
          </cell>
          <cell r="G2025" t="str">
            <v>Tidak</v>
          </cell>
          <cell r="H2025" t="str">
            <v>Tidak</v>
          </cell>
          <cell r="I2025" t="str">
            <v>Bandar Judol Withdrawal</v>
          </cell>
          <cell r="J2025">
            <v>50</v>
          </cell>
          <cell r="K2025" t="str">
            <v>86,88,87</v>
          </cell>
          <cell r="L2025" t="str">
            <v>Judi Online</v>
          </cell>
          <cell r="M2025" t="str">
            <v xml:space="preserve">Kas Kanpus                              </v>
          </cell>
          <cell r="N2025" t="str">
            <v xml:space="preserve">Kas Kanpus                              </v>
          </cell>
          <cell r="O2025" t="str">
            <v xml:space="preserve">KAS KANPUS                              </v>
          </cell>
          <cell r="R2025" t="str">
            <v>Belum TL</v>
          </cell>
          <cell r="S2025" t="str">
            <v>Belum TL</v>
          </cell>
          <cell r="T2025" t="str">
            <v>90186790 - Muhammad Alfin Farha</v>
          </cell>
          <cell r="U2025" t="str">
            <v>"-"</v>
          </cell>
        </row>
        <row r="2026">
          <cell r="A2026">
            <v>46265</v>
          </cell>
          <cell r="B2026" t="str">
            <v xml:space="preserve">WEWE SUCIPTO                            </v>
          </cell>
          <cell r="C2026" t="str">
            <v>WDZ4508</v>
          </cell>
          <cell r="D2026">
            <v>17401000875561</v>
          </cell>
          <cell r="E2026" t="str">
            <v>SEDANG</v>
          </cell>
          <cell r="F2026" t="str">
            <v>Tidak</v>
          </cell>
          <cell r="G2026" t="str">
            <v>Tidak</v>
          </cell>
          <cell r="H2026" t="str">
            <v>Tidak</v>
          </cell>
          <cell r="I2026" t="str">
            <v>Money Mules</v>
          </cell>
          <cell r="J2026">
            <v>42</v>
          </cell>
          <cell r="K2026">
            <v>77</v>
          </cell>
          <cell r="L2026" t="str">
            <v>Narkotika/Judi Online</v>
          </cell>
          <cell r="M2026" t="str">
            <v xml:space="preserve">Kas Kanpus                              </v>
          </cell>
          <cell r="N2026" t="str">
            <v xml:space="preserve">Kas Kanpus                              </v>
          </cell>
          <cell r="O2026" t="str">
            <v xml:space="preserve">KAS KANPUS                              </v>
          </cell>
          <cell r="R2026" t="str">
            <v>Belum TL</v>
          </cell>
          <cell r="S2026" t="str">
            <v>Belum TL</v>
          </cell>
          <cell r="T2026" t="str">
            <v>90170665 - Mutiara Ayuningtyas</v>
          </cell>
          <cell r="U2026" t="str">
            <v>"-"</v>
          </cell>
        </row>
        <row r="2027">
          <cell r="A2027">
            <v>46265</v>
          </cell>
          <cell r="B2027" t="str">
            <v xml:space="preserve">WIDIOSWATI                              </v>
          </cell>
          <cell r="C2027" t="str">
            <v>WEB4048</v>
          </cell>
          <cell r="D2027">
            <v>110301022429500</v>
          </cell>
          <cell r="E2027" t="str">
            <v>SEDANG</v>
          </cell>
          <cell r="F2027" t="str">
            <v>Tidak</v>
          </cell>
          <cell r="G2027" t="str">
            <v>Tidak</v>
          </cell>
          <cell r="H2027" t="str">
            <v>Tidak</v>
          </cell>
          <cell r="I2027" t="str">
            <v>Bandar Judol Withdrawal</v>
          </cell>
          <cell r="J2027">
            <v>50</v>
          </cell>
          <cell r="K2027" t="str">
            <v>86,88,87</v>
          </cell>
          <cell r="L2027" t="str">
            <v>Judi Online</v>
          </cell>
          <cell r="M2027" t="str">
            <v xml:space="preserve">Kas Kanpus                              </v>
          </cell>
          <cell r="N2027" t="str">
            <v xml:space="preserve">Kas Kanpus                              </v>
          </cell>
          <cell r="O2027" t="str">
            <v xml:space="preserve">KAS KANPUS                              </v>
          </cell>
          <cell r="R2027" t="str">
            <v>Belum TL</v>
          </cell>
          <cell r="S2027" t="str">
            <v>Belum TL</v>
          </cell>
          <cell r="T2027" t="str">
            <v>90150130 - Intan Aida Pratiwi</v>
          </cell>
          <cell r="U2027" t="str">
            <v>"-"</v>
          </cell>
        </row>
        <row r="2028">
          <cell r="A2028">
            <v>46265</v>
          </cell>
          <cell r="B2028" t="str">
            <v xml:space="preserve">WAHYUDI SYAMSURI                        </v>
          </cell>
          <cell r="C2028" t="str">
            <v>WHM0074</v>
          </cell>
          <cell r="D2028">
            <v>63501048644502</v>
          </cell>
          <cell r="E2028" t="str">
            <v>SEDANG</v>
          </cell>
          <cell r="F2028" t="str">
            <v>Tidak</v>
          </cell>
          <cell r="G2028" t="str">
            <v>Tidak</v>
          </cell>
          <cell r="H2028" t="str">
            <v>Tidak</v>
          </cell>
          <cell r="I2028" t="str">
            <v>Bandar Judol Withdrawal</v>
          </cell>
          <cell r="J2028">
            <v>50</v>
          </cell>
          <cell r="K2028" t="str">
            <v>86,88,87</v>
          </cell>
          <cell r="L2028" t="str">
            <v>Judi Online</v>
          </cell>
          <cell r="M2028" t="str">
            <v xml:space="preserve">Kas Kanpus                              </v>
          </cell>
          <cell r="N2028" t="str">
            <v xml:space="preserve">Kas Kanpus                              </v>
          </cell>
          <cell r="O2028" t="str">
            <v xml:space="preserve">KAS KANPUS                              </v>
          </cell>
          <cell r="R2028" t="str">
            <v>Belum TL</v>
          </cell>
          <cell r="S2028" t="str">
            <v>Belum TL</v>
          </cell>
          <cell r="T2028" t="str">
            <v>90186790 - Muhammad Alfin Farha</v>
          </cell>
          <cell r="U2028" t="str">
            <v>"-"</v>
          </cell>
        </row>
        <row r="2029">
          <cell r="A2029">
            <v>46265</v>
          </cell>
          <cell r="B2029" t="str">
            <v xml:space="preserve">WINDA OKTAPIANI                         </v>
          </cell>
          <cell r="C2029" t="str">
            <v>WHV7645</v>
          </cell>
          <cell r="D2029">
            <v>742301002283502</v>
          </cell>
          <cell r="E2029" t="str">
            <v>TINGGI</v>
          </cell>
          <cell r="F2029" t="str">
            <v>Tidak</v>
          </cell>
          <cell r="G2029" t="str">
            <v>Tidak</v>
          </cell>
          <cell r="H2029" t="str">
            <v>Tidak</v>
          </cell>
          <cell r="I2029" t="str">
            <v>Bandar Judol Withdrawal</v>
          </cell>
          <cell r="J2029">
            <v>65</v>
          </cell>
          <cell r="K2029" t="str">
            <v>86,88,87</v>
          </cell>
          <cell r="L2029" t="str">
            <v>Judi Online</v>
          </cell>
          <cell r="M2029" t="str">
            <v xml:space="preserve">Kas Kanpus                              </v>
          </cell>
          <cell r="N2029" t="str">
            <v xml:space="preserve">Kas Kanpus                              </v>
          </cell>
          <cell r="O2029" t="str">
            <v xml:space="preserve">KAS KANPUS                              </v>
          </cell>
          <cell r="R2029" t="str">
            <v>Belum TL</v>
          </cell>
          <cell r="S2029" t="str">
            <v>Belum TL</v>
          </cell>
          <cell r="T2029" t="str">
            <v>00336949 - Mochammad Al Farabi</v>
          </cell>
          <cell r="U2029" t="str">
            <v>"-"</v>
          </cell>
        </row>
        <row r="2030">
          <cell r="A2030">
            <v>46265</v>
          </cell>
          <cell r="B2030" t="str">
            <v xml:space="preserve">WIRYA HUTAMA                            </v>
          </cell>
          <cell r="C2030" t="str">
            <v>WJB4457</v>
          </cell>
          <cell r="D2030">
            <v>8301503113150</v>
          </cell>
          <cell r="E2030" t="str">
            <v>SEDANG</v>
          </cell>
          <cell r="F2030" t="str">
            <v>Tidak</v>
          </cell>
          <cell r="G2030" t="str">
            <v>Tidak</v>
          </cell>
          <cell r="H2030" t="str">
            <v>Tidak</v>
          </cell>
          <cell r="I2030" t="str">
            <v>Korupsi - Loan View</v>
          </cell>
          <cell r="J2030">
            <v>48</v>
          </cell>
          <cell r="K2030">
            <v>15</v>
          </cell>
          <cell r="L2030" t="str">
            <v>Korupsi</v>
          </cell>
          <cell r="M2030" t="str">
            <v>Kas Kanpus</v>
          </cell>
          <cell r="N2030" t="str">
            <v>Kas Kanpus</v>
          </cell>
          <cell r="O2030" t="str">
            <v>KAS KANPUS</v>
          </cell>
          <cell r="R2030" t="str">
            <v>Belum TL</v>
          </cell>
          <cell r="S2030" t="str">
            <v>Belum TL</v>
          </cell>
          <cell r="T2030" t="str">
            <v>90170665 - Mutiara Ayuningtyas</v>
          </cell>
          <cell r="U2030" t="str">
            <v>"-"</v>
          </cell>
        </row>
        <row r="2031">
          <cell r="A2031">
            <v>46265</v>
          </cell>
          <cell r="B2031" t="str">
            <v xml:space="preserve">WAHANA AGUNG ABADI                      </v>
          </cell>
          <cell r="C2031" t="str">
            <v>WJI9743</v>
          </cell>
          <cell r="D2031">
            <v>42601002005567</v>
          </cell>
          <cell r="E2031" t="str">
            <v>SEDANG</v>
          </cell>
          <cell r="F2031" t="str">
            <v>Tidak</v>
          </cell>
          <cell r="G2031" t="str">
            <v>Tidak</v>
          </cell>
          <cell r="H2031" t="str">
            <v>Tidak</v>
          </cell>
          <cell r="I2031" t="str">
            <v>Perpajakan</v>
          </cell>
          <cell r="J2031">
            <v>48</v>
          </cell>
          <cell r="K2031">
            <v>41</v>
          </cell>
          <cell r="L2031" t="str">
            <v>Perpajakan</v>
          </cell>
          <cell r="M2031" t="str">
            <v xml:space="preserve">KC BRI Jakarta Menara Brilian           </v>
          </cell>
          <cell r="N2031" t="str">
            <v xml:space="preserve">KC BRI Jakarta Menara Brilian           </v>
          </cell>
          <cell r="O2031" t="str">
            <v xml:space="preserve">DKI2                                    </v>
          </cell>
          <cell r="R2031" t="str">
            <v>Belum TL</v>
          </cell>
          <cell r="S2031" t="str">
            <v>Belum TL</v>
          </cell>
          <cell r="T2031" t="str">
            <v>90170665 - Mutiara Ayuningtyas</v>
          </cell>
          <cell r="U2031" t="str">
            <v>"-"</v>
          </cell>
        </row>
        <row r="2032">
          <cell r="A2032">
            <v>46265</v>
          </cell>
          <cell r="B2032" t="str">
            <v xml:space="preserve">WAHYU HARIYONO                          </v>
          </cell>
          <cell r="C2032" t="str">
            <v>WKX9135</v>
          </cell>
          <cell r="D2032">
            <v>447501016168102</v>
          </cell>
          <cell r="E2032" t="str">
            <v>SEDANG</v>
          </cell>
          <cell r="F2032" t="str">
            <v>Tidak</v>
          </cell>
          <cell r="G2032" t="str">
            <v>Tidak</v>
          </cell>
          <cell r="H2032" t="str">
            <v>Tidak</v>
          </cell>
          <cell r="I2032" t="str">
            <v>Korupsi - Loan View</v>
          </cell>
          <cell r="J2032">
            <v>48</v>
          </cell>
          <cell r="K2032">
            <v>15</v>
          </cell>
          <cell r="L2032" t="str">
            <v>Korupsi</v>
          </cell>
          <cell r="M2032" t="str">
            <v>Kas Kanpus</v>
          </cell>
          <cell r="N2032" t="str">
            <v>Kas Kanpus</v>
          </cell>
          <cell r="O2032" t="str">
            <v>KAS KANPUS</v>
          </cell>
          <cell r="R2032" t="str">
            <v>Belum TL</v>
          </cell>
          <cell r="S2032" t="str">
            <v>Belum TL</v>
          </cell>
          <cell r="T2032" t="str">
            <v>00336949 - Mochammad Al Farabi</v>
          </cell>
          <cell r="U2032" t="str">
            <v>"-"</v>
          </cell>
        </row>
        <row r="2033">
          <cell r="A2033">
            <v>46265</v>
          </cell>
          <cell r="B2033" t="str">
            <v xml:space="preserve">WAHYU EKO WIYONO                        </v>
          </cell>
          <cell r="C2033" t="str">
            <v>WK14187</v>
          </cell>
          <cell r="D2033">
            <v>517001020925109</v>
          </cell>
          <cell r="E2033" t="str">
            <v>SEDANG</v>
          </cell>
          <cell r="F2033" t="str">
            <v>Tidak</v>
          </cell>
          <cell r="G2033" t="str">
            <v>Tidak</v>
          </cell>
          <cell r="H2033" t="str">
            <v>Tidak</v>
          </cell>
          <cell r="I2033" t="str">
            <v>Korupsi - Loan View</v>
          </cell>
          <cell r="J2033">
            <v>48</v>
          </cell>
          <cell r="K2033">
            <v>15</v>
          </cell>
          <cell r="L2033" t="str">
            <v>Korupsi</v>
          </cell>
          <cell r="M2033" t="str">
            <v>Kas Kanpus</v>
          </cell>
          <cell r="N2033" t="str">
            <v>Kas Kanpus</v>
          </cell>
          <cell r="O2033" t="str">
            <v>KAS KANPUS</v>
          </cell>
          <cell r="R2033" t="str">
            <v>Belum TL</v>
          </cell>
          <cell r="S2033" t="str">
            <v>Belum TL</v>
          </cell>
          <cell r="T2033" t="str">
            <v>90185538 - Muhammad Fahikal Auz</v>
          </cell>
          <cell r="U2033" t="str">
            <v>"-"</v>
          </cell>
        </row>
        <row r="2034">
          <cell r="A2034">
            <v>46265</v>
          </cell>
          <cell r="B2034" t="str">
            <v xml:space="preserve">WILDAN MALIK IBRAHIM                    </v>
          </cell>
          <cell r="C2034" t="str">
            <v>WLO8905</v>
          </cell>
          <cell r="D2034">
            <v>1901287004503</v>
          </cell>
          <cell r="F2034" t="str">
            <v>Tidak</v>
          </cell>
          <cell r="G2034" t="str">
            <v>Tidak</v>
          </cell>
          <cell r="H2034" t="str">
            <v>Tidak</v>
          </cell>
          <cell r="I2034" t="str">
            <v>Bandar Judol Withdrawal</v>
          </cell>
          <cell r="J2034">
            <v>35</v>
          </cell>
          <cell r="K2034" t="str">
            <v>86,88,87</v>
          </cell>
          <cell r="L2034" t="str">
            <v>Judi Online</v>
          </cell>
          <cell r="M2034" t="str">
            <v xml:space="preserve">Kas Kanpus                              </v>
          </cell>
          <cell r="N2034" t="str">
            <v xml:space="preserve">Kas Kanpus                              </v>
          </cell>
          <cell r="O2034" t="str">
            <v xml:space="preserve">KAS KANPUS                              </v>
          </cell>
          <cell r="R2034" t="str">
            <v>Belum TL</v>
          </cell>
          <cell r="S2034" t="str">
            <v>Belum TL</v>
          </cell>
          <cell r="T2034" t="str">
            <v>00394521 - Muhammad Hibbanduta</v>
          </cell>
          <cell r="U2034" t="str">
            <v>"-"</v>
          </cell>
        </row>
        <row r="2035">
          <cell r="A2035">
            <v>46265</v>
          </cell>
          <cell r="B2035" t="str">
            <v xml:space="preserve">WAHYU SAMPURNO                          </v>
          </cell>
          <cell r="C2035" t="str">
            <v>WLP8962</v>
          </cell>
          <cell r="D2035">
            <v>4359720212184000</v>
          </cell>
          <cell r="F2035" t="str">
            <v>Tidak</v>
          </cell>
          <cell r="G2035" t="str">
            <v>Tidak</v>
          </cell>
          <cell r="H2035" t="str">
            <v>Tidak</v>
          </cell>
          <cell r="I2035" t="str">
            <v>Penghindaran Pajak (Transaksi Fiktif)/Penyuapan CC</v>
          </cell>
          <cell r="J2035">
            <v>30</v>
          </cell>
          <cell r="K2035">
            <v>118</v>
          </cell>
          <cell r="L2035" t="str">
            <v>Penyuapan / Penghindaran Pajak CC View</v>
          </cell>
          <cell r="M2035" t="str">
            <v xml:space="preserve">Kas Kanpus                              </v>
          </cell>
          <cell r="N2035" t="str">
            <v xml:space="preserve">Kas Kanpus                              </v>
          </cell>
          <cell r="O2035" t="str">
            <v xml:space="preserve">KAS KANPUS                              </v>
          </cell>
          <cell r="R2035" t="str">
            <v>Belum TL</v>
          </cell>
          <cell r="S2035" t="str">
            <v>Belum TL</v>
          </cell>
          <cell r="T2035" t="str">
            <v>00394520 - Frida Akbar Rani</v>
          </cell>
          <cell r="U2035" t="str">
            <v>"-"</v>
          </cell>
        </row>
        <row r="2036">
          <cell r="A2036">
            <v>46265</v>
          </cell>
          <cell r="B2036" t="str">
            <v xml:space="preserve">WISNU WARDANA                           </v>
          </cell>
          <cell r="C2036" t="str">
            <v>WLS4940</v>
          </cell>
          <cell r="D2036">
            <v>501243656501</v>
          </cell>
          <cell r="F2036" t="str">
            <v>Tidak</v>
          </cell>
          <cell r="G2036" t="str">
            <v>Tidak</v>
          </cell>
          <cell r="H2036" t="str">
            <v>Tidak</v>
          </cell>
          <cell r="I2036" t="str">
            <v>Bandar Judol Withdrawal</v>
          </cell>
          <cell r="J2036">
            <v>35</v>
          </cell>
          <cell r="K2036" t="str">
            <v>86,88,87</v>
          </cell>
          <cell r="L2036" t="str">
            <v>Judi Online</v>
          </cell>
          <cell r="M2036" t="str">
            <v xml:space="preserve">Kas Kanpus                              </v>
          </cell>
          <cell r="N2036" t="str">
            <v xml:space="preserve">Kas Kanpus                              </v>
          </cell>
          <cell r="O2036" t="str">
            <v xml:space="preserve">KAS KANPUS                              </v>
          </cell>
          <cell r="R2036" t="str">
            <v>Belum TL</v>
          </cell>
          <cell r="S2036" t="str">
            <v>Belum TL</v>
          </cell>
          <cell r="T2036" t="str">
            <v>90185538 - Muhammad Fahikal Auz</v>
          </cell>
          <cell r="U2036" t="str">
            <v>"-"</v>
          </cell>
        </row>
        <row r="2037">
          <cell r="A2037">
            <v>46265</v>
          </cell>
          <cell r="B2037" t="str">
            <v xml:space="preserve">WIWIT PURNAMASARI                       </v>
          </cell>
          <cell r="C2037" t="str">
            <v>WMJ7701</v>
          </cell>
          <cell r="D2037">
            <v>117001049319507</v>
          </cell>
          <cell r="F2037" t="str">
            <v>Tidak</v>
          </cell>
          <cell r="G2037" t="str">
            <v>Tidak</v>
          </cell>
          <cell r="I2037" t="str">
            <v>Jual Beli Rekening - E channel Trx</v>
          </cell>
          <cell r="J2037">
            <v>33</v>
          </cell>
          <cell r="K2037">
            <v>113</v>
          </cell>
          <cell r="L2037" t="str">
            <v>Narkotika/Judi Online/Penipuan</v>
          </cell>
          <cell r="M2037" t="str">
            <v xml:space="preserve">KCP ARUNDINA                            </v>
          </cell>
          <cell r="N2037" t="str">
            <v xml:space="preserve">KC Jakarta Kramat Jati                  </v>
          </cell>
          <cell r="O2037" t="str">
            <v xml:space="preserve">DKI                                     </v>
          </cell>
          <cell r="R2037" t="str">
            <v>Belum TL</v>
          </cell>
          <cell r="S2037" t="str">
            <v>Belum TL</v>
          </cell>
          <cell r="U2037" t="str">
            <v>"-"</v>
          </cell>
        </row>
        <row r="2038">
          <cell r="A2038">
            <v>46265</v>
          </cell>
          <cell r="B2038" t="str">
            <v xml:space="preserve">WAFIQ AULIA MAGHFIROH                   </v>
          </cell>
          <cell r="C2038" t="str">
            <v>WMW6768</v>
          </cell>
          <cell r="D2038">
            <v>2601177614508</v>
          </cell>
          <cell r="F2038" t="str">
            <v>Tidak</v>
          </cell>
          <cell r="G2038" t="str">
            <v>Tidak</v>
          </cell>
          <cell r="I2038" t="str">
            <v>Jual Beli Rekening - E channel Trx</v>
          </cell>
          <cell r="J2038">
            <v>33</v>
          </cell>
          <cell r="K2038">
            <v>113</v>
          </cell>
          <cell r="L2038" t="str">
            <v>Narkotika/Judi Online/Penipuan</v>
          </cell>
          <cell r="M2038" t="str">
            <v xml:space="preserve">KC Gresik                               </v>
          </cell>
          <cell r="N2038" t="str">
            <v xml:space="preserve">KC Gresik                               </v>
          </cell>
          <cell r="O2038" t="str">
            <v xml:space="preserve">Surabaya                                </v>
          </cell>
          <cell r="R2038" t="str">
            <v>Belum TL</v>
          </cell>
          <cell r="S2038" t="str">
            <v>Belum TL</v>
          </cell>
          <cell r="U2038" t="str">
            <v>"-"</v>
          </cell>
        </row>
        <row r="2039">
          <cell r="A2039">
            <v>46265</v>
          </cell>
          <cell r="B2039" t="str">
            <v xml:space="preserve">WILYANDI TONGGADU                       </v>
          </cell>
          <cell r="C2039" t="str">
            <v>WMX6633</v>
          </cell>
          <cell r="D2039">
            <v>515201018013502</v>
          </cell>
          <cell r="F2039" t="str">
            <v>Tidak</v>
          </cell>
          <cell r="G2039" t="str">
            <v>Tidak</v>
          </cell>
          <cell r="I2039" t="str">
            <v>Jual Beli Rekening - E channel Trx</v>
          </cell>
          <cell r="J2039">
            <v>33</v>
          </cell>
          <cell r="K2039">
            <v>113</v>
          </cell>
          <cell r="L2039" t="str">
            <v>Narkotika/Judi Online/Penipuan</v>
          </cell>
          <cell r="M2039" t="str">
            <v xml:space="preserve">UNIT LIMBOTO                            </v>
          </cell>
          <cell r="N2039" t="str">
            <v xml:space="preserve">KC Limboto                              </v>
          </cell>
          <cell r="O2039" t="str">
            <v xml:space="preserve">Manado                                  </v>
          </cell>
          <cell r="R2039" t="str">
            <v>Belum TL</v>
          </cell>
          <cell r="S2039" t="str">
            <v>Belum TL</v>
          </cell>
          <cell r="U2039" t="str">
            <v>"-"</v>
          </cell>
        </row>
        <row r="2040">
          <cell r="A2040">
            <v>46265</v>
          </cell>
          <cell r="B2040" t="str">
            <v xml:space="preserve">WAHYU SUGIONO                           </v>
          </cell>
          <cell r="C2040" t="str">
            <v>WMY6384</v>
          </cell>
          <cell r="D2040">
            <v>120601010978505</v>
          </cell>
          <cell r="F2040" t="str">
            <v>Tidak</v>
          </cell>
          <cell r="G2040" t="str">
            <v>Tidak</v>
          </cell>
          <cell r="I2040" t="str">
            <v>Jual Beli Rekening - E channel Trx</v>
          </cell>
          <cell r="J2040">
            <v>33</v>
          </cell>
          <cell r="K2040">
            <v>113</v>
          </cell>
          <cell r="L2040" t="str">
            <v>Narkotika/Judi Online/Penipuan</v>
          </cell>
          <cell r="M2040" t="str">
            <v xml:space="preserve">KCP MEESTER                             </v>
          </cell>
          <cell r="N2040" t="str">
            <v xml:space="preserve">KC Jakarta Jatinegara                   </v>
          </cell>
          <cell r="O2040" t="str">
            <v xml:space="preserve">DKI                                     </v>
          </cell>
          <cell r="R2040" t="str">
            <v>Belum TL</v>
          </cell>
          <cell r="S2040" t="str">
            <v>Belum TL</v>
          </cell>
          <cell r="U2040" t="str">
            <v>"-"</v>
          </cell>
        </row>
        <row r="2041">
          <cell r="A2041">
            <v>46265</v>
          </cell>
          <cell r="B2041" t="str">
            <v xml:space="preserve">WAHYU WIDIANINGSIH                      </v>
          </cell>
          <cell r="C2041" t="str">
            <v>WMZ1559</v>
          </cell>
          <cell r="D2041">
            <v>4359720234160900</v>
          </cell>
          <cell r="F2041" t="str">
            <v>Tidak</v>
          </cell>
          <cell r="G2041" t="str">
            <v>Tidak</v>
          </cell>
          <cell r="H2041" t="str">
            <v>Tidak</v>
          </cell>
          <cell r="I2041" t="str">
            <v>Penghindaran Pajak (Transaksi Fiktif)/Penyuapan CC</v>
          </cell>
          <cell r="J2041">
            <v>30</v>
          </cell>
          <cell r="K2041">
            <v>118</v>
          </cell>
          <cell r="L2041" t="str">
            <v>Penyuapan / Penghindaran Pajak CC View</v>
          </cell>
          <cell r="M2041" t="str">
            <v xml:space="preserve">Kas Kanpus                              </v>
          </cell>
          <cell r="N2041" t="str">
            <v xml:space="preserve">Kas Kanpus                              </v>
          </cell>
          <cell r="O2041" t="str">
            <v xml:space="preserve">KAS KANPUS                              </v>
          </cell>
          <cell r="R2041" t="str">
            <v>Belum TL</v>
          </cell>
          <cell r="S2041" t="str">
            <v>Belum TL</v>
          </cell>
          <cell r="T2041" t="str">
            <v>00336949 - Mochammad Al Farabi</v>
          </cell>
          <cell r="U2041" t="str">
            <v>"-"</v>
          </cell>
        </row>
        <row r="2042">
          <cell r="A2042">
            <v>46265</v>
          </cell>
          <cell r="B2042" t="str">
            <v xml:space="preserve">WAHYU PUTRA ARDIANZAH                   </v>
          </cell>
          <cell r="C2042" t="str">
            <v>WN10196</v>
          </cell>
          <cell r="D2042">
            <v>602101033087532</v>
          </cell>
          <cell r="E2042" t="str">
            <v>SEDANG</v>
          </cell>
          <cell r="F2042" t="str">
            <v>Tidak</v>
          </cell>
          <cell r="G2042" t="str">
            <v>Tidak</v>
          </cell>
          <cell r="H2042" t="str">
            <v>Tidak</v>
          </cell>
          <cell r="I2042" t="str">
            <v>Bandar Judol Depo</v>
          </cell>
          <cell r="J2042">
            <v>50</v>
          </cell>
          <cell r="K2042" t="str">
            <v>86,74,87</v>
          </cell>
          <cell r="L2042" t="str">
            <v>Judi Online</v>
          </cell>
          <cell r="M2042" t="str">
            <v xml:space="preserve">Kas Kanpus                              </v>
          </cell>
          <cell r="N2042" t="str">
            <v xml:space="preserve">Kas Kanpus                              </v>
          </cell>
          <cell r="O2042" t="str">
            <v xml:space="preserve">KAS KANPUS                              </v>
          </cell>
          <cell r="R2042" t="str">
            <v>Belum TL</v>
          </cell>
          <cell r="S2042" t="str">
            <v>Belum TL</v>
          </cell>
          <cell r="T2042" t="str">
            <v>90150130 - Intan Aida Pratiwi</v>
          </cell>
          <cell r="U2042" t="str">
            <v>"-"</v>
          </cell>
        </row>
        <row r="2043">
          <cell r="A2043">
            <v>46265</v>
          </cell>
          <cell r="B2043" t="str">
            <v xml:space="preserve">WAWAN SULISTIANTO                       </v>
          </cell>
          <cell r="C2043" t="str">
            <v>WN17611</v>
          </cell>
          <cell r="D2043">
            <v>341501038866537</v>
          </cell>
          <cell r="E2043" t="str">
            <v>TINGGI</v>
          </cell>
          <cell r="F2043" t="str">
            <v>Tidak</v>
          </cell>
          <cell r="G2043" t="str">
            <v>Tidak</v>
          </cell>
          <cell r="H2043" t="str">
            <v>Tidak</v>
          </cell>
          <cell r="I2043" t="str">
            <v>Korupsi - Payroll View</v>
          </cell>
          <cell r="J2043">
            <v>79</v>
          </cell>
          <cell r="K2043">
            <v>84</v>
          </cell>
          <cell r="L2043" t="str">
            <v>Korupsi</v>
          </cell>
          <cell r="M2043" t="str">
            <v>Kas Kanpus</v>
          </cell>
          <cell r="N2043" t="str">
            <v>Kas Kanpus</v>
          </cell>
          <cell r="O2043" t="str">
            <v>KAS KANPUS</v>
          </cell>
          <cell r="R2043" t="str">
            <v>Belum TL</v>
          </cell>
          <cell r="S2043" t="str">
            <v>Belum TL</v>
          </cell>
          <cell r="T2043" t="str">
            <v>90185538 - Muhammad Fahikal Auz</v>
          </cell>
          <cell r="U2043" t="str">
            <v>"-"</v>
          </cell>
        </row>
        <row r="2044">
          <cell r="A2044">
            <v>46265</v>
          </cell>
          <cell r="B2044" t="str">
            <v xml:space="preserve">WILLY KRISTANTO                         </v>
          </cell>
          <cell r="C2044" t="str">
            <v>WNE3820</v>
          </cell>
          <cell r="D2044">
            <v>1901249695502</v>
          </cell>
          <cell r="F2044" t="str">
            <v>Tidak</v>
          </cell>
          <cell r="G2044" t="str">
            <v>Tidak</v>
          </cell>
          <cell r="H2044" t="str">
            <v>Tidak</v>
          </cell>
          <cell r="I2044" t="str">
            <v>Bandar Judol Withdrawal</v>
          </cell>
          <cell r="J2044">
            <v>35</v>
          </cell>
          <cell r="K2044" t="str">
            <v>86,88,87</v>
          </cell>
          <cell r="L2044" t="str">
            <v>Judi Online</v>
          </cell>
          <cell r="M2044" t="str">
            <v xml:space="preserve">Kas Kanpus                              </v>
          </cell>
          <cell r="N2044" t="str">
            <v xml:space="preserve">Kas Kanpus                              </v>
          </cell>
          <cell r="O2044" t="str">
            <v xml:space="preserve">KAS KANPUS                              </v>
          </cell>
          <cell r="R2044" t="str">
            <v>Belum TL</v>
          </cell>
          <cell r="S2044" t="str">
            <v>Belum TL</v>
          </cell>
          <cell r="T2044" t="str">
            <v>00394520 - Frida Akbar Rani</v>
          </cell>
          <cell r="U2044" t="str">
            <v>"-"</v>
          </cell>
        </row>
        <row r="2045">
          <cell r="A2045">
            <v>46265</v>
          </cell>
          <cell r="B2045" t="str">
            <v xml:space="preserve">WILDA ASYFA AHMAD                       </v>
          </cell>
          <cell r="C2045" t="str">
            <v>WNH1107</v>
          </cell>
          <cell r="D2045">
            <v>63801096166500</v>
          </cell>
          <cell r="F2045" t="str">
            <v>Tidak</v>
          </cell>
          <cell r="G2045" t="str">
            <v>Tidak</v>
          </cell>
          <cell r="H2045" t="str">
            <v>Tidak</v>
          </cell>
          <cell r="I2045" t="str">
            <v>Bandar Judol Withdrawal</v>
          </cell>
          <cell r="J2045">
            <v>35</v>
          </cell>
          <cell r="K2045" t="str">
            <v>86,88,87</v>
          </cell>
          <cell r="L2045" t="str">
            <v>Judi Online</v>
          </cell>
          <cell r="M2045" t="str">
            <v xml:space="preserve">Kas Kanpus                              </v>
          </cell>
          <cell r="N2045" t="str">
            <v xml:space="preserve">Kas Kanpus                              </v>
          </cell>
          <cell r="O2045" t="str">
            <v xml:space="preserve">KAS KANPUS                              </v>
          </cell>
          <cell r="R2045" t="str">
            <v>Belum TL</v>
          </cell>
          <cell r="S2045" t="str">
            <v>Belum TL</v>
          </cell>
          <cell r="T2045" t="str">
            <v>00336949 - Mochammad Al Farabi</v>
          </cell>
          <cell r="U2045" t="str">
            <v>"-"</v>
          </cell>
        </row>
        <row r="2046">
          <cell r="A2046">
            <v>46265</v>
          </cell>
          <cell r="B2046" t="str">
            <v xml:space="preserve">WINDA APRIYANI                          </v>
          </cell>
          <cell r="C2046" t="str">
            <v>WNI4982</v>
          </cell>
          <cell r="D2046">
            <v>385501004779500</v>
          </cell>
          <cell r="F2046" t="str">
            <v>Tidak</v>
          </cell>
          <cell r="G2046" t="str">
            <v>Tidak</v>
          </cell>
          <cell r="H2046" t="str">
            <v>Tidak</v>
          </cell>
          <cell r="I2046" t="str">
            <v>Bandar Judol Withdrawal</v>
          </cell>
          <cell r="J2046">
            <v>35</v>
          </cell>
          <cell r="K2046" t="str">
            <v>86,88,87</v>
          </cell>
          <cell r="L2046" t="str">
            <v>Judi Online</v>
          </cell>
          <cell r="M2046" t="str">
            <v xml:space="preserve">Kas Kanpus                              </v>
          </cell>
          <cell r="N2046" t="str">
            <v xml:space="preserve">Kas Kanpus                              </v>
          </cell>
          <cell r="O2046" t="str">
            <v xml:space="preserve">KAS KANPUS                              </v>
          </cell>
          <cell r="R2046" t="str">
            <v>Belum TL</v>
          </cell>
          <cell r="S2046" t="str">
            <v>Belum TL</v>
          </cell>
          <cell r="T2046" t="str">
            <v>00394521 - Muhammad Hibbanduta</v>
          </cell>
          <cell r="U2046" t="str">
            <v>"-"</v>
          </cell>
        </row>
        <row r="2047">
          <cell r="A2047">
            <v>46265</v>
          </cell>
          <cell r="B2047" t="str">
            <v xml:space="preserve">WANTO                                   </v>
          </cell>
          <cell r="C2047" t="str">
            <v>WNJ0425</v>
          </cell>
          <cell r="D2047">
            <v>119101023212507</v>
          </cell>
          <cell r="F2047" t="str">
            <v>Tidak</v>
          </cell>
          <cell r="G2047" t="str">
            <v>Tidak</v>
          </cell>
          <cell r="H2047" t="str">
            <v>Tidak</v>
          </cell>
          <cell r="I2047" t="str">
            <v>Bandar Judol Withdrawal</v>
          </cell>
          <cell r="J2047">
            <v>35</v>
          </cell>
          <cell r="K2047" t="str">
            <v>86,88,87</v>
          </cell>
          <cell r="L2047" t="str">
            <v>Judi Online</v>
          </cell>
          <cell r="M2047" t="str">
            <v xml:space="preserve">Kas Kanpus                              </v>
          </cell>
          <cell r="N2047" t="str">
            <v xml:space="preserve">Kas Kanpus                              </v>
          </cell>
          <cell r="O2047" t="str">
            <v xml:space="preserve">KAS KANPUS                              </v>
          </cell>
          <cell r="R2047" t="str">
            <v>Belum TL</v>
          </cell>
          <cell r="S2047" t="str">
            <v>Belum TL</v>
          </cell>
          <cell r="T2047" t="str">
            <v>90150130 - Intan Aida Pratiwi</v>
          </cell>
          <cell r="U2047" t="str">
            <v>"-"</v>
          </cell>
        </row>
        <row r="2048">
          <cell r="A2048">
            <v>46265</v>
          </cell>
          <cell r="B2048" t="str">
            <v xml:space="preserve">WINALASARI SITINJAK                     </v>
          </cell>
          <cell r="C2048" t="str">
            <v>WNR1967</v>
          </cell>
          <cell r="D2048">
            <v>734701014020504</v>
          </cell>
          <cell r="F2048" t="str">
            <v>Tidak</v>
          </cell>
          <cell r="G2048" t="str">
            <v>Tidak</v>
          </cell>
          <cell r="H2048" t="str">
            <v>Tidak</v>
          </cell>
          <cell r="I2048" t="str">
            <v>Bandar Judol Depo</v>
          </cell>
          <cell r="J2048">
            <v>35</v>
          </cell>
          <cell r="K2048" t="str">
            <v>86,74,87</v>
          </cell>
          <cell r="L2048" t="str">
            <v>Judi Online</v>
          </cell>
          <cell r="M2048" t="str">
            <v xml:space="preserve">Kas Kanpus                              </v>
          </cell>
          <cell r="N2048" t="str">
            <v xml:space="preserve">Kas Kanpus                              </v>
          </cell>
          <cell r="O2048" t="str">
            <v xml:space="preserve">KAS KANPUS                              </v>
          </cell>
          <cell r="R2048" t="str">
            <v>Belum TL</v>
          </cell>
          <cell r="S2048" t="str">
            <v>Belum TL</v>
          </cell>
          <cell r="T2048" t="str">
            <v>00394521 - Muhammad Hibbanduta</v>
          </cell>
          <cell r="U2048" t="str">
            <v>"-"</v>
          </cell>
        </row>
        <row r="2049">
          <cell r="A2049">
            <v>46265</v>
          </cell>
          <cell r="B2049" t="str">
            <v xml:space="preserve">WISNU NUGRAHA                           </v>
          </cell>
          <cell r="C2049" t="str">
            <v>WNR9858</v>
          </cell>
          <cell r="D2049">
            <v>417301028731509</v>
          </cell>
          <cell r="F2049" t="str">
            <v>Tidak</v>
          </cell>
          <cell r="G2049" t="str">
            <v>Tidak</v>
          </cell>
          <cell r="H2049" t="str">
            <v>Tidak</v>
          </cell>
          <cell r="I2049" t="str">
            <v>Bandar Judol Withdrawal</v>
          </cell>
          <cell r="J2049">
            <v>35</v>
          </cell>
          <cell r="K2049" t="str">
            <v>86,88,87</v>
          </cell>
          <cell r="L2049" t="str">
            <v>Judi Online</v>
          </cell>
          <cell r="M2049" t="str">
            <v xml:space="preserve">Kas Kanpus                              </v>
          </cell>
          <cell r="N2049" t="str">
            <v xml:space="preserve">Kas Kanpus                              </v>
          </cell>
          <cell r="O2049" t="str">
            <v xml:space="preserve">KAS KANPUS                              </v>
          </cell>
          <cell r="R2049" t="str">
            <v>Belum TL</v>
          </cell>
          <cell r="S2049" t="str">
            <v>Belum TL</v>
          </cell>
          <cell r="T2049" t="str">
            <v>90150130 - Intan Aida Pratiwi</v>
          </cell>
          <cell r="U2049" t="str">
            <v>"-"</v>
          </cell>
        </row>
        <row r="2050">
          <cell r="A2050">
            <v>46265</v>
          </cell>
          <cell r="B2050" t="str">
            <v xml:space="preserve">WISNU WINATA                            </v>
          </cell>
          <cell r="C2050" t="str">
            <v>WNV1176</v>
          </cell>
          <cell r="D2050">
            <v>1901292455503</v>
          </cell>
          <cell r="F2050" t="str">
            <v>Tidak</v>
          </cell>
          <cell r="G2050" t="str">
            <v>Tidak</v>
          </cell>
          <cell r="H2050" t="str">
            <v>Tidak</v>
          </cell>
          <cell r="I2050" t="str">
            <v>Bandar Judol Withdrawal</v>
          </cell>
          <cell r="J2050">
            <v>35</v>
          </cell>
          <cell r="K2050" t="str">
            <v>86,88,87</v>
          </cell>
          <cell r="L2050" t="str">
            <v>Judi Online</v>
          </cell>
          <cell r="M2050" t="str">
            <v xml:space="preserve">Kas Kanpus                              </v>
          </cell>
          <cell r="N2050" t="str">
            <v xml:space="preserve">Kas Kanpus                              </v>
          </cell>
          <cell r="O2050" t="str">
            <v xml:space="preserve">KAS KANPUS                              </v>
          </cell>
          <cell r="R2050" t="str">
            <v>Belum TL</v>
          </cell>
          <cell r="S2050" t="str">
            <v>Belum TL</v>
          </cell>
          <cell r="T2050" t="str">
            <v>90185537 - Moh.Khoerul Fajar Ar</v>
          </cell>
          <cell r="U2050" t="str">
            <v>"-"</v>
          </cell>
        </row>
        <row r="2051">
          <cell r="A2051">
            <v>46240</v>
          </cell>
          <cell r="B2051" t="str">
            <v xml:space="preserve">WILI INDAH WIJAYANTI                    </v>
          </cell>
          <cell r="C2051" t="str">
            <v>WP61467</v>
          </cell>
          <cell r="D2051">
            <v>376001016107532</v>
          </cell>
          <cell r="E2051" t="str">
            <v>SEDANG</v>
          </cell>
          <cell r="F2051" t="str">
            <v>Tidak</v>
          </cell>
          <cell r="G2051" t="str">
            <v>Tidak</v>
          </cell>
          <cell r="I2051" t="str">
            <v>Teroris - Remark</v>
          </cell>
          <cell r="J2051">
            <v>168</v>
          </cell>
          <cell r="K2051">
            <v>50</v>
          </cell>
          <cell r="L2051" t="str">
            <v>Terorisme</v>
          </cell>
          <cell r="M2051" t="str">
            <v xml:space="preserve">Kas Kanpus                              </v>
          </cell>
          <cell r="N2051" t="str">
            <v xml:space="preserve">Kas Kanpus                              </v>
          </cell>
          <cell r="O2051" t="str">
            <v xml:space="preserve">KAS KANPUS                              </v>
          </cell>
          <cell r="R2051" t="str">
            <v>Belum TL</v>
          </cell>
          <cell r="S2051" t="str">
            <v>Belum TL</v>
          </cell>
          <cell r="T2051" t="str">
            <v>90150130 - Intan Aida Pratiwi</v>
          </cell>
          <cell r="U2051" t="str">
            <v>"-"</v>
          </cell>
        </row>
        <row r="2052">
          <cell r="A2052">
            <v>46265</v>
          </cell>
          <cell r="B2052" t="str">
            <v xml:space="preserve">WILFRIDUS FINSENSIUS BRIA               </v>
          </cell>
          <cell r="C2052" t="str">
            <v>WP65935</v>
          </cell>
          <cell r="D2052">
            <v>473201010355109</v>
          </cell>
          <cell r="E2052" t="str">
            <v>SEDANG</v>
          </cell>
          <cell r="F2052" t="str">
            <v>Tidak</v>
          </cell>
          <cell r="G2052" t="str">
            <v>Tidak</v>
          </cell>
          <cell r="H2052" t="str">
            <v>Tidak</v>
          </cell>
          <cell r="I2052" t="str">
            <v>Korupsi - Loan View</v>
          </cell>
          <cell r="J2052">
            <v>48</v>
          </cell>
          <cell r="K2052">
            <v>15</v>
          </cell>
          <cell r="L2052" t="str">
            <v>Korupsi</v>
          </cell>
          <cell r="M2052" t="str">
            <v>Kas Kanpus</v>
          </cell>
          <cell r="N2052" t="str">
            <v>Kas Kanpus</v>
          </cell>
          <cell r="O2052" t="str">
            <v>KAS KANPUS</v>
          </cell>
          <cell r="R2052" t="str">
            <v>Belum TL</v>
          </cell>
          <cell r="S2052" t="str">
            <v>Belum TL</v>
          </cell>
          <cell r="T2052" t="str">
            <v>90170665 - Mutiara Ayuningtyas</v>
          </cell>
          <cell r="U2052" t="str">
            <v>"-"</v>
          </cell>
        </row>
        <row r="2053">
          <cell r="A2053">
            <v>46265</v>
          </cell>
          <cell r="B2053" t="str">
            <v xml:space="preserve">WILLIAM ALEXANDER                       </v>
          </cell>
          <cell r="C2053" t="str">
            <v>WNG1773</v>
          </cell>
          <cell r="D2053">
            <v>118301016734505</v>
          </cell>
          <cell r="F2053" t="str">
            <v>Tidak</v>
          </cell>
          <cell r="G2053" t="str">
            <v>Tidak</v>
          </cell>
          <cell r="H2053" t="str">
            <v>Tidak</v>
          </cell>
          <cell r="I2053" t="str">
            <v>Bandar Judol Withdrawal</v>
          </cell>
          <cell r="J2053">
            <v>35</v>
          </cell>
          <cell r="K2053" t="str">
            <v>86,88,87</v>
          </cell>
          <cell r="L2053" t="str">
            <v>Judi Online</v>
          </cell>
          <cell r="M2053" t="str">
            <v xml:space="preserve">Kas Kanpus                              </v>
          </cell>
          <cell r="N2053" t="str">
            <v xml:space="preserve">Kas Kanpus                              </v>
          </cell>
          <cell r="O2053" t="str">
            <v xml:space="preserve">KAS KANPUS                              </v>
          </cell>
          <cell r="R2053" t="str">
            <v>Belum TL</v>
          </cell>
          <cell r="S2053" t="str">
            <v>Belum TL</v>
          </cell>
          <cell r="T2053" t="str">
            <v>90171841 - Rifqi Aziz</v>
          </cell>
          <cell r="U2053" t="str">
            <v>"-"</v>
          </cell>
        </row>
        <row r="2054">
          <cell r="A2054">
            <v>46265</v>
          </cell>
          <cell r="B2054" t="str">
            <v xml:space="preserve">PT WANATIARA PERSADA                    </v>
          </cell>
          <cell r="C2054" t="str">
            <v>WS78935</v>
          </cell>
          <cell r="D2054">
            <v>41501000804308</v>
          </cell>
          <cell r="E2054" t="str">
            <v>SEDANG</v>
          </cell>
          <cell r="F2054" t="str">
            <v>Tidak</v>
          </cell>
          <cell r="G2054" t="str">
            <v>Tidak</v>
          </cell>
          <cell r="H2054" t="str">
            <v>Tidak</v>
          </cell>
          <cell r="I2054" t="str">
            <v>Korupsi - Cash &amp; Amount</v>
          </cell>
          <cell r="J2054">
            <v>49</v>
          </cell>
          <cell r="K2054" t="str">
            <v>1,2,20</v>
          </cell>
          <cell r="L2054" t="str">
            <v>Korupsi</v>
          </cell>
          <cell r="M2054" t="str">
            <v>Kas Kanpus</v>
          </cell>
          <cell r="N2054" t="str">
            <v>Kas Kanpus</v>
          </cell>
          <cell r="O2054" t="str">
            <v>KAS KANPUS</v>
          </cell>
          <cell r="R2054" t="str">
            <v>Belum TL</v>
          </cell>
          <cell r="S2054" t="str">
            <v>Belum TL</v>
          </cell>
          <cell r="T2054" t="str">
            <v>90150130 - Intan Aida Pratiwi</v>
          </cell>
          <cell r="U2054" t="str">
            <v>"-"</v>
          </cell>
        </row>
        <row r="2055">
          <cell r="A2055">
            <v>46265</v>
          </cell>
          <cell r="B2055" t="str">
            <v xml:space="preserve">WILIAM MEITORYDUS                       </v>
          </cell>
          <cell r="C2055" t="str">
            <v>WU32169</v>
          </cell>
          <cell r="D2055">
            <v>360501011969103</v>
          </cell>
          <cell r="E2055" t="str">
            <v>SEDANG</v>
          </cell>
          <cell r="F2055" t="str">
            <v>Tidak</v>
          </cell>
          <cell r="G2055" t="str">
            <v>Tidak</v>
          </cell>
          <cell r="H2055" t="str">
            <v>Tidak</v>
          </cell>
          <cell r="I2055" t="str">
            <v>Korupsi - Loan View</v>
          </cell>
          <cell r="J2055">
            <v>48</v>
          </cell>
          <cell r="K2055">
            <v>15</v>
          </cell>
          <cell r="L2055" t="str">
            <v>Korupsi</v>
          </cell>
          <cell r="M2055" t="str">
            <v>Kas Kanpus</v>
          </cell>
          <cell r="N2055" t="str">
            <v>Kas Kanpus</v>
          </cell>
          <cell r="O2055" t="str">
            <v>KAS KANPUS</v>
          </cell>
          <cell r="R2055" t="str">
            <v>Belum TL</v>
          </cell>
          <cell r="S2055" t="str">
            <v>Belum TL</v>
          </cell>
          <cell r="T2055" t="str">
            <v>00394521 - Muhammad Hibbanduta</v>
          </cell>
          <cell r="U2055" t="str">
            <v>"-"</v>
          </cell>
        </row>
        <row r="2056">
          <cell r="A2056">
            <v>46265</v>
          </cell>
          <cell r="B2056" t="str">
            <v xml:space="preserve">WAHYUDI                                 </v>
          </cell>
          <cell r="C2056" t="str">
            <v>WX27437</v>
          </cell>
          <cell r="D2056">
            <v>25001036437109</v>
          </cell>
          <cell r="E2056" t="str">
            <v>SEDANG</v>
          </cell>
          <cell r="F2056" t="str">
            <v>Tidak</v>
          </cell>
          <cell r="G2056" t="str">
            <v>Tidak</v>
          </cell>
          <cell r="H2056" t="str">
            <v>Tidak</v>
          </cell>
          <cell r="I2056" t="str">
            <v>Korupsi - Loan View</v>
          </cell>
          <cell r="J2056">
            <v>48</v>
          </cell>
          <cell r="K2056">
            <v>15</v>
          </cell>
          <cell r="L2056" t="str">
            <v>Korupsi</v>
          </cell>
          <cell r="M2056" t="str">
            <v>Kas Kanpus</v>
          </cell>
          <cell r="N2056" t="str">
            <v>Kas Kanpus</v>
          </cell>
          <cell r="O2056" t="str">
            <v>KAS KANPUS</v>
          </cell>
          <cell r="R2056" t="str">
            <v>Belum TL</v>
          </cell>
          <cell r="S2056" t="str">
            <v>Belum TL</v>
          </cell>
          <cell r="T2056" t="str">
            <v>90185537 - Moh.Khoerul Fajar Ar</v>
          </cell>
          <cell r="U2056" t="str">
            <v>"-"</v>
          </cell>
        </row>
        <row r="2057">
          <cell r="A2057">
            <v>46265</v>
          </cell>
          <cell r="B2057" t="str">
            <v xml:space="preserve">WIN STRATEGIC SERVICES                  </v>
          </cell>
          <cell r="C2057" t="str">
            <v>WX33850</v>
          </cell>
          <cell r="D2057">
            <v>33501500811154</v>
          </cell>
          <cell r="E2057" t="str">
            <v>SEDANG</v>
          </cell>
          <cell r="F2057" t="str">
            <v>Tidak</v>
          </cell>
          <cell r="G2057" t="str">
            <v>Tidak</v>
          </cell>
          <cell r="H2057" t="str">
            <v>Tidak</v>
          </cell>
          <cell r="I2057" t="str">
            <v>Korupsi - Loan View</v>
          </cell>
          <cell r="J2057">
            <v>48</v>
          </cell>
          <cell r="K2057">
            <v>15</v>
          </cell>
          <cell r="L2057" t="str">
            <v>Korupsi</v>
          </cell>
          <cell r="M2057" t="str">
            <v>Kas Kanpus</v>
          </cell>
          <cell r="N2057" t="str">
            <v>Kas Kanpus</v>
          </cell>
          <cell r="O2057" t="str">
            <v>KAS KANPUS</v>
          </cell>
          <cell r="R2057" t="str">
            <v>Belum TL</v>
          </cell>
          <cell r="S2057" t="str">
            <v>Belum TL</v>
          </cell>
          <cell r="T2057" t="str">
            <v>90186796 - Devito Arya Wiradila</v>
          </cell>
          <cell r="U2057" t="str">
            <v>"-"</v>
          </cell>
        </row>
        <row r="2058">
          <cell r="A2058">
            <v>46238</v>
          </cell>
          <cell r="B2058" t="str">
            <v xml:space="preserve">WIDYA LIANINGSIH                        </v>
          </cell>
          <cell r="C2058" t="str">
            <v>WY32248</v>
          </cell>
          <cell r="D2058">
            <v>93201037726533</v>
          </cell>
          <cell r="E2058" t="str">
            <v>TINGGI</v>
          </cell>
          <cell r="F2058" t="str">
            <v>Tidak</v>
          </cell>
          <cell r="G2058" t="str">
            <v>Tidak</v>
          </cell>
          <cell r="I2058" t="str">
            <v>Teroris - Remark</v>
          </cell>
          <cell r="J2058">
            <v>188</v>
          </cell>
          <cell r="K2058">
            <v>50</v>
          </cell>
          <cell r="L2058" t="str">
            <v>Terorisme</v>
          </cell>
          <cell r="M2058" t="str">
            <v xml:space="preserve">Kas Kanpus                              </v>
          </cell>
          <cell r="N2058" t="str">
            <v xml:space="preserve">Kas Kanpus                              </v>
          </cell>
          <cell r="O2058" t="str">
            <v xml:space="preserve">KAS KANPUS                              </v>
          </cell>
          <cell r="R2058" t="str">
            <v>Belum TL</v>
          </cell>
          <cell r="S2058" t="str">
            <v>Belum TL</v>
          </cell>
          <cell r="T2058" t="str">
            <v>00394520 - Frida Akbar Rani</v>
          </cell>
          <cell r="U2058" t="str">
            <v>"-"</v>
          </cell>
        </row>
        <row r="2059">
          <cell r="A2059">
            <v>46265</v>
          </cell>
          <cell r="B2059" t="str">
            <v xml:space="preserve">SYAMSUDIMAN TOLO                        </v>
          </cell>
          <cell r="C2059" t="str">
            <v>X050033</v>
          </cell>
          <cell r="D2059">
            <v>11901016168108</v>
          </cell>
          <cell r="E2059" t="str">
            <v>SEDANG</v>
          </cell>
          <cell r="F2059" t="str">
            <v>Tidak</v>
          </cell>
          <cell r="G2059" t="str">
            <v>Tidak</v>
          </cell>
          <cell r="H2059" t="str">
            <v>Tidak</v>
          </cell>
          <cell r="I2059" t="str">
            <v>Korupsi - Loan View</v>
          </cell>
          <cell r="J2059">
            <v>48</v>
          </cell>
          <cell r="K2059">
            <v>15</v>
          </cell>
          <cell r="L2059" t="str">
            <v>Korupsi</v>
          </cell>
          <cell r="M2059" t="str">
            <v>Kas Kanpus</v>
          </cell>
          <cell r="N2059" t="str">
            <v>Kas Kanpus</v>
          </cell>
          <cell r="O2059" t="str">
            <v>KAS KANPUS</v>
          </cell>
          <cell r="R2059" t="str">
            <v>Belum TL</v>
          </cell>
          <cell r="S2059" t="str">
            <v>Belum TL</v>
          </cell>
          <cell r="T2059" t="str">
            <v>90186790 - Muhammad Alfin Farha</v>
          </cell>
          <cell r="U2059" t="str">
            <v>"-"</v>
          </cell>
        </row>
        <row r="2060">
          <cell r="A2060">
            <v>46265</v>
          </cell>
          <cell r="B2060" t="str">
            <v xml:space="preserve">YAYAN SOFYAN                            </v>
          </cell>
          <cell r="C2060" t="str">
            <v>Y048119</v>
          </cell>
          <cell r="D2060">
            <v>501053576103</v>
          </cell>
          <cell r="E2060" t="str">
            <v>SEDANG</v>
          </cell>
          <cell r="F2060" t="str">
            <v>Tidak</v>
          </cell>
          <cell r="G2060" t="str">
            <v>Tidak</v>
          </cell>
          <cell r="H2060" t="str">
            <v>Tidak</v>
          </cell>
          <cell r="I2060" t="str">
            <v>Korupsi - Loan View</v>
          </cell>
          <cell r="J2060">
            <v>48</v>
          </cell>
          <cell r="K2060">
            <v>15</v>
          </cell>
          <cell r="L2060" t="str">
            <v>Korupsi</v>
          </cell>
          <cell r="M2060" t="str">
            <v>Kas Kanpus</v>
          </cell>
          <cell r="N2060" t="str">
            <v>Kas Kanpus</v>
          </cell>
          <cell r="O2060" t="str">
            <v>KAS KANPUS</v>
          </cell>
          <cell r="R2060" t="str">
            <v>Belum TL</v>
          </cell>
          <cell r="S2060" t="str">
            <v>Belum TL</v>
          </cell>
          <cell r="T2060" t="str">
            <v>90170665 - Mutiara Ayuningtyas</v>
          </cell>
          <cell r="U2060" t="str">
            <v>"-"</v>
          </cell>
        </row>
        <row r="2061">
          <cell r="A2061">
            <v>46265</v>
          </cell>
          <cell r="B2061" t="str">
            <v xml:space="preserve">YATTY SRIYATI SH MM MHUM                </v>
          </cell>
          <cell r="C2061" t="str">
            <v>Y133516</v>
          </cell>
          <cell r="D2061">
            <v>20601027404508</v>
          </cell>
          <cell r="E2061" t="str">
            <v>TINGGI</v>
          </cell>
          <cell r="F2061" t="str">
            <v>Tidak</v>
          </cell>
          <cell r="G2061" t="str">
            <v>Tidak</v>
          </cell>
          <cell r="H2061" t="str">
            <v>Tidak</v>
          </cell>
          <cell r="I2061" t="str">
            <v>Korupsi - Significant Trx View</v>
          </cell>
          <cell r="J2061">
            <v>73</v>
          </cell>
          <cell r="K2061">
            <v>1.19</v>
          </cell>
          <cell r="L2061" t="str">
            <v>Korupsi</v>
          </cell>
          <cell r="M2061" t="str">
            <v>Kas Kanpus</v>
          </cell>
          <cell r="N2061" t="str">
            <v>Kas Kanpus</v>
          </cell>
          <cell r="O2061" t="str">
            <v>KAS KANPUS</v>
          </cell>
          <cell r="R2061" t="str">
            <v>Belum TL</v>
          </cell>
          <cell r="S2061" t="str">
            <v>Belum TL</v>
          </cell>
          <cell r="T2061" t="str">
            <v>90186790 - Muhammad Alfin Farha</v>
          </cell>
          <cell r="U2061" t="str">
            <v>"-"</v>
          </cell>
        </row>
        <row r="2062">
          <cell r="A2062">
            <v>46265</v>
          </cell>
          <cell r="B2062" t="str">
            <v xml:space="preserve">YULIZANA                                </v>
          </cell>
          <cell r="C2062" t="str">
            <v>Y687543</v>
          </cell>
          <cell r="D2062">
            <v>209301016317509</v>
          </cell>
          <cell r="E2062" t="str">
            <v>TINGGI</v>
          </cell>
          <cell r="F2062" t="str">
            <v>Tidak</v>
          </cell>
          <cell r="G2062" t="str">
            <v>Tidak</v>
          </cell>
          <cell r="H2062" t="str">
            <v>Tidak</v>
          </cell>
          <cell r="I2062" t="str">
            <v>Korupsi - Significant Trx View</v>
          </cell>
          <cell r="J2062">
            <v>73</v>
          </cell>
          <cell r="K2062">
            <v>1.19</v>
          </cell>
          <cell r="L2062" t="str">
            <v>Korupsi</v>
          </cell>
          <cell r="M2062" t="str">
            <v>Kas Kanpus</v>
          </cell>
          <cell r="N2062" t="str">
            <v>Kas Kanpus</v>
          </cell>
          <cell r="O2062" t="str">
            <v>KAS KANPUS</v>
          </cell>
          <cell r="R2062" t="str">
            <v>Belum TL</v>
          </cell>
          <cell r="S2062" t="str">
            <v>Belum TL</v>
          </cell>
          <cell r="T2062" t="str">
            <v>90171841 - Rifqi Aziz</v>
          </cell>
          <cell r="U2062" t="str">
            <v>"-"</v>
          </cell>
        </row>
        <row r="2063">
          <cell r="A2063">
            <v>46265</v>
          </cell>
          <cell r="B2063" t="str">
            <v xml:space="preserve">YUNI MULYANINGSIH                       </v>
          </cell>
          <cell r="C2063" t="str">
            <v>YBV9448</v>
          </cell>
          <cell r="D2063">
            <v>54201028018504</v>
          </cell>
          <cell r="F2063" t="str">
            <v>Tidak</v>
          </cell>
          <cell r="G2063" t="str">
            <v>Tidak</v>
          </cell>
          <cell r="I2063" t="str">
            <v>Jual Beli Rekening - E channel Trx</v>
          </cell>
          <cell r="J2063">
            <v>33</v>
          </cell>
          <cell r="K2063">
            <v>113</v>
          </cell>
          <cell r="L2063" t="str">
            <v>Narkotika/Judi Online/Penipuan</v>
          </cell>
          <cell r="M2063" t="str">
            <v xml:space="preserve">KCP Pangandaran                         </v>
          </cell>
          <cell r="N2063" t="str">
            <v xml:space="preserve">KC Banjar                               </v>
          </cell>
          <cell r="O2063" t="str">
            <v xml:space="preserve">Bandung                                 </v>
          </cell>
          <cell r="R2063" t="str">
            <v>Belum TL</v>
          </cell>
          <cell r="S2063" t="str">
            <v>Belum TL</v>
          </cell>
          <cell r="U2063" t="str">
            <v>"-"</v>
          </cell>
        </row>
        <row r="2064">
          <cell r="A2064">
            <v>46265</v>
          </cell>
          <cell r="B2064" t="str">
            <v xml:space="preserve">YAYASAN AKSA MAHMUD                     </v>
          </cell>
          <cell r="C2064" t="str">
            <v>YC18562</v>
          </cell>
          <cell r="D2064">
            <v>166401000007308</v>
          </cell>
          <cell r="E2064" t="str">
            <v>SEDANG</v>
          </cell>
          <cell r="F2064" t="str">
            <v>Tidak</v>
          </cell>
          <cell r="G2064" t="str">
            <v>Tidak</v>
          </cell>
          <cell r="H2064" t="str">
            <v>Tidak</v>
          </cell>
          <cell r="I2064" t="str">
            <v>Terorisme - Organisasi Terorisme</v>
          </cell>
          <cell r="J2064">
            <v>170</v>
          </cell>
          <cell r="K2064">
            <v>44</v>
          </cell>
          <cell r="L2064" t="str">
            <v>Terorisme</v>
          </cell>
          <cell r="M2064" t="str">
            <v xml:space="preserve">Kas Kanpus                              </v>
          </cell>
          <cell r="N2064" t="str">
            <v xml:space="preserve">Kas Kanpus                              </v>
          </cell>
          <cell r="O2064" t="str">
            <v xml:space="preserve">KAS KANPUS                              </v>
          </cell>
          <cell r="R2064" t="str">
            <v>Belum TL</v>
          </cell>
          <cell r="S2064" t="str">
            <v>Belum TL</v>
          </cell>
          <cell r="T2064" t="str">
            <v>00394521 - Muhammad Hibbanduta</v>
          </cell>
          <cell r="U2064" t="str">
            <v>"-"</v>
          </cell>
        </row>
        <row r="2065">
          <cell r="A2065">
            <v>46265</v>
          </cell>
          <cell r="B2065" t="str">
            <v xml:space="preserve">YAYASAN AN NUR PURWODADI                </v>
          </cell>
          <cell r="C2065" t="str">
            <v>YC32485</v>
          </cell>
          <cell r="D2065">
            <v>7601001042307</v>
          </cell>
          <cell r="E2065" t="str">
            <v>SEDANG</v>
          </cell>
          <cell r="F2065" t="str">
            <v>Tidak</v>
          </cell>
          <cell r="G2065" t="str">
            <v>Tidak</v>
          </cell>
          <cell r="H2065" t="str">
            <v>Tidak</v>
          </cell>
          <cell r="I2065" t="str">
            <v>Korupsi - Cash &amp; Amount</v>
          </cell>
          <cell r="J2065">
            <v>50</v>
          </cell>
          <cell r="K2065" t="str">
            <v>1,2,20</v>
          </cell>
          <cell r="L2065" t="str">
            <v>Korupsi</v>
          </cell>
          <cell r="M2065" t="str">
            <v>Kas Kanpus</v>
          </cell>
          <cell r="N2065" t="str">
            <v>Kas Kanpus</v>
          </cell>
          <cell r="O2065" t="str">
            <v>KAS KANPUS</v>
          </cell>
          <cell r="R2065" t="str">
            <v>Belum TL</v>
          </cell>
          <cell r="S2065" t="str">
            <v>Belum TL</v>
          </cell>
          <cell r="T2065" t="str">
            <v>90150130 - Intan Aida Pratiwi</v>
          </cell>
          <cell r="U2065" t="str">
            <v>"-"</v>
          </cell>
        </row>
        <row r="2066">
          <cell r="A2066">
            <v>46265</v>
          </cell>
          <cell r="B2066" t="str">
            <v xml:space="preserve">YULIANUS HERMAN SAMBERI                 </v>
          </cell>
          <cell r="C2066" t="str">
            <v>YAJ7950</v>
          </cell>
          <cell r="D2066">
            <v>496101011998105</v>
          </cell>
          <cell r="E2066" t="str">
            <v>SEDANG</v>
          </cell>
          <cell r="F2066" t="str">
            <v>Tidak</v>
          </cell>
          <cell r="G2066" t="str">
            <v>Tidak</v>
          </cell>
          <cell r="H2066" t="str">
            <v>Tidak</v>
          </cell>
          <cell r="I2066" t="str">
            <v>Korupsi - Loan View</v>
          </cell>
          <cell r="J2066">
            <v>48</v>
          </cell>
          <cell r="K2066">
            <v>15</v>
          </cell>
          <cell r="L2066" t="str">
            <v>Korupsi</v>
          </cell>
          <cell r="M2066" t="str">
            <v>Kas Kanpus</v>
          </cell>
          <cell r="N2066" t="str">
            <v>Kas Kanpus</v>
          </cell>
          <cell r="O2066" t="str">
            <v>KAS KANPUS</v>
          </cell>
          <cell r="R2066" t="str">
            <v>Belum TL</v>
          </cell>
          <cell r="S2066" t="str">
            <v>Belum TL</v>
          </cell>
          <cell r="T2066" t="str">
            <v>90185537 - Moh.Khoerul Fajar Ar</v>
          </cell>
          <cell r="U2066" t="str">
            <v>"-"</v>
          </cell>
        </row>
        <row r="2067">
          <cell r="A2067">
            <v>46265</v>
          </cell>
          <cell r="B2067" t="str">
            <v xml:space="preserve">YANU ALAMUDIN BAHRU                     </v>
          </cell>
          <cell r="C2067" t="str">
            <v>YBA0653</v>
          </cell>
          <cell r="D2067">
            <v>4359720213407800</v>
          </cell>
          <cell r="E2067" t="str">
            <v>SEDANG</v>
          </cell>
          <cell r="F2067" t="str">
            <v>Tidak</v>
          </cell>
          <cell r="G2067" t="str">
            <v>Tidak</v>
          </cell>
          <cell r="H2067" t="str">
            <v>Tidak</v>
          </cell>
          <cell r="I2067" t="str">
            <v>Penghindaran Pajak (Transaksi Fiktif)/Penyuapan CC</v>
          </cell>
          <cell r="J2067">
            <v>45</v>
          </cell>
          <cell r="K2067">
            <v>118</v>
          </cell>
          <cell r="L2067" t="str">
            <v>Penyuapan / Penghindaran Pajak CC View</v>
          </cell>
          <cell r="M2067" t="str">
            <v xml:space="preserve">Kas Kanpus                              </v>
          </cell>
          <cell r="N2067" t="str">
            <v xml:space="preserve">Kas Kanpus                              </v>
          </cell>
          <cell r="O2067" t="str">
            <v xml:space="preserve">KAS KANPUS                              </v>
          </cell>
          <cell r="R2067" t="str">
            <v>Belum TL</v>
          </cell>
          <cell r="S2067" t="str">
            <v>Belum TL</v>
          </cell>
          <cell r="T2067" t="str">
            <v>90185537 - Moh.Khoerul Fajar Ar</v>
          </cell>
          <cell r="U2067" t="str">
            <v>"-"</v>
          </cell>
        </row>
        <row r="2068">
          <cell r="A2068">
            <v>46265</v>
          </cell>
          <cell r="B2068" t="str">
            <v xml:space="preserve">YUDDI MOKOGINTA                         </v>
          </cell>
          <cell r="C2068" t="str">
            <v>YCW4151</v>
          </cell>
          <cell r="D2068">
            <v>515301029364102</v>
          </cell>
          <cell r="E2068" t="str">
            <v>RENDAH</v>
          </cell>
          <cell r="F2068" t="str">
            <v>Tidak</v>
          </cell>
          <cell r="G2068" t="str">
            <v>Tidak</v>
          </cell>
          <cell r="H2068" t="str">
            <v>Tidak</v>
          </cell>
          <cell r="I2068" t="str">
            <v>Korupsi - Loan View</v>
          </cell>
          <cell r="J2068">
            <v>33</v>
          </cell>
          <cell r="K2068">
            <v>15</v>
          </cell>
          <cell r="L2068" t="str">
            <v>Korupsi</v>
          </cell>
          <cell r="M2068" t="str">
            <v>Kas Kanpus</v>
          </cell>
          <cell r="N2068" t="str">
            <v>Kas Kanpus</v>
          </cell>
          <cell r="O2068" t="str">
            <v>KAS KANPUS</v>
          </cell>
          <cell r="R2068" t="str">
            <v>Belum TL</v>
          </cell>
          <cell r="S2068" t="str">
            <v>Belum TL</v>
          </cell>
          <cell r="T2068" t="str">
            <v>90170665 - Mutiara Ayuningtyas</v>
          </cell>
          <cell r="U2068" t="str">
            <v>"-"</v>
          </cell>
        </row>
        <row r="2069">
          <cell r="A2069">
            <v>46265</v>
          </cell>
          <cell r="B2069" t="str">
            <v xml:space="preserve">YETI KUSMIATI                           </v>
          </cell>
          <cell r="C2069" t="str">
            <v>YDW9948</v>
          </cell>
          <cell r="D2069">
            <v>4601505327153</v>
          </cell>
          <cell r="E2069" t="str">
            <v>SEDANG</v>
          </cell>
          <cell r="F2069" t="str">
            <v>Tidak</v>
          </cell>
          <cell r="G2069" t="str">
            <v>Tidak</v>
          </cell>
          <cell r="H2069" t="str">
            <v>Tidak</v>
          </cell>
          <cell r="I2069" t="str">
            <v>Korupsi - Loan View</v>
          </cell>
          <cell r="J2069">
            <v>48</v>
          </cell>
          <cell r="K2069">
            <v>15</v>
          </cell>
          <cell r="L2069" t="str">
            <v>Korupsi</v>
          </cell>
          <cell r="M2069" t="str">
            <v>Kas Kanpus</v>
          </cell>
          <cell r="N2069" t="str">
            <v>Kas Kanpus</v>
          </cell>
          <cell r="O2069" t="str">
            <v>KAS KANPUS</v>
          </cell>
          <cell r="R2069" t="str">
            <v>Belum TL</v>
          </cell>
          <cell r="S2069" t="str">
            <v>Belum TL</v>
          </cell>
          <cell r="T2069" t="str">
            <v>90185538 - Muhammad Fahikal Auz</v>
          </cell>
          <cell r="U2069" t="str">
            <v>"-"</v>
          </cell>
        </row>
        <row r="2070">
          <cell r="A2070">
            <v>46265</v>
          </cell>
          <cell r="B2070" t="str">
            <v xml:space="preserve">YULIANTO                                </v>
          </cell>
          <cell r="C2070" t="str">
            <v>YDX9886</v>
          </cell>
          <cell r="D2070">
            <v>34601053168502</v>
          </cell>
          <cell r="E2070" t="str">
            <v>SEDANG</v>
          </cell>
          <cell r="F2070" t="str">
            <v>Tidak</v>
          </cell>
          <cell r="G2070" t="str">
            <v>Tidak</v>
          </cell>
          <cell r="H2070" t="str">
            <v>Tidak</v>
          </cell>
          <cell r="I2070" t="str">
            <v>Bandar Judol Withdrawal</v>
          </cell>
          <cell r="J2070">
            <v>50</v>
          </cell>
          <cell r="K2070" t="str">
            <v>86,88,87</v>
          </cell>
          <cell r="L2070" t="str">
            <v>Judi Online</v>
          </cell>
          <cell r="M2070" t="str">
            <v xml:space="preserve">Kas Kanpus                              </v>
          </cell>
          <cell r="N2070" t="str">
            <v xml:space="preserve">Kas Kanpus                              </v>
          </cell>
          <cell r="O2070" t="str">
            <v xml:space="preserve">KAS KANPUS                              </v>
          </cell>
          <cell r="R2070" t="str">
            <v>Belum TL</v>
          </cell>
          <cell r="S2070" t="str">
            <v>Belum TL</v>
          </cell>
          <cell r="T2070" t="str">
            <v>90185537 - Moh.Khoerul Fajar Ar</v>
          </cell>
          <cell r="U2070" t="str">
            <v>"-"</v>
          </cell>
        </row>
        <row r="2071">
          <cell r="A2071">
            <v>46265</v>
          </cell>
          <cell r="B2071" t="str">
            <v xml:space="preserve">YAN OTHNIEL C N SOMAMBUY                </v>
          </cell>
          <cell r="C2071" t="str">
            <v>YEZ4132</v>
          </cell>
          <cell r="D2071">
            <v>492001016998104</v>
          </cell>
          <cell r="E2071" t="str">
            <v>SEDANG</v>
          </cell>
          <cell r="F2071" t="str">
            <v>Tidak</v>
          </cell>
          <cell r="G2071" t="str">
            <v>Tidak</v>
          </cell>
          <cell r="H2071" t="str">
            <v>Tidak</v>
          </cell>
          <cell r="I2071" t="str">
            <v>Korupsi - Loan View</v>
          </cell>
          <cell r="J2071">
            <v>48</v>
          </cell>
          <cell r="K2071">
            <v>15</v>
          </cell>
          <cell r="L2071" t="str">
            <v>Korupsi</v>
          </cell>
          <cell r="M2071" t="str">
            <v>Kas Kanpus</v>
          </cell>
          <cell r="N2071" t="str">
            <v>Kas Kanpus</v>
          </cell>
          <cell r="O2071" t="str">
            <v>KAS KANPUS</v>
          </cell>
          <cell r="R2071" t="str">
            <v>Belum TL</v>
          </cell>
          <cell r="S2071" t="str">
            <v>Belum TL</v>
          </cell>
          <cell r="T2071" t="str">
            <v>90170665 - Mutiara Ayuningtyas</v>
          </cell>
          <cell r="U2071" t="str">
            <v>"-"</v>
          </cell>
        </row>
        <row r="2072">
          <cell r="A2072">
            <v>46265</v>
          </cell>
          <cell r="B2072" t="str">
            <v xml:space="preserve">YAYASAN KI AGENG TRITIS                 </v>
          </cell>
          <cell r="C2072" t="str">
            <v>YFE7880</v>
          </cell>
          <cell r="D2072">
            <v>3501504019158</v>
          </cell>
          <cell r="E2072" t="str">
            <v>SEDANG</v>
          </cell>
          <cell r="F2072" t="str">
            <v>Tidak</v>
          </cell>
          <cell r="G2072" t="str">
            <v>Tidak</v>
          </cell>
          <cell r="H2072" t="str">
            <v>Tidak</v>
          </cell>
          <cell r="I2072" t="str">
            <v>Korupsi - Loan View</v>
          </cell>
          <cell r="J2072">
            <v>48</v>
          </cell>
          <cell r="K2072">
            <v>15</v>
          </cell>
          <cell r="L2072" t="str">
            <v>Korupsi</v>
          </cell>
          <cell r="M2072" t="str">
            <v>Kas Kanpus</v>
          </cell>
          <cell r="N2072" t="str">
            <v>Kas Kanpus</v>
          </cell>
          <cell r="O2072" t="str">
            <v>KAS KANPUS</v>
          </cell>
          <cell r="R2072" t="str">
            <v>Belum TL</v>
          </cell>
          <cell r="S2072" t="str">
            <v>Belum TL</v>
          </cell>
          <cell r="T2072" t="str">
            <v>90170665 - Mutiara Ayuningtyas</v>
          </cell>
          <cell r="U2072" t="str">
            <v>"-"</v>
          </cell>
        </row>
        <row r="2073">
          <cell r="A2073">
            <v>46265</v>
          </cell>
          <cell r="B2073" t="str">
            <v xml:space="preserve">YUSIKA BR. PURBA                        </v>
          </cell>
          <cell r="C2073" t="str">
            <v>YFG9340</v>
          </cell>
          <cell r="D2073">
            <v>5326595012622440</v>
          </cell>
          <cell r="E2073" t="str">
            <v>TINGGI</v>
          </cell>
          <cell r="F2073" t="str">
            <v>Tidak</v>
          </cell>
          <cell r="G2073" t="str">
            <v>Tidak</v>
          </cell>
          <cell r="H2073" t="str">
            <v>Tidak</v>
          </cell>
          <cell r="I2073" t="str">
            <v>Private or Priority Customer Investment</v>
          </cell>
          <cell r="J2073">
            <v>83</v>
          </cell>
          <cell r="K2073">
            <v>93</v>
          </cell>
          <cell r="L2073" t="str">
            <v>Pasar Modal</v>
          </cell>
          <cell r="M2073" t="str">
            <v xml:space="preserve">Jkt KCK                                 </v>
          </cell>
          <cell r="N2073" t="str">
            <v xml:space="preserve">Jkt KCK                                 </v>
          </cell>
          <cell r="O2073" t="str">
            <v xml:space="preserve">DKI                                     </v>
          </cell>
          <cell r="R2073" t="str">
            <v>Belum TL</v>
          </cell>
          <cell r="S2073" t="str">
            <v>Belum TL</v>
          </cell>
          <cell r="T2073" t="str">
            <v>90150130 - Intan Aida Pratiwi</v>
          </cell>
          <cell r="U2073" t="str">
            <v>"-"</v>
          </cell>
        </row>
        <row r="2074">
          <cell r="A2074">
            <v>46265</v>
          </cell>
          <cell r="B2074" t="str">
            <v xml:space="preserve">YATI H                                  </v>
          </cell>
          <cell r="C2074" t="str">
            <v>YGA8747</v>
          </cell>
          <cell r="D2074">
            <v>204001011221502</v>
          </cell>
          <cell r="E2074" t="str">
            <v>SEDANG</v>
          </cell>
          <cell r="F2074" t="str">
            <v>Tidak</v>
          </cell>
          <cell r="G2074" t="str">
            <v>Tidak</v>
          </cell>
          <cell r="H2074" t="str">
            <v>Tidak</v>
          </cell>
          <cell r="I2074" t="str">
            <v>Bandar Judol Withdrawal</v>
          </cell>
          <cell r="J2074">
            <v>50</v>
          </cell>
          <cell r="K2074" t="str">
            <v>86,88,87</v>
          </cell>
          <cell r="L2074" t="str">
            <v>Judi Online</v>
          </cell>
          <cell r="M2074" t="str">
            <v xml:space="preserve">Kas Kanpus                              </v>
          </cell>
          <cell r="N2074" t="str">
            <v xml:space="preserve">Kas Kanpus                              </v>
          </cell>
          <cell r="O2074" t="str">
            <v xml:space="preserve">KAS KANPUS                              </v>
          </cell>
          <cell r="R2074" t="str">
            <v>Belum TL</v>
          </cell>
          <cell r="S2074" t="str">
            <v>Belum TL</v>
          </cell>
          <cell r="T2074" t="str">
            <v>90186796 - Devito Arya Wiradila</v>
          </cell>
          <cell r="U2074" t="str">
            <v>"-"</v>
          </cell>
        </row>
        <row r="2075">
          <cell r="A2075">
            <v>46265</v>
          </cell>
          <cell r="B2075" t="str">
            <v xml:space="preserve">YOPPY OMRI DARIUS NESIMNASI             </v>
          </cell>
          <cell r="C2075" t="str">
            <v>YEC0810</v>
          </cell>
          <cell r="D2075">
            <v>14101011230101</v>
          </cell>
          <cell r="E2075" t="str">
            <v>SEDANG</v>
          </cell>
          <cell r="F2075" t="str">
            <v>Tidak</v>
          </cell>
          <cell r="G2075" t="str">
            <v>Tidak</v>
          </cell>
          <cell r="H2075" t="str">
            <v>Tidak</v>
          </cell>
          <cell r="I2075" t="str">
            <v>Korupsi - Loan View</v>
          </cell>
          <cell r="J2075">
            <v>48</v>
          </cell>
          <cell r="K2075">
            <v>15</v>
          </cell>
          <cell r="L2075" t="str">
            <v>Korupsi</v>
          </cell>
          <cell r="M2075" t="str">
            <v>Kas Kanpus</v>
          </cell>
          <cell r="N2075" t="str">
            <v>Kas Kanpus</v>
          </cell>
          <cell r="O2075" t="str">
            <v>KAS KANPUS</v>
          </cell>
          <cell r="R2075" t="str">
            <v>Belum TL</v>
          </cell>
          <cell r="S2075" t="str">
            <v>Belum TL</v>
          </cell>
          <cell r="T2075" t="str">
            <v>90186790 - Muhammad Alfin Farha</v>
          </cell>
          <cell r="U2075" t="str">
            <v>"-"</v>
          </cell>
        </row>
        <row r="2076">
          <cell r="A2076">
            <v>46265</v>
          </cell>
          <cell r="B2076" t="str">
            <v xml:space="preserve">YENCY DATTI                             </v>
          </cell>
          <cell r="C2076" t="str">
            <v>YER4043</v>
          </cell>
          <cell r="D2076">
            <v>218901003233105</v>
          </cell>
          <cell r="E2076" t="str">
            <v>SEDANG</v>
          </cell>
          <cell r="F2076" t="str">
            <v>Tidak</v>
          </cell>
          <cell r="G2076" t="str">
            <v>Tidak</v>
          </cell>
          <cell r="H2076" t="str">
            <v>Tidak</v>
          </cell>
          <cell r="I2076" t="str">
            <v>Korupsi - Loan View</v>
          </cell>
          <cell r="J2076">
            <v>48</v>
          </cell>
          <cell r="K2076">
            <v>15</v>
          </cell>
          <cell r="L2076" t="str">
            <v>Korupsi</v>
          </cell>
          <cell r="M2076" t="str">
            <v>Kas Kanpus</v>
          </cell>
          <cell r="N2076" t="str">
            <v>Kas Kanpus</v>
          </cell>
          <cell r="O2076" t="str">
            <v>KAS KANPUS</v>
          </cell>
          <cell r="R2076" t="str">
            <v>Belum TL</v>
          </cell>
          <cell r="S2076" t="str">
            <v>Belum TL</v>
          </cell>
          <cell r="T2076" t="str">
            <v>90185537 - Moh.Khoerul Fajar Ar</v>
          </cell>
          <cell r="U2076" t="str">
            <v>"-"</v>
          </cell>
        </row>
        <row r="2077">
          <cell r="A2077">
            <v>46265</v>
          </cell>
          <cell r="B2077" t="str">
            <v xml:space="preserve">YOHANES MARDIANUS KLAU                  </v>
          </cell>
          <cell r="C2077" t="str">
            <v>YGF5924</v>
          </cell>
          <cell r="D2077">
            <v>3901046182104</v>
          </cell>
          <cell r="E2077" t="str">
            <v>SEDANG</v>
          </cell>
          <cell r="F2077" t="str">
            <v>Tidak</v>
          </cell>
          <cell r="G2077" t="str">
            <v>Tidak</v>
          </cell>
          <cell r="H2077" t="str">
            <v>Tidak</v>
          </cell>
          <cell r="I2077" t="str">
            <v>Korupsi - Loan View</v>
          </cell>
          <cell r="J2077">
            <v>48</v>
          </cell>
          <cell r="K2077">
            <v>15</v>
          </cell>
          <cell r="L2077" t="str">
            <v>Korupsi</v>
          </cell>
          <cell r="M2077" t="str">
            <v>Kas Kanpus</v>
          </cell>
          <cell r="N2077" t="str">
            <v>Kas Kanpus</v>
          </cell>
          <cell r="O2077" t="str">
            <v>KAS KANPUS</v>
          </cell>
          <cell r="R2077" t="str">
            <v>Belum TL</v>
          </cell>
          <cell r="S2077" t="str">
            <v>Belum TL</v>
          </cell>
          <cell r="T2077" t="str">
            <v>90186790 - Muhammad Alfin Farha</v>
          </cell>
          <cell r="U2077" t="str">
            <v>"-"</v>
          </cell>
        </row>
        <row r="2078">
          <cell r="A2078">
            <v>46265</v>
          </cell>
          <cell r="B2078" t="str">
            <v xml:space="preserve">YOYOK HERY WAHYONO, ST                  </v>
          </cell>
          <cell r="C2078" t="str">
            <v>YGI8698</v>
          </cell>
          <cell r="D2078">
            <v>40901001701564</v>
          </cell>
          <cell r="E2078" t="str">
            <v>SEDANG</v>
          </cell>
          <cell r="F2078" t="str">
            <v>Tidak</v>
          </cell>
          <cell r="G2078" t="str">
            <v>Tidak</v>
          </cell>
          <cell r="H2078" t="str">
            <v>Tidak</v>
          </cell>
          <cell r="I2078" t="str">
            <v>Narkotika/Psikotropika</v>
          </cell>
          <cell r="J2078">
            <v>50</v>
          </cell>
          <cell r="K2078" t="str">
            <v>1,7,3</v>
          </cell>
          <cell r="L2078" t="str">
            <v>Narkotika/Psikotropika</v>
          </cell>
          <cell r="M2078" t="str">
            <v xml:space="preserve">KC Muntilan                             </v>
          </cell>
          <cell r="N2078" t="str">
            <v xml:space="preserve">KC Muntilan                             </v>
          </cell>
          <cell r="O2078" t="str">
            <v xml:space="preserve">Yogyakarta                              </v>
          </cell>
          <cell r="R2078" t="str">
            <v>Belum TL</v>
          </cell>
          <cell r="S2078" t="str">
            <v>Belum TL</v>
          </cell>
          <cell r="T2078" t="str">
            <v>90150130 - Intan Aida Pratiwi</v>
          </cell>
          <cell r="U2078" t="str">
            <v>"-"</v>
          </cell>
        </row>
        <row r="2079">
          <cell r="A2079">
            <v>46265</v>
          </cell>
          <cell r="B2079" t="str">
            <v xml:space="preserve">YASTAR                                  </v>
          </cell>
          <cell r="C2079" t="str">
            <v>YH82007</v>
          </cell>
          <cell r="D2079">
            <v>4701500463152</v>
          </cell>
          <cell r="E2079" t="str">
            <v>SEDANG</v>
          </cell>
          <cell r="F2079" t="str">
            <v>Tidak</v>
          </cell>
          <cell r="G2079" t="str">
            <v>Tidak</v>
          </cell>
          <cell r="H2079" t="str">
            <v>Tidak</v>
          </cell>
          <cell r="I2079" t="str">
            <v>Korupsi - Loan View</v>
          </cell>
          <cell r="J2079">
            <v>48</v>
          </cell>
          <cell r="K2079">
            <v>15</v>
          </cell>
          <cell r="L2079" t="str">
            <v>Korupsi</v>
          </cell>
          <cell r="M2079" t="str">
            <v>Kas Kanpus</v>
          </cell>
          <cell r="N2079" t="str">
            <v>Kas Kanpus</v>
          </cell>
          <cell r="O2079" t="str">
            <v>KAS KANPUS</v>
          </cell>
          <cell r="R2079" t="str">
            <v>Belum TL</v>
          </cell>
          <cell r="S2079" t="str">
            <v>Belum TL</v>
          </cell>
          <cell r="T2079" t="str">
            <v>90150130 - Intan Aida Pratiwi</v>
          </cell>
          <cell r="U2079" t="str">
            <v>"-"</v>
          </cell>
        </row>
        <row r="2080">
          <cell r="A2080">
            <v>46265</v>
          </cell>
          <cell r="B2080" t="str">
            <v xml:space="preserve">YAYASAN KALAWEIT INDONESIA              </v>
          </cell>
          <cell r="C2080" t="str">
            <v>YH97172</v>
          </cell>
          <cell r="D2080">
            <v>24301001184308</v>
          </cell>
          <cell r="E2080" t="str">
            <v>SEDANG</v>
          </cell>
          <cell r="F2080" t="str">
            <v>Tidak</v>
          </cell>
          <cell r="G2080" t="str">
            <v>Tidak</v>
          </cell>
          <cell r="I2080" t="str">
            <v>Terorisme - Organisasi Terorisme</v>
          </cell>
          <cell r="J2080">
            <v>168</v>
          </cell>
          <cell r="K2080">
            <v>44</v>
          </cell>
          <cell r="L2080" t="str">
            <v>Terorisme</v>
          </cell>
          <cell r="M2080" t="str">
            <v xml:space="preserve">Kas Kanpus                              </v>
          </cell>
          <cell r="N2080" t="str">
            <v xml:space="preserve">Kas Kanpus                              </v>
          </cell>
          <cell r="O2080" t="str">
            <v xml:space="preserve">KAS KANPUS                              </v>
          </cell>
          <cell r="R2080" t="str">
            <v>Belum TL</v>
          </cell>
          <cell r="S2080" t="str">
            <v>Belum TL</v>
          </cell>
          <cell r="T2080" t="str">
            <v>90170665 - Mutiara Ayuningtyas</v>
          </cell>
          <cell r="U2080" t="str">
            <v>"-"</v>
          </cell>
        </row>
        <row r="2081">
          <cell r="A2081">
            <v>46265</v>
          </cell>
          <cell r="B2081" t="str">
            <v xml:space="preserve">YOSEP WIRA PERKASA GIAN BAOK            </v>
          </cell>
          <cell r="C2081" t="str">
            <v>YHH7222</v>
          </cell>
          <cell r="D2081">
            <v>4359720280238400</v>
          </cell>
          <cell r="E2081" t="str">
            <v>SEDANG</v>
          </cell>
          <cell r="F2081" t="str">
            <v>Tidak</v>
          </cell>
          <cell r="G2081" t="str">
            <v>Tidak</v>
          </cell>
          <cell r="H2081" t="str">
            <v>Tidak</v>
          </cell>
          <cell r="I2081" t="str">
            <v>Anomali Transaksi Kartu Kredit</v>
          </cell>
          <cell r="J2081">
            <v>45</v>
          </cell>
          <cell r="K2081">
            <v>117</v>
          </cell>
          <cell r="L2081" t="str">
            <v>Anomali Transaksi Kartu Kredit</v>
          </cell>
          <cell r="M2081" t="str">
            <v xml:space="preserve">Kas Kanpus                              </v>
          </cell>
          <cell r="N2081" t="str">
            <v xml:space="preserve">Kas Kanpus                              </v>
          </cell>
          <cell r="O2081" t="str">
            <v xml:space="preserve">KAS KANPUS                              </v>
          </cell>
          <cell r="R2081" t="str">
            <v>Belum TL</v>
          </cell>
          <cell r="S2081" t="str">
            <v>Belum TL</v>
          </cell>
          <cell r="T2081" t="str">
            <v>00336949 - Mochammad Al Farabi</v>
          </cell>
          <cell r="U2081" t="str">
            <v>"-"</v>
          </cell>
        </row>
        <row r="2082">
          <cell r="A2082">
            <v>46265</v>
          </cell>
          <cell r="B2082" t="str">
            <v xml:space="preserve">YUSTINA PRIMA MANDIRI                   </v>
          </cell>
          <cell r="C2082" t="str">
            <v>YHM2787</v>
          </cell>
          <cell r="D2082">
            <v>21201502337150</v>
          </cell>
          <cell r="E2082" t="str">
            <v>SEDANG</v>
          </cell>
          <cell r="F2082" t="str">
            <v>Tidak</v>
          </cell>
          <cell r="G2082" t="str">
            <v>Tidak</v>
          </cell>
          <cell r="H2082" t="str">
            <v>Tidak</v>
          </cell>
          <cell r="I2082" t="str">
            <v>Korupsi - Loan View</v>
          </cell>
          <cell r="J2082">
            <v>48</v>
          </cell>
          <cell r="K2082">
            <v>15</v>
          </cell>
          <cell r="L2082" t="str">
            <v>Korupsi</v>
          </cell>
          <cell r="M2082" t="str">
            <v>Kas Kanpus</v>
          </cell>
          <cell r="N2082" t="str">
            <v>Kas Kanpus</v>
          </cell>
          <cell r="O2082" t="str">
            <v>KAS KANPUS</v>
          </cell>
          <cell r="R2082" t="str">
            <v>Belum TL</v>
          </cell>
          <cell r="S2082" t="str">
            <v>Belum TL</v>
          </cell>
          <cell r="T2082" t="str">
            <v>90186796 - Devito Arya Wiradila</v>
          </cell>
          <cell r="U2082" t="str">
            <v>"-"</v>
          </cell>
        </row>
        <row r="2083">
          <cell r="A2083">
            <v>46265</v>
          </cell>
          <cell r="B2083" t="str">
            <v xml:space="preserve">YAYASAN CAHAYA PELANGI BALI             </v>
          </cell>
          <cell r="C2083" t="str">
            <v>YI03052</v>
          </cell>
          <cell r="D2083">
            <v>59001000162300</v>
          </cell>
          <cell r="E2083" t="str">
            <v>SEDANG</v>
          </cell>
          <cell r="F2083" t="str">
            <v>Tidak</v>
          </cell>
          <cell r="G2083" t="str">
            <v>Tidak</v>
          </cell>
          <cell r="I2083" t="str">
            <v>Terorisme - Organisasi Terorisme</v>
          </cell>
          <cell r="J2083">
            <v>168</v>
          </cell>
          <cell r="K2083">
            <v>44</v>
          </cell>
          <cell r="L2083" t="str">
            <v>Terorisme</v>
          </cell>
          <cell r="M2083" t="str">
            <v xml:space="preserve">Kas Kanpus                              </v>
          </cell>
          <cell r="N2083" t="str">
            <v xml:space="preserve">Kas Kanpus                              </v>
          </cell>
          <cell r="O2083" t="str">
            <v xml:space="preserve">KAS KANPUS                              </v>
          </cell>
          <cell r="R2083" t="str">
            <v>Belum TL</v>
          </cell>
          <cell r="S2083" t="str">
            <v>Belum TL</v>
          </cell>
          <cell r="T2083" t="str">
            <v>00336949 - Mochammad Al Farabi</v>
          </cell>
          <cell r="U2083" t="str">
            <v>"-"</v>
          </cell>
        </row>
        <row r="2084">
          <cell r="A2084">
            <v>46265</v>
          </cell>
          <cell r="B2084" t="str">
            <v xml:space="preserve">YOSUA ADIGUNA                           </v>
          </cell>
          <cell r="C2084" t="str">
            <v>YIM0012</v>
          </cell>
          <cell r="D2084">
            <v>4359720200315000</v>
          </cell>
          <cell r="E2084" t="str">
            <v>SEDANG</v>
          </cell>
          <cell r="F2084" t="str">
            <v>Tidak</v>
          </cell>
          <cell r="G2084" t="str">
            <v>Tidak</v>
          </cell>
          <cell r="H2084" t="str">
            <v>Tidak</v>
          </cell>
          <cell r="I2084" t="str">
            <v>Anomali Transaksi Kartu Kredit</v>
          </cell>
          <cell r="J2084">
            <v>45</v>
          </cell>
          <cell r="K2084">
            <v>117</v>
          </cell>
          <cell r="L2084" t="str">
            <v>Anomali Transaksi Kartu Kredit</v>
          </cell>
          <cell r="M2084" t="str">
            <v xml:space="preserve">Kas Kanpus                              </v>
          </cell>
          <cell r="N2084" t="str">
            <v xml:space="preserve">Kas Kanpus                              </v>
          </cell>
          <cell r="O2084" t="str">
            <v xml:space="preserve">KAS KANPUS                              </v>
          </cell>
          <cell r="R2084" t="str">
            <v>Belum TL</v>
          </cell>
          <cell r="S2084" t="str">
            <v>Belum TL</v>
          </cell>
          <cell r="T2084" t="str">
            <v>00394521 - Muhammad Hibbanduta</v>
          </cell>
          <cell r="U2084" t="str">
            <v>"-"</v>
          </cell>
        </row>
        <row r="2085">
          <cell r="A2085">
            <v>46265</v>
          </cell>
          <cell r="B2085" t="str">
            <v xml:space="preserve">YOGA PRAWIRA                            </v>
          </cell>
          <cell r="C2085" t="str">
            <v>YJB7280</v>
          </cell>
          <cell r="D2085">
            <v>210101012445109</v>
          </cell>
          <cell r="E2085" t="str">
            <v>SEDANG</v>
          </cell>
          <cell r="F2085" t="str">
            <v>Tidak</v>
          </cell>
          <cell r="G2085" t="str">
            <v>Tidak</v>
          </cell>
          <cell r="H2085" t="str">
            <v>Tidak</v>
          </cell>
          <cell r="I2085" t="str">
            <v>Korupsi - Loan View</v>
          </cell>
          <cell r="J2085">
            <v>48</v>
          </cell>
          <cell r="K2085">
            <v>15</v>
          </cell>
          <cell r="L2085" t="str">
            <v>Korupsi</v>
          </cell>
          <cell r="M2085" t="str">
            <v>Kas Kanpus</v>
          </cell>
          <cell r="N2085" t="str">
            <v>Kas Kanpus</v>
          </cell>
          <cell r="O2085" t="str">
            <v>KAS KANPUS</v>
          </cell>
          <cell r="R2085" t="str">
            <v>Belum TL</v>
          </cell>
          <cell r="S2085" t="str">
            <v>Belum TL</v>
          </cell>
          <cell r="T2085" t="str">
            <v>00336949 - Mochammad Al Farabi</v>
          </cell>
          <cell r="U2085" t="str">
            <v>"-"</v>
          </cell>
        </row>
        <row r="2086">
          <cell r="A2086">
            <v>46265</v>
          </cell>
          <cell r="B2086" t="str">
            <v xml:space="preserve">YUSUF HASAN AL JABRI                    </v>
          </cell>
          <cell r="C2086" t="str">
            <v>YJC0169</v>
          </cell>
          <cell r="D2086">
            <v>5534790223890140</v>
          </cell>
          <cell r="E2086" t="str">
            <v>SEDANG</v>
          </cell>
          <cell r="F2086" t="str">
            <v>Tidak</v>
          </cell>
          <cell r="G2086" t="str">
            <v>Tidak</v>
          </cell>
          <cell r="H2086" t="str">
            <v>Tidak</v>
          </cell>
          <cell r="I2086" t="str">
            <v>Anomali Transaksi Kartu Kredit</v>
          </cell>
          <cell r="J2086">
            <v>45</v>
          </cell>
          <cell r="K2086">
            <v>116</v>
          </cell>
          <cell r="L2086" t="str">
            <v>Anomali Transaksi Kartu Kredit</v>
          </cell>
          <cell r="M2086" t="str">
            <v xml:space="preserve">Kas Kanpus                              </v>
          </cell>
          <cell r="N2086" t="str">
            <v xml:space="preserve">Kas Kanpus                              </v>
          </cell>
          <cell r="O2086" t="str">
            <v xml:space="preserve">KAS KANPUS                              </v>
          </cell>
          <cell r="R2086" t="str">
            <v>Belum TL</v>
          </cell>
          <cell r="S2086" t="str">
            <v>Belum TL</v>
          </cell>
          <cell r="T2086" t="str">
            <v>00394520 - Frida Akbar Rani</v>
          </cell>
          <cell r="U2086" t="str">
            <v>"-"</v>
          </cell>
        </row>
        <row r="2087">
          <cell r="A2087">
            <v>46265</v>
          </cell>
          <cell r="B2087" t="str">
            <v xml:space="preserve">YOGA PRASETYA MUFTI                     </v>
          </cell>
          <cell r="C2087" t="str">
            <v>YKU6088</v>
          </cell>
          <cell r="D2087">
            <v>113401000857568</v>
          </cell>
          <cell r="E2087" t="str">
            <v>SEDANG</v>
          </cell>
          <cell r="F2087" t="str">
            <v>Tidak</v>
          </cell>
          <cell r="G2087" t="str">
            <v>Tidak</v>
          </cell>
          <cell r="H2087" t="str">
            <v>Tidak</v>
          </cell>
          <cell r="I2087" t="str">
            <v>Bandar Judol Depo</v>
          </cell>
          <cell r="J2087">
            <v>50</v>
          </cell>
          <cell r="K2087" t="str">
            <v>86,74,87</v>
          </cell>
          <cell r="L2087" t="str">
            <v>Judi Online</v>
          </cell>
          <cell r="M2087" t="str">
            <v xml:space="preserve">Kas Kanpus                              </v>
          </cell>
          <cell r="N2087" t="str">
            <v xml:space="preserve">Kas Kanpus                              </v>
          </cell>
          <cell r="O2087" t="str">
            <v xml:space="preserve">KAS KANPUS                              </v>
          </cell>
          <cell r="R2087" t="str">
            <v>Belum TL</v>
          </cell>
          <cell r="S2087" t="str">
            <v>Belum TL</v>
          </cell>
          <cell r="T2087" t="str">
            <v>00394520 - Frida Akbar Rani</v>
          </cell>
          <cell r="U2087" t="str">
            <v>"-"</v>
          </cell>
        </row>
        <row r="2088">
          <cell r="A2088">
            <v>46265</v>
          </cell>
          <cell r="B2088" t="str">
            <v xml:space="preserve">YOHAN JANANTO                           </v>
          </cell>
          <cell r="C2088" t="str">
            <v>YKV7129</v>
          </cell>
          <cell r="D2088">
            <v>4359720215943300</v>
          </cell>
          <cell r="E2088" t="str">
            <v>SEDANG</v>
          </cell>
          <cell r="F2088" t="str">
            <v>Tidak</v>
          </cell>
          <cell r="G2088" t="str">
            <v>Tidak</v>
          </cell>
          <cell r="H2088" t="str">
            <v>Tidak</v>
          </cell>
          <cell r="I2088" t="str">
            <v>Penyuapan - CC View</v>
          </cell>
          <cell r="J2088">
            <v>45</v>
          </cell>
          <cell r="K2088">
            <v>16.170000000000002</v>
          </cell>
          <cell r="L2088" t="str">
            <v>Penyuapan</v>
          </cell>
          <cell r="M2088" t="str">
            <v xml:space="preserve">Kas Kanpus                              </v>
          </cell>
          <cell r="N2088" t="str">
            <v xml:space="preserve">Kas Kanpus                              </v>
          </cell>
          <cell r="O2088" t="str">
            <v xml:space="preserve">KAS KANPUS                              </v>
          </cell>
          <cell r="R2088" t="str">
            <v>Belum TL</v>
          </cell>
          <cell r="S2088" t="str">
            <v>Belum TL</v>
          </cell>
          <cell r="T2088" t="str">
            <v>00394521 - Muhammad Hibbanduta</v>
          </cell>
          <cell r="U2088" t="str">
            <v>"-"</v>
          </cell>
        </row>
        <row r="2089">
          <cell r="A2089">
            <v>46265</v>
          </cell>
          <cell r="B2089" t="str">
            <v xml:space="preserve">YOHAN JANANTO                           </v>
          </cell>
          <cell r="C2089" t="str">
            <v>YKV7129</v>
          </cell>
          <cell r="D2089">
            <v>4359720215943300</v>
          </cell>
          <cell r="E2089" t="str">
            <v>SEDANG</v>
          </cell>
          <cell r="F2089" t="str">
            <v>Tidak</v>
          </cell>
          <cell r="G2089" t="str">
            <v>Tidak</v>
          </cell>
          <cell r="H2089" t="str">
            <v>Tidak</v>
          </cell>
          <cell r="I2089" t="str">
            <v>Penghindaran Pajak (Transaksi Fiktif)/Penyuapan CC</v>
          </cell>
          <cell r="J2089">
            <v>45</v>
          </cell>
          <cell r="K2089">
            <v>118</v>
          </cell>
          <cell r="L2089" t="str">
            <v>Penyuapan / Penghindaran Pajak CC View</v>
          </cell>
          <cell r="M2089" t="str">
            <v xml:space="preserve">Kas Kanpus                              </v>
          </cell>
          <cell r="N2089" t="str">
            <v xml:space="preserve">Kas Kanpus                              </v>
          </cell>
          <cell r="O2089" t="str">
            <v xml:space="preserve">KAS KANPUS                              </v>
          </cell>
          <cell r="R2089" t="str">
            <v>Belum TL</v>
          </cell>
          <cell r="S2089" t="str">
            <v>Belum TL</v>
          </cell>
          <cell r="T2089" t="str">
            <v>00394520 - Frida Akbar Rani</v>
          </cell>
          <cell r="U2089" t="str">
            <v>"-"</v>
          </cell>
        </row>
        <row r="2090">
          <cell r="A2090">
            <v>46265</v>
          </cell>
          <cell r="B2090" t="str">
            <v xml:space="preserve">YETTI SUNARSIH                          </v>
          </cell>
          <cell r="C2090" t="str">
            <v>YL53029</v>
          </cell>
          <cell r="D2090">
            <v>760401002609532</v>
          </cell>
          <cell r="E2090" t="str">
            <v>SEDANG</v>
          </cell>
          <cell r="F2090" t="str">
            <v>Tidak</v>
          </cell>
          <cell r="G2090" t="str">
            <v>Tidak</v>
          </cell>
          <cell r="H2090" t="str">
            <v>Tidak</v>
          </cell>
          <cell r="I2090" t="str">
            <v>Pencurian Rekening</v>
          </cell>
          <cell r="J2090">
            <v>46</v>
          </cell>
          <cell r="K2090">
            <v>58</v>
          </cell>
          <cell r="L2090" t="str">
            <v>Perbankan</v>
          </cell>
          <cell r="M2090" t="str">
            <v xml:space="preserve">KC BANDA ACEH CUT MEUTIA                </v>
          </cell>
          <cell r="N2090" t="str">
            <v xml:space="preserve">KANWIL Medan                            </v>
          </cell>
          <cell r="O2090" t="str">
            <v xml:space="preserve">Medan                                   </v>
          </cell>
          <cell r="R2090" t="str">
            <v>Belum TL</v>
          </cell>
          <cell r="S2090" t="str">
            <v>Belum TL</v>
          </cell>
          <cell r="T2090" t="str">
            <v>90185537 - Moh.Khoerul Fajar Ar</v>
          </cell>
          <cell r="U2090" t="str">
            <v>"-"</v>
          </cell>
        </row>
        <row r="2091">
          <cell r="A2091">
            <v>46265</v>
          </cell>
          <cell r="B2091" t="str">
            <v xml:space="preserve">YOSUA ROGANDA PARSAULIAN                </v>
          </cell>
          <cell r="C2091" t="str">
            <v>YL65077</v>
          </cell>
          <cell r="D2091">
            <v>12201045415103</v>
          </cell>
          <cell r="E2091" t="str">
            <v>SEDANG</v>
          </cell>
          <cell r="F2091" t="str">
            <v>Tidak</v>
          </cell>
          <cell r="G2091" t="str">
            <v>Tidak</v>
          </cell>
          <cell r="H2091" t="str">
            <v>Tidak</v>
          </cell>
          <cell r="I2091" t="str">
            <v>Korupsi - Loan View</v>
          </cell>
          <cell r="J2091">
            <v>48</v>
          </cell>
          <cell r="K2091">
            <v>15</v>
          </cell>
          <cell r="L2091" t="str">
            <v>Korupsi</v>
          </cell>
          <cell r="M2091" t="str">
            <v>Kas Kanpus</v>
          </cell>
          <cell r="N2091" t="str">
            <v>Kas Kanpus</v>
          </cell>
          <cell r="O2091" t="str">
            <v>KAS KANPUS</v>
          </cell>
          <cell r="R2091" t="str">
            <v>Belum TL</v>
          </cell>
          <cell r="S2091" t="str">
            <v>Belum TL</v>
          </cell>
          <cell r="T2091" t="str">
            <v>90150130 - Intan Aida Pratiwi</v>
          </cell>
          <cell r="U2091" t="str">
            <v>"-"</v>
          </cell>
        </row>
        <row r="2092">
          <cell r="A2092">
            <v>46246</v>
          </cell>
          <cell r="B2092" t="str">
            <v xml:space="preserve">YULIANTI                                </v>
          </cell>
          <cell r="C2092" t="str">
            <v>YL93703</v>
          </cell>
          <cell r="D2092">
            <v>668201008041537</v>
          </cell>
          <cell r="E2092" t="str">
            <v>SEDANG</v>
          </cell>
          <cell r="F2092" t="str">
            <v>Tidak</v>
          </cell>
          <cell r="G2092" t="str">
            <v>Tidak</v>
          </cell>
          <cell r="I2092" t="str">
            <v>Teroris - Remark</v>
          </cell>
          <cell r="J2092">
            <v>168</v>
          </cell>
          <cell r="K2092">
            <v>50</v>
          </cell>
          <cell r="L2092" t="str">
            <v>Terorisme</v>
          </cell>
          <cell r="M2092" t="str">
            <v xml:space="preserve">Kas Kanpus                              </v>
          </cell>
          <cell r="N2092" t="str">
            <v xml:space="preserve">Kas Kanpus                              </v>
          </cell>
          <cell r="O2092" t="str">
            <v xml:space="preserve">KAS KANPUS                              </v>
          </cell>
          <cell r="R2092" t="str">
            <v>Belum TL</v>
          </cell>
          <cell r="S2092" t="str">
            <v>Belum TL</v>
          </cell>
          <cell r="T2092" t="str">
            <v>90170665 - Mutiara Ayuningtyas</v>
          </cell>
          <cell r="U2092" t="str">
            <v>"-"</v>
          </cell>
        </row>
        <row r="2093">
          <cell r="A2093">
            <v>46265</v>
          </cell>
          <cell r="B2093" t="str">
            <v xml:space="preserve">YADIN ADLI                              </v>
          </cell>
          <cell r="C2093" t="str">
            <v>YM40053</v>
          </cell>
          <cell r="D2093">
            <v>568801020175107</v>
          </cell>
          <cell r="E2093" t="str">
            <v>SEDANG</v>
          </cell>
          <cell r="F2093" t="str">
            <v>Tidak</v>
          </cell>
          <cell r="G2093" t="str">
            <v>Tidak</v>
          </cell>
          <cell r="H2093" t="str">
            <v>Tidak</v>
          </cell>
          <cell r="I2093" t="str">
            <v>Korupsi - Loan View</v>
          </cell>
          <cell r="J2093">
            <v>48</v>
          </cell>
          <cell r="K2093">
            <v>15</v>
          </cell>
          <cell r="L2093" t="str">
            <v>Korupsi</v>
          </cell>
          <cell r="M2093" t="str">
            <v>Kas Kanpus</v>
          </cell>
          <cell r="N2093" t="str">
            <v>Kas Kanpus</v>
          </cell>
          <cell r="O2093" t="str">
            <v>KAS KANPUS</v>
          </cell>
          <cell r="R2093" t="str">
            <v>Belum TL</v>
          </cell>
          <cell r="S2093" t="str">
            <v>Belum TL</v>
          </cell>
          <cell r="T2093" t="str">
            <v>90185538 - Muhammad Fahikal Auz</v>
          </cell>
          <cell r="U2093" t="str">
            <v>"-"</v>
          </cell>
        </row>
        <row r="2094">
          <cell r="A2094">
            <v>46265</v>
          </cell>
          <cell r="B2094" t="str">
            <v xml:space="preserve">YITRO CHRISTIYANTO BIMBAHATI            </v>
          </cell>
          <cell r="C2094" t="str">
            <v>YM60313</v>
          </cell>
          <cell r="D2094">
            <v>517901015434101</v>
          </cell>
          <cell r="E2094" t="str">
            <v>SEDANG</v>
          </cell>
          <cell r="F2094" t="str">
            <v>Tidak</v>
          </cell>
          <cell r="G2094" t="str">
            <v>Tidak</v>
          </cell>
          <cell r="H2094" t="str">
            <v>Tidak</v>
          </cell>
          <cell r="I2094" t="str">
            <v>Korupsi - Loan View</v>
          </cell>
          <cell r="J2094">
            <v>48</v>
          </cell>
          <cell r="K2094">
            <v>15</v>
          </cell>
          <cell r="L2094" t="str">
            <v>Korupsi</v>
          </cell>
          <cell r="M2094" t="str">
            <v>Kas Kanpus</v>
          </cell>
          <cell r="N2094" t="str">
            <v>Kas Kanpus</v>
          </cell>
          <cell r="O2094" t="str">
            <v>KAS KANPUS</v>
          </cell>
          <cell r="R2094" t="str">
            <v>Belum TL</v>
          </cell>
          <cell r="S2094" t="str">
            <v>Belum TL</v>
          </cell>
          <cell r="T2094" t="str">
            <v>90186790 - Muhammad Alfin Farha</v>
          </cell>
          <cell r="U2094" t="str">
            <v>"-"</v>
          </cell>
        </row>
        <row r="2095">
          <cell r="A2095">
            <v>46265</v>
          </cell>
          <cell r="B2095" t="str">
            <v xml:space="preserve">YERRI ZADRAK MANSNANDIFU                </v>
          </cell>
          <cell r="C2095" t="str">
            <v>YM93525</v>
          </cell>
          <cell r="D2095">
            <v>794201004559105</v>
          </cell>
          <cell r="E2095" t="str">
            <v>SEDANG</v>
          </cell>
          <cell r="F2095" t="str">
            <v>Tidak</v>
          </cell>
          <cell r="G2095" t="str">
            <v>Tidak</v>
          </cell>
          <cell r="H2095" t="str">
            <v>Tidak</v>
          </cell>
          <cell r="I2095" t="str">
            <v>Korupsi - Loan View</v>
          </cell>
          <cell r="J2095">
            <v>48</v>
          </cell>
          <cell r="K2095">
            <v>15</v>
          </cell>
          <cell r="L2095" t="str">
            <v>Korupsi</v>
          </cell>
          <cell r="M2095" t="str">
            <v>Kas Kanpus</v>
          </cell>
          <cell r="N2095" t="str">
            <v>Kas Kanpus</v>
          </cell>
          <cell r="O2095" t="str">
            <v>KAS KANPUS</v>
          </cell>
          <cell r="R2095" t="str">
            <v>Belum TL</v>
          </cell>
          <cell r="S2095" t="str">
            <v>Belum TL</v>
          </cell>
          <cell r="T2095" t="str">
            <v>90170665 - Mutiara Ayuningtyas</v>
          </cell>
          <cell r="U2095" t="str">
            <v>"-"</v>
          </cell>
        </row>
        <row r="2096">
          <cell r="A2096">
            <v>46244</v>
          </cell>
          <cell r="B2096" t="str">
            <v xml:space="preserve">YESSY PUSPITA SARI                      </v>
          </cell>
          <cell r="C2096" t="str">
            <v>YKH9416</v>
          </cell>
          <cell r="D2096">
            <v>483101024470539</v>
          </cell>
          <cell r="E2096" t="str">
            <v>SEDANG</v>
          </cell>
          <cell r="F2096" t="str">
            <v>Tidak</v>
          </cell>
          <cell r="G2096" t="str">
            <v>Tidak</v>
          </cell>
          <cell r="I2096" t="str">
            <v>Teroris - Remark</v>
          </cell>
          <cell r="J2096">
            <v>168</v>
          </cell>
          <cell r="K2096">
            <v>50</v>
          </cell>
          <cell r="L2096" t="str">
            <v>Terorisme</v>
          </cell>
          <cell r="M2096" t="str">
            <v xml:space="preserve">Kas Kanpus                              </v>
          </cell>
          <cell r="N2096" t="str">
            <v xml:space="preserve">Kas Kanpus                              </v>
          </cell>
          <cell r="O2096" t="str">
            <v xml:space="preserve">KAS KANPUS                              </v>
          </cell>
          <cell r="R2096" t="str">
            <v>Belum TL</v>
          </cell>
          <cell r="S2096" t="str">
            <v>Belum TL</v>
          </cell>
          <cell r="T2096" t="str">
            <v>90170665 - Mutiara Ayuningtyas</v>
          </cell>
          <cell r="U2096" t="str">
            <v>"-"</v>
          </cell>
        </row>
        <row r="2097">
          <cell r="A2097">
            <v>46265</v>
          </cell>
          <cell r="B2097" t="str">
            <v xml:space="preserve">YOSEP DONI TIMORYANTO                   </v>
          </cell>
          <cell r="C2097" t="str">
            <v>YMF2901</v>
          </cell>
          <cell r="D2097">
            <v>461501016050103</v>
          </cell>
          <cell r="E2097" t="str">
            <v>SEDANG</v>
          </cell>
          <cell r="F2097" t="str">
            <v>Tidak</v>
          </cell>
          <cell r="G2097" t="str">
            <v>Tidak</v>
          </cell>
          <cell r="H2097" t="str">
            <v>Tidak</v>
          </cell>
          <cell r="I2097" t="str">
            <v>Korupsi - Loan View</v>
          </cell>
          <cell r="J2097">
            <v>48</v>
          </cell>
          <cell r="K2097">
            <v>15</v>
          </cell>
          <cell r="L2097" t="str">
            <v>Korupsi</v>
          </cell>
          <cell r="M2097" t="str">
            <v>Kas Kanpus</v>
          </cell>
          <cell r="N2097" t="str">
            <v>Kas Kanpus</v>
          </cell>
          <cell r="O2097" t="str">
            <v>KAS KANPUS</v>
          </cell>
          <cell r="R2097" t="str">
            <v>Belum TL</v>
          </cell>
          <cell r="S2097" t="str">
            <v>Belum TL</v>
          </cell>
          <cell r="T2097" t="str">
            <v>90186796 - Devito Arya Wiradila</v>
          </cell>
          <cell r="U2097" t="str">
            <v>"-"</v>
          </cell>
        </row>
        <row r="2098">
          <cell r="A2098">
            <v>46265</v>
          </cell>
          <cell r="B2098" t="str">
            <v xml:space="preserve">YUSUF ALIYUDIN                          </v>
          </cell>
          <cell r="C2098" t="str">
            <v>YMQ5482</v>
          </cell>
          <cell r="D2098">
            <v>501061672105</v>
          </cell>
          <cell r="E2098" t="str">
            <v>SEDANG</v>
          </cell>
          <cell r="F2098" t="str">
            <v>Tidak</v>
          </cell>
          <cell r="G2098" t="str">
            <v>Tidak</v>
          </cell>
          <cell r="H2098" t="str">
            <v>Tidak</v>
          </cell>
          <cell r="I2098" t="str">
            <v>Korupsi - Loan View</v>
          </cell>
          <cell r="J2098">
            <v>48</v>
          </cell>
          <cell r="K2098">
            <v>15</v>
          </cell>
          <cell r="L2098" t="str">
            <v>Korupsi</v>
          </cell>
          <cell r="M2098" t="str">
            <v>Kas Kanpus</v>
          </cell>
          <cell r="N2098" t="str">
            <v>Kas Kanpus</v>
          </cell>
          <cell r="O2098" t="str">
            <v>KAS KANPUS</v>
          </cell>
          <cell r="R2098" t="str">
            <v>Belum TL</v>
          </cell>
          <cell r="S2098" t="str">
            <v>Belum TL</v>
          </cell>
          <cell r="T2098" t="str">
            <v>00336949 - Mochammad Al Farabi</v>
          </cell>
          <cell r="U2098" t="str">
            <v>"-"</v>
          </cell>
        </row>
        <row r="2099">
          <cell r="A2099">
            <v>46265</v>
          </cell>
          <cell r="B2099" t="str">
            <v xml:space="preserve">YAKUB                                   </v>
          </cell>
          <cell r="C2099" t="str">
            <v>YMQ7418</v>
          </cell>
          <cell r="D2099">
            <v>114501002730565</v>
          </cell>
          <cell r="E2099" t="str">
            <v>SEDANG</v>
          </cell>
          <cell r="F2099" t="str">
            <v>Tidak</v>
          </cell>
          <cell r="G2099" t="str">
            <v>Tidak</v>
          </cell>
          <cell r="H2099" t="str">
            <v>Tidak</v>
          </cell>
          <cell r="I2099" t="str">
            <v>Bandar Judol Withdrawal</v>
          </cell>
          <cell r="J2099">
            <v>50</v>
          </cell>
          <cell r="K2099" t="str">
            <v>86,88,87</v>
          </cell>
          <cell r="L2099" t="str">
            <v>Judi Online</v>
          </cell>
          <cell r="M2099" t="str">
            <v xml:space="preserve">Kas Kanpus                              </v>
          </cell>
          <cell r="N2099" t="str">
            <v xml:space="preserve">Kas Kanpus                              </v>
          </cell>
          <cell r="O2099" t="str">
            <v xml:space="preserve">KAS KANPUS                              </v>
          </cell>
          <cell r="R2099" t="str">
            <v>Belum TL</v>
          </cell>
          <cell r="S2099" t="str">
            <v>Belum TL</v>
          </cell>
          <cell r="T2099" t="str">
            <v>00394520 - Frida Akbar Rani</v>
          </cell>
          <cell r="U2099" t="str">
            <v>"-"</v>
          </cell>
        </row>
        <row r="2100">
          <cell r="A2100">
            <v>46265</v>
          </cell>
          <cell r="B2100" t="str">
            <v xml:space="preserve">YULITA ANGGRENI TOMBILING               </v>
          </cell>
          <cell r="C2100" t="str">
            <v>YN30986</v>
          </cell>
          <cell r="D2100">
            <v>523801008158106</v>
          </cell>
          <cell r="E2100" t="str">
            <v>SEDANG</v>
          </cell>
          <cell r="F2100" t="str">
            <v>Tidak</v>
          </cell>
          <cell r="G2100" t="str">
            <v>Tidak</v>
          </cell>
          <cell r="H2100" t="str">
            <v>Tidak</v>
          </cell>
          <cell r="I2100" t="str">
            <v>Korupsi - Loan View</v>
          </cell>
          <cell r="J2100">
            <v>48</v>
          </cell>
          <cell r="K2100">
            <v>15</v>
          </cell>
          <cell r="L2100" t="str">
            <v>Korupsi</v>
          </cell>
          <cell r="M2100" t="str">
            <v>Kas Kanpus</v>
          </cell>
          <cell r="N2100" t="str">
            <v>Kas Kanpus</v>
          </cell>
          <cell r="O2100" t="str">
            <v>KAS KANPUS</v>
          </cell>
          <cell r="R2100" t="str">
            <v>Belum TL</v>
          </cell>
          <cell r="S2100" t="str">
            <v>Belum TL</v>
          </cell>
          <cell r="T2100" t="str">
            <v>90186796 - Devito Arya Wiradila</v>
          </cell>
          <cell r="U2100" t="str">
            <v>"-"</v>
          </cell>
        </row>
        <row r="2101">
          <cell r="A2101">
            <v>46265</v>
          </cell>
          <cell r="B2101" t="str">
            <v xml:space="preserve">YUNITA SANTY SUMULE                     </v>
          </cell>
          <cell r="C2101" t="str">
            <v>YN58355</v>
          </cell>
          <cell r="D2101">
            <v>491401021511102</v>
          </cell>
          <cell r="E2101" t="str">
            <v>SEDANG</v>
          </cell>
          <cell r="F2101" t="str">
            <v>Tidak</v>
          </cell>
          <cell r="G2101" t="str">
            <v>Tidak</v>
          </cell>
          <cell r="H2101" t="str">
            <v>Tidak</v>
          </cell>
          <cell r="I2101" t="str">
            <v>Korupsi - Loan View</v>
          </cell>
          <cell r="J2101">
            <v>48</v>
          </cell>
          <cell r="K2101">
            <v>15</v>
          </cell>
          <cell r="L2101" t="str">
            <v>Korupsi</v>
          </cell>
          <cell r="M2101" t="str">
            <v>Kas Kanpus</v>
          </cell>
          <cell r="N2101" t="str">
            <v>Kas Kanpus</v>
          </cell>
          <cell r="O2101" t="str">
            <v>KAS KANPUS</v>
          </cell>
          <cell r="R2101" t="str">
            <v>Belum TL</v>
          </cell>
          <cell r="S2101" t="str">
            <v>Belum TL</v>
          </cell>
          <cell r="T2101" t="str">
            <v>90171841 - Rifqi Aziz</v>
          </cell>
          <cell r="U2101" t="str">
            <v>"-"</v>
          </cell>
        </row>
        <row r="2102">
          <cell r="A2102">
            <v>46249</v>
          </cell>
          <cell r="B2102" t="str">
            <v xml:space="preserve">YUSUF KHAFIDHOH                         </v>
          </cell>
          <cell r="C2102" t="str">
            <v>YNA6140</v>
          </cell>
          <cell r="D2102">
            <v>458401028370530</v>
          </cell>
          <cell r="E2102" t="str">
            <v>SEDANG</v>
          </cell>
          <cell r="F2102" t="str">
            <v>Tidak</v>
          </cell>
          <cell r="G2102" t="str">
            <v>Tidak</v>
          </cell>
          <cell r="I2102" t="str">
            <v>Teroris - Remark</v>
          </cell>
          <cell r="J2102">
            <v>168</v>
          </cell>
          <cell r="K2102">
            <v>50</v>
          </cell>
          <cell r="L2102" t="str">
            <v>Terorisme</v>
          </cell>
          <cell r="M2102" t="str">
            <v xml:space="preserve">Kas Kanpus                              </v>
          </cell>
          <cell r="N2102" t="str">
            <v xml:space="preserve">Kas Kanpus                              </v>
          </cell>
          <cell r="O2102" t="str">
            <v xml:space="preserve">KAS KANPUS                              </v>
          </cell>
          <cell r="R2102" t="str">
            <v>Belum TL</v>
          </cell>
          <cell r="S2102" t="str">
            <v>Belum TL</v>
          </cell>
          <cell r="T2102" t="str">
            <v>90170665 - Mutiara Ayuningtyas</v>
          </cell>
          <cell r="U2102" t="str">
            <v>"-"</v>
          </cell>
        </row>
        <row r="2103">
          <cell r="A2103">
            <v>46265</v>
          </cell>
          <cell r="B2103" t="str">
            <v xml:space="preserve">YATIK HANDAYANI                         </v>
          </cell>
          <cell r="C2103" t="str">
            <v>YNF3953</v>
          </cell>
          <cell r="D2103">
            <v>57101000715567</v>
          </cell>
          <cell r="E2103" t="str">
            <v>SEDANG</v>
          </cell>
          <cell r="F2103" t="str">
            <v>Tidak</v>
          </cell>
          <cell r="G2103" t="str">
            <v>Tidak</v>
          </cell>
          <cell r="H2103" t="str">
            <v>Tidak</v>
          </cell>
          <cell r="I2103" t="str">
            <v>Bandar Judol Withdrawal</v>
          </cell>
          <cell r="J2103">
            <v>50</v>
          </cell>
          <cell r="K2103" t="str">
            <v>86,88,87</v>
          </cell>
          <cell r="L2103" t="str">
            <v>Judi Online</v>
          </cell>
          <cell r="M2103" t="str">
            <v xml:space="preserve">Kas Kanpus                              </v>
          </cell>
          <cell r="N2103" t="str">
            <v xml:space="preserve">Kas Kanpus                              </v>
          </cell>
          <cell r="O2103" t="str">
            <v xml:space="preserve">KAS KANPUS                              </v>
          </cell>
          <cell r="R2103" t="str">
            <v>Belum TL</v>
          </cell>
          <cell r="S2103" t="str">
            <v>Belum TL</v>
          </cell>
          <cell r="T2103" t="str">
            <v>90185538 - Muhammad Fahikal Auz</v>
          </cell>
          <cell r="U2103" t="str">
            <v>"-"</v>
          </cell>
        </row>
        <row r="2104">
          <cell r="A2104">
            <v>46265</v>
          </cell>
          <cell r="B2104" t="str">
            <v xml:space="preserve">YUDILIUS                                </v>
          </cell>
          <cell r="C2104" t="str">
            <v>YNG0493</v>
          </cell>
          <cell r="D2104">
            <v>60501002884569</v>
          </cell>
          <cell r="E2104" t="str">
            <v>SEDANG</v>
          </cell>
          <cell r="F2104" t="str">
            <v>Tidak</v>
          </cell>
          <cell r="G2104" t="str">
            <v>Tidak</v>
          </cell>
          <cell r="H2104" t="str">
            <v>Tidak</v>
          </cell>
          <cell r="I2104" t="str">
            <v>Money Mules</v>
          </cell>
          <cell r="J2104">
            <v>42</v>
          </cell>
          <cell r="K2104">
            <v>77</v>
          </cell>
          <cell r="L2104" t="str">
            <v>Narkotika/Judi Online</v>
          </cell>
          <cell r="M2104" t="str">
            <v xml:space="preserve">Kas Kanpus                              </v>
          </cell>
          <cell r="N2104" t="str">
            <v xml:space="preserve">Kas Kanpus                              </v>
          </cell>
          <cell r="O2104" t="str">
            <v xml:space="preserve">KAS KANPUS                              </v>
          </cell>
          <cell r="R2104" t="str">
            <v>Belum TL</v>
          </cell>
          <cell r="S2104" t="str">
            <v>Belum TL</v>
          </cell>
          <cell r="T2104" t="str">
            <v>90185537 - Moh.Khoerul Fajar Ar</v>
          </cell>
          <cell r="U2104" t="str">
            <v>"-"</v>
          </cell>
        </row>
        <row r="2105">
          <cell r="A2105">
            <v>46265</v>
          </cell>
          <cell r="B2105" t="str">
            <v xml:space="preserve">YUSUF AWI                               </v>
          </cell>
          <cell r="C2105" t="str">
            <v>YNH2527</v>
          </cell>
          <cell r="D2105">
            <v>23801038362534</v>
          </cell>
          <cell r="E2105" t="str">
            <v>TINGGI</v>
          </cell>
          <cell r="F2105" t="str">
            <v>Tidak</v>
          </cell>
          <cell r="G2105" t="str">
            <v>Tidak</v>
          </cell>
          <cell r="H2105" t="str">
            <v>Tidak</v>
          </cell>
          <cell r="I2105" t="str">
            <v>Bandar Judol Withdrawal</v>
          </cell>
          <cell r="J2105">
            <v>65</v>
          </cell>
          <cell r="K2105" t="str">
            <v>86,88,87</v>
          </cell>
          <cell r="L2105" t="str">
            <v>Judi Online</v>
          </cell>
          <cell r="M2105" t="str">
            <v xml:space="preserve">Kas Kanpus                              </v>
          </cell>
          <cell r="N2105" t="str">
            <v xml:space="preserve">Kas Kanpus                              </v>
          </cell>
          <cell r="O2105" t="str">
            <v xml:space="preserve">KAS KANPUS                              </v>
          </cell>
          <cell r="R2105" t="str">
            <v>Belum TL</v>
          </cell>
          <cell r="S2105" t="str">
            <v>Belum TL</v>
          </cell>
          <cell r="T2105" t="str">
            <v>00394521 - Muhammad Hibbanduta</v>
          </cell>
          <cell r="U2105" t="str">
            <v>"-"</v>
          </cell>
        </row>
        <row r="2106">
          <cell r="A2106">
            <v>46265</v>
          </cell>
          <cell r="B2106" t="str">
            <v xml:space="preserve">YAYASAN BLUE ALLIANCE INDONESIA         </v>
          </cell>
          <cell r="C2106" t="str">
            <v>YNP6509</v>
          </cell>
          <cell r="D2106">
            <v>16701003518303</v>
          </cell>
          <cell r="E2106" t="str">
            <v>SEDANG</v>
          </cell>
          <cell r="F2106" t="str">
            <v>Tidak</v>
          </cell>
          <cell r="G2106" t="str">
            <v>Tidak</v>
          </cell>
          <cell r="I2106" t="str">
            <v>Terorisme - Organisasi Terorisme</v>
          </cell>
          <cell r="J2106">
            <v>168</v>
          </cell>
          <cell r="K2106">
            <v>44</v>
          </cell>
          <cell r="L2106" t="str">
            <v>Terorisme</v>
          </cell>
          <cell r="M2106" t="str">
            <v xml:space="preserve">Kas Kanpus                              </v>
          </cell>
          <cell r="N2106" t="str">
            <v xml:space="preserve">Kas Kanpus                              </v>
          </cell>
          <cell r="O2106" t="str">
            <v xml:space="preserve">KAS KANPUS                              </v>
          </cell>
          <cell r="R2106" t="str">
            <v>Belum TL</v>
          </cell>
          <cell r="S2106" t="str">
            <v>Belum TL</v>
          </cell>
          <cell r="T2106" t="str">
            <v>90150130 - Intan Aida Pratiwi</v>
          </cell>
          <cell r="U2106" t="str">
            <v>"-"</v>
          </cell>
        </row>
        <row r="2107">
          <cell r="A2107">
            <v>46265</v>
          </cell>
          <cell r="B2107" t="str">
            <v xml:space="preserve">YOSEPH YUSUF YOWENI                     </v>
          </cell>
          <cell r="C2107" t="str">
            <v>YNT4469</v>
          </cell>
          <cell r="D2107">
            <v>707501022385107</v>
          </cell>
          <cell r="E2107" t="str">
            <v>SEDANG</v>
          </cell>
          <cell r="F2107" t="str">
            <v>Tidak</v>
          </cell>
          <cell r="G2107" t="str">
            <v>Tidak</v>
          </cell>
          <cell r="H2107" t="str">
            <v>Tidak</v>
          </cell>
          <cell r="I2107" t="str">
            <v>Korupsi - Loan View</v>
          </cell>
          <cell r="J2107">
            <v>58</v>
          </cell>
          <cell r="K2107">
            <v>15</v>
          </cell>
          <cell r="L2107" t="str">
            <v>Korupsi</v>
          </cell>
          <cell r="M2107" t="str">
            <v>Kas Kanpus</v>
          </cell>
          <cell r="N2107" t="str">
            <v>Kas Kanpus</v>
          </cell>
          <cell r="O2107" t="str">
            <v>KAS KANPUS</v>
          </cell>
          <cell r="R2107" t="str">
            <v>Belum TL</v>
          </cell>
          <cell r="S2107" t="str">
            <v>Belum TL</v>
          </cell>
          <cell r="T2107" t="str">
            <v>90186796 - Devito Arya Wiradila</v>
          </cell>
          <cell r="U2107" t="str">
            <v>"-"</v>
          </cell>
        </row>
        <row r="2108">
          <cell r="A2108">
            <v>46265</v>
          </cell>
          <cell r="B2108" t="str">
            <v xml:space="preserve">YAYASAN BANGKIT ANAK NEGERIKU           </v>
          </cell>
          <cell r="C2108" t="str">
            <v>YNU3704</v>
          </cell>
          <cell r="D2108">
            <v>111201005784106</v>
          </cell>
          <cell r="E2108" t="str">
            <v>SEDANG</v>
          </cell>
          <cell r="F2108" t="str">
            <v>Tidak</v>
          </cell>
          <cell r="G2108" t="str">
            <v>Tidak</v>
          </cell>
          <cell r="H2108" t="str">
            <v>Tidak</v>
          </cell>
          <cell r="I2108" t="str">
            <v>Korupsi - Loan View</v>
          </cell>
          <cell r="J2108">
            <v>48</v>
          </cell>
          <cell r="K2108">
            <v>15</v>
          </cell>
          <cell r="L2108" t="str">
            <v>Korupsi</v>
          </cell>
          <cell r="M2108" t="str">
            <v>Kas Kanpus</v>
          </cell>
          <cell r="N2108" t="str">
            <v>Kas Kanpus</v>
          </cell>
          <cell r="O2108" t="str">
            <v>KAS KANPUS</v>
          </cell>
          <cell r="R2108" t="str">
            <v>Belum TL</v>
          </cell>
          <cell r="S2108" t="str">
            <v>Belum TL</v>
          </cell>
          <cell r="T2108" t="str">
            <v>90150130 - Intan Aida Pratiwi</v>
          </cell>
          <cell r="U2108" t="str">
            <v>"-"</v>
          </cell>
        </row>
        <row r="2109">
          <cell r="A2109">
            <v>46265</v>
          </cell>
          <cell r="B2109" t="str">
            <v xml:space="preserve">YUDI SUPRIANTO                          </v>
          </cell>
          <cell r="C2109" t="str">
            <v>YOZ0761</v>
          </cell>
          <cell r="D2109">
            <v>4359720280699200</v>
          </cell>
          <cell r="E2109" t="str">
            <v>SEDANG</v>
          </cell>
          <cell r="F2109" t="str">
            <v>Tidak</v>
          </cell>
          <cell r="G2109" t="str">
            <v>Tidak</v>
          </cell>
          <cell r="H2109" t="str">
            <v>Tidak</v>
          </cell>
          <cell r="I2109" t="str">
            <v>Penghindaran Pajak (Transaksi Fiktif)/Penyuapan CC</v>
          </cell>
          <cell r="J2109">
            <v>45</v>
          </cell>
          <cell r="K2109">
            <v>118</v>
          </cell>
          <cell r="L2109" t="str">
            <v>Penyuapan / Penghindaran Pajak CC View</v>
          </cell>
          <cell r="M2109" t="str">
            <v xml:space="preserve">Kas Kanpus                              </v>
          </cell>
          <cell r="N2109" t="str">
            <v xml:space="preserve">Kas Kanpus                              </v>
          </cell>
          <cell r="O2109" t="str">
            <v xml:space="preserve">KAS KANPUS                              </v>
          </cell>
          <cell r="R2109" t="str">
            <v>Belum TL</v>
          </cell>
          <cell r="S2109" t="str">
            <v>Belum TL</v>
          </cell>
          <cell r="T2109" t="str">
            <v>90186796 - Devito Arya Wiradila</v>
          </cell>
          <cell r="U2109" t="str">
            <v>"-"</v>
          </cell>
        </row>
        <row r="2110">
          <cell r="A2110">
            <v>46265</v>
          </cell>
          <cell r="B2110" t="str">
            <v xml:space="preserve">YUDA DIRGANTARA                         </v>
          </cell>
          <cell r="C2110" t="str">
            <v>YPK6474</v>
          </cell>
          <cell r="D2110">
            <v>108801000837561</v>
          </cell>
          <cell r="E2110" t="str">
            <v>SEDANG</v>
          </cell>
          <cell r="F2110" t="str">
            <v>Tidak</v>
          </cell>
          <cell r="G2110" t="str">
            <v>Tidak</v>
          </cell>
          <cell r="H2110" t="str">
            <v>Tidak</v>
          </cell>
          <cell r="I2110" t="str">
            <v>Bandar Judol Withdrawal</v>
          </cell>
          <cell r="J2110">
            <v>50</v>
          </cell>
          <cell r="K2110" t="str">
            <v>86,88,87</v>
          </cell>
          <cell r="L2110" t="str">
            <v>Judi Online</v>
          </cell>
          <cell r="M2110" t="str">
            <v xml:space="preserve">Kas Kanpus                              </v>
          </cell>
          <cell r="N2110" t="str">
            <v xml:space="preserve">Kas Kanpus                              </v>
          </cell>
          <cell r="O2110" t="str">
            <v xml:space="preserve">KAS KANPUS                              </v>
          </cell>
          <cell r="R2110" t="str">
            <v>Belum TL</v>
          </cell>
          <cell r="S2110" t="str">
            <v>Belum TL</v>
          </cell>
          <cell r="T2110" t="str">
            <v>00336949 - Mochammad Al Farabi</v>
          </cell>
          <cell r="U2110" t="str">
            <v>"-"</v>
          </cell>
        </row>
        <row r="2111">
          <cell r="A2111">
            <v>46265</v>
          </cell>
          <cell r="B2111" t="str">
            <v xml:space="preserve">YEHEZKIEL MORENO PANJAITAN              </v>
          </cell>
          <cell r="C2111" t="str">
            <v>YPK6793</v>
          </cell>
          <cell r="D2111">
            <v>204601013463502</v>
          </cell>
          <cell r="E2111" t="str">
            <v>SEDANG</v>
          </cell>
          <cell r="F2111" t="str">
            <v>Tidak</v>
          </cell>
          <cell r="G2111" t="str">
            <v>Tidak</v>
          </cell>
          <cell r="H2111" t="str">
            <v>Tidak</v>
          </cell>
          <cell r="I2111" t="str">
            <v>Bandar Judol Withdrawal</v>
          </cell>
          <cell r="J2111">
            <v>50</v>
          </cell>
          <cell r="K2111" t="str">
            <v>86,88,87</v>
          </cell>
          <cell r="L2111" t="str">
            <v>Judi Online</v>
          </cell>
          <cell r="M2111" t="str">
            <v xml:space="preserve">Kas Kanpus                              </v>
          </cell>
          <cell r="N2111" t="str">
            <v xml:space="preserve">Kas Kanpus                              </v>
          </cell>
          <cell r="O2111" t="str">
            <v xml:space="preserve">KAS KANPUS                              </v>
          </cell>
          <cell r="R2111" t="str">
            <v>Belum TL</v>
          </cell>
          <cell r="S2111" t="str">
            <v>Belum TL</v>
          </cell>
          <cell r="T2111" t="str">
            <v>00394521 - Muhammad Hibbanduta</v>
          </cell>
          <cell r="U2111" t="str">
            <v>"-"</v>
          </cell>
        </row>
        <row r="2112">
          <cell r="A2112">
            <v>46265</v>
          </cell>
          <cell r="B2112" t="str">
            <v xml:space="preserve">YUSUF PARULIAN BARASA                   </v>
          </cell>
          <cell r="C2112" t="str">
            <v>YPX0851</v>
          </cell>
          <cell r="D2112">
            <v>56001018692536</v>
          </cell>
          <cell r="F2112" t="str">
            <v>Tidak</v>
          </cell>
          <cell r="G2112" t="str">
            <v>Tidak</v>
          </cell>
          <cell r="I2112" t="str">
            <v>Jual Beli Rekening - E channel Trx</v>
          </cell>
          <cell r="J2112">
            <v>33</v>
          </cell>
          <cell r="K2112">
            <v>113</v>
          </cell>
          <cell r="L2112" t="str">
            <v>Narkotika/Judi Online/Penipuan</v>
          </cell>
          <cell r="M2112" t="str">
            <v xml:space="preserve">KC Duri                                 </v>
          </cell>
          <cell r="N2112" t="str">
            <v xml:space="preserve">KC Duri                                 </v>
          </cell>
          <cell r="O2112" t="str">
            <v xml:space="preserve">KANWIL PEKANBARU                        </v>
          </cell>
          <cell r="R2112" t="str">
            <v>Belum TL</v>
          </cell>
          <cell r="S2112" t="str">
            <v>Belum TL</v>
          </cell>
          <cell r="U2112" t="str">
            <v>"-"</v>
          </cell>
        </row>
        <row r="2113">
          <cell r="A2113">
            <v>46265</v>
          </cell>
          <cell r="B2113" t="str">
            <v xml:space="preserve">YAYASAN RELAWAN KASIH INDONESIA         </v>
          </cell>
          <cell r="C2113" t="str">
            <v>YPX1839</v>
          </cell>
          <cell r="D2113">
            <v>50901003113309</v>
          </cell>
          <cell r="F2113" t="str">
            <v>Tidak</v>
          </cell>
          <cell r="G2113" t="str">
            <v>Tidak</v>
          </cell>
          <cell r="H2113" t="str">
            <v>Tidak</v>
          </cell>
          <cell r="I2113" t="str">
            <v>Perpajakan</v>
          </cell>
          <cell r="J2113">
            <v>35</v>
          </cell>
          <cell r="K2113">
            <v>41</v>
          </cell>
          <cell r="L2113" t="str">
            <v>Perpajakan</v>
          </cell>
          <cell r="M2113" t="str">
            <v xml:space="preserve">KC Bumi Serpong Damai                   </v>
          </cell>
          <cell r="N2113" t="str">
            <v xml:space="preserve">KC Bumi Serpong Damai                   </v>
          </cell>
          <cell r="O2113" t="str">
            <v xml:space="preserve">KANWIL JAKARTA 3                        </v>
          </cell>
          <cell r="R2113" t="str">
            <v>Belum TL</v>
          </cell>
          <cell r="S2113" t="str">
            <v>Belum TL</v>
          </cell>
          <cell r="T2113" t="str">
            <v>90185537 - Moh.Khoerul Fajar Ar</v>
          </cell>
          <cell r="U2113" t="str">
            <v>"-"</v>
          </cell>
        </row>
        <row r="2114">
          <cell r="A2114">
            <v>46265</v>
          </cell>
          <cell r="B2114" t="str">
            <v xml:space="preserve">YOSEF CHRISTIAN NABABAN                 </v>
          </cell>
          <cell r="C2114" t="str">
            <v>YQ08817</v>
          </cell>
          <cell r="D2114">
            <v>530601010567504</v>
          </cell>
          <cell r="E2114" t="str">
            <v>SEDANG</v>
          </cell>
          <cell r="F2114" t="str">
            <v>Tidak</v>
          </cell>
          <cell r="G2114" t="str">
            <v>Tidak</v>
          </cell>
          <cell r="H2114" t="str">
            <v>Tidak</v>
          </cell>
          <cell r="I2114" t="str">
            <v>Bandar Judol Depo</v>
          </cell>
          <cell r="J2114">
            <v>50</v>
          </cell>
          <cell r="K2114" t="str">
            <v>86,74,87</v>
          </cell>
          <cell r="L2114" t="str">
            <v>Judi Online</v>
          </cell>
          <cell r="M2114" t="str">
            <v xml:space="preserve">Kas Kanpus                              </v>
          </cell>
          <cell r="N2114" t="str">
            <v xml:space="preserve">Kas Kanpus                              </v>
          </cell>
          <cell r="O2114" t="str">
            <v xml:space="preserve">KAS KANPUS                              </v>
          </cell>
          <cell r="R2114" t="str">
            <v>Belum TL</v>
          </cell>
          <cell r="S2114" t="str">
            <v>Belum TL</v>
          </cell>
          <cell r="T2114" t="str">
            <v>00336949 - Mochammad Al Farabi</v>
          </cell>
          <cell r="U2114" t="str">
            <v>"-"</v>
          </cell>
        </row>
        <row r="2115">
          <cell r="A2115">
            <v>46265</v>
          </cell>
          <cell r="B2115" t="str">
            <v xml:space="preserve">YUBADRIL                                </v>
          </cell>
          <cell r="C2115" t="str">
            <v>YQ39785</v>
          </cell>
          <cell r="D2115">
            <v>5601001740569</v>
          </cell>
          <cell r="E2115" t="str">
            <v>SEDANG</v>
          </cell>
          <cell r="F2115" t="str">
            <v>Tidak</v>
          </cell>
          <cell r="G2115" t="str">
            <v>Tidak</v>
          </cell>
          <cell r="H2115" t="str">
            <v>Tidak</v>
          </cell>
          <cell r="I2115" t="str">
            <v>Bandar Judol Depo</v>
          </cell>
          <cell r="J2115">
            <v>50</v>
          </cell>
          <cell r="K2115" t="str">
            <v>86,74,87</v>
          </cell>
          <cell r="L2115" t="str">
            <v>Judi Online</v>
          </cell>
          <cell r="M2115" t="str">
            <v xml:space="preserve">Kas Kanpus                              </v>
          </cell>
          <cell r="N2115" t="str">
            <v xml:space="preserve">Kas Kanpus                              </v>
          </cell>
          <cell r="O2115" t="str">
            <v xml:space="preserve">KAS KANPUS                              </v>
          </cell>
          <cell r="R2115" t="str">
            <v>Belum TL</v>
          </cell>
          <cell r="S2115" t="str">
            <v>Belum TL</v>
          </cell>
          <cell r="T2115" t="str">
            <v>90171841 - Rifqi Aziz</v>
          </cell>
          <cell r="U2115" t="str">
            <v>"-"</v>
          </cell>
        </row>
        <row r="2116">
          <cell r="A2116">
            <v>46265</v>
          </cell>
          <cell r="B2116" t="str">
            <v xml:space="preserve">YUDI SETIAWAN                           </v>
          </cell>
          <cell r="C2116" t="str">
            <v>YQB9964</v>
          </cell>
          <cell r="D2116">
            <v>4687400202375000</v>
          </cell>
          <cell r="F2116" t="str">
            <v>Tidak</v>
          </cell>
          <cell r="G2116" t="str">
            <v>Tidak</v>
          </cell>
          <cell r="H2116" t="str">
            <v>Tidak</v>
          </cell>
          <cell r="I2116" t="str">
            <v>Anomali Transaksi Kartu Kredit</v>
          </cell>
          <cell r="J2116">
            <v>40</v>
          </cell>
          <cell r="K2116">
            <v>116.117</v>
          </cell>
          <cell r="L2116" t="str">
            <v>Anomali Transaksi Kartu Kredit</v>
          </cell>
          <cell r="M2116" t="str">
            <v xml:space="preserve">Kas Kanpus                              </v>
          </cell>
          <cell r="N2116" t="str">
            <v xml:space="preserve">Kas Kanpus                              </v>
          </cell>
          <cell r="O2116" t="str">
            <v xml:space="preserve">KAS KANPUS                              </v>
          </cell>
          <cell r="R2116" t="str">
            <v>Belum TL</v>
          </cell>
          <cell r="S2116" t="str">
            <v>Belum TL</v>
          </cell>
          <cell r="T2116" t="str">
            <v>90150130 - Intan Aida Pratiwi</v>
          </cell>
          <cell r="U2116" t="str">
            <v>"-"</v>
          </cell>
        </row>
        <row r="2117">
          <cell r="A2117">
            <v>46265</v>
          </cell>
          <cell r="B2117" t="str">
            <v xml:space="preserve">YOHANIS ISIK                            </v>
          </cell>
          <cell r="C2117" t="str">
            <v>YQE3698</v>
          </cell>
          <cell r="D2117">
            <v>794201004486108</v>
          </cell>
          <cell r="F2117" t="str">
            <v>Tidak</v>
          </cell>
          <cell r="G2117" t="str">
            <v>Tidak</v>
          </cell>
          <cell r="H2117" t="str">
            <v>Tidak</v>
          </cell>
          <cell r="I2117" t="str">
            <v>Korupsi - Loan View</v>
          </cell>
          <cell r="J2117">
            <v>33</v>
          </cell>
          <cell r="K2117">
            <v>15</v>
          </cell>
          <cell r="L2117" t="str">
            <v>Korupsi</v>
          </cell>
          <cell r="M2117" t="str">
            <v>Kas Kanpus</v>
          </cell>
          <cell r="N2117" t="str">
            <v>Kas Kanpus</v>
          </cell>
          <cell r="O2117" t="str">
            <v>KAS KANPUS</v>
          </cell>
          <cell r="R2117" t="str">
            <v>Belum TL</v>
          </cell>
          <cell r="S2117" t="str">
            <v>Belum TL</v>
          </cell>
          <cell r="T2117" t="str">
            <v>90185538 - Muhammad Fahikal Auz</v>
          </cell>
          <cell r="U2117" t="str">
            <v>"-"</v>
          </cell>
        </row>
        <row r="2118">
          <cell r="A2118">
            <v>46265</v>
          </cell>
          <cell r="B2118" t="str">
            <v xml:space="preserve">YAYASAN SYUBANUL WATHAN NUSANTARA       </v>
          </cell>
          <cell r="C2118" t="str">
            <v>YQV3280</v>
          </cell>
          <cell r="D2118">
            <v>66101001344568</v>
          </cell>
          <cell r="F2118" t="str">
            <v>Tidak</v>
          </cell>
          <cell r="G2118" t="str">
            <v>Tidak</v>
          </cell>
          <cell r="H2118" t="str">
            <v>Tidak</v>
          </cell>
          <cell r="I2118" t="str">
            <v>Perpajakan</v>
          </cell>
          <cell r="J2118">
            <v>33</v>
          </cell>
          <cell r="K2118">
            <v>41</v>
          </cell>
          <cell r="L2118" t="str">
            <v>Perpajakan</v>
          </cell>
          <cell r="M2118" t="str">
            <v xml:space="preserve">KC Slawi                                </v>
          </cell>
          <cell r="N2118" t="str">
            <v xml:space="preserve">KC Slawi                                </v>
          </cell>
          <cell r="O2118" t="str">
            <v xml:space="preserve">Semarang                                </v>
          </cell>
          <cell r="R2118" t="str">
            <v>Belum TL</v>
          </cell>
          <cell r="S2118" t="str">
            <v>Belum TL</v>
          </cell>
          <cell r="T2118" t="str">
            <v>00394520 - Frida Akbar Rani</v>
          </cell>
          <cell r="U2118" t="str">
            <v>"-"</v>
          </cell>
        </row>
        <row r="2119">
          <cell r="A2119">
            <v>46265</v>
          </cell>
          <cell r="B2119" t="str">
            <v xml:space="preserve">YOEPI SANDI                             </v>
          </cell>
          <cell r="C2119" t="str">
            <v>YQW5863</v>
          </cell>
          <cell r="D2119">
            <v>84701028025505</v>
          </cell>
          <cell r="F2119" t="str">
            <v>Tidak</v>
          </cell>
          <cell r="G2119" t="str">
            <v>Tidak</v>
          </cell>
          <cell r="H2119" t="str">
            <v>Tidak</v>
          </cell>
          <cell r="I2119" t="str">
            <v>Bandar Judol Withdrawal</v>
          </cell>
          <cell r="J2119">
            <v>35</v>
          </cell>
          <cell r="K2119" t="str">
            <v>86,88,87</v>
          </cell>
          <cell r="L2119" t="str">
            <v>Judi Online</v>
          </cell>
          <cell r="M2119" t="str">
            <v xml:space="preserve">Kas Kanpus                              </v>
          </cell>
          <cell r="N2119" t="str">
            <v xml:space="preserve">Kas Kanpus                              </v>
          </cell>
          <cell r="O2119" t="str">
            <v xml:space="preserve">KAS KANPUS                              </v>
          </cell>
          <cell r="R2119" t="str">
            <v>Belum TL</v>
          </cell>
          <cell r="S2119" t="str">
            <v>Belum TL</v>
          </cell>
          <cell r="T2119" t="str">
            <v>00394520 - Frida Akbar Rani</v>
          </cell>
          <cell r="U2119" t="str">
            <v>"-"</v>
          </cell>
        </row>
        <row r="2120">
          <cell r="A2120">
            <v>46265</v>
          </cell>
          <cell r="B2120" t="str">
            <v xml:space="preserve">YULIANA                                 </v>
          </cell>
          <cell r="C2120" t="str">
            <v>YQX9752</v>
          </cell>
          <cell r="D2120">
            <v>322001010705500</v>
          </cell>
          <cell r="F2120" t="str">
            <v>Tidak</v>
          </cell>
          <cell r="G2120" t="str">
            <v>Tidak</v>
          </cell>
          <cell r="H2120" t="str">
            <v>Tidak</v>
          </cell>
          <cell r="I2120" t="str">
            <v>Bandar Judol Withdrawal</v>
          </cell>
          <cell r="J2120">
            <v>35</v>
          </cell>
          <cell r="K2120" t="str">
            <v>86,88,87</v>
          </cell>
          <cell r="L2120" t="str">
            <v>Judi Online</v>
          </cell>
          <cell r="M2120" t="str">
            <v xml:space="preserve">Kas Kanpus                              </v>
          </cell>
          <cell r="N2120" t="str">
            <v xml:space="preserve">Kas Kanpus                              </v>
          </cell>
          <cell r="O2120" t="str">
            <v xml:space="preserve">KAS KANPUS                              </v>
          </cell>
          <cell r="R2120" t="str">
            <v>Belum TL</v>
          </cell>
          <cell r="S2120" t="str">
            <v>Belum TL</v>
          </cell>
          <cell r="T2120" t="str">
            <v>90150130 - Intan Aida Pratiwi</v>
          </cell>
          <cell r="U2120" t="str">
            <v>"-"</v>
          </cell>
        </row>
        <row r="2121">
          <cell r="A2121">
            <v>46265</v>
          </cell>
          <cell r="B2121" t="str">
            <v xml:space="preserve">YOEI YEHEZKIEL RINGALAI                 </v>
          </cell>
          <cell r="C2121" t="str">
            <v>YQY1013</v>
          </cell>
          <cell r="D2121">
            <v>511801011639503</v>
          </cell>
          <cell r="F2121" t="str">
            <v>Tidak</v>
          </cell>
          <cell r="G2121" t="str">
            <v>Tidak</v>
          </cell>
          <cell r="H2121" t="str">
            <v>Tidak</v>
          </cell>
          <cell r="I2121" t="str">
            <v>Bandar Judol Depo</v>
          </cell>
          <cell r="J2121">
            <v>35</v>
          </cell>
          <cell r="K2121" t="str">
            <v>86,74,87</v>
          </cell>
          <cell r="L2121" t="str">
            <v>Judi Online</v>
          </cell>
          <cell r="M2121" t="str">
            <v xml:space="preserve">Kas Kanpus                              </v>
          </cell>
          <cell r="N2121" t="str">
            <v xml:space="preserve">Kas Kanpus                              </v>
          </cell>
          <cell r="O2121" t="str">
            <v xml:space="preserve">KAS KANPUS                              </v>
          </cell>
          <cell r="R2121" t="str">
            <v>Belum TL</v>
          </cell>
          <cell r="S2121" t="str">
            <v>Belum TL</v>
          </cell>
          <cell r="T2121" t="str">
            <v>00394520 - Frida Akbar Rani</v>
          </cell>
          <cell r="U2121" t="str">
            <v>"-"</v>
          </cell>
        </row>
        <row r="2122">
          <cell r="A2122">
            <v>46265</v>
          </cell>
          <cell r="B2122" t="str">
            <v xml:space="preserve">YASMAN NURSIN                           </v>
          </cell>
          <cell r="C2122" t="str">
            <v>YR94523</v>
          </cell>
          <cell r="D2122">
            <v>757701014411108</v>
          </cell>
          <cell r="E2122" t="str">
            <v>SEDANG</v>
          </cell>
          <cell r="F2122" t="str">
            <v>Tidak</v>
          </cell>
          <cell r="G2122" t="str">
            <v>Tidak</v>
          </cell>
          <cell r="H2122" t="str">
            <v>Tidak</v>
          </cell>
          <cell r="I2122" t="str">
            <v>Korupsi - Loan View</v>
          </cell>
          <cell r="J2122">
            <v>48</v>
          </cell>
          <cell r="K2122">
            <v>15</v>
          </cell>
          <cell r="L2122" t="str">
            <v>Korupsi</v>
          </cell>
          <cell r="M2122" t="str">
            <v>Kas Kanpus</v>
          </cell>
          <cell r="N2122" t="str">
            <v>Kas Kanpus</v>
          </cell>
          <cell r="O2122" t="str">
            <v>KAS KANPUS</v>
          </cell>
          <cell r="R2122" t="str">
            <v>Belum TL</v>
          </cell>
          <cell r="S2122" t="str">
            <v>Belum TL</v>
          </cell>
          <cell r="T2122" t="str">
            <v>00336949 - Mochammad Al Farabi</v>
          </cell>
          <cell r="U2122" t="str">
            <v>"-"</v>
          </cell>
        </row>
        <row r="2123">
          <cell r="A2123">
            <v>46265</v>
          </cell>
          <cell r="B2123" t="str">
            <v xml:space="preserve">YAYASAN HELIVIDA INDONESIA              </v>
          </cell>
          <cell r="C2123" t="str">
            <v>YRG3079</v>
          </cell>
          <cell r="D2123">
            <v>31101002987302</v>
          </cell>
          <cell r="F2123" t="str">
            <v>Tidak</v>
          </cell>
          <cell r="G2123" t="str">
            <v>Tidak</v>
          </cell>
          <cell r="I2123" t="str">
            <v>Terorisme - Organisasi Terorisme</v>
          </cell>
          <cell r="J2123">
            <v>153</v>
          </cell>
          <cell r="K2123">
            <v>44</v>
          </cell>
          <cell r="L2123" t="str">
            <v>Terorisme</v>
          </cell>
          <cell r="M2123" t="str">
            <v xml:space="preserve">Kas Kanpus                              </v>
          </cell>
          <cell r="N2123" t="str">
            <v xml:space="preserve">Kas Kanpus                              </v>
          </cell>
          <cell r="O2123" t="str">
            <v xml:space="preserve">KAS KANPUS                              </v>
          </cell>
          <cell r="R2123" t="str">
            <v>Belum TL</v>
          </cell>
          <cell r="S2123" t="str">
            <v>Belum TL</v>
          </cell>
          <cell r="T2123" t="str">
            <v>90170665 - Mutiara Ayuningtyas</v>
          </cell>
          <cell r="U2123" t="str">
            <v>"-"</v>
          </cell>
        </row>
        <row r="2124">
          <cell r="A2124">
            <v>46265</v>
          </cell>
          <cell r="B2124" t="str">
            <v xml:space="preserve">YANTC RANGGA TONDO                      </v>
          </cell>
          <cell r="C2124" t="str">
            <v>YRO2115</v>
          </cell>
          <cell r="D2124">
            <v>706801003415500</v>
          </cell>
          <cell r="F2124" t="str">
            <v>Tidak</v>
          </cell>
          <cell r="G2124" t="str">
            <v>Tidak</v>
          </cell>
          <cell r="H2124" t="str">
            <v>Tidak</v>
          </cell>
          <cell r="I2124" t="str">
            <v>Bandar Judol Withdrawal</v>
          </cell>
          <cell r="J2124">
            <v>35</v>
          </cell>
          <cell r="K2124" t="str">
            <v>86,88,87</v>
          </cell>
          <cell r="L2124" t="str">
            <v>Judi Online</v>
          </cell>
          <cell r="M2124" t="str">
            <v xml:space="preserve">Kas Kanpus                              </v>
          </cell>
          <cell r="N2124" t="str">
            <v xml:space="preserve">Kas Kanpus                              </v>
          </cell>
          <cell r="O2124" t="str">
            <v xml:space="preserve">KAS KANPUS                              </v>
          </cell>
          <cell r="R2124" t="str">
            <v>Belum TL</v>
          </cell>
          <cell r="S2124" t="str">
            <v>Belum TL</v>
          </cell>
          <cell r="T2124" t="str">
            <v>90170665 - Mutiara Ayuningtyas</v>
          </cell>
          <cell r="U2124" t="str">
            <v>"-"</v>
          </cell>
        </row>
        <row r="2125">
          <cell r="A2125">
            <v>46265</v>
          </cell>
          <cell r="B2125" t="str">
            <v xml:space="preserve">YOSHY YOLANDARI                         </v>
          </cell>
          <cell r="C2125" t="str">
            <v>YRM3561</v>
          </cell>
          <cell r="D2125">
            <v>326501007174500</v>
          </cell>
          <cell r="F2125" t="str">
            <v>Tidak</v>
          </cell>
          <cell r="G2125" t="str">
            <v>Tidak</v>
          </cell>
          <cell r="I2125" t="str">
            <v>Jual Beli Rekening - E channel Trx</v>
          </cell>
          <cell r="J2125">
            <v>33</v>
          </cell>
          <cell r="K2125">
            <v>113</v>
          </cell>
          <cell r="L2125" t="str">
            <v>Narkotika/Judi Online/Penipuan</v>
          </cell>
          <cell r="M2125" t="str">
            <v xml:space="preserve">UNIT SUKABUMI SELATAN                   </v>
          </cell>
          <cell r="N2125" t="str">
            <v xml:space="preserve">KC Sukabumi                             </v>
          </cell>
          <cell r="O2125" t="str">
            <v xml:space="preserve">Bandung                                 </v>
          </cell>
          <cell r="R2125" t="str">
            <v>Belum TL</v>
          </cell>
          <cell r="S2125" t="str">
            <v>Belum TL</v>
          </cell>
          <cell r="U2125" t="str">
            <v>"-"</v>
          </cell>
        </row>
        <row r="2126">
          <cell r="A2126">
            <v>46265</v>
          </cell>
          <cell r="B2126" t="str">
            <v xml:space="preserve">YUNIOR NOLDI METAHANG                   </v>
          </cell>
          <cell r="C2126" t="str">
            <v>YX02003</v>
          </cell>
          <cell r="D2126">
            <v>62701007087108</v>
          </cell>
          <cell r="E2126" t="str">
            <v>SEDANG</v>
          </cell>
          <cell r="F2126" t="str">
            <v>Tidak</v>
          </cell>
          <cell r="G2126" t="str">
            <v>Tidak</v>
          </cell>
          <cell r="H2126" t="str">
            <v>Tidak</v>
          </cell>
          <cell r="I2126" t="str">
            <v>Korupsi - Loan View</v>
          </cell>
          <cell r="J2126">
            <v>48</v>
          </cell>
          <cell r="K2126">
            <v>15</v>
          </cell>
          <cell r="L2126" t="str">
            <v>Korupsi</v>
          </cell>
          <cell r="M2126" t="str">
            <v>Kas Kanpus</v>
          </cell>
          <cell r="N2126" t="str">
            <v>Kas Kanpus</v>
          </cell>
          <cell r="O2126" t="str">
            <v>KAS KANPUS</v>
          </cell>
          <cell r="R2126" t="str">
            <v>Belum TL</v>
          </cell>
          <cell r="S2126" t="str">
            <v>Belum TL</v>
          </cell>
          <cell r="T2126" t="str">
            <v>90150130 - Intan Aida Pratiwi</v>
          </cell>
          <cell r="U2126" t="str">
            <v>"-"</v>
          </cell>
        </row>
        <row r="2127">
          <cell r="A2127">
            <v>46265</v>
          </cell>
          <cell r="B2127" t="str">
            <v xml:space="preserve">YANTI                                   </v>
          </cell>
          <cell r="C2127" t="str">
            <v>YX10337</v>
          </cell>
          <cell r="D2127">
            <v>379201013101500</v>
          </cell>
          <cell r="F2127" t="str">
            <v>Tidak</v>
          </cell>
          <cell r="G2127" t="str">
            <v>Tidak</v>
          </cell>
          <cell r="I2127" t="str">
            <v>Jual Beli Rekening - E channel Trx</v>
          </cell>
          <cell r="J2127">
            <v>33</v>
          </cell>
          <cell r="K2127">
            <v>113</v>
          </cell>
          <cell r="L2127" t="str">
            <v>Narkotika/Judi Online/Penipuan</v>
          </cell>
          <cell r="M2127" t="str">
            <v xml:space="preserve">UNIT MULYOHARJO PEMALANG                </v>
          </cell>
          <cell r="N2127" t="str">
            <v xml:space="preserve">KC Pemalang                             </v>
          </cell>
          <cell r="O2127" t="str">
            <v xml:space="preserve">Semarang                                </v>
          </cell>
          <cell r="R2127" t="str">
            <v>Belum TL</v>
          </cell>
          <cell r="S2127" t="str">
            <v>Belum TL</v>
          </cell>
          <cell r="U2127" t="str">
            <v>"-"</v>
          </cell>
        </row>
        <row r="2128">
          <cell r="A2128">
            <v>46265</v>
          </cell>
          <cell r="B2128" t="str">
            <v xml:space="preserve">YUCHI KAJI TAMA                         </v>
          </cell>
          <cell r="C2128" t="str">
            <v>YY07306</v>
          </cell>
          <cell r="D2128">
            <v>33701001279308</v>
          </cell>
          <cell r="E2128" t="str">
            <v>TINGGI</v>
          </cell>
          <cell r="F2128" t="str">
            <v>Tidak</v>
          </cell>
          <cell r="G2128" t="str">
            <v>Tidak</v>
          </cell>
          <cell r="H2128" t="str">
            <v>Tidak</v>
          </cell>
          <cell r="I2128" t="str">
            <v>Korupsi - Cash &amp; Amount</v>
          </cell>
          <cell r="J2128">
            <v>63</v>
          </cell>
          <cell r="K2128" t="str">
            <v>1,2,20</v>
          </cell>
          <cell r="L2128" t="str">
            <v>Korupsi</v>
          </cell>
          <cell r="M2128" t="str">
            <v>Kas Kanpus</v>
          </cell>
          <cell r="N2128" t="str">
            <v>Kas Kanpus</v>
          </cell>
          <cell r="O2128" t="str">
            <v>KAS KANPUS</v>
          </cell>
          <cell r="R2128" t="str">
            <v>Belum TL</v>
          </cell>
          <cell r="S2128" t="str">
            <v>Belum TL</v>
          </cell>
          <cell r="T2128" t="str">
            <v>00394521 - Muhammad Hibbanduta</v>
          </cell>
          <cell r="U2128" t="str">
            <v>"-"</v>
          </cell>
        </row>
        <row r="2129">
          <cell r="A2129">
            <v>46265</v>
          </cell>
          <cell r="B2129" t="str">
            <v xml:space="preserve">Tagihan kpd Bank lain-ATM Sharing       </v>
          </cell>
          <cell r="C2129" t="str">
            <v>Z000304</v>
          </cell>
          <cell r="D2129">
            <v>39101000078999</v>
          </cell>
          <cell r="E2129" t="str">
            <v>SEDANG</v>
          </cell>
          <cell r="F2129" t="str">
            <v>Tidak</v>
          </cell>
          <cell r="G2129" t="str">
            <v>Tidak</v>
          </cell>
          <cell r="H2129" t="str">
            <v>Tidak</v>
          </cell>
          <cell r="I2129" t="str">
            <v>Narkotika/Psikotropika- Remark</v>
          </cell>
          <cell r="J2129">
            <v>50</v>
          </cell>
          <cell r="K2129">
            <v>9</v>
          </cell>
          <cell r="L2129" t="str">
            <v>Narkotika/Psikotropika</v>
          </cell>
          <cell r="M2129" t="str">
            <v xml:space="preserve">BAG OPERASIONAL E BANKING               </v>
          </cell>
          <cell r="N2129" t="str">
            <v xml:space="preserve">Kas Kanpus                              </v>
          </cell>
          <cell r="O2129" t="str">
            <v xml:space="preserve">KAS KANPUS                              </v>
          </cell>
          <cell r="R2129" t="str">
            <v>Belum TL</v>
          </cell>
          <cell r="S2129" t="str">
            <v>Belum TL</v>
          </cell>
          <cell r="T2129" t="str">
            <v>90171841 - Rifqi Aziz</v>
          </cell>
          <cell r="U2129" t="str">
            <v>"-"</v>
          </cell>
        </row>
        <row r="2130">
          <cell r="A2130">
            <v>46265</v>
          </cell>
          <cell r="B2130" t="str">
            <v>TAGIHAN NOM.INTERBANK FUND TRANSFE-PRIMA</v>
          </cell>
          <cell r="C2130" t="str">
            <v>Z001141</v>
          </cell>
          <cell r="D2130">
            <v>39101000354997</v>
          </cell>
          <cell r="E2130" t="str">
            <v>SEDANG</v>
          </cell>
          <cell r="F2130" t="str">
            <v>Tidak</v>
          </cell>
          <cell r="G2130" t="str">
            <v>Tidak</v>
          </cell>
          <cell r="H2130" t="str">
            <v>Tidak</v>
          </cell>
          <cell r="I2130" t="str">
            <v>Narkotika/Psikotropika- Remark</v>
          </cell>
          <cell r="J2130">
            <v>50</v>
          </cell>
          <cell r="K2130">
            <v>9</v>
          </cell>
          <cell r="L2130" t="str">
            <v>Narkotika/Psikotropika</v>
          </cell>
          <cell r="M2130" t="str">
            <v xml:space="preserve">BAG OPERASIONAL E BANKING               </v>
          </cell>
          <cell r="N2130" t="str">
            <v xml:space="preserve">Kas Kanpus                              </v>
          </cell>
          <cell r="O2130" t="str">
            <v xml:space="preserve">KAS KANPUS                              </v>
          </cell>
          <cell r="R2130" t="str">
            <v>Belum TL</v>
          </cell>
          <cell r="S2130" t="str">
            <v>Belum TL</v>
          </cell>
          <cell r="T2130" t="str">
            <v>90171841 - Rifqi Aziz</v>
          </cell>
          <cell r="U2130" t="str">
            <v>"-"</v>
          </cell>
        </row>
        <row r="2131">
          <cell r="A2131">
            <v>46265</v>
          </cell>
          <cell r="B2131" t="str">
            <v>TAGIHAN NOM.INTERBANK FUND TRANSFE-PRIMA</v>
          </cell>
          <cell r="C2131" t="str">
            <v>Z001141</v>
          </cell>
          <cell r="D2131">
            <v>39101000707996</v>
          </cell>
          <cell r="E2131" t="str">
            <v>SEDANG</v>
          </cell>
          <cell r="F2131" t="str">
            <v>Tidak</v>
          </cell>
          <cell r="G2131" t="str">
            <v>Tidak</v>
          </cell>
          <cell r="H2131" t="str">
            <v>Tidak</v>
          </cell>
          <cell r="I2131" t="str">
            <v>Narkotika/Psikotropika- Remark</v>
          </cell>
          <cell r="J2131">
            <v>50</v>
          </cell>
          <cell r="K2131">
            <v>9</v>
          </cell>
          <cell r="L2131" t="str">
            <v>Narkotika/Psikotropika</v>
          </cell>
          <cell r="M2131" t="str">
            <v xml:space="preserve">BAG OPERASIONAL E BANKING               </v>
          </cell>
          <cell r="N2131" t="str">
            <v xml:space="preserve">Kas Kanpus                              </v>
          </cell>
          <cell r="O2131" t="str">
            <v xml:space="preserve">KAS KANPUS                              </v>
          </cell>
          <cell r="R2131" t="str">
            <v>Belum TL</v>
          </cell>
          <cell r="S2131" t="str">
            <v>Belum TL</v>
          </cell>
          <cell r="T2131" t="str">
            <v>90185537 - Moh.Khoerul Fajar Ar</v>
          </cell>
          <cell r="U2131" t="str">
            <v>"-"</v>
          </cell>
        </row>
        <row r="2132">
          <cell r="A2132">
            <v>46265</v>
          </cell>
          <cell r="B2132" t="str">
            <v>TAGIHAN NOM.INTERBANK FUND TRANSFE-PRIMA</v>
          </cell>
          <cell r="C2132" t="str">
            <v>Z001141</v>
          </cell>
          <cell r="D2132">
            <v>39101000768992</v>
          </cell>
          <cell r="E2132" t="str">
            <v>SEDANG</v>
          </cell>
          <cell r="F2132" t="str">
            <v>Tidak</v>
          </cell>
          <cell r="G2132" t="str">
            <v>Tidak</v>
          </cell>
          <cell r="H2132" t="str">
            <v>Tidak</v>
          </cell>
          <cell r="I2132" t="str">
            <v>Narkotika/Psikotropika- Remark</v>
          </cell>
          <cell r="J2132">
            <v>50</v>
          </cell>
          <cell r="K2132">
            <v>9</v>
          </cell>
          <cell r="L2132" t="str">
            <v>Narkotika/Psikotropika</v>
          </cell>
          <cell r="M2132" t="str">
            <v xml:space="preserve">BAG OPERASIONAL E BANKING               </v>
          </cell>
          <cell r="N2132" t="str">
            <v xml:space="preserve">Kas Kanpus                              </v>
          </cell>
          <cell r="O2132" t="str">
            <v xml:space="preserve">KAS KANPUS                              </v>
          </cell>
          <cell r="R2132" t="str">
            <v>Belum TL</v>
          </cell>
          <cell r="S2132" t="str">
            <v>Belum TL</v>
          </cell>
          <cell r="T2132" t="str">
            <v>00336949 - Mochammad Al Farabi</v>
          </cell>
          <cell r="U2132" t="str">
            <v>"-"</v>
          </cell>
        </row>
        <row r="2133">
          <cell r="A2133">
            <v>46265</v>
          </cell>
          <cell r="B2133" t="str">
            <v>TAGIHAN NOM.INTERBANK FUND TRANSFE-PRIMA</v>
          </cell>
          <cell r="C2133" t="str">
            <v>Z001141</v>
          </cell>
          <cell r="D2133">
            <v>39101000770999</v>
          </cell>
          <cell r="E2133" t="str">
            <v>SEDANG</v>
          </cell>
          <cell r="F2133" t="str">
            <v>Tidak</v>
          </cell>
          <cell r="G2133" t="str">
            <v>Tidak</v>
          </cell>
          <cell r="H2133" t="str">
            <v>Tidak</v>
          </cell>
          <cell r="I2133" t="str">
            <v>Narkotika/Psikotropika- Remark</v>
          </cell>
          <cell r="J2133">
            <v>50</v>
          </cell>
          <cell r="K2133">
            <v>9</v>
          </cell>
          <cell r="L2133" t="str">
            <v>Narkotika/Psikotropika</v>
          </cell>
          <cell r="M2133" t="str">
            <v xml:space="preserve">BAG OPERASIONAL E BANKING               </v>
          </cell>
          <cell r="N2133" t="str">
            <v xml:space="preserve">Kas Kanpus                              </v>
          </cell>
          <cell r="O2133" t="str">
            <v xml:space="preserve">KAS KANPUS                              </v>
          </cell>
          <cell r="R2133" t="str">
            <v>Belum TL</v>
          </cell>
          <cell r="S2133" t="str">
            <v>Belum TL</v>
          </cell>
          <cell r="T2133" t="str">
            <v>00336949 - Mochammad Al Farabi</v>
          </cell>
          <cell r="U2133" t="str">
            <v>"-"</v>
          </cell>
        </row>
        <row r="2134">
          <cell r="A2134">
            <v>46265</v>
          </cell>
          <cell r="B2134" t="str">
            <v>TAGIHAN NOM.INTERBANK FUND TRANSFE-PRIMA</v>
          </cell>
          <cell r="C2134" t="str">
            <v>Z001141</v>
          </cell>
          <cell r="D2134">
            <v>39101000771995</v>
          </cell>
          <cell r="E2134" t="str">
            <v>SEDANG</v>
          </cell>
          <cell r="F2134" t="str">
            <v>Tidak</v>
          </cell>
          <cell r="G2134" t="str">
            <v>Tidak</v>
          </cell>
          <cell r="H2134" t="str">
            <v>Tidak</v>
          </cell>
          <cell r="I2134" t="str">
            <v>Narkotika/Psikotropika- Remark</v>
          </cell>
          <cell r="J2134">
            <v>50</v>
          </cell>
          <cell r="K2134">
            <v>9</v>
          </cell>
          <cell r="L2134" t="str">
            <v>Narkotika/Psikotropika</v>
          </cell>
          <cell r="M2134" t="str">
            <v xml:space="preserve">BAG OPERASIONAL E BANKING               </v>
          </cell>
          <cell r="N2134" t="str">
            <v xml:space="preserve">Kas Kanpus                              </v>
          </cell>
          <cell r="O2134" t="str">
            <v xml:space="preserve">KAS KANPUS                              </v>
          </cell>
          <cell r="R2134" t="str">
            <v>Belum TL</v>
          </cell>
          <cell r="S2134" t="str">
            <v>Belum TL</v>
          </cell>
          <cell r="T2134" t="str">
            <v>90150130 - Intan Aida Pratiwi</v>
          </cell>
          <cell r="U2134" t="str">
            <v>"-"</v>
          </cell>
        </row>
        <row r="2135">
          <cell r="A2135">
            <v>46265</v>
          </cell>
          <cell r="B2135" t="str">
            <v>TAGIHAN NOM.INTERBANK FUND TRANSFE-PRIMA</v>
          </cell>
          <cell r="C2135" t="str">
            <v>Z001141</v>
          </cell>
          <cell r="D2135">
            <v>39101000772991</v>
          </cell>
          <cell r="E2135" t="str">
            <v>SEDANG</v>
          </cell>
          <cell r="F2135" t="str">
            <v>Tidak</v>
          </cell>
          <cell r="G2135" t="str">
            <v>Tidak</v>
          </cell>
          <cell r="H2135" t="str">
            <v>Tidak</v>
          </cell>
          <cell r="I2135" t="str">
            <v>Narkotika/Psikotropika- Remark</v>
          </cell>
          <cell r="J2135">
            <v>50</v>
          </cell>
          <cell r="K2135">
            <v>9</v>
          </cell>
          <cell r="L2135" t="str">
            <v>Narkotika/Psikotropika</v>
          </cell>
          <cell r="M2135" t="str">
            <v xml:space="preserve">BAG OPERASIONAL E BANKING               </v>
          </cell>
          <cell r="N2135" t="str">
            <v xml:space="preserve">Kas Kanpus                              </v>
          </cell>
          <cell r="O2135" t="str">
            <v xml:space="preserve">KAS KANPUS                              </v>
          </cell>
          <cell r="R2135" t="str">
            <v>Belum TL</v>
          </cell>
          <cell r="S2135" t="str">
            <v>Belum TL</v>
          </cell>
          <cell r="T2135" t="str">
            <v>00394520 - Frida Akbar Rani</v>
          </cell>
          <cell r="U2135" t="str">
            <v>"-"</v>
          </cell>
        </row>
        <row r="2136">
          <cell r="A2136">
            <v>46265</v>
          </cell>
          <cell r="B2136" t="str">
            <v>TAGIHAN NOM.INTERBANK FUND TRANSFE-PRIMA</v>
          </cell>
          <cell r="C2136" t="str">
            <v>Z001141</v>
          </cell>
          <cell r="D2136">
            <v>39101000773997</v>
          </cell>
          <cell r="E2136" t="str">
            <v>SEDANG</v>
          </cell>
          <cell r="F2136" t="str">
            <v>Tidak</v>
          </cell>
          <cell r="G2136" t="str">
            <v>Tidak</v>
          </cell>
          <cell r="H2136" t="str">
            <v>Tidak</v>
          </cell>
          <cell r="I2136" t="str">
            <v>Narkotika/Psikotropika- Remark</v>
          </cell>
          <cell r="J2136">
            <v>50</v>
          </cell>
          <cell r="K2136">
            <v>9</v>
          </cell>
          <cell r="L2136" t="str">
            <v>Narkotika/Psikotropika</v>
          </cell>
          <cell r="M2136" t="str">
            <v xml:space="preserve">BAG OPERASIONAL E BANKING               </v>
          </cell>
          <cell r="N2136" t="str">
            <v xml:space="preserve">Kas Kanpus                              </v>
          </cell>
          <cell r="O2136" t="str">
            <v xml:space="preserve">KAS KANPUS                              </v>
          </cell>
          <cell r="R2136" t="str">
            <v>Belum TL</v>
          </cell>
          <cell r="S2136" t="str">
            <v>Belum TL</v>
          </cell>
          <cell r="T2136" t="str">
            <v>00394520 - Frida Akbar Rani</v>
          </cell>
          <cell r="U2136" t="str">
            <v>"-"</v>
          </cell>
        </row>
        <row r="2137">
          <cell r="A2137">
            <v>46265</v>
          </cell>
          <cell r="B2137" t="str">
            <v>TAGIHAN NOM.INTERBANK FUND TRANSFE-PRIMA</v>
          </cell>
          <cell r="C2137" t="str">
            <v>Z001141</v>
          </cell>
          <cell r="D2137">
            <v>39101000774993</v>
          </cell>
          <cell r="E2137" t="str">
            <v>SEDANG</v>
          </cell>
          <cell r="F2137" t="str">
            <v>Tidak</v>
          </cell>
          <cell r="G2137" t="str">
            <v>Tidak</v>
          </cell>
          <cell r="H2137" t="str">
            <v>Tidak</v>
          </cell>
          <cell r="I2137" t="str">
            <v>Narkotika/Psikotropika- Remark</v>
          </cell>
          <cell r="J2137">
            <v>50</v>
          </cell>
          <cell r="K2137">
            <v>9</v>
          </cell>
          <cell r="L2137" t="str">
            <v>Narkotika/Psikotropika</v>
          </cell>
          <cell r="M2137" t="str">
            <v xml:space="preserve">BAG OPERASIONAL E BANKING               </v>
          </cell>
          <cell r="N2137" t="str">
            <v xml:space="preserve">Kas Kanpus                              </v>
          </cell>
          <cell r="O2137" t="str">
            <v xml:space="preserve">KAS KANPUS                              </v>
          </cell>
          <cell r="R2137" t="str">
            <v>Belum TL</v>
          </cell>
          <cell r="S2137" t="str">
            <v>Belum TL</v>
          </cell>
          <cell r="T2137" t="str">
            <v>90171841 - Rifqi Aziz</v>
          </cell>
          <cell r="U2137" t="str">
            <v>"-"</v>
          </cell>
        </row>
        <row r="2138">
          <cell r="A2138">
            <v>46265</v>
          </cell>
          <cell r="B2138" t="str">
            <v>TAGIHAN NOM.INTERBANK FUND TRANSFE-PRIMA</v>
          </cell>
          <cell r="C2138" t="str">
            <v>Z001141</v>
          </cell>
          <cell r="D2138">
            <v>39101000775999</v>
          </cell>
          <cell r="E2138" t="str">
            <v>SEDANG</v>
          </cell>
          <cell r="F2138" t="str">
            <v>Tidak</v>
          </cell>
          <cell r="G2138" t="str">
            <v>Tidak</v>
          </cell>
          <cell r="H2138" t="str">
            <v>Tidak</v>
          </cell>
          <cell r="I2138" t="str">
            <v>Narkotika/Psikotropika- Remark</v>
          </cell>
          <cell r="J2138">
            <v>50</v>
          </cell>
          <cell r="K2138">
            <v>9</v>
          </cell>
          <cell r="L2138" t="str">
            <v>Narkotika/Psikotropika</v>
          </cell>
          <cell r="M2138" t="str">
            <v xml:space="preserve">BAG OPERASIONAL E BANKING               </v>
          </cell>
          <cell r="N2138" t="str">
            <v xml:space="preserve">Kas Kanpus                              </v>
          </cell>
          <cell r="O2138" t="str">
            <v xml:space="preserve">KAS KANPUS                              </v>
          </cell>
          <cell r="R2138" t="str">
            <v>Belum TL</v>
          </cell>
          <cell r="S2138" t="str">
            <v>Belum TL</v>
          </cell>
          <cell r="T2138" t="str">
            <v>00394521 - Muhammad Hibbanduta</v>
          </cell>
          <cell r="U2138" t="str">
            <v>"-"</v>
          </cell>
        </row>
        <row r="2139">
          <cell r="A2139">
            <v>46265</v>
          </cell>
          <cell r="B2139" t="str">
            <v>TAGIHAN NOM.INTERBANK FUND TRANSFE-PRIMA</v>
          </cell>
          <cell r="C2139" t="str">
            <v>Z001141</v>
          </cell>
          <cell r="D2139">
            <v>39101000776995</v>
          </cell>
          <cell r="E2139" t="str">
            <v>SEDANG</v>
          </cell>
          <cell r="F2139" t="str">
            <v>Tidak</v>
          </cell>
          <cell r="G2139" t="str">
            <v>Tidak</v>
          </cell>
          <cell r="H2139" t="str">
            <v>Tidak</v>
          </cell>
          <cell r="I2139" t="str">
            <v>Narkotika/Psikotropika- Remark</v>
          </cell>
          <cell r="J2139">
            <v>50</v>
          </cell>
          <cell r="K2139">
            <v>9</v>
          </cell>
          <cell r="L2139" t="str">
            <v>Narkotika/Psikotropika</v>
          </cell>
          <cell r="M2139" t="str">
            <v xml:space="preserve">BAG OPERASIONAL E BANKING               </v>
          </cell>
          <cell r="N2139" t="str">
            <v xml:space="preserve">Kas Kanpus                              </v>
          </cell>
          <cell r="O2139" t="str">
            <v xml:space="preserve">KAS KANPUS                              </v>
          </cell>
          <cell r="R2139" t="str">
            <v>Belum TL</v>
          </cell>
          <cell r="S2139" t="str">
            <v>Belum TL</v>
          </cell>
          <cell r="T2139" t="str">
            <v>90186790 - Muhammad Alfin Farha</v>
          </cell>
          <cell r="U2139" t="str">
            <v>"-"</v>
          </cell>
        </row>
        <row r="2140">
          <cell r="A2140">
            <v>46265</v>
          </cell>
          <cell r="B2140" t="str">
            <v>TAGIHAN NOM.INTERBANK FUND TRANSFE-PRIMA</v>
          </cell>
          <cell r="C2140" t="str">
            <v>Z001141</v>
          </cell>
          <cell r="D2140">
            <v>39101000777991</v>
          </cell>
          <cell r="E2140" t="str">
            <v>SEDANG</v>
          </cell>
          <cell r="F2140" t="str">
            <v>Tidak</v>
          </cell>
          <cell r="G2140" t="str">
            <v>Tidak</v>
          </cell>
          <cell r="H2140" t="str">
            <v>Tidak</v>
          </cell>
          <cell r="I2140" t="str">
            <v>Narkotika/Psikotropika- Remark</v>
          </cell>
          <cell r="J2140">
            <v>50</v>
          </cell>
          <cell r="K2140">
            <v>9</v>
          </cell>
          <cell r="L2140" t="str">
            <v>Narkotika/Psikotropika</v>
          </cell>
          <cell r="M2140" t="str">
            <v xml:space="preserve">BAG OPERASIONAL E BANKING               </v>
          </cell>
          <cell r="N2140" t="str">
            <v xml:space="preserve">Kas Kanpus                              </v>
          </cell>
          <cell r="O2140" t="str">
            <v xml:space="preserve">KAS KANPUS                              </v>
          </cell>
          <cell r="R2140" t="str">
            <v>Belum TL</v>
          </cell>
          <cell r="S2140" t="str">
            <v>Belum TL</v>
          </cell>
          <cell r="T2140" t="str">
            <v>90171841 - Rifqi Aziz</v>
          </cell>
          <cell r="U2140" t="str">
            <v>"-"</v>
          </cell>
        </row>
        <row r="2141">
          <cell r="A2141">
            <v>46265</v>
          </cell>
          <cell r="B2141" t="str">
            <v>TAGIHAN NOM.INTERBANK FUND TRANSFE-PRIMA</v>
          </cell>
          <cell r="C2141" t="str">
            <v>Z001141</v>
          </cell>
          <cell r="D2141">
            <v>39101000778997</v>
          </cell>
          <cell r="E2141" t="str">
            <v>SEDANG</v>
          </cell>
          <cell r="F2141" t="str">
            <v>Tidak</v>
          </cell>
          <cell r="G2141" t="str">
            <v>Tidak</v>
          </cell>
          <cell r="H2141" t="str">
            <v>Tidak</v>
          </cell>
          <cell r="I2141" t="str">
            <v>Narkotika/Psikotropika- Remark</v>
          </cell>
          <cell r="J2141">
            <v>50</v>
          </cell>
          <cell r="K2141">
            <v>9</v>
          </cell>
          <cell r="L2141" t="str">
            <v>Narkotika/Psikotropika</v>
          </cell>
          <cell r="M2141" t="str">
            <v xml:space="preserve">BAG OPERASIONAL E BANKING               </v>
          </cell>
          <cell r="N2141" t="str">
            <v xml:space="preserve">Kas Kanpus                              </v>
          </cell>
          <cell r="O2141" t="str">
            <v xml:space="preserve">KAS KANPUS                              </v>
          </cell>
          <cell r="R2141" t="str">
            <v>Belum TL</v>
          </cell>
          <cell r="S2141" t="str">
            <v>Belum TL</v>
          </cell>
          <cell r="T2141" t="str">
            <v>90171841 - Rifqi Aziz</v>
          </cell>
          <cell r="U2141" t="str">
            <v>"-"</v>
          </cell>
        </row>
        <row r="2142">
          <cell r="A2142">
            <v>46265</v>
          </cell>
          <cell r="B2142" t="str">
            <v>TAGIHAN NOM.INTERBANK FUND TRANSFE-PRIMA</v>
          </cell>
          <cell r="C2142" t="str">
            <v>Z001141</v>
          </cell>
          <cell r="D2142">
            <v>39101000779993</v>
          </cell>
          <cell r="E2142" t="str">
            <v>SEDANG</v>
          </cell>
          <cell r="F2142" t="str">
            <v>Tidak</v>
          </cell>
          <cell r="G2142" t="str">
            <v>Tidak</v>
          </cell>
          <cell r="H2142" t="str">
            <v>Tidak</v>
          </cell>
          <cell r="I2142" t="str">
            <v>Narkotika/Psikotropika- Remark</v>
          </cell>
          <cell r="J2142">
            <v>50</v>
          </cell>
          <cell r="K2142">
            <v>9</v>
          </cell>
          <cell r="L2142" t="str">
            <v>Narkotika/Psikotropika</v>
          </cell>
          <cell r="M2142" t="str">
            <v xml:space="preserve">BAG OPERASIONAL E BANKING               </v>
          </cell>
          <cell r="N2142" t="str">
            <v xml:space="preserve">Kas Kanpus                              </v>
          </cell>
          <cell r="O2142" t="str">
            <v xml:space="preserve">KAS KANPUS                              </v>
          </cell>
          <cell r="R2142" t="str">
            <v>Belum TL</v>
          </cell>
          <cell r="S2142" t="str">
            <v>Belum TL</v>
          </cell>
          <cell r="T2142" t="str">
            <v>90150130 - Intan Aida Pratiwi</v>
          </cell>
          <cell r="U2142" t="str">
            <v>"-"</v>
          </cell>
        </row>
        <row r="2143">
          <cell r="A2143">
            <v>46265</v>
          </cell>
          <cell r="B2143" t="str">
            <v>TAGIHAN NOM.INTERBANK FUND TRANSFE-PRIMA</v>
          </cell>
          <cell r="C2143" t="str">
            <v>Z001141</v>
          </cell>
          <cell r="D2143">
            <v>39101000780994</v>
          </cell>
          <cell r="E2143" t="str">
            <v>SEDANG</v>
          </cell>
          <cell r="F2143" t="str">
            <v>Tidak</v>
          </cell>
          <cell r="G2143" t="str">
            <v>Tidak</v>
          </cell>
          <cell r="H2143" t="str">
            <v>Tidak</v>
          </cell>
          <cell r="I2143" t="str">
            <v>Narkotika/Psikotropika- Remark</v>
          </cell>
          <cell r="J2143">
            <v>50</v>
          </cell>
          <cell r="K2143">
            <v>9</v>
          </cell>
          <cell r="L2143" t="str">
            <v>Narkotika/Psikotropika</v>
          </cell>
          <cell r="M2143" t="str">
            <v xml:space="preserve">BAG OPERASIONAL E BANKING               </v>
          </cell>
          <cell r="N2143" t="str">
            <v xml:space="preserve">Kas Kanpus                              </v>
          </cell>
          <cell r="O2143" t="str">
            <v xml:space="preserve">KAS KANPUS                              </v>
          </cell>
          <cell r="R2143" t="str">
            <v>Belum TL</v>
          </cell>
          <cell r="S2143" t="str">
            <v>Belum TL</v>
          </cell>
          <cell r="T2143" t="str">
            <v>90186796 - Devito Arya Wiradila</v>
          </cell>
          <cell r="U2143" t="str">
            <v>"-"</v>
          </cell>
        </row>
        <row r="2144">
          <cell r="A2144">
            <v>46265</v>
          </cell>
          <cell r="B2144" t="str">
            <v>TAGIHAN NOM.INTERBANK FUND TRANSFE-PRIMA</v>
          </cell>
          <cell r="C2144" t="str">
            <v>Z001141</v>
          </cell>
          <cell r="D2144">
            <v>39101000781990</v>
          </cell>
          <cell r="E2144" t="str">
            <v>SEDANG</v>
          </cell>
          <cell r="F2144" t="str">
            <v>Tidak</v>
          </cell>
          <cell r="G2144" t="str">
            <v>Tidak</v>
          </cell>
          <cell r="H2144" t="str">
            <v>Tidak</v>
          </cell>
          <cell r="I2144" t="str">
            <v>Narkotika/Psikotropika- Remark</v>
          </cell>
          <cell r="J2144">
            <v>50</v>
          </cell>
          <cell r="K2144">
            <v>9</v>
          </cell>
          <cell r="L2144" t="str">
            <v>Narkotika/Psikotropika</v>
          </cell>
          <cell r="M2144" t="str">
            <v xml:space="preserve">BAG OPERASIONAL E BANKING               </v>
          </cell>
          <cell r="N2144" t="str">
            <v xml:space="preserve">Kas Kanpus                              </v>
          </cell>
          <cell r="O2144" t="str">
            <v xml:space="preserve">KAS KANPUS                              </v>
          </cell>
          <cell r="R2144" t="str">
            <v>Belum TL</v>
          </cell>
          <cell r="S2144" t="str">
            <v>Belum TL</v>
          </cell>
          <cell r="T2144" t="str">
            <v>00394521 - Muhammad Hibbanduta</v>
          </cell>
          <cell r="U2144" t="str">
            <v>"-"</v>
          </cell>
        </row>
        <row r="2145">
          <cell r="A2145">
            <v>46265</v>
          </cell>
          <cell r="B2145" t="str">
            <v>TAGIHAN NOM.INTERBANK FUND TRANSFE-PRIMA</v>
          </cell>
          <cell r="C2145" t="str">
            <v>Z001141</v>
          </cell>
          <cell r="D2145">
            <v>39101000782996</v>
          </cell>
          <cell r="E2145" t="str">
            <v>SEDANG</v>
          </cell>
          <cell r="F2145" t="str">
            <v>Tidak</v>
          </cell>
          <cell r="G2145" t="str">
            <v>Tidak</v>
          </cell>
          <cell r="H2145" t="str">
            <v>Tidak</v>
          </cell>
          <cell r="I2145" t="str">
            <v>Narkotika/Psikotropika- Remark</v>
          </cell>
          <cell r="J2145">
            <v>50</v>
          </cell>
          <cell r="K2145">
            <v>9</v>
          </cell>
          <cell r="L2145" t="str">
            <v>Narkotika/Psikotropika</v>
          </cell>
          <cell r="M2145" t="str">
            <v xml:space="preserve">BAG OPERASIONAL E BANKING               </v>
          </cell>
          <cell r="N2145" t="str">
            <v xml:space="preserve">Kas Kanpus                              </v>
          </cell>
          <cell r="O2145" t="str">
            <v xml:space="preserve">KAS KANPUS                              </v>
          </cell>
          <cell r="R2145" t="str">
            <v>Belum TL</v>
          </cell>
          <cell r="S2145" t="str">
            <v>Belum TL</v>
          </cell>
          <cell r="T2145" t="str">
            <v>90185538 - Muhammad Fahikal Auz</v>
          </cell>
          <cell r="U2145" t="str">
            <v>"-"</v>
          </cell>
        </row>
        <row r="2146">
          <cell r="A2146">
            <v>46265</v>
          </cell>
          <cell r="B2146" t="str">
            <v>TAGIHAN NOM.INTERBANK FUND TRANSFE-PRIMA</v>
          </cell>
          <cell r="C2146" t="str">
            <v>Z001141</v>
          </cell>
          <cell r="D2146">
            <v>39101000783992</v>
          </cell>
          <cell r="E2146" t="str">
            <v>SEDANG</v>
          </cell>
          <cell r="F2146" t="str">
            <v>Tidak</v>
          </cell>
          <cell r="G2146" t="str">
            <v>Tidak</v>
          </cell>
          <cell r="H2146" t="str">
            <v>Tidak</v>
          </cell>
          <cell r="I2146" t="str">
            <v>Narkotika/Psikotropika- Remark</v>
          </cell>
          <cell r="J2146">
            <v>50</v>
          </cell>
          <cell r="K2146">
            <v>9</v>
          </cell>
          <cell r="L2146" t="str">
            <v>Narkotika/Psikotropika</v>
          </cell>
          <cell r="M2146" t="str">
            <v xml:space="preserve">BAG OPERASIONAL E BANKING               </v>
          </cell>
          <cell r="N2146" t="str">
            <v xml:space="preserve">Kas Kanpus                              </v>
          </cell>
          <cell r="O2146" t="str">
            <v xml:space="preserve">KAS KANPUS                              </v>
          </cell>
          <cell r="R2146" t="str">
            <v>Belum TL</v>
          </cell>
          <cell r="S2146" t="str">
            <v>Belum TL</v>
          </cell>
          <cell r="T2146" t="str">
            <v>90170665 - Mutiara Ayuningtyas</v>
          </cell>
          <cell r="U2146" t="str">
            <v>"-"</v>
          </cell>
        </row>
        <row r="2147">
          <cell r="A2147">
            <v>46265</v>
          </cell>
          <cell r="B2147" t="str">
            <v xml:space="preserve">Ttp Nom.ATM Sharing-Trans ATM Brsama    </v>
          </cell>
          <cell r="C2147" t="str">
            <v>Z001193</v>
          </cell>
          <cell r="D2147">
            <v>39101000082998</v>
          </cell>
          <cell r="E2147" t="str">
            <v>SEDANG</v>
          </cell>
          <cell r="F2147" t="str">
            <v>Tidak</v>
          </cell>
          <cell r="G2147" t="str">
            <v>Tidak</v>
          </cell>
          <cell r="H2147" t="str">
            <v>Tidak</v>
          </cell>
          <cell r="I2147" t="str">
            <v>Narkotika/Psikotropika- Remark</v>
          </cell>
          <cell r="J2147">
            <v>50</v>
          </cell>
          <cell r="K2147">
            <v>9</v>
          </cell>
          <cell r="L2147" t="str">
            <v>Narkotika/Psikotropika</v>
          </cell>
          <cell r="M2147" t="str">
            <v xml:space="preserve">BAG OPERASIONAL E BANKING               </v>
          </cell>
          <cell r="N2147" t="str">
            <v xml:space="preserve">Kas Kanpus                              </v>
          </cell>
          <cell r="O2147" t="str">
            <v xml:space="preserve">KAS KANPUS                              </v>
          </cell>
          <cell r="R2147" t="str">
            <v>Belum TL</v>
          </cell>
          <cell r="S2147" t="str">
            <v>Belum TL</v>
          </cell>
          <cell r="T2147" t="str">
            <v>90170665 - Mutiara Ayuningtyas</v>
          </cell>
          <cell r="U2147" t="str">
            <v>"-"</v>
          </cell>
        </row>
        <row r="2148">
          <cell r="A2148">
            <v>46265</v>
          </cell>
          <cell r="B2148" t="str">
            <v xml:space="preserve">Ttp Nom.ATM Sharing-Trans ATM Brsama    </v>
          </cell>
          <cell r="C2148" t="str">
            <v>Z001193</v>
          </cell>
          <cell r="D2148">
            <v>39101000095991</v>
          </cell>
          <cell r="E2148" t="str">
            <v>SEDANG</v>
          </cell>
          <cell r="F2148" t="str">
            <v>Tidak</v>
          </cell>
          <cell r="G2148" t="str">
            <v>Tidak</v>
          </cell>
          <cell r="H2148" t="str">
            <v>Tidak</v>
          </cell>
          <cell r="I2148" t="str">
            <v>Narkotika/Psikotropika- Remark</v>
          </cell>
          <cell r="J2148">
            <v>50</v>
          </cell>
          <cell r="K2148">
            <v>9</v>
          </cell>
          <cell r="L2148" t="str">
            <v>Narkotika/Psikotropika</v>
          </cell>
          <cell r="M2148" t="str">
            <v xml:space="preserve">BAG OPERASIONAL E BANKING               </v>
          </cell>
          <cell r="N2148" t="str">
            <v xml:space="preserve">Kas Kanpus                              </v>
          </cell>
          <cell r="O2148" t="str">
            <v xml:space="preserve">KAS KANPUS                              </v>
          </cell>
          <cell r="R2148" t="str">
            <v>Belum TL</v>
          </cell>
          <cell r="S2148" t="str">
            <v>Belum TL</v>
          </cell>
          <cell r="T2148" t="str">
            <v>90171841 - Rifqi Aziz</v>
          </cell>
          <cell r="U2148" t="str">
            <v>"-"</v>
          </cell>
        </row>
        <row r="2149">
          <cell r="A2149">
            <v>46265</v>
          </cell>
          <cell r="B2149" t="str">
            <v xml:space="preserve">Ttp Nom.ATM Sharing-Trans ATM Brsama    </v>
          </cell>
          <cell r="C2149" t="str">
            <v>Z001193</v>
          </cell>
          <cell r="D2149">
            <v>39101000804992</v>
          </cell>
          <cell r="E2149" t="str">
            <v>SEDANG</v>
          </cell>
          <cell r="F2149" t="str">
            <v>Tidak</v>
          </cell>
          <cell r="G2149" t="str">
            <v>Tidak</v>
          </cell>
          <cell r="H2149" t="str">
            <v>Tidak</v>
          </cell>
          <cell r="I2149" t="str">
            <v>Narkotika/Psikotropika- Remark</v>
          </cell>
          <cell r="J2149">
            <v>50</v>
          </cell>
          <cell r="K2149">
            <v>9</v>
          </cell>
          <cell r="L2149" t="str">
            <v>Narkotika/Psikotropika</v>
          </cell>
          <cell r="M2149" t="str">
            <v xml:space="preserve">BAG OPERASIONAL E BANKING               </v>
          </cell>
          <cell r="N2149" t="str">
            <v xml:space="preserve">Kas Kanpus                              </v>
          </cell>
          <cell r="O2149" t="str">
            <v xml:space="preserve">KAS KANPUS                              </v>
          </cell>
          <cell r="R2149" t="str">
            <v>Belum TL</v>
          </cell>
          <cell r="S2149" t="str">
            <v>Belum TL</v>
          </cell>
          <cell r="T2149" t="str">
            <v>90150130 - Intan Aida Pratiwi</v>
          </cell>
          <cell r="U2149" t="str">
            <v>"-"</v>
          </cell>
        </row>
        <row r="2150">
          <cell r="A2150">
            <v>46265</v>
          </cell>
          <cell r="B2150" t="str">
            <v xml:space="preserve">Ttp Nom.ATM Sharing-Trans ATM Brsama    </v>
          </cell>
          <cell r="C2150" t="str">
            <v>Z001193</v>
          </cell>
          <cell r="D2150">
            <v>39101000891999</v>
          </cell>
          <cell r="E2150" t="str">
            <v>SEDANG</v>
          </cell>
          <cell r="F2150" t="str">
            <v>Tidak</v>
          </cell>
          <cell r="G2150" t="str">
            <v>Tidak</v>
          </cell>
          <cell r="H2150" t="str">
            <v>Tidak</v>
          </cell>
          <cell r="I2150" t="str">
            <v>Narkotika/Psikotropika- Remark</v>
          </cell>
          <cell r="J2150">
            <v>50</v>
          </cell>
          <cell r="K2150">
            <v>9</v>
          </cell>
          <cell r="L2150" t="str">
            <v>Narkotika/Psikotropika</v>
          </cell>
          <cell r="M2150" t="str">
            <v xml:space="preserve">BAG OPERASIONAL E BANKING               </v>
          </cell>
          <cell r="N2150" t="str">
            <v xml:space="preserve">Kas Kanpus                              </v>
          </cell>
          <cell r="O2150" t="str">
            <v xml:space="preserve">KAS KANPUS                              </v>
          </cell>
          <cell r="R2150" t="str">
            <v>Belum TL</v>
          </cell>
          <cell r="S2150" t="str">
            <v>Belum TL</v>
          </cell>
          <cell r="T2150" t="str">
            <v>00394520 - Frida Akbar Rani</v>
          </cell>
          <cell r="U2150" t="str">
            <v>"-"</v>
          </cell>
        </row>
        <row r="2151">
          <cell r="A2151">
            <v>46265</v>
          </cell>
          <cell r="B2151" t="str">
            <v xml:space="preserve">Ttp Nom.ATM Sharing-Trans ATM Brsama    </v>
          </cell>
          <cell r="C2151" t="str">
            <v>Z001193</v>
          </cell>
          <cell r="D2151">
            <v>39101000892995</v>
          </cell>
          <cell r="E2151" t="str">
            <v>SEDANG</v>
          </cell>
          <cell r="F2151" t="str">
            <v>Tidak</v>
          </cell>
          <cell r="G2151" t="str">
            <v>Tidak</v>
          </cell>
          <cell r="H2151" t="str">
            <v>Tidak</v>
          </cell>
          <cell r="I2151" t="str">
            <v>Narkotika/Psikotropika- Remark</v>
          </cell>
          <cell r="J2151">
            <v>50</v>
          </cell>
          <cell r="K2151">
            <v>9</v>
          </cell>
          <cell r="L2151" t="str">
            <v>Narkotika/Psikotropika</v>
          </cell>
          <cell r="M2151" t="str">
            <v xml:space="preserve">BAG OPERASIONAL E BANKING               </v>
          </cell>
          <cell r="N2151" t="str">
            <v xml:space="preserve">Kas Kanpus                              </v>
          </cell>
          <cell r="O2151" t="str">
            <v xml:space="preserve">KAS KANPUS                              </v>
          </cell>
          <cell r="R2151" t="str">
            <v>Belum TL</v>
          </cell>
          <cell r="S2151" t="str">
            <v>Belum TL</v>
          </cell>
          <cell r="T2151" t="str">
            <v>90185538 - Muhammad Fahikal Auz</v>
          </cell>
          <cell r="U2151" t="str">
            <v>"-"</v>
          </cell>
        </row>
        <row r="2152">
          <cell r="A2152">
            <v>46265</v>
          </cell>
          <cell r="B2152" t="str">
            <v xml:space="preserve">Ttp Nom.ATM Sharing-Trans ATM Brsama    </v>
          </cell>
          <cell r="C2152" t="str">
            <v>Z001193</v>
          </cell>
          <cell r="D2152">
            <v>39101000893991</v>
          </cell>
          <cell r="E2152" t="str">
            <v>SEDANG</v>
          </cell>
          <cell r="F2152" t="str">
            <v>Tidak</v>
          </cell>
          <cell r="G2152" t="str">
            <v>Tidak</v>
          </cell>
          <cell r="H2152" t="str">
            <v>Tidak</v>
          </cell>
          <cell r="I2152" t="str">
            <v>Narkotika/Psikotropika- Remark</v>
          </cell>
          <cell r="J2152">
            <v>50</v>
          </cell>
          <cell r="K2152">
            <v>9</v>
          </cell>
          <cell r="L2152" t="str">
            <v>Narkotika/Psikotropika</v>
          </cell>
          <cell r="M2152" t="str">
            <v xml:space="preserve">BAG OPERASIONAL E BANKING               </v>
          </cell>
          <cell r="N2152" t="str">
            <v xml:space="preserve">Kas Kanpus                              </v>
          </cell>
          <cell r="O2152" t="str">
            <v xml:space="preserve">KAS KANPUS                              </v>
          </cell>
          <cell r="R2152" t="str">
            <v>Belum TL</v>
          </cell>
          <cell r="S2152" t="str">
            <v>Belum TL</v>
          </cell>
          <cell r="T2152" t="str">
            <v>90171841 - Rifqi Aziz</v>
          </cell>
          <cell r="U2152" t="str">
            <v>"-"</v>
          </cell>
        </row>
        <row r="2153">
          <cell r="A2153">
            <v>46265</v>
          </cell>
          <cell r="B2153" t="str">
            <v xml:space="preserve">Ttp Nom.ATM Sharing-Trans ATM Brsama    </v>
          </cell>
          <cell r="C2153" t="str">
            <v>Z001193</v>
          </cell>
          <cell r="D2153">
            <v>39101000916993</v>
          </cell>
          <cell r="E2153" t="str">
            <v>SEDANG</v>
          </cell>
          <cell r="F2153" t="str">
            <v>Tidak</v>
          </cell>
          <cell r="G2153" t="str">
            <v>Tidak</v>
          </cell>
          <cell r="H2153" t="str">
            <v>Tidak</v>
          </cell>
          <cell r="I2153" t="str">
            <v>Narkotika/Psikotropika- Remark</v>
          </cell>
          <cell r="J2153">
            <v>50</v>
          </cell>
          <cell r="K2153">
            <v>9</v>
          </cell>
          <cell r="L2153" t="str">
            <v>Narkotika/Psikotropika</v>
          </cell>
          <cell r="M2153" t="str">
            <v xml:space="preserve">BAG OPERASIONAL E BANKING               </v>
          </cell>
          <cell r="N2153" t="str">
            <v xml:space="preserve">Kas Kanpus                              </v>
          </cell>
          <cell r="O2153" t="str">
            <v xml:space="preserve">KAS KANPUS                              </v>
          </cell>
          <cell r="R2153" t="str">
            <v>Belum TL</v>
          </cell>
          <cell r="S2153" t="str">
            <v>Belum TL</v>
          </cell>
          <cell r="T2153" t="str">
            <v>00336949 - Mochammad Al Farabi</v>
          </cell>
          <cell r="U2153" t="str">
            <v>"-"</v>
          </cell>
        </row>
        <row r="2154">
          <cell r="A2154">
            <v>46265</v>
          </cell>
          <cell r="B2154" t="str">
            <v xml:space="preserve">Ttp Nom.ATM Sharing-Trans ATM Brsama    </v>
          </cell>
          <cell r="C2154" t="str">
            <v>Z001193</v>
          </cell>
          <cell r="D2154">
            <v>39101000931993</v>
          </cell>
          <cell r="E2154" t="str">
            <v>SEDANG</v>
          </cell>
          <cell r="F2154" t="str">
            <v>Tidak</v>
          </cell>
          <cell r="G2154" t="str">
            <v>Tidak</v>
          </cell>
          <cell r="H2154" t="str">
            <v>Tidak</v>
          </cell>
          <cell r="I2154" t="str">
            <v>Narkotika/Psikotropika- Remark</v>
          </cell>
          <cell r="J2154">
            <v>50</v>
          </cell>
          <cell r="K2154">
            <v>9</v>
          </cell>
          <cell r="L2154" t="str">
            <v>Narkotika/Psikotropika</v>
          </cell>
          <cell r="M2154" t="str">
            <v xml:space="preserve">BAG OPERASIONAL E BANKING               </v>
          </cell>
          <cell r="N2154" t="str">
            <v xml:space="preserve">Kas Kanpus                              </v>
          </cell>
          <cell r="O2154" t="str">
            <v xml:space="preserve">KAS KANPUS                              </v>
          </cell>
          <cell r="R2154" t="str">
            <v>Belum TL</v>
          </cell>
          <cell r="S2154" t="str">
            <v>Belum TL</v>
          </cell>
          <cell r="T2154" t="str">
            <v>00394521 - Muhammad Hibbanduta</v>
          </cell>
          <cell r="U2154" t="str">
            <v>"-"</v>
          </cell>
        </row>
        <row r="2155">
          <cell r="A2155">
            <v>46265</v>
          </cell>
          <cell r="B2155" t="str">
            <v xml:space="preserve">Ttp Nom.ATM Sharing-Trans ATM Brsama    </v>
          </cell>
          <cell r="C2155" t="str">
            <v>Z001193</v>
          </cell>
          <cell r="D2155">
            <v>39101000932999</v>
          </cell>
          <cell r="E2155" t="str">
            <v>SEDANG</v>
          </cell>
          <cell r="F2155" t="str">
            <v>Tidak</v>
          </cell>
          <cell r="G2155" t="str">
            <v>Tidak</v>
          </cell>
          <cell r="H2155" t="str">
            <v>Tidak</v>
          </cell>
          <cell r="I2155" t="str">
            <v>Narkotika/Psikotropika- Remark</v>
          </cell>
          <cell r="J2155">
            <v>50</v>
          </cell>
          <cell r="K2155">
            <v>9</v>
          </cell>
          <cell r="L2155" t="str">
            <v>Narkotika/Psikotropika</v>
          </cell>
          <cell r="M2155" t="str">
            <v xml:space="preserve">BAG OPERASIONAL E BANKING               </v>
          </cell>
          <cell r="N2155" t="str">
            <v xml:space="preserve">Kas Kanpus                              </v>
          </cell>
          <cell r="O2155" t="str">
            <v xml:space="preserve">KAS KANPUS                              </v>
          </cell>
          <cell r="R2155" t="str">
            <v>Belum TL</v>
          </cell>
          <cell r="S2155" t="str">
            <v>Belum TL</v>
          </cell>
          <cell r="T2155" t="str">
            <v>90185537 - Moh.Khoerul Fajar Ar</v>
          </cell>
          <cell r="U2155" t="str">
            <v>"-"</v>
          </cell>
        </row>
        <row r="2156">
          <cell r="A2156">
            <v>46265</v>
          </cell>
          <cell r="B2156" t="str">
            <v xml:space="preserve">Ttp Nom.ATM Sharing-Trans ATM Brsama    </v>
          </cell>
          <cell r="C2156" t="str">
            <v>Z001193</v>
          </cell>
          <cell r="D2156">
            <v>39101000933995</v>
          </cell>
          <cell r="E2156" t="str">
            <v>SEDANG</v>
          </cell>
          <cell r="F2156" t="str">
            <v>Tidak</v>
          </cell>
          <cell r="G2156" t="str">
            <v>Tidak</v>
          </cell>
          <cell r="H2156" t="str">
            <v>Tidak</v>
          </cell>
          <cell r="I2156" t="str">
            <v>Narkotika/Psikotropika- Remark</v>
          </cell>
          <cell r="J2156">
            <v>50</v>
          </cell>
          <cell r="K2156">
            <v>9</v>
          </cell>
          <cell r="L2156" t="str">
            <v>Narkotika/Psikotropika</v>
          </cell>
          <cell r="M2156" t="str">
            <v xml:space="preserve">BAG OPERASIONAL E BANKING               </v>
          </cell>
          <cell r="N2156" t="str">
            <v xml:space="preserve">Kas Kanpus                              </v>
          </cell>
          <cell r="O2156" t="str">
            <v xml:space="preserve">KAS KANPUS                              </v>
          </cell>
          <cell r="R2156" t="str">
            <v>Belum TL</v>
          </cell>
          <cell r="S2156" t="str">
            <v>Belum TL</v>
          </cell>
          <cell r="T2156" t="str">
            <v>00394520 - Frida Akbar Rani</v>
          </cell>
          <cell r="U2156" t="str">
            <v>"-"</v>
          </cell>
        </row>
        <row r="2157">
          <cell r="A2157">
            <v>46265</v>
          </cell>
          <cell r="B2157" t="str">
            <v xml:space="preserve">YELLA AYGRESY TIARMA BR SIDABUTAR       </v>
          </cell>
          <cell r="C2157" t="str">
            <v>YRV7312</v>
          </cell>
          <cell r="D2157">
            <v>1901222639509</v>
          </cell>
          <cell r="F2157" t="str">
            <v>Tidak</v>
          </cell>
          <cell r="G2157" t="str">
            <v>Tidak</v>
          </cell>
          <cell r="H2157" t="str">
            <v>Tidak</v>
          </cell>
          <cell r="I2157" t="str">
            <v>Bandar Judol Withdrawal</v>
          </cell>
          <cell r="J2157">
            <v>35</v>
          </cell>
          <cell r="K2157" t="str">
            <v>86,88,87</v>
          </cell>
          <cell r="L2157" t="str">
            <v>Judi Online</v>
          </cell>
          <cell r="M2157" t="str">
            <v xml:space="preserve">Kas Kanpus                              </v>
          </cell>
          <cell r="N2157" t="str">
            <v xml:space="preserve">Kas Kanpus                              </v>
          </cell>
          <cell r="O2157" t="str">
            <v xml:space="preserve">KAS KANPUS                              </v>
          </cell>
          <cell r="R2157" t="str">
            <v>Belum TL</v>
          </cell>
          <cell r="S2157" t="str">
            <v>Belum TL</v>
          </cell>
          <cell r="T2157" t="str">
            <v>90170665 - Mutiara Ayuningtyas</v>
          </cell>
          <cell r="U2157" t="str">
            <v>"-"</v>
          </cell>
        </row>
        <row r="2158">
          <cell r="A2158">
            <v>46265</v>
          </cell>
          <cell r="B2158" t="str">
            <v xml:space="preserve">YE USMAN AL QADRI                       </v>
          </cell>
          <cell r="C2158" t="str">
            <v>YS42499</v>
          </cell>
          <cell r="D2158">
            <v>473801017922537</v>
          </cell>
          <cell r="E2158" t="str">
            <v>SEDANG</v>
          </cell>
          <cell r="F2158" t="str">
            <v>Ya</v>
          </cell>
          <cell r="G2158" t="str">
            <v>Tidak</v>
          </cell>
          <cell r="H2158" t="str">
            <v>Tidak</v>
          </cell>
          <cell r="I2158" t="str">
            <v>Narkotika - Area Lapas</v>
          </cell>
          <cell r="J2158">
            <v>50</v>
          </cell>
          <cell r="K2158">
            <v>46</v>
          </cell>
          <cell r="L2158" t="str">
            <v>Narkotika</v>
          </cell>
          <cell r="M2158" t="str">
            <v>UNIT SIKUR SELONG</v>
          </cell>
          <cell r="N2158" t="str">
            <v>KC Selong</v>
          </cell>
          <cell r="O2158" t="str">
            <v>Denpasar</v>
          </cell>
          <cell r="R2158" t="str">
            <v>Belum TL</v>
          </cell>
          <cell r="S2158" t="str">
            <v>Belum TL</v>
          </cell>
          <cell r="T2158" t="str">
            <v>90150130 - Intan Aida Pratiwi</v>
          </cell>
          <cell r="U2158" t="str">
            <v>"-"</v>
          </cell>
        </row>
        <row r="2159">
          <cell r="A2159">
            <v>46265</v>
          </cell>
          <cell r="B2159" t="str">
            <v xml:space="preserve">YUNIAR NOVITASATI                       </v>
          </cell>
          <cell r="C2159" t="str">
            <v>YSE1242</v>
          </cell>
          <cell r="D2159">
            <v>346001004634507</v>
          </cell>
          <cell r="F2159" t="str">
            <v>Tidak</v>
          </cell>
          <cell r="G2159" t="str">
            <v>Tidak</v>
          </cell>
          <cell r="H2159" t="str">
            <v>Tidak</v>
          </cell>
          <cell r="I2159" t="str">
            <v>Bandar Judol Depo</v>
          </cell>
          <cell r="J2159">
            <v>35</v>
          </cell>
          <cell r="K2159" t="str">
            <v>86,74,87</v>
          </cell>
          <cell r="L2159" t="str">
            <v>Judi Online</v>
          </cell>
          <cell r="M2159" t="str">
            <v xml:space="preserve">Kas Kanpus                              </v>
          </cell>
          <cell r="N2159" t="str">
            <v xml:space="preserve">Kas Kanpus                              </v>
          </cell>
          <cell r="O2159" t="str">
            <v xml:space="preserve">KAS KANPUS                              </v>
          </cell>
          <cell r="R2159" t="str">
            <v>Belum TL</v>
          </cell>
          <cell r="S2159" t="str">
            <v>Belum TL</v>
          </cell>
          <cell r="T2159" t="str">
            <v>90186790 - Muhammad Alfin Farha</v>
          </cell>
          <cell r="U2159" t="str">
            <v>"-"</v>
          </cell>
        </row>
        <row r="2160">
          <cell r="A2160">
            <v>46265</v>
          </cell>
          <cell r="B2160" t="str">
            <v xml:space="preserve">YUNI ARYANI                             </v>
          </cell>
          <cell r="C2160" t="str">
            <v>YSF1621</v>
          </cell>
          <cell r="D2160">
            <v>114501030090507</v>
          </cell>
          <cell r="F2160" t="str">
            <v>Tidak</v>
          </cell>
          <cell r="G2160" t="str">
            <v>Tidak</v>
          </cell>
          <cell r="H2160" t="str">
            <v>Tidak</v>
          </cell>
          <cell r="I2160" t="str">
            <v>Bandar Judol Depo</v>
          </cell>
          <cell r="J2160">
            <v>35</v>
          </cell>
          <cell r="K2160" t="str">
            <v>86,74,87</v>
          </cell>
          <cell r="L2160" t="str">
            <v>Judi Online</v>
          </cell>
          <cell r="M2160" t="str">
            <v xml:space="preserve">Kas Kanpus                              </v>
          </cell>
          <cell r="N2160" t="str">
            <v xml:space="preserve">Kas Kanpus                              </v>
          </cell>
          <cell r="O2160" t="str">
            <v xml:space="preserve">KAS KANPUS                              </v>
          </cell>
          <cell r="R2160" t="str">
            <v>Belum TL</v>
          </cell>
          <cell r="S2160" t="str">
            <v>Belum TL</v>
          </cell>
          <cell r="T2160" t="str">
            <v>90186796 - Devito Arya Wiradila</v>
          </cell>
          <cell r="U2160" t="str">
            <v>"-"</v>
          </cell>
        </row>
        <row r="2161">
          <cell r="A2161">
            <v>46265</v>
          </cell>
          <cell r="B2161" t="str">
            <v xml:space="preserve">YAYASAN BLUE ALLIANCE INDONESIA         </v>
          </cell>
          <cell r="C2161" t="str">
            <v>YSH8825</v>
          </cell>
          <cell r="D2161">
            <v>28101000877562</v>
          </cell>
          <cell r="F2161" t="str">
            <v>Tidak</v>
          </cell>
          <cell r="G2161" t="str">
            <v>Tidak</v>
          </cell>
          <cell r="I2161" t="str">
            <v>Terorisme - Organisasi Terorisme</v>
          </cell>
          <cell r="J2161">
            <v>153</v>
          </cell>
          <cell r="K2161">
            <v>44</v>
          </cell>
          <cell r="L2161" t="str">
            <v>Terorisme</v>
          </cell>
          <cell r="M2161" t="str">
            <v xml:space="preserve">Kas Kanpus                              </v>
          </cell>
          <cell r="N2161" t="str">
            <v xml:space="preserve">Kas Kanpus                              </v>
          </cell>
          <cell r="O2161" t="str">
            <v xml:space="preserve">KAS KANPUS                              </v>
          </cell>
          <cell r="R2161" t="str">
            <v>Belum TL</v>
          </cell>
          <cell r="S2161" t="str">
            <v>Belum TL</v>
          </cell>
          <cell r="T2161" t="str">
            <v>90171841 - Rifqi Aziz</v>
          </cell>
          <cell r="U2161" t="str">
            <v>"-"</v>
          </cell>
        </row>
        <row r="2162">
          <cell r="A2162">
            <v>46265</v>
          </cell>
          <cell r="B2162" t="str">
            <v xml:space="preserve">YOSEF TIANLINATA                        </v>
          </cell>
          <cell r="C2162" t="str">
            <v>YSI6431</v>
          </cell>
          <cell r="D2162">
            <v>119101023211501</v>
          </cell>
          <cell r="F2162" t="str">
            <v>Tidak</v>
          </cell>
          <cell r="G2162" t="str">
            <v>Tidak</v>
          </cell>
          <cell r="H2162" t="str">
            <v>Tidak</v>
          </cell>
          <cell r="I2162" t="str">
            <v>Bandar Judol Withdrawal</v>
          </cell>
          <cell r="J2162">
            <v>35</v>
          </cell>
          <cell r="K2162" t="str">
            <v>86,88,87</v>
          </cell>
          <cell r="L2162" t="str">
            <v>Judi Online</v>
          </cell>
          <cell r="M2162" t="str">
            <v xml:space="preserve">Kas Kanpus                              </v>
          </cell>
          <cell r="N2162" t="str">
            <v xml:space="preserve">Kas Kanpus                              </v>
          </cell>
          <cell r="O2162" t="str">
            <v xml:space="preserve">KAS KANPUS                              </v>
          </cell>
          <cell r="R2162" t="str">
            <v>Belum TL</v>
          </cell>
          <cell r="S2162" t="str">
            <v>Belum TL</v>
          </cell>
          <cell r="T2162" t="str">
            <v>90170665 - Mutiara Ayuningtyas</v>
          </cell>
          <cell r="U2162" t="str">
            <v>"-"</v>
          </cell>
        </row>
        <row r="2163">
          <cell r="A2163">
            <v>46265</v>
          </cell>
          <cell r="B2163" t="str">
            <v xml:space="preserve">YULIANA                                 </v>
          </cell>
          <cell r="C2163" t="str">
            <v>YSI8554</v>
          </cell>
          <cell r="D2163">
            <v>43401051241505</v>
          </cell>
          <cell r="F2163" t="str">
            <v>Tidak</v>
          </cell>
          <cell r="G2163" t="str">
            <v>Tidak</v>
          </cell>
          <cell r="H2163" t="str">
            <v>Tidak</v>
          </cell>
          <cell r="I2163" t="str">
            <v>Bandar Judol Withdrawal</v>
          </cell>
          <cell r="J2163">
            <v>35</v>
          </cell>
          <cell r="K2163" t="str">
            <v>86,88,87</v>
          </cell>
          <cell r="L2163" t="str">
            <v>Judi Online</v>
          </cell>
          <cell r="M2163" t="str">
            <v xml:space="preserve">Kas Kanpus                              </v>
          </cell>
          <cell r="N2163" t="str">
            <v xml:space="preserve">Kas Kanpus                              </v>
          </cell>
          <cell r="O2163" t="str">
            <v xml:space="preserve">KAS KANPUS                              </v>
          </cell>
          <cell r="R2163" t="str">
            <v>Belum TL</v>
          </cell>
          <cell r="S2163" t="str">
            <v>Belum TL</v>
          </cell>
          <cell r="T2163" t="str">
            <v>90186790 - Muhammad Alfin Farha</v>
          </cell>
          <cell r="U2163" t="str">
            <v>"-"</v>
          </cell>
        </row>
        <row r="2164">
          <cell r="A2164">
            <v>46265</v>
          </cell>
          <cell r="B2164" t="str">
            <v xml:space="preserve">YOGA LEO PRATAMA                        </v>
          </cell>
          <cell r="C2164" t="str">
            <v>YSO2972</v>
          </cell>
          <cell r="D2164">
            <v>39501042986502</v>
          </cell>
          <cell r="F2164" t="str">
            <v>Tidak</v>
          </cell>
          <cell r="G2164" t="str">
            <v>Tidak</v>
          </cell>
          <cell r="H2164" t="str">
            <v>Tidak</v>
          </cell>
          <cell r="I2164" t="str">
            <v>Bandar Judol Withdrawal</v>
          </cell>
          <cell r="J2164">
            <v>35</v>
          </cell>
          <cell r="K2164" t="str">
            <v>86,88,87</v>
          </cell>
          <cell r="L2164" t="str">
            <v>Judi Online</v>
          </cell>
          <cell r="M2164" t="str">
            <v xml:space="preserve">Kas Kanpus                              </v>
          </cell>
          <cell r="N2164" t="str">
            <v xml:space="preserve">Kas Kanpus                              </v>
          </cell>
          <cell r="O2164" t="str">
            <v xml:space="preserve">KAS KANPUS                              </v>
          </cell>
          <cell r="R2164" t="str">
            <v>Belum TL</v>
          </cell>
          <cell r="S2164" t="str">
            <v>Belum TL</v>
          </cell>
          <cell r="T2164" t="str">
            <v>90186790 - Muhammad Alfin Farha</v>
          </cell>
          <cell r="U2164" t="str">
            <v>"-"</v>
          </cell>
        </row>
        <row r="2165">
          <cell r="A2165">
            <v>46265</v>
          </cell>
          <cell r="B2165" t="str">
            <v xml:space="preserve">YENI                                    </v>
          </cell>
          <cell r="C2165" t="str">
            <v>YSP0759</v>
          </cell>
          <cell r="D2165">
            <v>114901019308509</v>
          </cell>
          <cell r="F2165" t="str">
            <v>Tidak</v>
          </cell>
          <cell r="G2165" t="str">
            <v>Tidak</v>
          </cell>
          <cell r="H2165" t="str">
            <v>Tidak</v>
          </cell>
          <cell r="I2165" t="str">
            <v>Bandar Judol Withdrawal</v>
          </cell>
          <cell r="J2165">
            <v>35</v>
          </cell>
          <cell r="K2165" t="str">
            <v>86,88,87</v>
          </cell>
          <cell r="L2165" t="str">
            <v>Judi Online</v>
          </cell>
          <cell r="M2165" t="str">
            <v xml:space="preserve">Kas Kanpus                              </v>
          </cell>
          <cell r="N2165" t="str">
            <v xml:space="preserve">Kas Kanpus                              </v>
          </cell>
          <cell r="O2165" t="str">
            <v xml:space="preserve">KAS KANPUS                              </v>
          </cell>
          <cell r="R2165" t="str">
            <v>Belum TL</v>
          </cell>
          <cell r="S2165" t="str">
            <v>Belum TL</v>
          </cell>
          <cell r="T2165" t="str">
            <v>90171841 - Rifqi Aziz</v>
          </cell>
          <cell r="U2165" t="str">
            <v>"-"</v>
          </cell>
        </row>
        <row r="2166">
          <cell r="A2166">
            <v>46265</v>
          </cell>
          <cell r="B2166" t="str">
            <v xml:space="preserve">YANUAR ADITIA                           </v>
          </cell>
          <cell r="C2166" t="str">
            <v>YSU7799</v>
          </cell>
          <cell r="D2166">
            <v>731101004314504</v>
          </cell>
          <cell r="F2166" t="str">
            <v>Tidak</v>
          </cell>
          <cell r="G2166" t="str">
            <v>Tidak</v>
          </cell>
          <cell r="H2166" t="str">
            <v>Tidak</v>
          </cell>
          <cell r="I2166" t="str">
            <v>Bandar Judol Depo</v>
          </cell>
          <cell r="J2166">
            <v>35</v>
          </cell>
          <cell r="K2166" t="str">
            <v>86,74,87</v>
          </cell>
          <cell r="L2166" t="str">
            <v>Judi Online</v>
          </cell>
          <cell r="M2166" t="str">
            <v xml:space="preserve">Kas Kanpus                              </v>
          </cell>
          <cell r="N2166" t="str">
            <v xml:space="preserve">Kas Kanpus                              </v>
          </cell>
          <cell r="O2166" t="str">
            <v xml:space="preserve">KAS KANPUS                              </v>
          </cell>
          <cell r="R2166" t="str">
            <v>Belum TL</v>
          </cell>
          <cell r="S2166" t="str">
            <v>Belum TL</v>
          </cell>
          <cell r="T2166" t="str">
            <v>00336949 - Mochammad Al Farabi</v>
          </cell>
          <cell r="U2166" t="str">
            <v>"-"</v>
          </cell>
        </row>
        <row r="2167">
          <cell r="A2167">
            <v>46265</v>
          </cell>
          <cell r="B2167" t="str">
            <v xml:space="preserve">YUDA AL FAREL                           </v>
          </cell>
          <cell r="C2167" t="str">
            <v>YSV0063</v>
          </cell>
          <cell r="D2167">
            <v>95901014773505</v>
          </cell>
          <cell r="F2167" t="str">
            <v>Tidak</v>
          </cell>
          <cell r="G2167" t="str">
            <v>Tidak</v>
          </cell>
          <cell r="H2167" t="str">
            <v>Tidak</v>
          </cell>
          <cell r="I2167" t="str">
            <v>Bandar Judol Withdrawal</v>
          </cell>
          <cell r="J2167">
            <v>35</v>
          </cell>
          <cell r="K2167" t="str">
            <v>86,88,87</v>
          </cell>
          <cell r="L2167" t="str">
            <v>Judi Online</v>
          </cell>
          <cell r="M2167" t="str">
            <v xml:space="preserve">Kas Kanpus                              </v>
          </cell>
          <cell r="N2167" t="str">
            <v xml:space="preserve">Kas Kanpus                              </v>
          </cell>
          <cell r="O2167" t="str">
            <v xml:space="preserve">KAS KANPUS                              </v>
          </cell>
          <cell r="R2167" t="str">
            <v>Belum TL</v>
          </cell>
          <cell r="S2167" t="str">
            <v>Belum TL</v>
          </cell>
          <cell r="T2167" t="str">
            <v>00394520 - Frida Akbar Rani</v>
          </cell>
          <cell r="U2167" t="str">
            <v>"-"</v>
          </cell>
        </row>
        <row r="2168">
          <cell r="A2168">
            <v>46265</v>
          </cell>
          <cell r="B2168" t="str">
            <v xml:space="preserve">YULI YULIANTI                           </v>
          </cell>
          <cell r="C2168" t="str">
            <v>YSV1952</v>
          </cell>
          <cell r="D2168">
            <v>77201052192537</v>
          </cell>
          <cell r="F2168" t="str">
            <v>Tidak</v>
          </cell>
          <cell r="G2168" t="str">
            <v>Tidak</v>
          </cell>
          <cell r="H2168" t="str">
            <v>Tidak</v>
          </cell>
          <cell r="I2168" t="str">
            <v>Bandar Judol Withdrawal</v>
          </cell>
          <cell r="J2168">
            <v>35</v>
          </cell>
          <cell r="K2168" t="str">
            <v>86,88,87</v>
          </cell>
          <cell r="L2168" t="str">
            <v>Judi Online</v>
          </cell>
          <cell r="M2168" t="str">
            <v xml:space="preserve">Kas Kanpus                              </v>
          </cell>
          <cell r="N2168" t="str">
            <v xml:space="preserve">Kas Kanpus                              </v>
          </cell>
          <cell r="O2168" t="str">
            <v xml:space="preserve">KAS KANPUS                              </v>
          </cell>
          <cell r="R2168" t="str">
            <v>Belum TL</v>
          </cell>
          <cell r="S2168" t="str">
            <v>Belum TL</v>
          </cell>
          <cell r="T2168" t="str">
            <v>90186790 - Muhammad Alfin Farha</v>
          </cell>
          <cell r="U2168" t="str">
            <v>"-"</v>
          </cell>
        </row>
        <row r="2169">
          <cell r="A2169">
            <v>46253</v>
          </cell>
          <cell r="B2169" t="str">
            <v xml:space="preserve">YA QAIDAR ADHAN MURAHIM                 </v>
          </cell>
          <cell r="C2169" t="str">
            <v>YT00859</v>
          </cell>
          <cell r="D2169">
            <v>7101064683508</v>
          </cell>
          <cell r="E2169" t="str">
            <v>SEDANG</v>
          </cell>
          <cell r="F2169" t="str">
            <v>Tidak</v>
          </cell>
          <cell r="G2169" t="str">
            <v>Tidak</v>
          </cell>
          <cell r="I2169" t="str">
            <v>Teroris - Remark</v>
          </cell>
          <cell r="J2169">
            <v>168</v>
          </cell>
          <cell r="K2169">
            <v>50</v>
          </cell>
          <cell r="L2169" t="str">
            <v>Terorisme</v>
          </cell>
          <cell r="M2169" t="str">
            <v xml:space="preserve">Kas Kanpus                              </v>
          </cell>
          <cell r="N2169" t="str">
            <v xml:space="preserve">Kas Kanpus                              </v>
          </cell>
          <cell r="O2169" t="str">
            <v xml:space="preserve">KAS KANPUS                              </v>
          </cell>
          <cell r="R2169" t="str">
            <v>Belum TL</v>
          </cell>
          <cell r="S2169" t="str">
            <v>Belum TL</v>
          </cell>
          <cell r="T2169" t="str">
            <v>00394520 - Frida Akbar Rani</v>
          </cell>
          <cell r="U2169" t="str">
            <v>"-"</v>
          </cell>
        </row>
        <row r="2170">
          <cell r="A2170">
            <v>46265</v>
          </cell>
          <cell r="B2170" t="str">
            <v xml:space="preserve">YAYASAN MEUTIA HATTA SWASONO            </v>
          </cell>
          <cell r="C2170" t="str">
            <v>YTC3651</v>
          </cell>
          <cell r="D2170">
            <v>94201000033564</v>
          </cell>
          <cell r="F2170" t="str">
            <v>Tidak</v>
          </cell>
          <cell r="G2170" t="str">
            <v>Tidak</v>
          </cell>
          <cell r="H2170" t="str">
            <v>Tidak</v>
          </cell>
          <cell r="I2170" t="str">
            <v>Perpajakan</v>
          </cell>
          <cell r="J2170">
            <v>33</v>
          </cell>
          <cell r="K2170">
            <v>41</v>
          </cell>
          <cell r="L2170" t="str">
            <v>Perpajakan</v>
          </cell>
          <cell r="M2170" t="str">
            <v xml:space="preserve">UNIT WARAKAS                            </v>
          </cell>
          <cell r="N2170" t="str">
            <v xml:space="preserve">KC Jakarta Tanjung Priok                </v>
          </cell>
          <cell r="O2170" t="str">
            <v xml:space="preserve">DKI                                     </v>
          </cell>
          <cell r="R2170" t="str">
            <v>Belum TL</v>
          </cell>
          <cell r="S2170" t="str">
            <v>Belum TL</v>
          </cell>
          <cell r="T2170" t="str">
            <v>90186796 - Devito Arya Wiradila</v>
          </cell>
          <cell r="U2170" t="str">
            <v>"-"</v>
          </cell>
        </row>
        <row r="2171">
          <cell r="A2171">
            <v>46265</v>
          </cell>
          <cell r="B2171" t="str">
            <v xml:space="preserve">YOHANES AMBAR S                         </v>
          </cell>
          <cell r="C2171" t="str">
            <v>YU91079</v>
          </cell>
          <cell r="D2171">
            <v>26701013577109</v>
          </cell>
          <cell r="E2171" t="str">
            <v>RENDAH</v>
          </cell>
          <cell r="F2171" t="str">
            <v>Tidak</v>
          </cell>
          <cell r="G2171" t="str">
            <v>Tidak</v>
          </cell>
          <cell r="H2171" t="str">
            <v>Tidak</v>
          </cell>
          <cell r="I2171" t="str">
            <v>Korupsi - Loan View</v>
          </cell>
          <cell r="J2171">
            <v>33</v>
          </cell>
          <cell r="K2171">
            <v>15</v>
          </cell>
          <cell r="L2171" t="str">
            <v>Korupsi</v>
          </cell>
          <cell r="M2171" t="str">
            <v>Kas Kanpus</v>
          </cell>
          <cell r="N2171" t="str">
            <v>Kas Kanpus</v>
          </cell>
          <cell r="O2171" t="str">
            <v>KAS KANPUS</v>
          </cell>
          <cell r="R2171" t="str">
            <v>Belum TL</v>
          </cell>
          <cell r="S2171" t="str">
            <v>Belum TL</v>
          </cell>
          <cell r="T2171" t="str">
            <v>00394520 - Frida Akbar Rani</v>
          </cell>
          <cell r="U2171" t="str">
            <v>"-"</v>
          </cell>
        </row>
        <row r="2172">
          <cell r="A2172">
            <v>46265</v>
          </cell>
          <cell r="B2172" t="str">
            <v xml:space="preserve">YAYASAN PETRASA                         </v>
          </cell>
          <cell r="C2172" t="str">
            <v>YV31913</v>
          </cell>
          <cell r="D2172">
            <v>19401001530306</v>
          </cell>
          <cell r="E2172" t="str">
            <v>SEDANG</v>
          </cell>
          <cell r="F2172" t="str">
            <v>Tidak</v>
          </cell>
          <cell r="G2172" t="str">
            <v>Tidak</v>
          </cell>
          <cell r="I2172" t="str">
            <v>Terorisme - Organisasi Terorisme</v>
          </cell>
          <cell r="J2172">
            <v>168</v>
          </cell>
          <cell r="K2172">
            <v>44</v>
          </cell>
          <cell r="L2172" t="str">
            <v>Terorisme</v>
          </cell>
          <cell r="M2172" t="str">
            <v xml:space="preserve">Kas Kanpus                              </v>
          </cell>
          <cell r="N2172" t="str">
            <v xml:space="preserve">Kas Kanpus                              </v>
          </cell>
          <cell r="O2172" t="str">
            <v xml:space="preserve">KAS KANPUS                              </v>
          </cell>
          <cell r="R2172" t="str">
            <v>Belum TL</v>
          </cell>
          <cell r="S2172" t="str">
            <v>Belum TL</v>
          </cell>
          <cell r="T2172" t="str">
            <v>00394520 - Frida Akbar Rani</v>
          </cell>
          <cell r="U2172" t="str">
            <v>"-"</v>
          </cell>
        </row>
        <row r="2173">
          <cell r="A2173">
            <v>46265</v>
          </cell>
          <cell r="B2173" t="str">
            <v xml:space="preserve">YOSUA YOSEF                             </v>
          </cell>
          <cell r="C2173" t="str">
            <v>YRT2391</v>
          </cell>
          <cell r="D2173">
            <v>76901016607503</v>
          </cell>
          <cell r="F2173" t="str">
            <v>Tidak</v>
          </cell>
          <cell r="G2173" t="str">
            <v>Tidak</v>
          </cell>
          <cell r="H2173" t="str">
            <v>Tidak</v>
          </cell>
          <cell r="I2173" t="str">
            <v>Bandar Judol Withdrawal</v>
          </cell>
          <cell r="J2173">
            <v>35</v>
          </cell>
          <cell r="K2173" t="str">
            <v>86,88,87</v>
          </cell>
          <cell r="L2173" t="str">
            <v>Judi Online</v>
          </cell>
          <cell r="M2173" t="str">
            <v xml:space="preserve">Kas Kanpus                              </v>
          </cell>
          <cell r="N2173" t="str">
            <v xml:space="preserve">Kas Kanpus                              </v>
          </cell>
          <cell r="O2173" t="str">
            <v xml:space="preserve">KAS KANPUS                              </v>
          </cell>
          <cell r="R2173" t="str">
            <v>Belum TL</v>
          </cell>
          <cell r="S2173" t="str">
            <v>Belum TL</v>
          </cell>
          <cell r="T2173" t="str">
            <v>90186790 - Muhammad Alfin Farha</v>
          </cell>
          <cell r="U2173" t="str">
            <v>"-"</v>
          </cell>
        </row>
        <row r="2174">
          <cell r="A2174">
            <v>46265</v>
          </cell>
          <cell r="B2174" t="str">
            <v xml:space="preserve">YANIS AKBAR                             </v>
          </cell>
          <cell r="C2174" t="str">
            <v>YRT8064</v>
          </cell>
          <cell r="D2174">
            <v>63801001087563</v>
          </cell>
          <cell r="F2174" t="str">
            <v>Tidak</v>
          </cell>
          <cell r="G2174" t="str">
            <v>Tidak</v>
          </cell>
          <cell r="H2174" t="str">
            <v>Tidak</v>
          </cell>
          <cell r="I2174" t="str">
            <v>Bandar Judol Depo</v>
          </cell>
          <cell r="J2174">
            <v>35</v>
          </cell>
          <cell r="K2174" t="str">
            <v>86,74,87</v>
          </cell>
          <cell r="L2174" t="str">
            <v>Judi Online</v>
          </cell>
          <cell r="M2174" t="str">
            <v xml:space="preserve">Kas Kanpus                              </v>
          </cell>
          <cell r="N2174" t="str">
            <v xml:space="preserve">Kas Kanpus                              </v>
          </cell>
          <cell r="O2174" t="str">
            <v xml:space="preserve">KAS KANPUS                              </v>
          </cell>
          <cell r="R2174" t="str">
            <v>Belum TL</v>
          </cell>
          <cell r="S2174" t="str">
            <v>Belum TL</v>
          </cell>
          <cell r="T2174" t="str">
            <v>00394521 - Muhammad Hibbanduta</v>
          </cell>
          <cell r="U2174" t="str">
            <v>"-"</v>
          </cell>
        </row>
        <row r="2175">
          <cell r="A2175">
            <v>46265</v>
          </cell>
          <cell r="B2175" t="str">
            <v xml:space="preserve">YAYASAN BAPTIS INDEPENDENT INDONESIA    </v>
          </cell>
          <cell r="C2175" t="str">
            <v>YW06116</v>
          </cell>
          <cell r="D2175">
            <v>808801000837536</v>
          </cell>
          <cell r="E2175" t="str">
            <v>SEDANG</v>
          </cell>
          <cell r="F2175" t="str">
            <v>Tidak</v>
          </cell>
          <cell r="G2175" t="str">
            <v>Tidak</v>
          </cell>
          <cell r="H2175" t="str">
            <v>Tidak</v>
          </cell>
          <cell r="I2175" t="str">
            <v>Terorisme - Organisasi Terorisme</v>
          </cell>
          <cell r="J2175">
            <v>170</v>
          </cell>
          <cell r="K2175">
            <v>51</v>
          </cell>
          <cell r="L2175" t="str">
            <v>Terorisme</v>
          </cell>
          <cell r="M2175" t="str">
            <v xml:space="preserve">Kas Kanpus                              </v>
          </cell>
          <cell r="N2175" t="str">
            <v xml:space="preserve">Kas Kanpus                              </v>
          </cell>
          <cell r="O2175" t="str">
            <v xml:space="preserve">KAS KANPUS                              </v>
          </cell>
          <cell r="R2175" t="str">
            <v>Belum TL</v>
          </cell>
          <cell r="S2175" t="str">
            <v>Belum TL</v>
          </cell>
          <cell r="T2175" t="str">
            <v>00394521 - Muhammad Hibbanduta</v>
          </cell>
          <cell r="U2175" t="str">
            <v>"-"</v>
          </cell>
        </row>
        <row r="2176">
          <cell r="A2176">
            <v>46265</v>
          </cell>
          <cell r="B2176" t="str">
            <v xml:space="preserve">YADIN ALI                               </v>
          </cell>
          <cell r="C2176" t="str">
            <v>YW62556</v>
          </cell>
          <cell r="D2176">
            <v>496301029375535</v>
          </cell>
          <cell r="E2176" t="str">
            <v>SEDANG</v>
          </cell>
          <cell r="F2176" t="str">
            <v>Ya</v>
          </cell>
          <cell r="G2176" t="str">
            <v>Tidak</v>
          </cell>
          <cell r="H2176" t="str">
            <v>Tidak</v>
          </cell>
          <cell r="I2176" t="str">
            <v>Bandar Judol Depo</v>
          </cell>
          <cell r="J2176">
            <v>50</v>
          </cell>
          <cell r="K2176" t="str">
            <v>86,74,87</v>
          </cell>
          <cell r="L2176" t="str">
            <v>Judi Online</v>
          </cell>
          <cell r="M2176" t="str">
            <v xml:space="preserve">Kas Kanpus                              </v>
          </cell>
          <cell r="N2176" t="str">
            <v xml:space="preserve">Kas Kanpus                              </v>
          </cell>
          <cell r="O2176" t="str">
            <v xml:space="preserve">KAS KANPUS                              </v>
          </cell>
          <cell r="R2176" t="str">
            <v>Belum TL</v>
          </cell>
          <cell r="S2176" t="str">
            <v>Belum TL</v>
          </cell>
          <cell r="T2176" t="str">
            <v>90186790 - Muhammad Alfin Farha</v>
          </cell>
          <cell r="U2176" t="str">
            <v>"-"</v>
          </cell>
        </row>
        <row r="2177">
          <cell r="A2177">
            <v>46265</v>
          </cell>
          <cell r="B2177" t="str">
            <v xml:space="preserve">PERANTARA IA AGING - DEBET              </v>
          </cell>
          <cell r="C2177" t="str">
            <v>Z001331</v>
          </cell>
          <cell r="D2177">
            <v>544701000032995</v>
          </cell>
          <cell r="E2177" t="str">
            <v>SEDANG</v>
          </cell>
          <cell r="F2177" t="str">
            <v>Tidak</v>
          </cell>
          <cell r="G2177" t="str">
            <v>Tidak</v>
          </cell>
          <cell r="H2177" t="str">
            <v>Tidak</v>
          </cell>
          <cell r="I2177" t="str">
            <v>Narkotika/Psikotropika- Remark</v>
          </cell>
          <cell r="J2177">
            <v>48</v>
          </cell>
          <cell r="K2177">
            <v>9</v>
          </cell>
          <cell r="L2177" t="str">
            <v>Narkotika/Psikotropika</v>
          </cell>
          <cell r="M2177" t="str">
            <v xml:space="preserve">UNIT KINALI SIMPANG EMPAT               </v>
          </cell>
          <cell r="N2177" t="str">
            <v xml:space="preserve">KC Simpang Empat                        </v>
          </cell>
          <cell r="O2177" t="str">
            <v xml:space="preserve">Padang                                  </v>
          </cell>
          <cell r="R2177" t="str">
            <v>Belum TL</v>
          </cell>
          <cell r="S2177" t="str">
            <v>Belum TL</v>
          </cell>
          <cell r="T2177" t="str">
            <v>00336949 - Mochammad Al Farabi</v>
          </cell>
          <cell r="U2177" t="str">
            <v>"-"</v>
          </cell>
        </row>
        <row r="2178">
          <cell r="A2178">
            <v>46265</v>
          </cell>
          <cell r="B2178" t="str">
            <v xml:space="preserve">PERANTARA IA AGING - DEBET              </v>
          </cell>
          <cell r="C2178" t="str">
            <v>Z001331</v>
          </cell>
          <cell r="D2178">
            <v>547101000052990</v>
          </cell>
          <cell r="E2178" t="str">
            <v>SEDANG</v>
          </cell>
          <cell r="F2178" t="str">
            <v>Tidak</v>
          </cell>
          <cell r="G2178" t="str">
            <v>Tidak</v>
          </cell>
          <cell r="H2178" t="str">
            <v>Tidak</v>
          </cell>
          <cell r="I2178" t="str">
            <v>Narkotika/Psikotropika- Remark</v>
          </cell>
          <cell r="J2178">
            <v>48</v>
          </cell>
          <cell r="K2178">
            <v>9</v>
          </cell>
          <cell r="L2178" t="str">
            <v>Narkotika/Psikotropika</v>
          </cell>
          <cell r="M2178" t="str">
            <v xml:space="preserve">UNIT PASAR RAYA                         </v>
          </cell>
          <cell r="N2178" t="str">
            <v xml:space="preserve">KC Khatib Sulaiman                      </v>
          </cell>
          <cell r="O2178" t="str">
            <v xml:space="preserve">Padang                                  </v>
          </cell>
          <cell r="R2178" t="str">
            <v>Belum TL</v>
          </cell>
          <cell r="S2178" t="str">
            <v>Belum TL</v>
          </cell>
          <cell r="T2178" t="str">
            <v>00394521 - Muhammad Hibbanduta</v>
          </cell>
          <cell r="U2178" t="str">
            <v>"-"</v>
          </cell>
        </row>
        <row r="2179">
          <cell r="A2179">
            <v>46265</v>
          </cell>
          <cell r="B2179" t="str">
            <v xml:space="preserve">Titipan Fee Pendapatan Briva            </v>
          </cell>
          <cell r="C2179" t="str">
            <v>Z001364</v>
          </cell>
          <cell r="D2179">
            <v>39101000154999</v>
          </cell>
          <cell r="E2179" t="str">
            <v>SEDANG</v>
          </cell>
          <cell r="F2179" t="str">
            <v>Tidak</v>
          </cell>
          <cell r="G2179" t="str">
            <v>Tidak</v>
          </cell>
          <cell r="H2179" t="str">
            <v>Tidak</v>
          </cell>
          <cell r="I2179" t="str">
            <v>Narkotika/Psikotropika- Remark</v>
          </cell>
          <cell r="J2179">
            <v>50</v>
          </cell>
          <cell r="K2179">
            <v>9</v>
          </cell>
          <cell r="L2179" t="str">
            <v>Narkotika/Psikotropika</v>
          </cell>
          <cell r="M2179" t="str">
            <v xml:space="preserve">BAG OPERASIONAL E BANKING               </v>
          </cell>
          <cell r="N2179" t="str">
            <v xml:space="preserve">Kas Kanpus                              </v>
          </cell>
          <cell r="O2179" t="str">
            <v xml:space="preserve">KAS KANPUS                              </v>
          </cell>
          <cell r="R2179" t="str">
            <v>Belum TL</v>
          </cell>
          <cell r="S2179" t="str">
            <v>Belum TL</v>
          </cell>
          <cell r="T2179" t="str">
            <v>00394520 - Frida Akbar Rani</v>
          </cell>
          <cell r="U2179" t="str">
            <v>"-"</v>
          </cell>
        </row>
        <row r="2180">
          <cell r="A2180">
            <v>46265</v>
          </cell>
          <cell r="B2180" t="str">
            <v xml:space="preserve">Tagihan Transfer ATM Bersama            </v>
          </cell>
          <cell r="C2180" t="str">
            <v>Z001420</v>
          </cell>
          <cell r="D2180">
            <v>39101000348996</v>
          </cell>
          <cell r="E2180" t="str">
            <v>SEDANG</v>
          </cell>
          <cell r="F2180" t="str">
            <v>Tidak</v>
          </cell>
          <cell r="G2180" t="str">
            <v>Tidak</v>
          </cell>
          <cell r="H2180" t="str">
            <v>Tidak</v>
          </cell>
          <cell r="I2180" t="str">
            <v>Narkotika/Psikotropika- Remark</v>
          </cell>
          <cell r="J2180">
            <v>50</v>
          </cell>
          <cell r="K2180">
            <v>9</v>
          </cell>
          <cell r="L2180" t="str">
            <v>Narkotika/Psikotropika</v>
          </cell>
          <cell r="M2180" t="str">
            <v xml:space="preserve">BAG OPERASIONAL E BANKING               </v>
          </cell>
          <cell r="N2180" t="str">
            <v xml:space="preserve">Kas Kanpus                              </v>
          </cell>
          <cell r="O2180" t="str">
            <v xml:space="preserve">KAS KANPUS                              </v>
          </cell>
          <cell r="R2180" t="str">
            <v>Belum TL</v>
          </cell>
          <cell r="S2180" t="str">
            <v>Belum TL</v>
          </cell>
          <cell r="T2180" t="str">
            <v>90186796 - Devito Arya Wiradila</v>
          </cell>
          <cell r="U2180" t="str">
            <v>"-"</v>
          </cell>
        </row>
        <row r="2181">
          <cell r="A2181">
            <v>46265</v>
          </cell>
          <cell r="B2181" t="str">
            <v xml:space="preserve">Tagihan Transfer ATM Bersama            </v>
          </cell>
          <cell r="C2181" t="str">
            <v>Z001420</v>
          </cell>
          <cell r="D2181">
            <v>39101000817995</v>
          </cell>
          <cell r="E2181" t="str">
            <v>SEDANG</v>
          </cell>
          <cell r="F2181" t="str">
            <v>Tidak</v>
          </cell>
          <cell r="G2181" t="str">
            <v>Tidak</v>
          </cell>
          <cell r="H2181" t="str">
            <v>Tidak</v>
          </cell>
          <cell r="I2181" t="str">
            <v>Narkotika/Psikotropika- Remark</v>
          </cell>
          <cell r="J2181">
            <v>50</v>
          </cell>
          <cell r="K2181">
            <v>9</v>
          </cell>
          <cell r="L2181" t="str">
            <v>Narkotika/Psikotropika</v>
          </cell>
          <cell r="M2181" t="str">
            <v xml:space="preserve">BAG OPERASIONAL E BANKING               </v>
          </cell>
          <cell r="N2181" t="str">
            <v xml:space="preserve">Kas Kanpus                              </v>
          </cell>
          <cell r="O2181" t="str">
            <v xml:space="preserve">KAS KANPUS                              </v>
          </cell>
          <cell r="R2181" t="str">
            <v>Belum TL</v>
          </cell>
          <cell r="S2181" t="str">
            <v>Belum TL</v>
          </cell>
          <cell r="T2181" t="str">
            <v>90186790 - Muhammad Alfin Farha</v>
          </cell>
          <cell r="U2181" t="str">
            <v>"-"</v>
          </cell>
        </row>
        <row r="2182">
          <cell r="A2182">
            <v>46265</v>
          </cell>
          <cell r="B2182" t="str">
            <v xml:space="preserve">Tagihan Transfer ATM Bersama            </v>
          </cell>
          <cell r="C2182" t="str">
            <v>Z001420</v>
          </cell>
          <cell r="D2182">
            <v>39101000818991</v>
          </cell>
          <cell r="E2182" t="str">
            <v>SEDANG</v>
          </cell>
          <cell r="F2182" t="str">
            <v>Tidak</v>
          </cell>
          <cell r="G2182" t="str">
            <v>Tidak</v>
          </cell>
          <cell r="H2182" t="str">
            <v>Tidak</v>
          </cell>
          <cell r="I2182" t="str">
            <v>Narkotika/Psikotropika- Remark</v>
          </cell>
          <cell r="J2182">
            <v>50</v>
          </cell>
          <cell r="K2182">
            <v>9</v>
          </cell>
          <cell r="L2182" t="str">
            <v>Narkotika/Psikotropika</v>
          </cell>
          <cell r="M2182" t="str">
            <v xml:space="preserve">BAG OPERASIONAL E BANKING               </v>
          </cell>
          <cell r="N2182" t="str">
            <v xml:space="preserve">Kas Kanpus                              </v>
          </cell>
          <cell r="O2182" t="str">
            <v xml:space="preserve">KAS KANPUS                              </v>
          </cell>
          <cell r="R2182" t="str">
            <v>Belum TL</v>
          </cell>
          <cell r="S2182" t="str">
            <v>Belum TL</v>
          </cell>
          <cell r="T2182" t="str">
            <v>90150130 - Intan Aida Pratiwi</v>
          </cell>
          <cell r="U2182" t="str">
            <v>"-"</v>
          </cell>
        </row>
        <row r="2183">
          <cell r="A2183">
            <v>46265</v>
          </cell>
          <cell r="B2183" t="str">
            <v xml:space="preserve">Tagihan Nominal ATM Bersama             </v>
          </cell>
          <cell r="C2183" t="str">
            <v>Z001433</v>
          </cell>
          <cell r="D2183">
            <v>39101000681996</v>
          </cell>
          <cell r="E2183" t="str">
            <v>SEDANG</v>
          </cell>
          <cell r="F2183" t="str">
            <v>Tidak</v>
          </cell>
          <cell r="G2183" t="str">
            <v>Tidak</v>
          </cell>
          <cell r="H2183" t="str">
            <v>Tidak</v>
          </cell>
          <cell r="I2183" t="str">
            <v>Narkotika/Psikotropika- Remark</v>
          </cell>
          <cell r="J2183">
            <v>50</v>
          </cell>
          <cell r="K2183">
            <v>9</v>
          </cell>
          <cell r="L2183" t="str">
            <v>Narkotika/Psikotropika</v>
          </cell>
          <cell r="M2183" t="str">
            <v xml:space="preserve">BAG OPERASIONAL E BANKING               </v>
          </cell>
          <cell r="N2183" t="str">
            <v xml:space="preserve">Kas Kanpus                              </v>
          </cell>
          <cell r="O2183" t="str">
            <v xml:space="preserve">KAS KANPUS                              </v>
          </cell>
          <cell r="R2183" t="str">
            <v>Belum TL</v>
          </cell>
          <cell r="S2183" t="str">
            <v>Belum TL</v>
          </cell>
          <cell r="T2183" t="str">
            <v>00394521 - Muhammad Hibbanduta</v>
          </cell>
          <cell r="U2183" t="str">
            <v>"-"</v>
          </cell>
        </row>
        <row r="2184">
          <cell r="A2184">
            <v>46265</v>
          </cell>
          <cell r="B2184" t="str">
            <v xml:space="preserve">RESERVE CIF INTERNAL ACCOUNT - 1701     </v>
          </cell>
          <cell r="C2184" t="str">
            <v>Z001701</v>
          </cell>
          <cell r="D2184">
            <v>39101001895996</v>
          </cell>
          <cell r="E2184" t="str">
            <v>SEDANG</v>
          </cell>
          <cell r="F2184" t="str">
            <v>Tidak</v>
          </cell>
          <cell r="G2184" t="str">
            <v>Tidak</v>
          </cell>
          <cell r="H2184" t="str">
            <v>Tidak</v>
          </cell>
          <cell r="I2184" t="str">
            <v>Narkotika/Psikotropika- Remark</v>
          </cell>
          <cell r="J2184">
            <v>50</v>
          </cell>
          <cell r="K2184">
            <v>9</v>
          </cell>
          <cell r="L2184" t="str">
            <v>Narkotika/Psikotropika</v>
          </cell>
          <cell r="M2184" t="str">
            <v xml:space="preserve">BAG OPERASIONAL E BANKING               </v>
          </cell>
          <cell r="N2184" t="str">
            <v xml:space="preserve">Kas Kanpus                              </v>
          </cell>
          <cell r="O2184" t="str">
            <v xml:space="preserve">KAS KANPUS                              </v>
          </cell>
          <cell r="R2184" t="str">
            <v>Belum TL</v>
          </cell>
          <cell r="S2184" t="str">
            <v>Belum TL</v>
          </cell>
          <cell r="T2184" t="str">
            <v>00336949 - Mochammad Al Farabi</v>
          </cell>
          <cell r="U2184" t="str">
            <v>"-"</v>
          </cell>
        </row>
        <row r="2185">
          <cell r="A2185">
            <v>46265</v>
          </cell>
          <cell r="B2185" t="str">
            <v xml:space="preserve">RESERVE CIF INTERNAL ACCOUNT - 1701     </v>
          </cell>
          <cell r="C2185" t="str">
            <v>Z001701</v>
          </cell>
          <cell r="D2185">
            <v>39101001896992</v>
          </cell>
          <cell r="E2185" t="str">
            <v>SEDANG</v>
          </cell>
          <cell r="F2185" t="str">
            <v>Tidak</v>
          </cell>
          <cell r="G2185" t="str">
            <v>Tidak</v>
          </cell>
          <cell r="H2185" t="str">
            <v>Tidak</v>
          </cell>
          <cell r="I2185" t="str">
            <v>Narkotika/Psikotropika- Remark</v>
          </cell>
          <cell r="J2185">
            <v>50</v>
          </cell>
          <cell r="K2185">
            <v>9</v>
          </cell>
          <cell r="L2185" t="str">
            <v>Narkotika/Psikotropika</v>
          </cell>
          <cell r="M2185" t="str">
            <v xml:space="preserve">BAG OPERASIONAL E BANKING               </v>
          </cell>
          <cell r="N2185" t="str">
            <v xml:space="preserve">Kas Kanpus                              </v>
          </cell>
          <cell r="O2185" t="str">
            <v xml:space="preserve">KAS KANPUS                              </v>
          </cell>
          <cell r="R2185" t="str">
            <v>Belum TL</v>
          </cell>
          <cell r="S2185" t="str">
            <v>Belum TL</v>
          </cell>
          <cell r="T2185" t="str">
            <v>00394520 - Frida Akbar Rani</v>
          </cell>
          <cell r="U2185" t="str">
            <v>"-"</v>
          </cell>
        </row>
        <row r="2186">
          <cell r="A2186">
            <v>46265</v>
          </cell>
          <cell r="B2186" t="str">
            <v xml:space="preserve">ZAKARIA                                 </v>
          </cell>
          <cell r="C2186" t="str">
            <v>Z490139</v>
          </cell>
          <cell r="D2186">
            <v>202801000713156</v>
          </cell>
          <cell r="E2186" t="str">
            <v>SEDANG</v>
          </cell>
          <cell r="F2186" t="str">
            <v>Tidak</v>
          </cell>
          <cell r="G2186" t="str">
            <v>Tidak</v>
          </cell>
          <cell r="H2186" t="str">
            <v>Tidak</v>
          </cell>
          <cell r="I2186" t="str">
            <v>Korupsi - Loan View</v>
          </cell>
          <cell r="J2186">
            <v>48</v>
          </cell>
          <cell r="K2186">
            <v>15</v>
          </cell>
          <cell r="L2186" t="str">
            <v>Korupsi</v>
          </cell>
          <cell r="M2186" t="str">
            <v>Kas Kanpus</v>
          </cell>
          <cell r="N2186" t="str">
            <v>Kas Kanpus</v>
          </cell>
          <cell r="O2186" t="str">
            <v>KAS KANPUS</v>
          </cell>
          <cell r="R2186" t="str">
            <v>Belum TL</v>
          </cell>
          <cell r="S2186" t="str">
            <v>Belum TL</v>
          </cell>
          <cell r="T2186" t="str">
            <v>00394520 - Frida Akbar Rani</v>
          </cell>
          <cell r="U2186" t="str">
            <v>"-"</v>
          </cell>
        </row>
        <row r="2187">
          <cell r="A2187">
            <v>46249</v>
          </cell>
          <cell r="B2187" t="str">
            <v xml:space="preserve">JAENURI                                 </v>
          </cell>
          <cell r="C2187" t="str">
            <v>Z665416</v>
          </cell>
          <cell r="D2187">
            <v>1101003844561</v>
          </cell>
          <cell r="E2187" t="str">
            <v>SEDANG</v>
          </cell>
          <cell r="F2187" t="str">
            <v>Tidak</v>
          </cell>
          <cell r="G2187" t="str">
            <v>Tidak</v>
          </cell>
          <cell r="I2187" t="str">
            <v>Teroris - Remark</v>
          </cell>
          <cell r="J2187">
            <v>168</v>
          </cell>
          <cell r="K2187">
            <v>50</v>
          </cell>
          <cell r="L2187" t="str">
            <v>Terorisme</v>
          </cell>
          <cell r="M2187" t="str">
            <v xml:space="preserve">Kas Kanpus                              </v>
          </cell>
          <cell r="N2187" t="str">
            <v xml:space="preserve">Kas Kanpus                              </v>
          </cell>
          <cell r="O2187" t="str">
            <v xml:space="preserve">KAS KANPUS                              </v>
          </cell>
          <cell r="R2187" t="str">
            <v>Belum TL</v>
          </cell>
          <cell r="S2187" t="str">
            <v>Belum TL</v>
          </cell>
          <cell r="T2187" t="str">
            <v>00394521 - Muhammad Hibbanduta</v>
          </cell>
          <cell r="U2187" t="str">
            <v>"-"</v>
          </cell>
        </row>
        <row r="2188">
          <cell r="A2188">
            <v>46263</v>
          </cell>
          <cell r="B2188" t="str">
            <v xml:space="preserve">ZUHAR LATIFAH                           </v>
          </cell>
          <cell r="C2188" t="str">
            <v>Z949128</v>
          </cell>
          <cell r="D2188">
            <v>447301018214537</v>
          </cell>
          <cell r="E2188" t="str">
            <v>SEDANG</v>
          </cell>
          <cell r="F2188" t="str">
            <v>Tidak</v>
          </cell>
          <cell r="G2188" t="str">
            <v>Tidak</v>
          </cell>
          <cell r="I2188" t="str">
            <v>Teroris - Remark</v>
          </cell>
          <cell r="J2188">
            <v>168</v>
          </cell>
          <cell r="K2188">
            <v>50</v>
          </cell>
          <cell r="L2188" t="str">
            <v>Terorisme</v>
          </cell>
          <cell r="M2188" t="str">
            <v xml:space="preserve">Kas Kanpus                              </v>
          </cell>
          <cell r="N2188" t="str">
            <v xml:space="preserve">Kas Kanpus                              </v>
          </cell>
          <cell r="O2188" t="str">
            <v xml:space="preserve">KAS KANPUS                              </v>
          </cell>
          <cell r="R2188" t="str">
            <v>Belum TL</v>
          </cell>
          <cell r="S2188" t="str">
            <v>Belum TL</v>
          </cell>
          <cell r="T2188" t="str">
            <v>00394521 - Muhammad Hibbanduta</v>
          </cell>
          <cell r="U2188" t="str">
            <v>"-"</v>
          </cell>
        </row>
        <row r="2189">
          <cell r="A2189">
            <v>46265</v>
          </cell>
          <cell r="B2189" t="str">
            <v xml:space="preserve">ZAKY HADIST UBAEDILLAH                  </v>
          </cell>
          <cell r="C2189" t="str">
            <v>ZB80496</v>
          </cell>
          <cell r="D2189">
            <v>86401036708531</v>
          </cell>
          <cell r="E2189" t="str">
            <v>TINGGI</v>
          </cell>
          <cell r="F2189" t="str">
            <v>Tidak</v>
          </cell>
          <cell r="G2189" t="str">
            <v>Tidak</v>
          </cell>
          <cell r="H2189" t="str">
            <v>Tidak</v>
          </cell>
          <cell r="I2189" t="str">
            <v>Bandar Judol Withdrawal</v>
          </cell>
          <cell r="J2189">
            <v>65</v>
          </cell>
          <cell r="K2189" t="str">
            <v>86,88,87</v>
          </cell>
          <cell r="L2189" t="str">
            <v>Judi Online</v>
          </cell>
          <cell r="M2189" t="str">
            <v xml:space="preserve">Kas Kanpus                              </v>
          </cell>
          <cell r="N2189" t="str">
            <v xml:space="preserve">Kas Kanpus                              </v>
          </cell>
          <cell r="O2189" t="str">
            <v xml:space="preserve">KAS KANPUS                              </v>
          </cell>
          <cell r="R2189" t="str">
            <v>Belum TL</v>
          </cell>
          <cell r="S2189" t="str">
            <v>Belum TL</v>
          </cell>
          <cell r="T2189" t="str">
            <v>90185537 - Moh.Khoerul Fajar Ar</v>
          </cell>
          <cell r="U2189" t="str">
            <v>"-"</v>
          </cell>
        </row>
        <row r="2190">
          <cell r="A2190">
            <v>46265</v>
          </cell>
          <cell r="B2190" t="str">
            <v xml:space="preserve">ZULFAJRIN N A ILYAS                     </v>
          </cell>
          <cell r="C2190" t="str">
            <v>ZC61151</v>
          </cell>
          <cell r="D2190">
            <v>11101073465507</v>
          </cell>
          <cell r="E2190" t="str">
            <v>TINGGI</v>
          </cell>
          <cell r="F2190" t="str">
            <v>Tidak</v>
          </cell>
          <cell r="G2190" t="str">
            <v>Tidak</v>
          </cell>
          <cell r="H2190" t="str">
            <v>Tidak</v>
          </cell>
          <cell r="I2190" t="str">
            <v>Korupsi - Payroll View</v>
          </cell>
          <cell r="J2190">
            <v>76</v>
          </cell>
          <cell r="K2190">
            <v>84</v>
          </cell>
          <cell r="L2190" t="str">
            <v>Korupsi</v>
          </cell>
          <cell r="M2190" t="str">
            <v>Kas Kanpus</v>
          </cell>
          <cell r="N2190" t="str">
            <v>Kas Kanpus</v>
          </cell>
          <cell r="O2190" t="str">
            <v>KAS KANPUS</v>
          </cell>
          <cell r="R2190" t="str">
            <v>Belum TL</v>
          </cell>
          <cell r="S2190" t="str">
            <v>Belum TL</v>
          </cell>
          <cell r="T2190" t="str">
            <v>90171841 - Rifqi Aziz</v>
          </cell>
          <cell r="U2190" t="str">
            <v>"-"</v>
          </cell>
        </row>
        <row r="2191">
          <cell r="A2191">
            <v>46265</v>
          </cell>
          <cell r="B2191" t="str">
            <v xml:space="preserve">PERANTARA IA AGING - DEBET              </v>
          </cell>
          <cell r="C2191" t="str">
            <v>Z001331</v>
          </cell>
          <cell r="D2191">
            <v>61501000346990</v>
          </cell>
          <cell r="E2191" t="str">
            <v>SEDANG</v>
          </cell>
          <cell r="F2191" t="str">
            <v>Tidak</v>
          </cell>
          <cell r="G2191" t="str">
            <v>Tidak</v>
          </cell>
          <cell r="H2191" t="str">
            <v>Tidak</v>
          </cell>
          <cell r="I2191" t="str">
            <v>Narkotika/Psikotropika- Remark</v>
          </cell>
          <cell r="J2191">
            <v>48</v>
          </cell>
          <cell r="K2191">
            <v>9</v>
          </cell>
          <cell r="L2191" t="str">
            <v>Narkotika/Psikotropika</v>
          </cell>
          <cell r="M2191" t="str">
            <v xml:space="preserve">KC Simpang Empat                        </v>
          </cell>
          <cell r="N2191" t="str">
            <v xml:space="preserve">KC Simpang Empat                        </v>
          </cell>
          <cell r="O2191" t="str">
            <v xml:space="preserve">Padang                                  </v>
          </cell>
          <cell r="R2191" t="str">
            <v>Belum TL</v>
          </cell>
          <cell r="S2191" t="str">
            <v>Belum TL</v>
          </cell>
          <cell r="T2191" t="str">
            <v>90171841 - Rifqi Aziz</v>
          </cell>
          <cell r="U2191" t="str">
            <v>"-"</v>
          </cell>
        </row>
        <row r="2192">
          <cell r="A2192">
            <v>46265</v>
          </cell>
          <cell r="B2192" t="str">
            <v xml:space="preserve">PERANTARA IA AGING - DEBET              </v>
          </cell>
          <cell r="C2192" t="str">
            <v>Z001331</v>
          </cell>
          <cell r="D2192">
            <v>730401000012997</v>
          </cell>
          <cell r="E2192" t="str">
            <v>SEDANG</v>
          </cell>
          <cell r="F2192" t="str">
            <v>Tidak</v>
          </cell>
          <cell r="G2192" t="str">
            <v>Tidak</v>
          </cell>
          <cell r="H2192" t="str">
            <v>Tidak</v>
          </cell>
          <cell r="I2192" t="str">
            <v>Narkotika/Psikotropika- Remark</v>
          </cell>
          <cell r="J2192">
            <v>48</v>
          </cell>
          <cell r="K2192">
            <v>9</v>
          </cell>
          <cell r="L2192" t="str">
            <v>Narkotika/Psikotropika</v>
          </cell>
          <cell r="M2192" t="str">
            <v xml:space="preserve">UNIT SEI MERDEKA BALIKPAPAN             </v>
          </cell>
          <cell r="N2192" t="str">
            <v xml:space="preserve">KC Balikpapan                           </v>
          </cell>
          <cell r="O2192" t="str">
            <v xml:space="preserve">Banjarmasin                             </v>
          </cell>
          <cell r="R2192" t="str">
            <v>Belum TL</v>
          </cell>
          <cell r="S2192" t="str">
            <v>Belum TL</v>
          </cell>
          <cell r="T2192" t="str">
            <v>90186796 - Devito Arya Wiradila</v>
          </cell>
          <cell r="U2192" t="str">
            <v>"-"</v>
          </cell>
        </row>
        <row r="2193">
          <cell r="A2193">
            <v>46265</v>
          </cell>
          <cell r="B2193" t="str">
            <v xml:space="preserve">ZAHRUL ALIM                             </v>
          </cell>
          <cell r="C2193" t="str">
            <v>ZE12960</v>
          </cell>
          <cell r="D2193">
            <v>41601012896507</v>
          </cell>
          <cell r="E2193" t="str">
            <v>SEDANG</v>
          </cell>
          <cell r="F2193" t="str">
            <v>Tidak</v>
          </cell>
          <cell r="G2193" t="str">
            <v>Tidak</v>
          </cell>
          <cell r="H2193" t="str">
            <v>Tidak</v>
          </cell>
          <cell r="I2193" t="str">
            <v>Bandar Judol Depo</v>
          </cell>
          <cell r="J2193">
            <v>50</v>
          </cell>
          <cell r="K2193" t="str">
            <v>86,74,87</v>
          </cell>
          <cell r="L2193" t="str">
            <v>Judi Online</v>
          </cell>
          <cell r="M2193" t="str">
            <v xml:space="preserve">Kas Kanpus                              </v>
          </cell>
          <cell r="N2193" t="str">
            <v xml:space="preserve">Kas Kanpus                              </v>
          </cell>
          <cell r="O2193" t="str">
            <v xml:space="preserve">KAS KANPUS                              </v>
          </cell>
          <cell r="R2193" t="str">
            <v>Belum TL</v>
          </cell>
          <cell r="S2193" t="str">
            <v>Belum TL</v>
          </cell>
          <cell r="T2193" t="str">
            <v>90185538 - Muhammad Fahikal Auz</v>
          </cell>
          <cell r="U2193" t="str">
            <v>"-"</v>
          </cell>
        </row>
        <row r="2194">
          <cell r="A2194">
            <v>46265</v>
          </cell>
          <cell r="B2194" t="str">
            <v xml:space="preserve">ZAINAL A SAPARANG                       </v>
          </cell>
          <cell r="C2194" t="str">
            <v>ZF22918</v>
          </cell>
          <cell r="D2194">
            <v>505501011111109</v>
          </cell>
          <cell r="E2194" t="str">
            <v>SEDANG</v>
          </cell>
          <cell r="F2194" t="str">
            <v>Tidak</v>
          </cell>
          <cell r="G2194" t="str">
            <v>Tidak</v>
          </cell>
          <cell r="H2194" t="str">
            <v>Tidak</v>
          </cell>
          <cell r="I2194" t="str">
            <v>Korupsi - Loan View</v>
          </cell>
          <cell r="J2194">
            <v>48</v>
          </cell>
          <cell r="K2194">
            <v>15</v>
          </cell>
          <cell r="L2194" t="str">
            <v>Korupsi</v>
          </cell>
          <cell r="M2194" t="str">
            <v>Kas Kanpus</v>
          </cell>
          <cell r="N2194" t="str">
            <v>Kas Kanpus</v>
          </cell>
          <cell r="O2194" t="str">
            <v>KAS KANPUS</v>
          </cell>
          <cell r="R2194" t="str">
            <v>Belum TL</v>
          </cell>
          <cell r="S2194" t="str">
            <v>Belum TL</v>
          </cell>
          <cell r="T2194" t="str">
            <v>90171841 - Rifqi Aziz</v>
          </cell>
          <cell r="U2194" t="str">
            <v>"-"</v>
          </cell>
        </row>
        <row r="2195">
          <cell r="A2195">
            <v>46265</v>
          </cell>
          <cell r="B2195" t="str">
            <v xml:space="preserve">ZULTANY KARYA                           </v>
          </cell>
          <cell r="C2195" t="str">
            <v>ZL41398</v>
          </cell>
          <cell r="D2195">
            <v>66901000704157</v>
          </cell>
          <cell r="E2195" t="str">
            <v>SEDANG</v>
          </cell>
          <cell r="F2195" t="str">
            <v>Tidak</v>
          </cell>
          <cell r="G2195" t="str">
            <v>Tidak</v>
          </cell>
          <cell r="H2195" t="str">
            <v>Tidak</v>
          </cell>
          <cell r="I2195" t="str">
            <v>Korupsi - Loan View</v>
          </cell>
          <cell r="J2195">
            <v>48</v>
          </cell>
          <cell r="K2195">
            <v>15</v>
          </cell>
          <cell r="L2195" t="str">
            <v>Korupsi</v>
          </cell>
          <cell r="M2195" t="str">
            <v>Kas Kanpus</v>
          </cell>
          <cell r="N2195" t="str">
            <v>Kas Kanpus</v>
          </cell>
          <cell r="O2195" t="str">
            <v>KAS KANPUS</v>
          </cell>
          <cell r="R2195" t="str">
            <v>Belum TL</v>
          </cell>
          <cell r="S2195" t="str">
            <v>Belum TL</v>
          </cell>
          <cell r="T2195" t="str">
            <v>90186796 - Devito Arya Wiradila</v>
          </cell>
          <cell r="U2195" t="str">
            <v>"-"</v>
          </cell>
        </row>
        <row r="2196">
          <cell r="A2196">
            <v>46265</v>
          </cell>
          <cell r="B2196" t="str">
            <v xml:space="preserve">ZULVAN MUHAMMAD NABAWI                  </v>
          </cell>
          <cell r="C2196" t="str">
            <v>ZP01423</v>
          </cell>
          <cell r="D2196">
            <v>115701022196506</v>
          </cell>
          <cell r="F2196" t="str">
            <v>Tidak</v>
          </cell>
          <cell r="G2196" t="str">
            <v>Tidak</v>
          </cell>
          <cell r="H2196" t="str">
            <v>Tidak</v>
          </cell>
          <cell r="I2196" t="str">
            <v>Korupsi - Payroll View</v>
          </cell>
          <cell r="J2196">
            <v>45</v>
          </cell>
          <cell r="K2196">
            <v>84</v>
          </cell>
          <cell r="L2196" t="str">
            <v>Korupsi</v>
          </cell>
          <cell r="M2196" t="str">
            <v>Kas Kanpus</v>
          </cell>
          <cell r="N2196" t="str">
            <v>Kas Kanpus</v>
          </cell>
          <cell r="O2196" t="str">
            <v>KAS KANPUS</v>
          </cell>
          <cell r="R2196" t="str">
            <v>Belum TL</v>
          </cell>
          <cell r="S2196" t="str">
            <v>Belum TL</v>
          </cell>
          <cell r="T2196" t="str">
            <v>90186796 - Devito Arya Wiradila</v>
          </cell>
          <cell r="U2196" t="str">
            <v>"-"</v>
          </cell>
        </row>
        <row r="2197">
          <cell r="A2197">
            <v>46265</v>
          </cell>
          <cell r="B2197" t="str">
            <v xml:space="preserve">ZAINUDDIN                               </v>
          </cell>
          <cell r="C2197" t="str">
            <v>ZR84741</v>
          </cell>
          <cell r="D2197">
            <v>526101005371502</v>
          </cell>
          <cell r="F2197" t="str">
            <v>Tidak</v>
          </cell>
          <cell r="G2197" t="str">
            <v>Tidak</v>
          </cell>
          <cell r="H2197" t="str">
            <v>Tidak</v>
          </cell>
          <cell r="I2197" t="str">
            <v>Bandar Judol Withdrawal</v>
          </cell>
          <cell r="J2197">
            <v>35</v>
          </cell>
          <cell r="K2197" t="str">
            <v>86,88,87</v>
          </cell>
          <cell r="L2197" t="str">
            <v>Judi Online</v>
          </cell>
          <cell r="M2197" t="str">
            <v xml:space="preserve">Kas Kanpus                              </v>
          </cell>
          <cell r="N2197" t="str">
            <v xml:space="preserve">Kas Kanpus                              </v>
          </cell>
          <cell r="O2197" t="str">
            <v xml:space="preserve">KAS KANPUS                              </v>
          </cell>
          <cell r="R2197" t="str">
            <v>Belum TL</v>
          </cell>
          <cell r="S2197" t="str">
            <v>Belum TL</v>
          </cell>
          <cell r="T2197" t="str">
            <v>90185537 - Moh.Khoerul Fajar Ar</v>
          </cell>
          <cell r="U2197" t="str">
            <v>"-"</v>
          </cell>
        </row>
        <row r="2198">
          <cell r="A2198">
            <v>46265</v>
          </cell>
          <cell r="B2198" t="str">
            <v xml:space="preserve">ZULHAM FADILAH                          </v>
          </cell>
          <cell r="C2198" t="str">
            <v>ZR88602</v>
          </cell>
          <cell r="D2198">
            <v>10501174459509</v>
          </cell>
          <cell r="F2198" t="str">
            <v>Tidak</v>
          </cell>
          <cell r="G2198" t="str">
            <v>Tidak</v>
          </cell>
          <cell r="I2198" t="str">
            <v>Jual Beli Rekening - E channel Trx</v>
          </cell>
          <cell r="J2198">
            <v>33</v>
          </cell>
          <cell r="K2198">
            <v>113</v>
          </cell>
          <cell r="L2198" t="str">
            <v>Narkotika/Judi Online/Penipuan</v>
          </cell>
          <cell r="M2198" t="str">
            <v xml:space="preserve">KC Cianjur                              </v>
          </cell>
          <cell r="N2198" t="str">
            <v xml:space="preserve">KC Cianjur                              </v>
          </cell>
          <cell r="O2198" t="str">
            <v xml:space="preserve">Bandung                                 </v>
          </cell>
          <cell r="R2198" t="str">
            <v>Belum TL</v>
          </cell>
          <cell r="S2198" t="str">
            <v>Belum TL</v>
          </cell>
          <cell r="U2198" t="str">
            <v>"-"</v>
          </cell>
        </row>
        <row r="2199">
          <cell r="A2199">
            <v>46265</v>
          </cell>
          <cell r="B2199" t="str">
            <v xml:space="preserve">ZULKARNAIN                              </v>
          </cell>
          <cell r="C2199" t="str">
            <v>ZS74488</v>
          </cell>
          <cell r="D2199">
            <v>544401027370534</v>
          </cell>
          <cell r="F2199" t="str">
            <v>Tidak</v>
          </cell>
          <cell r="G2199" t="str">
            <v>Tidak</v>
          </cell>
          <cell r="I2199" t="str">
            <v>Jual Beli Rekening - E channel Trx</v>
          </cell>
          <cell r="J2199">
            <v>33</v>
          </cell>
          <cell r="K2199">
            <v>113</v>
          </cell>
          <cell r="L2199" t="str">
            <v>Narkotika/Judi Online/Penipuan</v>
          </cell>
          <cell r="M2199" t="str">
            <v xml:space="preserve">UNIT SUKAJADI DUMAI                     </v>
          </cell>
          <cell r="N2199" t="str">
            <v xml:space="preserve">KC Dumai                                </v>
          </cell>
          <cell r="O2199" t="str">
            <v xml:space="preserve">KANWIL PEKANBARU                        </v>
          </cell>
          <cell r="R2199" t="str">
            <v>Belum TL</v>
          </cell>
          <cell r="S2199" t="str">
            <v>Belum TL</v>
          </cell>
          <cell r="U2199" t="str">
            <v>"-"</v>
          </cell>
        </row>
        <row r="2200">
          <cell r="A2200">
            <v>46265</v>
          </cell>
          <cell r="B2200" t="str">
            <v xml:space="preserve">ZAINAL MILE                             </v>
          </cell>
          <cell r="C2200" t="str">
            <v>ZS88155</v>
          </cell>
          <cell r="D2200">
            <v>64201177777566</v>
          </cell>
          <cell r="F2200" t="str">
            <v>Tidak</v>
          </cell>
          <cell r="G2200" t="str">
            <v>Tidak</v>
          </cell>
          <cell r="H2200" t="str">
            <v>Tidak</v>
          </cell>
          <cell r="I2200" t="str">
            <v>Korupsi - Significant Trx View</v>
          </cell>
          <cell r="J2200">
            <v>43</v>
          </cell>
          <cell r="K2200">
            <v>1.19</v>
          </cell>
          <cell r="L2200" t="str">
            <v>Korupsi</v>
          </cell>
          <cell r="M2200" t="str">
            <v>Kas Kanpus</v>
          </cell>
          <cell r="N2200" t="str">
            <v>Kas Kanpus</v>
          </cell>
          <cell r="O2200" t="str">
            <v>KAS KANPUS</v>
          </cell>
          <cell r="R2200" t="str">
            <v>Belum TL</v>
          </cell>
          <cell r="S2200" t="str">
            <v>Belum TL</v>
          </cell>
          <cell r="T2200" t="str">
            <v>90171841 - Rifqi Aziz</v>
          </cell>
          <cell r="U2200" t="str">
            <v>"-"</v>
          </cell>
        </row>
        <row r="2201">
          <cell r="A2201">
            <v>46265</v>
          </cell>
          <cell r="B2201" t="str">
            <v xml:space="preserve">PERANTARA IA AGING - DEBET              </v>
          </cell>
          <cell r="C2201" t="str">
            <v>Z001331</v>
          </cell>
          <cell r="D2201">
            <v>816301000001991</v>
          </cell>
          <cell r="E2201" t="str">
            <v>SEDANG</v>
          </cell>
          <cell r="F2201" t="str">
            <v>Tidak</v>
          </cell>
          <cell r="G2201" t="str">
            <v>Tidak</v>
          </cell>
          <cell r="H2201" t="str">
            <v>Tidak</v>
          </cell>
          <cell r="I2201" t="str">
            <v>Narkotika/Psikotropika- Remark</v>
          </cell>
          <cell r="J2201">
            <v>48</v>
          </cell>
          <cell r="K2201">
            <v>9</v>
          </cell>
          <cell r="L2201" t="str">
            <v>Narkotika/Psikotropika</v>
          </cell>
          <cell r="M2201" t="str">
            <v xml:space="preserve">UNIT TUBEI CURUP                        </v>
          </cell>
          <cell r="N2201" t="str">
            <v xml:space="preserve">KC Curup                                </v>
          </cell>
          <cell r="O2201" t="str">
            <v xml:space="preserve">KANWIL BANDAR LAMPUNG                   </v>
          </cell>
          <cell r="Q2201" t="str">
            <v>Tidak</v>
          </cell>
          <cell r="R2201" t="str">
            <v>Belum TL</v>
          </cell>
          <cell r="S2201" t="str">
            <v>Pending Checker</v>
          </cell>
          <cell r="T2201" t="str">
            <v>90150130 - Intan Aida Pratiwi</v>
          </cell>
          <cell r="U2201" t="str">
            <v>"-"</v>
          </cell>
        </row>
        <row r="2202">
          <cell r="A2202">
            <v>46265</v>
          </cell>
          <cell r="B2202" t="str">
            <v xml:space="preserve">PERANTARA IA AGING - DEBET              </v>
          </cell>
          <cell r="C2202" t="str">
            <v>Z001331</v>
          </cell>
          <cell r="D2202">
            <v>558401000050991</v>
          </cell>
          <cell r="E2202" t="str">
            <v>SEDANG</v>
          </cell>
          <cell r="F2202" t="str">
            <v>Tidak</v>
          </cell>
          <cell r="G2202" t="str">
            <v>Tidak</v>
          </cell>
          <cell r="H2202" t="str">
            <v>Tidak</v>
          </cell>
          <cell r="I2202" t="str">
            <v>Narkotika/Psikotropika- Remark</v>
          </cell>
          <cell r="J2202">
            <v>48</v>
          </cell>
          <cell r="K2202">
            <v>9</v>
          </cell>
          <cell r="L2202" t="str">
            <v>Narkotika/Psikotropika</v>
          </cell>
          <cell r="M2202" t="str">
            <v xml:space="preserve">UNIT KERKAP ARGAMAKMUR                  </v>
          </cell>
          <cell r="N2202" t="str">
            <v xml:space="preserve">KC Arga Makmur                          </v>
          </cell>
          <cell r="O2202" t="str">
            <v xml:space="preserve">KANWIL BANDAR LAMPUNG                   </v>
          </cell>
          <cell r="Q2202" t="str">
            <v>Tidak</v>
          </cell>
          <cell r="R2202" t="str">
            <v>Belum TL</v>
          </cell>
          <cell r="S2202" t="str">
            <v>Pending Checker</v>
          </cell>
          <cell r="T2202" t="str">
            <v>90186790 - Muhammad Alfin Farha</v>
          </cell>
          <cell r="U2202" t="str">
            <v>"-"</v>
          </cell>
        </row>
        <row r="2203">
          <cell r="A2203">
            <v>46265</v>
          </cell>
          <cell r="B2203" t="str">
            <v xml:space="preserve">PERANTARA IA AGING - DEBET              </v>
          </cell>
          <cell r="C2203" t="str">
            <v>Z001331</v>
          </cell>
          <cell r="D2203">
            <v>562201000128990</v>
          </cell>
          <cell r="E2203" t="str">
            <v>SEDANG</v>
          </cell>
          <cell r="F2203" t="str">
            <v>Tidak</v>
          </cell>
          <cell r="G2203" t="str">
            <v>Tidak</v>
          </cell>
          <cell r="H2203" t="str">
            <v>Tidak</v>
          </cell>
          <cell r="I2203" t="str">
            <v>Narkotika/Psikotropika- Remark</v>
          </cell>
          <cell r="J2203">
            <v>48</v>
          </cell>
          <cell r="K2203">
            <v>9</v>
          </cell>
          <cell r="L2203" t="str">
            <v>Narkotika/Psikotropika</v>
          </cell>
          <cell r="M2203" t="str">
            <v xml:space="preserve">UNIT KEPAHIANG II CURUP                 </v>
          </cell>
          <cell r="N2203" t="str">
            <v xml:space="preserve">KC Curup                                </v>
          </cell>
          <cell r="O2203" t="str">
            <v xml:space="preserve">KANWIL BANDAR LAMPUNG                   </v>
          </cell>
          <cell r="Q2203" t="str">
            <v>Tidak</v>
          </cell>
          <cell r="R2203" t="str">
            <v>Belum TL</v>
          </cell>
          <cell r="S2203" t="str">
            <v>Pending Checker</v>
          </cell>
          <cell r="T2203" t="str">
            <v>90170665 - Mutiara Ayuningtyas</v>
          </cell>
          <cell r="U2203" t="str">
            <v>"-"</v>
          </cell>
        </row>
        <row r="2204">
          <cell r="A2204">
            <v>46265</v>
          </cell>
          <cell r="B2204" t="str">
            <v xml:space="preserve">PERANTARA IA AGING - DEBET              </v>
          </cell>
          <cell r="C2204" t="str">
            <v>Z001331</v>
          </cell>
          <cell r="D2204">
            <v>562701000102994</v>
          </cell>
          <cell r="E2204" t="str">
            <v>SEDANG</v>
          </cell>
          <cell r="F2204" t="str">
            <v>Tidak</v>
          </cell>
          <cell r="G2204" t="str">
            <v>Tidak</v>
          </cell>
          <cell r="H2204" t="str">
            <v>Tidak</v>
          </cell>
          <cell r="I2204" t="str">
            <v>Narkotika/Psikotropika- Remark</v>
          </cell>
          <cell r="J2204">
            <v>48</v>
          </cell>
          <cell r="K2204">
            <v>9</v>
          </cell>
          <cell r="L2204" t="str">
            <v>Narkotika/Psikotropika</v>
          </cell>
          <cell r="M2204" t="str">
            <v xml:space="preserve">UNIT TES CURUP                          </v>
          </cell>
          <cell r="N2204" t="str">
            <v xml:space="preserve">KC Curup                                </v>
          </cell>
          <cell r="O2204" t="str">
            <v xml:space="preserve">KANWIL BANDAR LAMPUNG                   </v>
          </cell>
          <cell r="Q2204" t="str">
            <v>Tidak</v>
          </cell>
          <cell r="R2204" t="str">
            <v>Belum TL</v>
          </cell>
          <cell r="S2204" t="str">
            <v>Pending Checker</v>
          </cell>
          <cell r="T2204" t="str">
            <v>90185538 - Muhammad Fahikal Auz</v>
          </cell>
          <cell r="U2204" t="str">
            <v>"-"</v>
          </cell>
        </row>
        <row r="2205">
          <cell r="A2205">
            <v>46265</v>
          </cell>
          <cell r="B2205" t="str">
            <v xml:space="preserve">PERANTARA IA AGING - DEBET              </v>
          </cell>
          <cell r="C2205" t="str">
            <v>Z001331</v>
          </cell>
          <cell r="D2205">
            <v>568601000033995</v>
          </cell>
          <cell r="E2205" t="str">
            <v>SEDANG</v>
          </cell>
          <cell r="F2205" t="str">
            <v>Tidak</v>
          </cell>
          <cell r="G2205" t="str">
            <v>Tidak</v>
          </cell>
          <cell r="H2205" t="str">
            <v>Tidak</v>
          </cell>
          <cell r="I2205" t="str">
            <v>Narkotika/Psikotropika- Remark</v>
          </cell>
          <cell r="J2205">
            <v>48</v>
          </cell>
          <cell r="K2205">
            <v>9</v>
          </cell>
          <cell r="L2205" t="str">
            <v>Narkotika/Psikotropika</v>
          </cell>
          <cell r="M2205" t="str">
            <v xml:space="preserve">UNIT KAUR TENGAH MANNA                  </v>
          </cell>
          <cell r="N2205" t="str">
            <v xml:space="preserve">KC Manna                                </v>
          </cell>
          <cell r="O2205" t="str">
            <v xml:space="preserve">KANWIL BANDAR LAMPUNG                   </v>
          </cell>
          <cell r="Q2205" t="str">
            <v>Tidak</v>
          </cell>
          <cell r="R2205" t="str">
            <v>Belum TL</v>
          </cell>
          <cell r="S2205" t="str">
            <v>Pending Checker</v>
          </cell>
          <cell r="T2205" t="str">
            <v>00394520 - Frida Akbar Rani</v>
          </cell>
          <cell r="U2205" t="str">
            <v>"-"</v>
          </cell>
        </row>
        <row r="2206">
          <cell r="A2206">
            <v>46265</v>
          </cell>
          <cell r="B2206" t="str">
            <v xml:space="preserve">PERANTARA IA AGING - DEBET              </v>
          </cell>
          <cell r="C2206" t="str">
            <v>Z001331</v>
          </cell>
          <cell r="D2206">
            <v>31801001443997</v>
          </cell>
          <cell r="E2206" t="str">
            <v>SEDANG</v>
          </cell>
          <cell r="F2206" t="str">
            <v>Tidak</v>
          </cell>
          <cell r="G2206" t="str">
            <v>Tidak</v>
          </cell>
          <cell r="H2206" t="str">
            <v>Tidak</v>
          </cell>
          <cell r="I2206" t="str">
            <v>Narkotika/Psikotropika- Remark</v>
          </cell>
          <cell r="J2206">
            <v>48</v>
          </cell>
          <cell r="K2206">
            <v>9</v>
          </cell>
          <cell r="L2206" t="str">
            <v>Narkotika/Psikotropika</v>
          </cell>
          <cell r="M2206" t="str">
            <v xml:space="preserve">KC Arga Makmur                          </v>
          </cell>
          <cell r="N2206" t="str">
            <v xml:space="preserve">KC Arga Makmur                          </v>
          </cell>
          <cell r="O2206" t="str">
            <v xml:space="preserve">KANWIL BANDAR LAMPUNG                   </v>
          </cell>
          <cell r="Q2206" t="str">
            <v>Tidak</v>
          </cell>
          <cell r="R2206" t="str">
            <v>Belum TL</v>
          </cell>
          <cell r="S2206" t="str">
            <v>Pending Checker</v>
          </cell>
          <cell r="T2206" t="str">
            <v>90171841 - Rifqi Aziz</v>
          </cell>
          <cell r="U2206" t="str">
            <v>"-"</v>
          </cell>
        </row>
        <row r="2207">
          <cell r="A2207">
            <v>46265</v>
          </cell>
          <cell r="B2207" t="str">
            <v xml:space="preserve">PERANTARA IA AGING - DEBET              </v>
          </cell>
          <cell r="C2207" t="str">
            <v>Z001331</v>
          </cell>
          <cell r="D2207">
            <v>35701001093994</v>
          </cell>
          <cell r="E2207" t="str">
            <v>SEDANG</v>
          </cell>
          <cell r="F2207" t="str">
            <v>Tidak</v>
          </cell>
          <cell r="G2207" t="str">
            <v>Tidak</v>
          </cell>
          <cell r="H2207" t="str">
            <v>Tidak</v>
          </cell>
          <cell r="I2207" t="str">
            <v>Narkotika/Psikotropika- Remark</v>
          </cell>
          <cell r="J2207">
            <v>50</v>
          </cell>
          <cell r="K2207">
            <v>9</v>
          </cell>
          <cell r="L2207" t="str">
            <v>Narkotika/Psikotropika</v>
          </cell>
          <cell r="M2207" t="str">
            <v xml:space="preserve">KC Bandar Jaya                          </v>
          </cell>
          <cell r="N2207" t="str">
            <v xml:space="preserve">KC Bandar Jaya                          </v>
          </cell>
          <cell r="O2207" t="str">
            <v xml:space="preserve">KANWIL BANDAR LAMPUNG                   </v>
          </cell>
          <cell r="Q2207" t="str">
            <v>Tidak</v>
          </cell>
          <cell r="R2207" t="str">
            <v>Belum TL</v>
          </cell>
          <cell r="S2207" t="str">
            <v>Pending Checker</v>
          </cell>
          <cell r="T2207" t="str">
            <v>90185537 - Moh.Khoerul Fajar Ar</v>
          </cell>
          <cell r="U2207" t="str">
            <v>"-"</v>
          </cell>
        </row>
        <row r="2208">
          <cell r="A2208">
            <v>46265</v>
          </cell>
          <cell r="B2208" t="str">
            <v xml:space="preserve">PERANTARA IA AGING - DEBET              </v>
          </cell>
          <cell r="C2208" t="str">
            <v>Z001331</v>
          </cell>
          <cell r="D2208">
            <v>10801001727994</v>
          </cell>
          <cell r="E2208" t="str">
            <v>SEDANG</v>
          </cell>
          <cell r="F2208" t="str">
            <v>Tidak</v>
          </cell>
          <cell r="G2208" t="str">
            <v>Tidak</v>
          </cell>
          <cell r="H2208" t="str">
            <v>Tidak</v>
          </cell>
          <cell r="I2208" t="str">
            <v>Narkotika/Psikotropika- Remark</v>
          </cell>
          <cell r="J2208">
            <v>53</v>
          </cell>
          <cell r="K2208">
            <v>9</v>
          </cell>
          <cell r="L2208" t="str">
            <v>Narkotika/Psikotropika</v>
          </cell>
          <cell r="M2208" t="str">
            <v xml:space="preserve">KC Curup                                </v>
          </cell>
          <cell r="N2208" t="str">
            <v xml:space="preserve">KC Curup                                </v>
          </cell>
          <cell r="O2208" t="str">
            <v xml:space="preserve">KANWIL BANDAR LAMPUNG                   </v>
          </cell>
          <cell r="Q2208" t="str">
            <v>Tidak</v>
          </cell>
          <cell r="R2208" t="str">
            <v>Belum TL</v>
          </cell>
          <cell r="S2208" t="str">
            <v>Pending Checker</v>
          </cell>
          <cell r="T2208" t="str">
            <v>90170665 - Mutiara Ayuningtyas</v>
          </cell>
          <cell r="U2208" t="str">
            <v>"-"</v>
          </cell>
        </row>
        <row r="2209">
          <cell r="A2209">
            <v>46265</v>
          </cell>
          <cell r="B2209" t="str">
            <v xml:space="preserve">YUNITA MALUANGA                         </v>
          </cell>
          <cell r="C2209" t="str">
            <v>YLQ6768</v>
          </cell>
          <cell r="D2209">
            <v>458801023634537</v>
          </cell>
          <cell r="E2209" t="str">
            <v>SEDANG</v>
          </cell>
          <cell r="F2209" t="str">
            <v>Tidak</v>
          </cell>
          <cell r="G2209" t="str">
            <v>Tidak</v>
          </cell>
          <cell r="H2209" t="str">
            <v>Tidak</v>
          </cell>
          <cell r="I2209" t="str">
            <v>Narkotika - Area Lapas</v>
          </cell>
          <cell r="J2209">
            <v>50</v>
          </cell>
          <cell r="K2209">
            <v>46</v>
          </cell>
          <cell r="L2209" t="str">
            <v>Narkotika</v>
          </cell>
          <cell r="M2209" t="str">
            <v>UNIT SENGKAWIT TANJUNG SELOR</v>
          </cell>
          <cell r="N2209" t="str">
            <v>KC Tanjung Selor</v>
          </cell>
          <cell r="O2209" t="str">
            <v>Banjarmasin</v>
          </cell>
          <cell r="Q2209" t="str">
            <v>Tidak</v>
          </cell>
          <cell r="R2209" t="str">
            <v>Belum TL</v>
          </cell>
          <cell r="S2209" t="str">
            <v>Pending Checker</v>
          </cell>
          <cell r="T2209" t="str">
            <v>00394521 - Muhammad Hibbanduta</v>
          </cell>
          <cell r="U2209" t="str">
            <v>"-"</v>
          </cell>
        </row>
        <row r="2210">
          <cell r="A2210">
            <v>46265</v>
          </cell>
          <cell r="B2210" t="str">
            <v xml:space="preserve">TUNGGAL DWI AKOSO                       </v>
          </cell>
          <cell r="C2210" t="str">
            <v>TX82763</v>
          </cell>
          <cell r="D2210">
            <v>12701047999501</v>
          </cell>
          <cell r="E2210" t="str">
            <v>SEDANG</v>
          </cell>
          <cell r="F2210" t="str">
            <v>Tidak</v>
          </cell>
          <cell r="G2210" t="str">
            <v>Tidak</v>
          </cell>
          <cell r="H2210" t="str">
            <v>Tidak</v>
          </cell>
          <cell r="I2210" t="str">
            <v>Narkotika - Area Lapas</v>
          </cell>
          <cell r="J2210">
            <v>50</v>
          </cell>
          <cell r="K2210">
            <v>48</v>
          </cell>
          <cell r="L2210" t="str">
            <v>Narkotika</v>
          </cell>
          <cell r="M2210" t="str">
            <v>KC Kotabaru</v>
          </cell>
          <cell r="N2210" t="str">
            <v>KC Kotabaru</v>
          </cell>
          <cell r="O2210" t="str">
            <v>Banjarmasin</v>
          </cell>
          <cell r="Q2210" t="str">
            <v>Tidak</v>
          </cell>
          <cell r="R2210" t="str">
            <v>Belum TL</v>
          </cell>
          <cell r="S2210" t="str">
            <v>Pending Checker</v>
          </cell>
          <cell r="T2210" t="str">
            <v>90171841 - Rifqi Aziz</v>
          </cell>
          <cell r="U2210" t="str">
            <v>"-"</v>
          </cell>
        </row>
        <row r="2211">
          <cell r="A2211">
            <v>46265</v>
          </cell>
          <cell r="B2211" t="str">
            <v xml:space="preserve">SAJALITA                                </v>
          </cell>
          <cell r="C2211" t="str">
            <v>SVQX154</v>
          </cell>
          <cell r="D2211">
            <v>480801016266539</v>
          </cell>
          <cell r="E2211" t="str">
            <v>SEDANG</v>
          </cell>
          <cell r="F2211" t="str">
            <v>Ya</v>
          </cell>
          <cell r="G2211" t="str">
            <v>Tidak</v>
          </cell>
          <cell r="H2211" t="str">
            <v>Tidak</v>
          </cell>
          <cell r="I2211" t="str">
            <v>Narkotika/Psikotropika- Remark</v>
          </cell>
          <cell r="J2211">
            <v>50</v>
          </cell>
          <cell r="K2211">
            <v>9</v>
          </cell>
          <cell r="L2211" t="str">
            <v>Narkotika/Psikotropika</v>
          </cell>
          <cell r="M2211" t="str">
            <v xml:space="preserve">UNIT PAWAN                              </v>
          </cell>
          <cell r="N2211" t="str">
            <v xml:space="preserve">KC Ketapang                             </v>
          </cell>
          <cell r="O2211" t="str">
            <v xml:space="preserve">Banjarmasin                             </v>
          </cell>
          <cell r="Q2211" t="str">
            <v>Tidak</v>
          </cell>
          <cell r="R2211" t="str">
            <v>Belum TL</v>
          </cell>
          <cell r="S2211" t="str">
            <v>Pending Checker</v>
          </cell>
          <cell r="T2211" t="str">
            <v>90185538 - Muhammad Fahikal Auz</v>
          </cell>
          <cell r="U2211" t="str">
            <v>"-"</v>
          </cell>
        </row>
        <row r="2212">
          <cell r="A2212">
            <v>46265</v>
          </cell>
          <cell r="B2212" t="str">
            <v xml:space="preserve">SYAHIR JAYA BETON                       </v>
          </cell>
          <cell r="C2212" t="str">
            <v>SHRPE10</v>
          </cell>
          <cell r="D2212">
            <v>56301002046309</v>
          </cell>
          <cell r="E2212" t="str">
            <v>SEDANG</v>
          </cell>
          <cell r="F2212" t="str">
            <v>Tidak</v>
          </cell>
          <cell r="G2212" t="str">
            <v>Tidak</v>
          </cell>
          <cell r="H2212" t="str">
            <v>Tidak</v>
          </cell>
          <cell r="I2212" t="str">
            <v>Perpajakan</v>
          </cell>
          <cell r="J2212">
            <v>50</v>
          </cell>
          <cell r="K2212">
            <v>41</v>
          </cell>
          <cell r="L2212" t="str">
            <v>Perpajakan</v>
          </cell>
          <cell r="M2212" t="str">
            <v xml:space="preserve">KC Sangatta                             </v>
          </cell>
          <cell r="N2212" t="str">
            <v xml:space="preserve">KC Sangatta                             </v>
          </cell>
          <cell r="O2212" t="str">
            <v xml:space="preserve">Banjarmasin                             </v>
          </cell>
          <cell r="Q2212" t="str">
            <v>Tidak</v>
          </cell>
          <cell r="R2212" t="str">
            <v>Belum TL</v>
          </cell>
          <cell r="S2212" t="str">
            <v>Pending Checker</v>
          </cell>
          <cell r="T2212" t="str">
            <v>90186796 - Devito Arya Wiradila</v>
          </cell>
          <cell r="U2212" t="str">
            <v>"-"</v>
          </cell>
        </row>
        <row r="2213">
          <cell r="A2213">
            <v>46265</v>
          </cell>
          <cell r="B2213" t="str">
            <v xml:space="preserve">SUPIAN SAURI                            </v>
          </cell>
          <cell r="C2213" t="str">
            <v>SFJE975</v>
          </cell>
          <cell r="D2213">
            <v>24301000715562</v>
          </cell>
          <cell r="E2213" t="str">
            <v>SEDANG</v>
          </cell>
          <cell r="F2213" t="str">
            <v>Tidak</v>
          </cell>
          <cell r="G2213" t="str">
            <v>Tidak</v>
          </cell>
          <cell r="H2213" t="str">
            <v>Tidak</v>
          </cell>
          <cell r="I2213" t="str">
            <v>Narkotika - Area Lapas</v>
          </cell>
          <cell r="J2213">
            <v>50</v>
          </cell>
          <cell r="K2213">
            <v>46</v>
          </cell>
          <cell r="L2213" t="str">
            <v>Narkotika</v>
          </cell>
          <cell r="M2213" t="str">
            <v>KC Palangkaraya</v>
          </cell>
          <cell r="N2213" t="str">
            <v>KC Palangkaraya</v>
          </cell>
          <cell r="O2213" t="str">
            <v>Banjarmasin</v>
          </cell>
          <cell r="Q2213" t="str">
            <v>Tidak</v>
          </cell>
          <cell r="R2213" t="str">
            <v>Belum TL</v>
          </cell>
          <cell r="S2213" t="str">
            <v>Pending Checker</v>
          </cell>
          <cell r="T2213" t="str">
            <v>90150130 - Intan Aida Pratiwi</v>
          </cell>
          <cell r="U2213" t="str">
            <v>"-"</v>
          </cell>
        </row>
        <row r="2214">
          <cell r="A2214">
            <v>46265</v>
          </cell>
          <cell r="B2214" t="str">
            <v xml:space="preserve">RAMLANI                                 </v>
          </cell>
          <cell r="C2214" t="str">
            <v>RQP3770</v>
          </cell>
          <cell r="D2214">
            <v>760301013175530</v>
          </cell>
          <cell r="E2214" t="str">
            <v>SEDANG</v>
          </cell>
          <cell r="F2214" t="str">
            <v>Ya</v>
          </cell>
          <cell r="G2214" t="str">
            <v>Tidak</v>
          </cell>
          <cell r="H2214" t="str">
            <v>Tidak</v>
          </cell>
          <cell r="I2214" t="str">
            <v>Narkotika - Area Lapas</v>
          </cell>
          <cell r="J2214">
            <v>50</v>
          </cell>
          <cell r="K2214">
            <v>46</v>
          </cell>
          <cell r="L2214" t="str">
            <v>Narkotika</v>
          </cell>
          <cell r="M2214" t="str">
            <v>UNIT TANA TIDUNG TANJUNG SELOR</v>
          </cell>
          <cell r="N2214" t="str">
            <v>KC Tanjung Selor</v>
          </cell>
          <cell r="O2214" t="str">
            <v>Banjarmasin</v>
          </cell>
          <cell r="Q2214" t="str">
            <v>Tidak</v>
          </cell>
          <cell r="R2214" t="str">
            <v>Belum TL</v>
          </cell>
          <cell r="S2214" t="str">
            <v>Pending Checker</v>
          </cell>
          <cell r="T2214" t="str">
            <v>90185537 - Moh.Khoerul Fajar Ar</v>
          </cell>
          <cell r="U2214" t="str">
            <v>"-"</v>
          </cell>
        </row>
        <row r="2215">
          <cell r="A2215">
            <v>46265</v>
          </cell>
          <cell r="B2215" t="str">
            <v xml:space="preserve">PT INTI ENERGI INSANI                   </v>
          </cell>
          <cell r="C2215" t="str">
            <v>PT59243</v>
          </cell>
          <cell r="D2215">
            <v>106001000584306</v>
          </cell>
          <cell r="E2215" t="str">
            <v>SEDANG</v>
          </cell>
          <cell r="F2215" t="str">
            <v>Tidak</v>
          </cell>
          <cell r="G2215" t="str">
            <v>Tidak</v>
          </cell>
          <cell r="H2215" t="str">
            <v>Tidak</v>
          </cell>
          <cell r="I2215" t="str">
            <v>Perpajakan</v>
          </cell>
          <cell r="J2215">
            <v>49</v>
          </cell>
          <cell r="K2215">
            <v>41</v>
          </cell>
          <cell r="L2215" t="str">
            <v>Perpajakan</v>
          </cell>
          <cell r="M2215" t="str">
            <v xml:space="preserve">KCP A YANI BANJAR BARU                  </v>
          </cell>
          <cell r="N2215" t="str">
            <v xml:space="preserve">KC Martapura                            </v>
          </cell>
          <cell r="O2215" t="str">
            <v xml:space="preserve">Banjarmasin                             </v>
          </cell>
          <cell r="Q2215" t="str">
            <v>Tidak</v>
          </cell>
          <cell r="R2215" t="str">
            <v>Belum TL</v>
          </cell>
          <cell r="S2215" t="str">
            <v>Pending Checker</v>
          </cell>
          <cell r="T2215" t="str">
            <v>00336949 - Mochammad Al Farabi</v>
          </cell>
          <cell r="U2215" t="str">
            <v>"-"</v>
          </cell>
        </row>
        <row r="2216">
          <cell r="A2216">
            <v>46265</v>
          </cell>
          <cell r="B2216" t="str">
            <v xml:space="preserve">PELAYARAN AGUNG SAMUDRA                 </v>
          </cell>
          <cell r="C2216" t="str">
            <v>PX22612</v>
          </cell>
          <cell r="D2216">
            <v>12101003550309</v>
          </cell>
          <cell r="E2216" t="str">
            <v>SEDANG</v>
          </cell>
          <cell r="F2216" t="str">
            <v>Tidak</v>
          </cell>
          <cell r="G2216" t="str">
            <v>Tidak</v>
          </cell>
          <cell r="H2216" t="str">
            <v>Tidak</v>
          </cell>
          <cell r="I2216" t="str">
            <v>Perpajakan</v>
          </cell>
          <cell r="J2216">
            <v>48</v>
          </cell>
          <cell r="K2216">
            <v>41</v>
          </cell>
          <cell r="L2216" t="str">
            <v>Perpajakan</v>
          </cell>
          <cell r="M2216" t="str">
            <v xml:space="preserve">KC Balikpapan                           </v>
          </cell>
          <cell r="N2216" t="str">
            <v xml:space="preserve">KC Balikpapan                           </v>
          </cell>
          <cell r="O2216" t="str">
            <v xml:space="preserve">Banjarmasin                             </v>
          </cell>
          <cell r="Q2216" t="str">
            <v>Tidak</v>
          </cell>
          <cell r="R2216" t="str">
            <v>Belum TL</v>
          </cell>
          <cell r="S2216" t="str">
            <v>Pending Checker</v>
          </cell>
          <cell r="T2216" t="str">
            <v>90185538 - Muhammad Fahikal Auz</v>
          </cell>
          <cell r="U2216" t="str">
            <v>"-"</v>
          </cell>
        </row>
        <row r="2217">
          <cell r="A2217">
            <v>46265</v>
          </cell>
          <cell r="B2217" t="str">
            <v xml:space="preserve">PT JAGUNG BONA INDAH                    </v>
          </cell>
          <cell r="C2217" t="str">
            <v>PLR7677</v>
          </cell>
          <cell r="D2217">
            <v>64201003451301</v>
          </cell>
          <cell r="E2217" t="str">
            <v>SEDANG</v>
          </cell>
          <cell r="F2217" t="str">
            <v>Tidak</v>
          </cell>
          <cell r="G2217" t="str">
            <v>Tidak</v>
          </cell>
          <cell r="H2217" t="str">
            <v>Tidak</v>
          </cell>
          <cell r="I2217" t="str">
            <v>Perpajakan</v>
          </cell>
          <cell r="J2217">
            <v>48</v>
          </cell>
          <cell r="K2217">
            <v>41</v>
          </cell>
          <cell r="L2217" t="str">
            <v>Perpajakan</v>
          </cell>
          <cell r="M2217" t="str">
            <v xml:space="preserve">KC Panakkukang                          </v>
          </cell>
          <cell r="N2217" t="str">
            <v xml:space="preserve">KC Panakkukang                          </v>
          </cell>
          <cell r="O2217" t="str">
            <v xml:space="preserve">Makassar                                </v>
          </cell>
          <cell r="Q2217" t="str">
            <v>Tidak</v>
          </cell>
          <cell r="R2217" t="str">
            <v>Belum TL</v>
          </cell>
          <cell r="S2217" t="str">
            <v>Pending Checker</v>
          </cell>
          <cell r="T2217" t="str">
            <v>90150130 - Intan Aida Pratiwi</v>
          </cell>
          <cell r="U2217" t="str">
            <v>"-"</v>
          </cell>
        </row>
        <row r="2218">
          <cell r="A2218">
            <v>46265</v>
          </cell>
          <cell r="B2218" t="str">
            <v xml:space="preserve">PT CIPTA KAWASAN BERSINAR               </v>
          </cell>
          <cell r="C2218" t="str">
            <v>PLR7682</v>
          </cell>
          <cell r="D2218">
            <v>64201003452307</v>
          </cell>
          <cell r="E2218" t="str">
            <v>SEDANG</v>
          </cell>
          <cell r="F2218" t="str">
            <v>Tidak</v>
          </cell>
          <cell r="G2218" t="str">
            <v>Tidak</v>
          </cell>
          <cell r="H2218" t="str">
            <v>Tidak</v>
          </cell>
          <cell r="I2218" t="str">
            <v>Perpajakan</v>
          </cell>
          <cell r="J2218">
            <v>48</v>
          </cell>
          <cell r="K2218">
            <v>41</v>
          </cell>
          <cell r="L2218" t="str">
            <v>Perpajakan</v>
          </cell>
          <cell r="M2218" t="str">
            <v xml:space="preserve">KC Panakkukang                          </v>
          </cell>
          <cell r="N2218" t="str">
            <v xml:space="preserve">KC Panakkukang                          </v>
          </cell>
          <cell r="O2218" t="str">
            <v xml:space="preserve">Makassar                                </v>
          </cell>
          <cell r="P2218" t="str">
            <v>Tidak</v>
          </cell>
          <cell r="Q2218" t="str">
            <v>Tidak</v>
          </cell>
          <cell r="R2218" t="str">
            <v>On Progress</v>
          </cell>
          <cell r="S2218" t="str">
            <v>Pending Checker</v>
          </cell>
          <cell r="T2218" t="str">
            <v>90150130 - Intan Aida Pratiwi</v>
          </cell>
          <cell r="U2218" t="str">
            <v>"-"</v>
          </cell>
        </row>
        <row r="2219">
          <cell r="A2219">
            <v>46265</v>
          </cell>
          <cell r="B2219" t="str">
            <v xml:space="preserve">PT CAHAYA GEMPITA CELEBES               </v>
          </cell>
          <cell r="C2219" t="str">
            <v>PLR7684</v>
          </cell>
          <cell r="D2219">
            <v>64201003453303</v>
          </cell>
          <cell r="E2219" t="str">
            <v>SEDANG</v>
          </cell>
          <cell r="F2219" t="str">
            <v>Tidak</v>
          </cell>
          <cell r="G2219" t="str">
            <v>Tidak</v>
          </cell>
          <cell r="H2219" t="str">
            <v>Tidak</v>
          </cell>
          <cell r="I2219" t="str">
            <v>Perpajakan</v>
          </cell>
          <cell r="J2219">
            <v>48</v>
          </cell>
          <cell r="K2219">
            <v>41</v>
          </cell>
          <cell r="L2219" t="str">
            <v>Perpajakan</v>
          </cell>
          <cell r="M2219" t="str">
            <v xml:space="preserve">KC Panakkukang                          </v>
          </cell>
          <cell r="N2219" t="str">
            <v xml:space="preserve">KC Panakkukang                          </v>
          </cell>
          <cell r="O2219" t="str">
            <v xml:space="preserve">Makassar                                </v>
          </cell>
          <cell r="P2219" t="str">
            <v>Tidak</v>
          </cell>
          <cell r="Q2219" t="str">
            <v>Tidak</v>
          </cell>
          <cell r="R2219" t="str">
            <v>On Progress</v>
          </cell>
          <cell r="S2219" t="str">
            <v>Pending Checker</v>
          </cell>
          <cell r="T2219" t="str">
            <v>90170665 - Mutiara Ayuningtyas</v>
          </cell>
          <cell r="U2219" t="str">
            <v>"-"</v>
          </cell>
        </row>
        <row r="2220">
          <cell r="A2220">
            <v>46265</v>
          </cell>
          <cell r="B2220" t="str">
            <v xml:space="preserve">PT ANDI MAPPANGARA BONE                 </v>
          </cell>
          <cell r="C2220" t="str">
            <v>PLR7696</v>
          </cell>
          <cell r="D2220">
            <v>64201003454309</v>
          </cell>
          <cell r="E2220" t="str">
            <v>SEDANG</v>
          </cell>
          <cell r="F2220" t="str">
            <v>Tidak</v>
          </cell>
          <cell r="G2220" t="str">
            <v>Tidak</v>
          </cell>
          <cell r="H2220" t="str">
            <v>Tidak</v>
          </cell>
          <cell r="I2220" t="str">
            <v>Perpajakan</v>
          </cell>
          <cell r="J2220">
            <v>48</v>
          </cell>
          <cell r="K2220">
            <v>41</v>
          </cell>
          <cell r="L2220" t="str">
            <v>Perpajakan</v>
          </cell>
          <cell r="M2220" t="str">
            <v xml:space="preserve">KC Panakkukang                          </v>
          </cell>
          <cell r="N2220" t="str">
            <v xml:space="preserve">KC Panakkukang                          </v>
          </cell>
          <cell r="O2220" t="str">
            <v xml:space="preserve">Makassar                                </v>
          </cell>
          <cell r="P2220" t="str">
            <v>Tidak</v>
          </cell>
          <cell r="Q2220" t="str">
            <v>Tidak</v>
          </cell>
          <cell r="R2220" t="str">
            <v>On Progress</v>
          </cell>
          <cell r="S2220" t="str">
            <v>Pending Checker</v>
          </cell>
          <cell r="T2220" t="str">
            <v>90150130 - Intan Aida Pratiwi</v>
          </cell>
          <cell r="U2220" t="str">
            <v>"-"</v>
          </cell>
        </row>
        <row r="2221">
          <cell r="A2221">
            <v>46265</v>
          </cell>
          <cell r="B2221" t="str">
            <v xml:space="preserve">PT TIRAN KONAWE UTARA                   </v>
          </cell>
          <cell r="C2221" t="str">
            <v>PLR7712</v>
          </cell>
          <cell r="D2221">
            <v>64201003459309</v>
          </cell>
          <cell r="E2221" t="str">
            <v>SEDANG</v>
          </cell>
          <cell r="F2221" t="str">
            <v>Tidak</v>
          </cell>
          <cell r="G2221" t="str">
            <v>Tidak</v>
          </cell>
          <cell r="H2221" t="str">
            <v>Tidak</v>
          </cell>
          <cell r="I2221" t="str">
            <v>Perpajakan</v>
          </cell>
          <cell r="J2221">
            <v>48</v>
          </cell>
          <cell r="K2221">
            <v>41</v>
          </cell>
          <cell r="L2221" t="str">
            <v>Perpajakan</v>
          </cell>
          <cell r="M2221" t="str">
            <v xml:space="preserve">KC Panakkukang                          </v>
          </cell>
          <cell r="N2221" t="str">
            <v xml:space="preserve">KC Panakkukang                          </v>
          </cell>
          <cell r="O2221" t="str">
            <v xml:space="preserve">Makassar                                </v>
          </cell>
          <cell r="P2221" t="str">
            <v>Tidak</v>
          </cell>
          <cell r="Q2221" t="str">
            <v>Tidak</v>
          </cell>
          <cell r="R2221" t="str">
            <v>On Progress</v>
          </cell>
          <cell r="S2221" t="str">
            <v>Pending Checker</v>
          </cell>
          <cell r="T2221" t="str">
            <v>90170665 - Mutiara Ayuningtyas</v>
          </cell>
          <cell r="U2221" t="str">
            <v>"-"</v>
          </cell>
        </row>
        <row r="2222">
          <cell r="A2222">
            <v>46265</v>
          </cell>
          <cell r="B2222" t="str">
            <v xml:space="preserve">PT AAS MINERAL MANDIRI                  </v>
          </cell>
          <cell r="C2222" t="str">
            <v>PLR8786</v>
          </cell>
          <cell r="D2222">
            <v>64201003460300</v>
          </cell>
          <cell r="E2222" t="str">
            <v>SEDANG</v>
          </cell>
          <cell r="F2222" t="str">
            <v>Tidak</v>
          </cell>
          <cell r="G2222" t="str">
            <v>Tidak</v>
          </cell>
          <cell r="H2222" t="str">
            <v>Tidak</v>
          </cell>
          <cell r="I2222" t="str">
            <v>Perpajakan</v>
          </cell>
          <cell r="J2222">
            <v>48</v>
          </cell>
          <cell r="K2222">
            <v>41</v>
          </cell>
          <cell r="L2222" t="str">
            <v>Perpajakan</v>
          </cell>
          <cell r="M2222" t="str">
            <v xml:space="preserve">KC Panakkukang                          </v>
          </cell>
          <cell r="N2222" t="str">
            <v xml:space="preserve">KC Panakkukang                          </v>
          </cell>
          <cell r="O2222" t="str">
            <v xml:space="preserve">Makassar                                </v>
          </cell>
          <cell r="P2222" t="str">
            <v>Tidak</v>
          </cell>
          <cell r="Q2222" t="str">
            <v>Tidak</v>
          </cell>
          <cell r="R2222" t="str">
            <v>On Progress</v>
          </cell>
          <cell r="S2222" t="str">
            <v>Pending Checker</v>
          </cell>
          <cell r="T2222" t="str">
            <v>90150130 - Intan Aida Pratiwi</v>
          </cell>
          <cell r="U2222" t="str">
            <v>"-"</v>
          </cell>
        </row>
        <row r="2223">
          <cell r="A2223">
            <v>46265</v>
          </cell>
          <cell r="B2223" t="str">
            <v xml:space="preserve">PT PLASTINDO ABADI NUSANTARA            </v>
          </cell>
          <cell r="C2223" t="str">
            <v>PLS1172</v>
          </cell>
          <cell r="D2223">
            <v>64201003466306</v>
          </cell>
          <cell r="E2223" t="str">
            <v>SEDANG</v>
          </cell>
          <cell r="F2223" t="str">
            <v>Tidak</v>
          </cell>
          <cell r="G2223" t="str">
            <v>Tidak</v>
          </cell>
          <cell r="H2223" t="str">
            <v>Tidak</v>
          </cell>
          <cell r="I2223" t="str">
            <v>Perpajakan</v>
          </cell>
          <cell r="J2223">
            <v>48</v>
          </cell>
          <cell r="K2223">
            <v>41</v>
          </cell>
          <cell r="L2223" t="str">
            <v>Perpajakan</v>
          </cell>
          <cell r="M2223" t="str">
            <v xml:space="preserve">KC Panakkukang                          </v>
          </cell>
          <cell r="N2223" t="str">
            <v xml:space="preserve">KC Panakkukang                          </v>
          </cell>
          <cell r="O2223" t="str">
            <v xml:space="preserve">Makassar                                </v>
          </cell>
          <cell r="P2223" t="str">
            <v>Tidak</v>
          </cell>
          <cell r="Q2223" t="str">
            <v>Tidak</v>
          </cell>
          <cell r="R2223" t="str">
            <v>On Progress</v>
          </cell>
          <cell r="S2223" t="str">
            <v>Pending Checker</v>
          </cell>
          <cell r="T2223" t="str">
            <v>90171841 - Rifqi Aziz</v>
          </cell>
          <cell r="U2223" t="str">
            <v>"-"</v>
          </cell>
        </row>
        <row r="2224">
          <cell r="A2224">
            <v>46265</v>
          </cell>
          <cell r="B2224" t="str">
            <v xml:space="preserve">PT SUMBER MOLASE ABADI                  </v>
          </cell>
          <cell r="C2224" t="str">
            <v>PLS1188</v>
          </cell>
          <cell r="D2224">
            <v>64201003468308</v>
          </cell>
          <cell r="E2224" t="str">
            <v>SEDANG</v>
          </cell>
          <cell r="F2224" t="str">
            <v>Tidak</v>
          </cell>
          <cell r="G2224" t="str">
            <v>Tidak</v>
          </cell>
          <cell r="H2224" t="str">
            <v>Tidak</v>
          </cell>
          <cell r="I2224" t="str">
            <v>Perpajakan</v>
          </cell>
          <cell r="J2224">
            <v>48</v>
          </cell>
          <cell r="K2224">
            <v>41</v>
          </cell>
          <cell r="L2224" t="str">
            <v>Perpajakan</v>
          </cell>
          <cell r="M2224" t="str">
            <v xml:space="preserve">KC Panakkukang                          </v>
          </cell>
          <cell r="N2224" t="str">
            <v xml:space="preserve">KC Panakkukang                          </v>
          </cell>
          <cell r="O2224" t="str">
            <v xml:space="preserve">Makassar                                </v>
          </cell>
          <cell r="P2224" t="str">
            <v>Tidak</v>
          </cell>
          <cell r="Q2224" t="str">
            <v>Tidak</v>
          </cell>
          <cell r="R2224" t="str">
            <v>On Progress</v>
          </cell>
          <cell r="S2224" t="str">
            <v>Pending Checker</v>
          </cell>
          <cell r="T2224" t="str">
            <v>90185537 - Moh.Khoerul Fajar Ar</v>
          </cell>
          <cell r="U2224" t="str">
            <v>"-"</v>
          </cell>
        </row>
        <row r="2225">
          <cell r="A2225">
            <v>46265</v>
          </cell>
          <cell r="B2225" t="str">
            <v xml:space="preserve">PT AASDIN NICKEL MINING                 </v>
          </cell>
          <cell r="C2225" t="str">
            <v>PLS1348</v>
          </cell>
          <cell r="D2225">
            <v>64201003470305</v>
          </cell>
          <cell r="E2225" t="str">
            <v>SEDANG</v>
          </cell>
          <cell r="F2225" t="str">
            <v>Tidak</v>
          </cell>
          <cell r="G2225" t="str">
            <v>Tidak</v>
          </cell>
          <cell r="H2225" t="str">
            <v>Tidak</v>
          </cell>
          <cell r="I2225" t="str">
            <v>Perpajakan</v>
          </cell>
          <cell r="J2225">
            <v>48</v>
          </cell>
          <cell r="K2225">
            <v>41</v>
          </cell>
          <cell r="L2225" t="str">
            <v>Perpajakan</v>
          </cell>
          <cell r="M2225" t="str">
            <v xml:space="preserve">KC Panakkukang                          </v>
          </cell>
          <cell r="N2225" t="str">
            <v xml:space="preserve">KC Panakkukang                          </v>
          </cell>
          <cell r="O2225" t="str">
            <v xml:space="preserve">Makassar                                </v>
          </cell>
          <cell r="P2225" t="str">
            <v>Tidak</v>
          </cell>
          <cell r="Q2225" t="str">
            <v>Tidak</v>
          </cell>
          <cell r="R2225" t="str">
            <v>On Progress</v>
          </cell>
          <cell r="S2225" t="str">
            <v>Pending Checker</v>
          </cell>
          <cell r="T2225" t="str">
            <v>90185538 - Muhammad Fahikal Auz</v>
          </cell>
          <cell r="U2225" t="str">
            <v>"-"</v>
          </cell>
        </row>
        <row r="2226">
          <cell r="A2226">
            <v>46265</v>
          </cell>
          <cell r="B2226" t="str">
            <v xml:space="preserve">PT SULAWESI SUMATERA NUSANTARA          </v>
          </cell>
          <cell r="C2226" t="str">
            <v>PLS1493</v>
          </cell>
          <cell r="D2226">
            <v>64201003471301</v>
          </cell>
          <cell r="E2226" t="str">
            <v>SEDANG</v>
          </cell>
          <cell r="F2226" t="str">
            <v>Tidak</v>
          </cell>
          <cell r="G2226" t="str">
            <v>Tidak</v>
          </cell>
          <cell r="H2226" t="str">
            <v>Tidak</v>
          </cell>
          <cell r="I2226" t="str">
            <v>Perpajakan</v>
          </cell>
          <cell r="J2226">
            <v>48</v>
          </cell>
          <cell r="K2226">
            <v>41</v>
          </cell>
          <cell r="L2226" t="str">
            <v>Perpajakan</v>
          </cell>
          <cell r="M2226" t="str">
            <v xml:space="preserve">KC Panakkukang                          </v>
          </cell>
          <cell r="N2226" t="str">
            <v xml:space="preserve">KC Panakkukang                          </v>
          </cell>
          <cell r="O2226" t="str">
            <v xml:space="preserve">Makassar                                </v>
          </cell>
          <cell r="P2226" t="str">
            <v>Tidak</v>
          </cell>
          <cell r="Q2226" t="str">
            <v>Tidak</v>
          </cell>
          <cell r="R2226" t="str">
            <v>On Progress</v>
          </cell>
          <cell r="S2226" t="str">
            <v>Pending Checker</v>
          </cell>
          <cell r="T2226" t="str">
            <v>90186790 - Muhammad Alfin Farha</v>
          </cell>
          <cell r="U2226" t="str">
            <v>"-"</v>
          </cell>
        </row>
        <row r="2227">
          <cell r="A2227">
            <v>46265</v>
          </cell>
          <cell r="B2227" t="str">
            <v xml:space="preserve">PT PETRO MANDIRI NUSANTARA              </v>
          </cell>
          <cell r="C2227" t="str">
            <v>PLS1503</v>
          </cell>
          <cell r="D2227">
            <v>64201003472307</v>
          </cell>
          <cell r="E2227" t="str">
            <v>SEDANG</v>
          </cell>
          <cell r="F2227" t="str">
            <v>Tidak</v>
          </cell>
          <cell r="G2227" t="str">
            <v>Tidak</v>
          </cell>
          <cell r="H2227" t="str">
            <v>Tidak</v>
          </cell>
          <cell r="I2227" t="str">
            <v>Perpajakan</v>
          </cell>
          <cell r="J2227">
            <v>48</v>
          </cell>
          <cell r="K2227">
            <v>41</v>
          </cell>
          <cell r="L2227" t="str">
            <v>Perpajakan</v>
          </cell>
          <cell r="M2227" t="str">
            <v xml:space="preserve">KC Panakkukang                          </v>
          </cell>
          <cell r="N2227" t="str">
            <v xml:space="preserve">KC Panakkukang                          </v>
          </cell>
          <cell r="O2227" t="str">
            <v xml:space="preserve">Makassar                                </v>
          </cell>
          <cell r="P2227" t="str">
            <v>Tidak</v>
          </cell>
          <cell r="Q2227" t="str">
            <v>Tidak</v>
          </cell>
          <cell r="R2227" t="str">
            <v>On Progress</v>
          </cell>
          <cell r="S2227" t="str">
            <v>Pending Checker</v>
          </cell>
          <cell r="T2227" t="str">
            <v>00336949 - Mochammad Al Farabi</v>
          </cell>
          <cell r="U2227" t="str">
            <v>"-"</v>
          </cell>
        </row>
        <row r="2228">
          <cell r="A2228">
            <v>46265</v>
          </cell>
          <cell r="B2228" t="str">
            <v xml:space="preserve">PT JAYA KAPUR NUSANTARA                 </v>
          </cell>
          <cell r="C2228" t="str">
            <v>PLS1821</v>
          </cell>
          <cell r="D2228">
            <v>64201003476301</v>
          </cell>
          <cell r="E2228" t="str">
            <v>SEDANG</v>
          </cell>
          <cell r="F2228" t="str">
            <v>Tidak</v>
          </cell>
          <cell r="G2228" t="str">
            <v>Tidak</v>
          </cell>
          <cell r="H2228" t="str">
            <v>Tidak</v>
          </cell>
          <cell r="I2228" t="str">
            <v>Perpajakan</v>
          </cell>
          <cell r="J2228">
            <v>48</v>
          </cell>
          <cell r="K2228">
            <v>41</v>
          </cell>
          <cell r="L2228" t="str">
            <v>Perpajakan</v>
          </cell>
          <cell r="M2228" t="str">
            <v xml:space="preserve">KC Panakkukang                          </v>
          </cell>
          <cell r="N2228" t="str">
            <v xml:space="preserve">KC Panakkukang                          </v>
          </cell>
          <cell r="O2228" t="str">
            <v xml:space="preserve">Makassar                                </v>
          </cell>
          <cell r="P2228" t="str">
            <v>Tidak</v>
          </cell>
          <cell r="Q2228" t="str">
            <v>Tidak</v>
          </cell>
          <cell r="R2228" t="str">
            <v>On Progress</v>
          </cell>
          <cell r="S2228" t="str">
            <v>Pending Checker</v>
          </cell>
          <cell r="T2228" t="str">
            <v>90186796 - Devito Arya Wiradila</v>
          </cell>
          <cell r="U2228" t="str">
            <v>"-"</v>
          </cell>
        </row>
        <row r="2229">
          <cell r="A2229">
            <v>46265</v>
          </cell>
          <cell r="B2229" t="str">
            <v xml:space="preserve">PT TIRAN FERO NUSANTARA                 </v>
          </cell>
          <cell r="C2229" t="str">
            <v>PLS3029</v>
          </cell>
          <cell r="D2229">
            <v>64201003483308</v>
          </cell>
          <cell r="E2229" t="str">
            <v>SEDANG</v>
          </cell>
          <cell r="F2229" t="str">
            <v>Tidak</v>
          </cell>
          <cell r="G2229" t="str">
            <v>Tidak</v>
          </cell>
          <cell r="H2229" t="str">
            <v>Tidak</v>
          </cell>
          <cell r="I2229" t="str">
            <v>Perpajakan</v>
          </cell>
          <cell r="J2229">
            <v>48</v>
          </cell>
          <cell r="K2229">
            <v>41</v>
          </cell>
          <cell r="L2229" t="str">
            <v>Perpajakan</v>
          </cell>
          <cell r="M2229" t="str">
            <v xml:space="preserve">KC Panakkukang                          </v>
          </cell>
          <cell r="N2229" t="str">
            <v xml:space="preserve">KC Panakkukang                          </v>
          </cell>
          <cell r="O2229" t="str">
            <v xml:space="preserve">Makassar                                </v>
          </cell>
          <cell r="P2229" t="str">
            <v>Tidak</v>
          </cell>
          <cell r="Q2229" t="str">
            <v>Tidak</v>
          </cell>
          <cell r="R2229" t="str">
            <v>On Progress</v>
          </cell>
          <cell r="S2229" t="str">
            <v>Pending Checker</v>
          </cell>
          <cell r="T2229" t="str">
            <v>00336949 - Mochammad Al Farabi</v>
          </cell>
          <cell r="U2229" t="str">
            <v>"-"</v>
          </cell>
        </row>
        <row r="2230">
          <cell r="A2230">
            <v>46265</v>
          </cell>
          <cell r="B2230" t="str">
            <v xml:space="preserve">PT MEGA TAKALAR SEJAHTERA               </v>
          </cell>
          <cell r="C2230" t="str">
            <v>PLS6962</v>
          </cell>
          <cell r="D2230">
            <v>64201003485300</v>
          </cell>
          <cell r="E2230" t="str">
            <v>SEDANG</v>
          </cell>
          <cell r="F2230" t="str">
            <v>Tidak</v>
          </cell>
          <cell r="G2230" t="str">
            <v>Tidak</v>
          </cell>
          <cell r="H2230" t="str">
            <v>Tidak</v>
          </cell>
          <cell r="I2230" t="str">
            <v>Perpajakan</v>
          </cell>
          <cell r="J2230">
            <v>48</v>
          </cell>
          <cell r="K2230">
            <v>41</v>
          </cell>
          <cell r="L2230" t="str">
            <v>Perpajakan</v>
          </cell>
          <cell r="M2230" t="str">
            <v xml:space="preserve">KC Panakkukang                          </v>
          </cell>
          <cell r="N2230" t="str">
            <v xml:space="preserve">KC Panakkukang                          </v>
          </cell>
          <cell r="O2230" t="str">
            <v xml:space="preserve">Makassar                                </v>
          </cell>
          <cell r="P2230" t="str">
            <v>Tidak</v>
          </cell>
          <cell r="Q2230" t="str">
            <v>Tidak</v>
          </cell>
          <cell r="R2230" t="str">
            <v>On Progress</v>
          </cell>
          <cell r="S2230" t="str">
            <v>Pending Checker</v>
          </cell>
          <cell r="T2230" t="str">
            <v>00336949 - Mochammad Al Farabi</v>
          </cell>
          <cell r="U2230" t="str">
            <v>"-"</v>
          </cell>
        </row>
        <row r="2231">
          <cell r="A2231">
            <v>46265</v>
          </cell>
          <cell r="B2231" t="str">
            <v xml:space="preserve">PT TEMARA TAKALAR ABADI                 </v>
          </cell>
          <cell r="C2231" t="str">
            <v>PLS6985</v>
          </cell>
          <cell r="D2231">
            <v>64201003487302</v>
          </cell>
          <cell r="E2231" t="str">
            <v>SEDANG</v>
          </cell>
          <cell r="F2231" t="str">
            <v>Tidak</v>
          </cell>
          <cell r="G2231" t="str">
            <v>Tidak</v>
          </cell>
          <cell r="H2231" t="str">
            <v>Tidak</v>
          </cell>
          <cell r="I2231" t="str">
            <v>Perpajakan</v>
          </cell>
          <cell r="J2231">
            <v>48</v>
          </cell>
          <cell r="K2231">
            <v>41</v>
          </cell>
          <cell r="L2231" t="str">
            <v>Perpajakan</v>
          </cell>
          <cell r="M2231" t="str">
            <v xml:space="preserve">KC Panakkukang                          </v>
          </cell>
          <cell r="N2231" t="str">
            <v xml:space="preserve">KC Panakkukang                          </v>
          </cell>
          <cell r="O2231" t="str">
            <v xml:space="preserve">Makassar                                </v>
          </cell>
          <cell r="P2231" t="str">
            <v>Tidak</v>
          </cell>
          <cell r="Q2231" t="str">
            <v>Tidak</v>
          </cell>
          <cell r="R2231" t="str">
            <v>On Progress</v>
          </cell>
          <cell r="S2231" t="str">
            <v>Pending Checker</v>
          </cell>
          <cell r="T2231" t="str">
            <v>00394520 - Frida Akbar Rani</v>
          </cell>
          <cell r="U2231" t="str">
            <v>"-"</v>
          </cell>
        </row>
        <row r="2232">
          <cell r="A2232">
            <v>46265</v>
          </cell>
          <cell r="B2232" t="str">
            <v xml:space="preserve">PUJI LESTARI                            </v>
          </cell>
          <cell r="C2232" t="str">
            <v>PK13795</v>
          </cell>
          <cell r="D2232">
            <v>8201002291566</v>
          </cell>
          <cell r="E2232" t="str">
            <v>TINGGI</v>
          </cell>
          <cell r="F2232" t="str">
            <v>Tidak</v>
          </cell>
          <cell r="G2232" t="str">
            <v>Tidak</v>
          </cell>
          <cell r="H2232" t="str">
            <v>Tidak</v>
          </cell>
          <cell r="I2232" t="str">
            <v>Perpajakan</v>
          </cell>
          <cell r="J2232">
            <v>75</v>
          </cell>
          <cell r="K2232">
            <v>1.33</v>
          </cell>
          <cell r="L2232" t="str">
            <v>Perpajakan</v>
          </cell>
          <cell r="M2232" t="str">
            <v xml:space="preserve">KC SAMARINDA GAJAH MADA                 </v>
          </cell>
          <cell r="N2232" t="str">
            <v xml:space="preserve">KC SAMARINDA GAJAH MADA                 </v>
          </cell>
          <cell r="O2232" t="str">
            <v xml:space="preserve">Banjarmasin                             </v>
          </cell>
          <cell r="Q2232" t="str">
            <v>Tidak</v>
          </cell>
          <cell r="R2232" t="str">
            <v>Belum TL</v>
          </cell>
          <cell r="S2232" t="str">
            <v>Pending Checker</v>
          </cell>
          <cell r="T2232" t="str">
            <v>90185537 - Moh.Khoerul Fajar Ar</v>
          </cell>
          <cell r="U2232" t="str">
            <v>"-"</v>
          </cell>
        </row>
        <row r="2233">
          <cell r="A2233">
            <v>46265</v>
          </cell>
          <cell r="B2233" t="str">
            <v xml:space="preserve">PT BUMI SURYA SELARAS                   </v>
          </cell>
          <cell r="C2233" t="str">
            <v>PHF3366</v>
          </cell>
          <cell r="D2233">
            <v>503501000004567</v>
          </cell>
          <cell r="E2233" t="str">
            <v>SEDANG</v>
          </cell>
          <cell r="F2233" t="str">
            <v>Tidak</v>
          </cell>
          <cell r="G2233" t="str">
            <v>Tidak</v>
          </cell>
          <cell r="H2233" t="str">
            <v>Tidak</v>
          </cell>
          <cell r="I2233" t="str">
            <v>Perpajakan</v>
          </cell>
          <cell r="J2233">
            <v>48</v>
          </cell>
          <cell r="K2233">
            <v>1.33</v>
          </cell>
          <cell r="L2233" t="str">
            <v>Perpajakan</v>
          </cell>
          <cell r="M2233" t="str">
            <v xml:space="preserve">UNIT LUYO POLEWALI                      </v>
          </cell>
          <cell r="N2233" t="str">
            <v xml:space="preserve">KC Polewali                             </v>
          </cell>
          <cell r="O2233" t="str">
            <v xml:space="preserve">Makassar                                </v>
          </cell>
          <cell r="Q2233" t="str">
            <v>Tidak</v>
          </cell>
          <cell r="R2233" t="str">
            <v>Belum TL</v>
          </cell>
          <cell r="S2233" t="str">
            <v>Pending Checker</v>
          </cell>
          <cell r="T2233" t="str">
            <v>00336949 - Mochammad Al Farabi</v>
          </cell>
          <cell r="U2233" t="str">
            <v>"-"</v>
          </cell>
        </row>
        <row r="2234">
          <cell r="A2234">
            <v>46265</v>
          </cell>
          <cell r="B2234" t="str">
            <v xml:space="preserve">PT KALIMAS KHARISMA                     </v>
          </cell>
          <cell r="C2234" t="str">
            <v>PEC1566</v>
          </cell>
          <cell r="D2234">
            <v>12601001811301</v>
          </cell>
          <cell r="E2234" t="str">
            <v>SEDANG</v>
          </cell>
          <cell r="F2234" t="str">
            <v>Tidak</v>
          </cell>
          <cell r="G2234" t="str">
            <v>Tidak</v>
          </cell>
          <cell r="H2234" t="str">
            <v>Tidak</v>
          </cell>
          <cell r="I2234" t="str">
            <v>Perpajakan</v>
          </cell>
          <cell r="J2234">
            <v>50</v>
          </cell>
          <cell r="K2234">
            <v>1.33</v>
          </cell>
          <cell r="L2234" t="str">
            <v>Perpajakan</v>
          </cell>
          <cell r="M2234" t="str">
            <v xml:space="preserve">KC Batulicin                            </v>
          </cell>
          <cell r="N2234" t="str">
            <v xml:space="preserve">KC Batulicin                            </v>
          </cell>
          <cell r="O2234" t="str">
            <v xml:space="preserve">Banjarmasin                             </v>
          </cell>
          <cell r="Q2234" t="str">
            <v>Tidak</v>
          </cell>
          <cell r="R2234" t="str">
            <v>Belum TL</v>
          </cell>
          <cell r="S2234" t="str">
            <v>Pending Checker</v>
          </cell>
          <cell r="T2234" t="str">
            <v>00394520 - Frida Akbar Rani</v>
          </cell>
          <cell r="U2234" t="str">
            <v>"-"</v>
          </cell>
        </row>
        <row r="2235">
          <cell r="A2235">
            <v>46265</v>
          </cell>
          <cell r="B2235" t="str">
            <v xml:space="preserve">PT SUMBER KAHAYAN KHARISMA              </v>
          </cell>
          <cell r="C2235" t="str">
            <v>PEC3049</v>
          </cell>
          <cell r="D2235">
            <v>16301001924308</v>
          </cell>
          <cell r="E2235" t="str">
            <v>SEDANG</v>
          </cell>
          <cell r="F2235" t="str">
            <v>Tidak</v>
          </cell>
          <cell r="G2235" t="str">
            <v>Tidak</v>
          </cell>
          <cell r="H2235" t="str">
            <v>Tidak</v>
          </cell>
          <cell r="I2235" t="str">
            <v>Perpajakan</v>
          </cell>
          <cell r="J2235">
            <v>50</v>
          </cell>
          <cell r="K2235">
            <v>1.33</v>
          </cell>
          <cell r="L2235" t="str">
            <v>Perpajakan</v>
          </cell>
          <cell r="M2235" t="str">
            <v xml:space="preserve">KC Sampit                               </v>
          </cell>
          <cell r="N2235" t="str">
            <v xml:space="preserve">KC Sampit                               </v>
          </cell>
          <cell r="O2235" t="str">
            <v xml:space="preserve">Banjarmasin                             </v>
          </cell>
          <cell r="Q2235" t="str">
            <v>Tidak</v>
          </cell>
          <cell r="R2235" t="str">
            <v>Belum TL</v>
          </cell>
          <cell r="S2235" t="str">
            <v>Pending Checker</v>
          </cell>
          <cell r="T2235" t="str">
            <v>00336949 - Mochammad Al Farabi</v>
          </cell>
          <cell r="U2235" t="str">
            <v>"-"</v>
          </cell>
        </row>
        <row r="2236">
          <cell r="A2236">
            <v>46265</v>
          </cell>
          <cell r="B2236" t="str">
            <v xml:space="preserve">MASJID AT-TAQWA                         </v>
          </cell>
          <cell r="C2236" t="str">
            <v>MDPTD84</v>
          </cell>
          <cell r="D2236">
            <v>450501033915537</v>
          </cell>
          <cell r="F2236" t="str">
            <v>Tidak</v>
          </cell>
          <cell r="G2236" t="str">
            <v>Tidak</v>
          </cell>
          <cell r="H2236" t="str">
            <v>Tidak</v>
          </cell>
          <cell r="I2236" t="str">
            <v>Perpajakan</v>
          </cell>
          <cell r="J2236">
            <v>33</v>
          </cell>
          <cell r="K2236">
            <v>41</v>
          </cell>
          <cell r="L2236" t="str">
            <v>Perpajakan</v>
          </cell>
          <cell r="M2236" t="str">
            <v xml:space="preserve">UNIT BENGELON SANGATTA                  </v>
          </cell>
          <cell r="N2236" t="str">
            <v xml:space="preserve">KC Sangatta                             </v>
          </cell>
          <cell r="O2236" t="str">
            <v xml:space="preserve">Banjarmasin                             </v>
          </cell>
          <cell r="Q2236" t="str">
            <v>Tidak</v>
          </cell>
          <cell r="R2236" t="str">
            <v>Belum TL</v>
          </cell>
          <cell r="S2236" t="str">
            <v>Pending Checker</v>
          </cell>
          <cell r="T2236" t="str">
            <v>90186796 - Devito Arya Wiradila</v>
          </cell>
          <cell r="U2236" t="str">
            <v>"-"</v>
          </cell>
        </row>
        <row r="2237">
          <cell r="A2237">
            <v>46265</v>
          </cell>
          <cell r="B2237" t="str">
            <v xml:space="preserve">MARIA MAGDALENA MODHE                   </v>
          </cell>
          <cell r="C2237" t="str">
            <v>MDMGT89</v>
          </cell>
          <cell r="D2237">
            <v>6401076788505</v>
          </cell>
          <cell r="F2237" t="str">
            <v>Tidak</v>
          </cell>
          <cell r="G2237" t="str">
            <v>Tidak</v>
          </cell>
          <cell r="H2237" t="str">
            <v>Tidak</v>
          </cell>
          <cell r="I2237" t="str">
            <v>Perpajakan</v>
          </cell>
          <cell r="J2237">
            <v>45</v>
          </cell>
          <cell r="K2237">
            <v>1.33</v>
          </cell>
          <cell r="L2237" t="str">
            <v>Perpajakan</v>
          </cell>
          <cell r="M2237" t="str">
            <v xml:space="preserve">KC Pare-Pare                            </v>
          </cell>
          <cell r="N2237" t="str">
            <v xml:space="preserve">KC Pare-Pare                            </v>
          </cell>
          <cell r="O2237" t="str">
            <v xml:space="preserve">Makassar                                </v>
          </cell>
          <cell r="Q2237" t="str">
            <v>Tidak</v>
          </cell>
          <cell r="R2237" t="str">
            <v>Belum TL</v>
          </cell>
          <cell r="S2237" t="str">
            <v>Pending Checker</v>
          </cell>
          <cell r="T2237" t="str">
            <v>90185537 - Moh.Khoerul Fajar Ar</v>
          </cell>
          <cell r="U2237" t="str">
            <v>"-"</v>
          </cell>
        </row>
        <row r="2238">
          <cell r="A2238">
            <v>46265</v>
          </cell>
          <cell r="B2238" t="str">
            <v xml:space="preserve">MISRAIFAH                               </v>
          </cell>
          <cell r="C2238" t="str">
            <v>MATP217</v>
          </cell>
          <cell r="D2238">
            <v>760001191919505</v>
          </cell>
          <cell r="E2238" t="str">
            <v>TINGGI</v>
          </cell>
          <cell r="F2238" t="str">
            <v>Ya</v>
          </cell>
          <cell r="G2238" t="str">
            <v>Tidak</v>
          </cell>
          <cell r="H2238" t="str">
            <v>Tidak</v>
          </cell>
          <cell r="I2238" t="str">
            <v>Perpajakan</v>
          </cell>
          <cell r="J2238">
            <v>74</v>
          </cell>
          <cell r="K2238">
            <v>1.33</v>
          </cell>
          <cell r="L2238" t="str">
            <v>Perpajakan</v>
          </cell>
          <cell r="M2238" t="str">
            <v xml:space="preserve">UNIT G. OBOS PALANGKARAYA               </v>
          </cell>
          <cell r="N2238" t="str">
            <v xml:space="preserve">KC Palangkaraya                         </v>
          </cell>
          <cell r="O2238" t="str">
            <v xml:space="preserve">Banjarmasin                             </v>
          </cell>
          <cell r="Q2238" t="str">
            <v>Tidak</v>
          </cell>
          <cell r="R2238" t="str">
            <v>Belum TL</v>
          </cell>
          <cell r="S2238" t="str">
            <v>Pending Checker</v>
          </cell>
          <cell r="T2238" t="str">
            <v>00394521 - Muhammad Hibbanduta</v>
          </cell>
          <cell r="U2238" t="str">
            <v>"-"</v>
          </cell>
        </row>
        <row r="2239">
          <cell r="A2239">
            <v>46265</v>
          </cell>
          <cell r="B2239" t="str">
            <v xml:space="preserve">MENGHARAP RIDHO ILLAHI                  </v>
          </cell>
          <cell r="C2239" t="str">
            <v>MAOAO56</v>
          </cell>
          <cell r="D2239">
            <v>106001001129303</v>
          </cell>
          <cell r="E2239" t="str">
            <v>SEDANG</v>
          </cell>
          <cell r="F2239" t="str">
            <v>Tidak</v>
          </cell>
          <cell r="G2239" t="str">
            <v>Tidak</v>
          </cell>
          <cell r="H2239" t="str">
            <v>Tidak</v>
          </cell>
          <cell r="I2239" t="str">
            <v>Perpajakan</v>
          </cell>
          <cell r="J2239">
            <v>48</v>
          </cell>
          <cell r="K2239">
            <v>41</v>
          </cell>
          <cell r="L2239" t="str">
            <v>Perpajakan</v>
          </cell>
          <cell r="M2239" t="str">
            <v xml:space="preserve">KCP A YANI BANJAR BARU                  </v>
          </cell>
          <cell r="N2239" t="str">
            <v xml:space="preserve">KC Martapura                            </v>
          </cell>
          <cell r="O2239" t="str">
            <v xml:space="preserve">Banjarmasin                             </v>
          </cell>
          <cell r="Q2239" t="str">
            <v>Tidak</v>
          </cell>
          <cell r="R2239" t="str">
            <v>Belum TL</v>
          </cell>
          <cell r="S2239" t="str">
            <v>Pending Checker</v>
          </cell>
          <cell r="T2239" t="str">
            <v>90185538 - Muhammad Fahikal Auz</v>
          </cell>
          <cell r="U2239" t="str">
            <v>"-"</v>
          </cell>
        </row>
        <row r="2240">
          <cell r="A2240">
            <v>46265</v>
          </cell>
          <cell r="B2240" t="str">
            <v xml:space="preserve">MASLIANTO AHMAD                         </v>
          </cell>
          <cell r="C2240" t="str">
            <v>MAMOE88</v>
          </cell>
          <cell r="D2240">
            <v>24201001604566</v>
          </cell>
          <cell r="E2240" t="str">
            <v>SEDANG</v>
          </cell>
          <cell r="F2240" t="str">
            <v>Tidak</v>
          </cell>
          <cell r="G2240" t="str">
            <v>Tidak</v>
          </cell>
          <cell r="H2240" t="str">
            <v>Tidak</v>
          </cell>
          <cell r="I2240" t="str">
            <v>Narkotika - Area Lapas</v>
          </cell>
          <cell r="J2240">
            <v>49</v>
          </cell>
          <cell r="K2240">
            <v>47</v>
          </cell>
          <cell r="L2240" t="str">
            <v>Narkotika</v>
          </cell>
          <cell r="M2240" t="str">
            <v>KC Martapura</v>
          </cell>
          <cell r="N2240" t="str">
            <v>KC Martapura</v>
          </cell>
          <cell r="O2240" t="str">
            <v>Banjarmasin</v>
          </cell>
          <cell r="Q2240" t="str">
            <v>Tidak</v>
          </cell>
          <cell r="R2240" t="str">
            <v>Belum TL</v>
          </cell>
          <cell r="S2240" t="str">
            <v>Pending Checker</v>
          </cell>
          <cell r="T2240" t="str">
            <v>90150130 - Intan Aida Pratiwi</v>
          </cell>
          <cell r="U2240" t="str">
            <v>"-"</v>
          </cell>
        </row>
        <row r="2241">
          <cell r="A2241">
            <v>46265</v>
          </cell>
          <cell r="B2241" t="str">
            <v xml:space="preserve">LPM MARIDAN                             </v>
          </cell>
          <cell r="C2241" t="str">
            <v>LJF1441</v>
          </cell>
          <cell r="D2241">
            <v>760201020658533</v>
          </cell>
          <cell r="E2241" t="str">
            <v>SEDANG</v>
          </cell>
          <cell r="F2241" t="str">
            <v>Tidak</v>
          </cell>
          <cell r="G2241" t="str">
            <v>Tidak</v>
          </cell>
          <cell r="H2241" t="str">
            <v>Tidak</v>
          </cell>
          <cell r="I2241" t="str">
            <v>Perpajakan</v>
          </cell>
          <cell r="J2241">
            <v>48</v>
          </cell>
          <cell r="K2241">
            <v>41</v>
          </cell>
          <cell r="L2241" t="str">
            <v>Perpajakan</v>
          </cell>
          <cell r="M2241" t="str">
            <v xml:space="preserve">UNIT SOTEK TANAH GROGOT                 </v>
          </cell>
          <cell r="N2241" t="str">
            <v xml:space="preserve">KC Tanah Grogot                         </v>
          </cell>
          <cell r="O2241" t="str">
            <v xml:space="preserve">Banjarmasin                             </v>
          </cell>
          <cell r="Q2241" t="str">
            <v>Tidak</v>
          </cell>
          <cell r="R2241" t="str">
            <v>Belum TL</v>
          </cell>
          <cell r="S2241" t="str">
            <v>Pending Checker</v>
          </cell>
          <cell r="T2241" t="str">
            <v>90185537 - Moh.Khoerul Fajar Ar</v>
          </cell>
          <cell r="U2241" t="str">
            <v>"-"</v>
          </cell>
        </row>
        <row r="2242">
          <cell r="A2242">
            <v>46265</v>
          </cell>
          <cell r="B2242" t="str">
            <v xml:space="preserve">JAMRAN                                  </v>
          </cell>
          <cell r="C2242" t="str">
            <v>JEV6676</v>
          </cell>
          <cell r="D2242">
            <v>24301148211503</v>
          </cell>
          <cell r="E2242" t="str">
            <v>SEDANG</v>
          </cell>
          <cell r="F2242" t="str">
            <v>Tidak</v>
          </cell>
          <cell r="G2242" t="str">
            <v>Tidak</v>
          </cell>
          <cell r="H2242" t="str">
            <v>Tidak</v>
          </cell>
          <cell r="I2242" t="str">
            <v>Narkotika - Area Lapas</v>
          </cell>
          <cell r="J2242">
            <v>50</v>
          </cell>
          <cell r="K2242">
            <v>46</v>
          </cell>
          <cell r="L2242" t="str">
            <v>Narkotika</v>
          </cell>
          <cell r="M2242" t="str">
            <v>KC Palangkaraya</v>
          </cell>
          <cell r="N2242" t="str">
            <v>KC Palangkaraya</v>
          </cell>
          <cell r="O2242" t="str">
            <v>Banjarmasin</v>
          </cell>
          <cell r="Q2242" t="str">
            <v>Tidak</v>
          </cell>
          <cell r="R2242" t="str">
            <v>Belum TL</v>
          </cell>
          <cell r="S2242" t="str">
            <v>Pending Checker</v>
          </cell>
          <cell r="T2242" t="str">
            <v>90171841 - Rifqi Aziz</v>
          </cell>
          <cell r="U2242" t="str">
            <v>"-"</v>
          </cell>
        </row>
        <row r="2243">
          <cell r="A2243">
            <v>46265</v>
          </cell>
          <cell r="B2243" t="str">
            <v xml:space="preserve">GMAHK JEMAAT KENDARI PERMAI             </v>
          </cell>
          <cell r="C2243" t="str">
            <v>GO85621</v>
          </cell>
          <cell r="D2243">
            <v>19201002130567</v>
          </cell>
          <cell r="E2243" t="str">
            <v>SEDANG</v>
          </cell>
          <cell r="F2243" t="str">
            <v>Tidak</v>
          </cell>
          <cell r="G2243" t="str">
            <v>Tidak</v>
          </cell>
          <cell r="H2243" t="str">
            <v>Tidak</v>
          </cell>
          <cell r="I2243" t="str">
            <v>Perpajakan</v>
          </cell>
          <cell r="J2243">
            <v>48</v>
          </cell>
          <cell r="K2243">
            <v>41</v>
          </cell>
          <cell r="L2243" t="str">
            <v>Perpajakan</v>
          </cell>
          <cell r="M2243" t="str">
            <v xml:space="preserve">KC Kendari Samratulangi                 </v>
          </cell>
          <cell r="N2243" t="str">
            <v xml:space="preserve">KC Kendari Samratulangi                 </v>
          </cell>
          <cell r="O2243" t="str">
            <v xml:space="preserve">Makassar                                </v>
          </cell>
          <cell r="Q2243" t="str">
            <v>Tidak</v>
          </cell>
          <cell r="R2243" t="str">
            <v>Belum TL</v>
          </cell>
          <cell r="S2243" t="str">
            <v>Pending Checker</v>
          </cell>
          <cell r="T2243" t="str">
            <v>00336949 - Mochammad Al Farabi</v>
          </cell>
          <cell r="U2243" t="str">
            <v>"-"</v>
          </cell>
        </row>
        <row r="2244">
          <cell r="A2244">
            <v>46265</v>
          </cell>
          <cell r="B2244" t="str">
            <v xml:space="preserve">FARIOGO KUSUMA                          </v>
          </cell>
          <cell r="C2244" t="str">
            <v>FL92564</v>
          </cell>
          <cell r="D2244">
            <v>62301002142567</v>
          </cell>
          <cell r="E2244" t="str">
            <v>SEDANG</v>
          </cell>
          <cell r="F2244" t="str">
            <v>Tidak</v>
          </cell>
          <cell r="G2244" t="str">
            <v>Tidak</v>
          </cell>
          <cell r="H2244" t="str">
            <v>Tidak</v>
          </cell>
          <cell r="I2244" t="str">
            <v>Narkotika - Area Lapas</v>
          </cell>
          <cell r="J2244">
            <v>50</v>
          </cell>
          <cell r="K2244">
            <v>46</v>
          </cell>
          <cell r="L2244" t="str">
            <v>Narkotika</v>
          </cell>
          <cell r="M2244" t="str">
            <v>KC Banjarmasin 2</v>
          </cell>
          <cell r="N2244" t="str">
            <v>KC Banjarmasin 2</v>
          </cell>
          <cell r="O2244" t="str">
            <v>Banjarmasin</v>
          </cell>
          <cell r="Q2244" t="str">
            <v>Tidak</v>
          </cell>
          <cell r="R2244" t="str">
            <v>Belum TL</v>
          </cell>
          <cell r="S2244" t="str">
            <v>Pending Checker</v>
          </cell>
          <cell r="T2244" t="str">
            <v>00336949 - Mochammad Al Farabi</v>
          </cell>
          <cell r="U2244" t="str">
            <v>"-"</v>
          </cell>
        </row>
        <row r="2245">
          <cell r="A2245">
            <v>46265</v>
          </cell>
          <cell r="B2245" t="str">
            <v xml:space="preserve">FERDIYANSAH                             </v>
          </cell>
          <cell r="C2245" t="str">
            <v>FIP6781</v>
          </cell>
          <cell r="D2245">
            <v>733701004344509</v>
          </cell>
          <cell r="E2245" t="str">
            <v>SEDANG</v>
          </cell>
          <cell r="F2245" t="str">
            <v>Ya</v>
          </cell>
          <cell r="G2245" t="str">
            <v>Tidak</v>
          </cell>
          <cell r="H2245" t="str">
            <v>Tidak</v>
          </cell>
          <cell r="I2245" t="str">
            <v>Narkotika - Area Lapas</v>
          </cell>
          <cell r="J2245">
            <v>50</v>
          </cell>
          <cell r="K2245">
            <v>46</v>
          </cell>
          <cell r="L2245" t="str">
            <v>Narkotika</v>
          </cell>
          <cell r="M2245" t="str">
            <v>UNIT PANCA AGUNG TANJUNG SELOR</v>
          </cell>
          <cell r="N2245" t="str">
            <v>KC Tanjung Selor</v>
          </cell>
          <cell r="O2245" t="str">
            <v>Banjarmasin</v>
          </cell>
          <cell r="Q2245" t="str">
            <v>Tidak</v>
          </cell>
          <cell r="R2245" t="str">
            <v>Belum TL</v>
          </cell>
          <cell r="S2245" t="str">
            <v>Pending Checker</v>
          </cell>
          <cell r="T2245" t="str">
            <v>90170665 - Mutiara Ayuningtyas</v>
          </cell>
          <cell r="U2245" t="str">
            <v>"-"</v>
          </cell>
        </row>
        <row r="2246">
          <cell r="A2246">
            <v>46265</v>
          </cell>
          <cell r="B2246" t="str">
            <v xml:space="preserve">ERIK ERLIYONO                           </v>
          </cell>
          <cell r="C2246" t="str">
            <v>EFH4091</v>
          </cell>
          <cell r="D2246">
            <v>356201048910539</v>
          </cell>
          <cell r="E2246" t="str">
            <v>SEDANG</v>
          </cell>
          <cell r="F2246" t="str">
            <v>Ya</v>
          </cell>
          <cell r="G2246" t="str">
            <v>Tidak</v>
          </cell>
          <cell r="H2246" t="str">
            <v>Ya</v>
          </cell>
          <cell r="I2246" t="str">
            <v>Narkotika - Area Lapas</v>
          </cell>
          <cell r="J2246">
            <v>50</v>
          </cell>
          <cell r="K2246">
            <v>46</v>
          </cell>
          <cell r="L2246" t="str">
            <v>Narkotika</v>
          </cell>
          <cell r="M2246" t="str">
            <v>UNIT SIDOMULYO KALIANDA</v>
          </cell>
          <cell r="N2246" t="str">
            <v>KC Kalianda</v>
          </cell>
          <cell r="O2246" t="str">
            <v>KANWIL BANDAR LAMPUNG</v>
          </cell>
          <cell r="Q2246" t="str">
            <v>Tidak</v>
          </cell>
          <cell r="R2246" t="str">
            <v>Belum TL</v>
          </cell>
          <cell r="S2246" t="str">
            <v>Pending Checker</v>
          </cell>
          <cell r="T2246" t="str">
            <v>00394521 - Muhammad Hibbanduta</v>
          </cell>
          <cell r="U2246" t="str">
            <v>"-"</v>
          </cell>
        </row>
        <row r="2247">
          <cell r="A2247">
            <v>46265</v>
          </cell>
          <cell r="B2247" t="str">
            <v xml:space="preserve">DARMAWATI                               </v>
          </cell>
          <cell r="C2247" t="str">
            <v>DRD2203</v>
          </cell>
          <cell r="D2247">
            <v>733701014366533</v>
          </cell>
          <cell r="E2247" t="str">
            <v>SEDANG</v>
          </cell>
          <cell r="F2247" t="str">
            <v>Ya</v>
          </cell>
          <cell r="G2247" t="str">
            <v>Tidak</v>
          </cell>
          <cell r="H2247" t="str">
            <v>Tidak</v>
          </cell>
          <cell r="I2247" t="str">
            <v>Narkotika - Area Lapas</v>
          </cell>
          <cell r="J2247">
            <v>50</v>
          </cell>
          <cell r="K2247">
            <v>46</v>
          </cell>
          <cell r="L2247" t="str">
            <v>Narkotika</v>
          </cell>
          <cell r="M2247" t="str">
            <v>UNIT PANCA AGUNG TANJUNG SELOR</v>
          </cell>
          <cell r="N2247" t="str">
            <v>KC Tanjung Selor</v>
          </cell>
          <cell r="O2247" t="str">
            <v>Banjarmasin</v>
          </cell>
          <cell r="Q2247" t="str">
            <v>Tidak</v>
          </cell>
          <cell r="R2247" t="str">
            <v>Belum TL</v>
          </cell>
          <cell r="S2247" t="str">
            <v>Pending Checker</v>
          </cell>
          <cell r="T2247" t="str">
            <v>90186796 - Devito Arya Wiradila</v>
          </cell>
          <cell r="U2247" t="str">
            <v>"-"</v>
          </cell>
        </row>
        <row r="2248">
          <cell r="A2248">
            <v>46265</v>
          </cell>
          <cell r="B2248" t="str">
            <v xml:space="preserve">CITRA USAHA PRIMA                       </v>
          </cell>
          <cell r="C2248" t="str">
            <v>CP14959</v>
          </cell>
          <cell r="D2248">
            <v>301003230301</v>
          </cell>
          <cell r="E2248" t="str">
            <v>TINGGI</v>
          </cell>
          <cell r="F2248" t="str">
            <v>Tidak</v>
          </cell>
          <cell r="G2248" t="str">
            <v>Tidak</v>
          </cell>
          <cell r="H2248" t="str">
            <v>Tidak</v>
          </cell>
          <cell r="I2248" t="str">
            <v>Perpajakan</v>
          </cell>
          <cell r="J2248">
            <v>63</v>
          </cell>
          <cell r="K2248">
            <v>41</v>
          </cell>
          <cell r="L2248" t="str">
            <v>Perpajakan</v>
          </cell>
          <cell r="M2248" t="str">
            <v xml:space="preserve">KC Banjarmasin                          </v>
          </cell>
          <cell r="N2248" t="str">
            <v xml:space="preserve">KC Banjarmasin                          </v>
          </cell>
          <cell r="O2248" t="str">
            <v xml:space="preserve">Banjarmasin                             </v>
          </cell>
          <cell r="Q2248" t="str">
            <v>Tidak</v>
          </cell>
          <cell r="R2248" t="str">
            <v>Belum TL</v>
          </cell>
          <cell r="S2248" t="str">
            <v>Pending Checker</v>
          </cell>
          <cell r="T2248" t="str">
            <v>00394520 - Frida Akbar Rani</v>
          </cell>
          <cell r="U2248" t="str">
            <v>"-"</v>
          </cell>
        </row>
        <row r="2249">
          <cell r="A2249">
            <v>46265</v>
          </cell>
          <cell r="B2249" t="str">
            <v xml:space="preserve">CITRA PRIMA MAKMUR                      </v>
          </cell>
          <cell r="C2249" t="str">
            <v>CP15020</v>
          </cell>
          <cell r="D2249">
            <v>301003233309</v>
          </cell>
          <cell r="E2249" t="str">
            <v>SEDANG</v>
          </cell>
          <cell r="F2249" t="str">
            <v>Tidak</v>
          </cell>
          <cell r="G2249" t="str">
            <v>Tidak</v>
          </cell>
          <cell r="H2249" t="str">
            <v>Tidak</v>
          </cell>
          <cell r="I2249" t="str">
            <v>Perpajakan</v>
          </cell>
          <cell r="J2249">
            <v>48</v>
          </cell>
          <cell r="K2249">
            <v>41</v>
          </cell>
          <cell r="L2249" t="str">
            <v>Perpajakan</v>
          </cell>
          <cell r="M2249" t="str">
            <v xml:space="preserve">KC Banjarmasin                          </v>
          </cell>
          <cell r="N2249" t="str">
            <v xml:space="preserve">KC Banjarmasin                          </v>
          </cell>
          <cell r="O2249" t="str">
            <v xml:space="preserve">Banjarmasin                             </v>
          </cell>
          <cell r="Q2249" t="str">
            <v>Tidak</v>
          </cell>
          <cell r="R2249" t="str">
            <v>Belum TL</v>
          </cell>
          <cell r="S2249" t="str">
            <v>Pending Checker</v>
          </cell>
          <cell r="T2249" t="str">
            <v>90150130 - Intan Aida Pratiwi</v>
          </cell>
          <cell r="U2249" t="str">
            <v>"-"</v>
          </cell>
        </row>
        <row r="2250">
          <cell r="A2250">
            <v>46265</v>
          </cell>
          <cell r="B2250" t="str">
            <v xml:space="preserve">BINUANG MITRA BERSAMA BLOK EMPAT        </v>
          </cell>
          <cell r="C2250" t="str">
            <v>BJT1755</v>
          </cell>
          <cell r="D2250">
            <v>455901048423534</v>
          </cell>
          <cell r="F2250" t="str">
            <v>Tidak</v>
          </cell>
          <cell r="G2250" t="str">
            <v>Tidak</v>
          </cell>
          <cell r="H2250" t="str">
            <v>Tidak</v>
          </cell>
          <cell r="I2250" t="str">
            <v>Perpajakan</v>
          </cell>
          <cell r="J2250">
            <v>33</v>
          </cell>
          <cell r="K2250">
            <v>41</v>
          </cell>
          <cell r="L2250" t="str">
            <v>Perpajakan</v>
          </cell>
          <cell r="M2250" t="str">
            <v xml:space="preserve">UNIT BINUANG RANTAU                     </v>
          </cell>
          <cell r="N2250" t="str">
            <v xml:space="preserve">KC Rantau                               </v>
          </cell>
          <cell r="O2250" t="str">
            <v xml:space="preserve">Banjarmasin                             </v>
          </cell>
          <cell r="Q2250" t="str">
            <v>Ya</v>
          </cell>
          <cell r="R2250" t="str">
            <v>Belum TL</v>
          </cell>
          <cell r="S2250" t="str">
            <v>Pending Checker</v>
          </cell>
          <cell r="T2250" t="str">
            <v>90171841 - Rifqi Aziz</v>
          </cell>
          <cell r="U2250" t="str">
            <v>"-"</v>
          </cell>
        </row>
        <row r="2251">
          <cell r="A2251">
            <v>46265</v>
          </cell>
          <cell r="B2251" t="str">
            <v xml:space="preserve">BUMINAYA                                </v>
          </cell>
          <cell r="C2251" t="str">
            <v>BBE4625</v>
          </cell>
          <cell r="D2251">
            <v>106001000658309</v>
          </cell>
          <cell r="E2251" t="str">
            <v>SEDANG</v>
          </cell>
          <cell r="F2251" t="str">
            <v>Tidak</v>
          </cell>
          <cell r="G2251" t="str">
            <v>Tidak</v>
          </cell>
          <cell r="H2251" t="str">
            <v>Tidak</v>
          </cell>
          <cell r="I2251" t="str">
            <v>Perpajakan</v>
          </cell>
          <cell r="J2251">
            <v>50</v>
          </cell>
          <cell r="K2251">
            <v>41</v>
          </cell>
          <cell r="L2251" t="str">
            <v>Perpajakan</v>
          </cell>
          <cell r="M2251" t="str">
            <v xml:space="preserve">KCP A YANI BANJAR BARU                  </v>
          </cell>
          <cell r="N2251" t="str">
            <v xml:space="preserve">KC Martapura                            </v>
          </cell>
          <cell r="O2251" t="str">
            <v xml:space="preserve">Banjarmasin                             </v>
          </cell>
          <cell r="Q2251" t="str">
            <v>Tidak</v>
          </cell>
          <cell r="R2251" t="str">
            <v>Belum TL</v>
          </cell>
          <cell r="S2251" t="str">
            <v>Pending Checker</v>
          </cell>
          <cell r="T2251" t="str">
            <v>90150130 - Intan Aida Pratiwi</v>
          </cell>
          <cell r="U2251" t="str">
            <v>"-"</v>
          </cell>
        </row>
        <row r="2252">
          <cell r="A2252">
            <v>46265</v>
          </cell>
          <cell r="B2252" t="str">
            <v xml:space="preserve">BONG MIN FONG                           </v>
          </cell>
          <cell r="C2252" t="str">
            <v>B781730</v>
          </cell>
          <cell r="D2252">
            <v>386001026151537</v>
          </cell>
          <cell r="E2252" t="str">
            <v>TINGGI</v>
          </cell>
          <cell r="F2252" t="str">
            <v>Ya</v>
          </cell>
          <cell r="G2252" t="str">
            <v>Tidak</v>
          </cell>
          <cell r="H2252" t="str">
            <v>Tidak</v>
          </cell>
          <cell r="I2252" t="str">
            <v>Perpajakan</v>
          </cell>
          <cell r="J2252">
            <v>65</v>
          </cell>
          <cell r="K2252">
            <v>1.33</v>
          </cell>
          <cell r="L2252" t="str">
            <v>Perpajakan</v>
          </cell>
          <cell r="M2252" t="str">
            <v xml:space="preserve">UNIT SEKURA                             </v>
          </cell>
          <cell r="N2252" t="str">
            <v xml:space="preserve">KC Singkawang                           </v>
          </cell>
          <cell r="O2252" t="str">
            <v xml:space="preserve">Banjarmasin                             </v>
          </cell>
          <cell r="Q2252" t="str">
            <v>Tidak</v>
          </cell>
          <cell r="R2252" t="str">
            <v>Belum TL</v>
          </cell>
          <cell r="S2252" t="str">
            <v>Pending Checker</v>
          </cell>
          <cell r="T2252" t="str">
            <v>90170665 - Mutiara Ayuningtyas</v>
          </cell>
          <cell r="U2252" t="str">
            <v>"-"</v>
          </cell>
        </row>
        <row r="2253">
          <cell r="A2253">
            <v>46265</v>
          </cell>
          <cell r="B2253" t="str">
            <v xml:space="preserve">ADE ANGGREINI                           </v>
          </cell>
          <cell r="C2253" t="str">
            <v>AXH8778</v>
          </cell>
          <cell r="D2253">
            <v>360801030939535</v>
          </cell>
          <cell r="E2253" t="str">
            <v>SEDANG</v>
          </cell>
          <cell r="F2253" t="str">
            <v>Ya</v>
          </cell>
          <cell r="G2253" t="str">
            <v>Tidak</v>
          </cell>
          <cell r="H2253" t="str">
            <v>Ya</v>
          </cell>
          <cell r="I2253" t="str">
            <v>Narkotika - Area Lapas</v>
          </cell>
          <cell r="J2253">
            <v>50</v>
          </cell>
          <cell r="K2253">
            <v>47</v>
          </cell>
          <cell r="L2253" t="str">
            <v>Narkotika</v>
          </cell>
          <cell r="M2253" t="str">
            <v>UNIT KASONGAN PALANGKARAYA</v>
          </cell>
          <cell r="N2253" t="str">
            <v>KC Palangkaraya</v>
          </cell>
          <cell r="O2253" t="str">
            <v>Banjarmasin</v>
          </cell>
          <cell r="Q2253" t="str">
            <v>Tidak</v>
          </cell>
          <cell r="R2253" t="str">
            <v>Belum TL</v>
          </cell>
          <cell r="S2253" t="str">
            <v>Pending Checker</v>
          </cell>
          <cell r="T2253" t="str">
            <v>90185538 - Muhammad Fahikal Auz</v>
          </cell>
          <cell r="U2253" t="str">
            <v>"-"</v>
          </cell>
        </row>
        <row r="2254">
          <cell r="A2254">
            <v>46265</v>
          </cell>
          <cell r="B2254" t="str">
            <v xml:space="preserve">ASS GEMILANG MANDIRI                    </v>
          </cell>
          <cell r="C2254" t="str">
            <v>ATYK730</v>
          </cell>
          <cell r="D2254">
            <v>64201003450305</v>
          </cell>
          <cell r="E2254" t="str">
            <v>SEDANG</v>
          </cell>
          <cell r="F2254" t="str">
            <v>Tidak</v>
          </cell>
          <cell r="G2254" t="str">
            <v>Tidak</v>
          </cell>
          <cell r="H2254" t="str">
            <v>Tidak</v>
          </cell>
          <cell r="I2254" t="str">
            <v>Perpajakan</v>
          </cell>
          <cell r="J2254">
            <v>48</v>
          </cell>
          <cell r="K2254">
            <v>41</v>
          </cell>
          <cell r="L2254" t="str">
            <v>Perpajakan</v>
          </cell>
          <cell r="M2254" t="str">
            <v xml:space="preserve">KC Panakkukang                          </v>
          </cell>
          <cell r="N2254" t="str">
            <v xml:space="preserve">KC Panakkukang                          </v>
          </cell>
          <cell r="O2254" t="str">
            <v xml:space="preserve">Makassar                                </v>
          </cell>
          <cell r="P2254" t="str">
            <v>Tidak</v>
          </cell>
          <cell r="Q2254" t="str">
            <v>Tidak</v>
          </cell>
          <cell r="R2254" t="str">
            <v>On Progress</v>
          </cell>
          <cell r="S2254" t="str">
            <v>Pending Checker</v>
          </cell>
          <cell r="T2254" t="str">
            <v>90170665 - Mutiara Ayuningtyas</v>
          </cell>
          <cell r="U2254" t="str">
            <v>"-"</v>
          </cell>
        </row>
        <row r="2255">
          <cell r="A2255">
            <v>46265</v>
          </cell>
          <cell r="B2255" t="str">
            <v xml:space="preserve">ANDI MUSMULIADYNUR                      </v>
          </cell>
          <cell r="C2255" t="str">
            <v>ANWR610</v>
          </cell>
          <cell r="D2255">
            <v>458801018597538</v>
          </cell>
          <cell r="E2255" t="str">
            <v>SEDANG</v>
          </cell>
          <cell r="F2255" t="str">
            <v>Ya</v>
          </cell>
          <cell r="G2255" t="str">
            <v>Tidak</v>
          </cell>
          <cell r="H2255" t="str">
            <v>Tidak</v>
          </cell>
          <cell r="I2255" t="str">
            <v>Narkotika - Area Lapas</v>
          </cell>
          <cell r="J2255">
            <v>50</v>
          </cell>
          <cell r="K2255">
            <v>46</v>
          </cell>
          <cell r="L2255" t="str">
            <v>Narkotika</v>
          </cell>
          <cell r="M2255" t="str">
            <v>UNIT SENGKAWIT TANJUNG SELOR</v>
          </cell>
          <cell r="N2255" t="str">
            <v>KC Tanjung Selor</v>
          </cell>
          <cell r="O2255" t="str">
            <v>Banjarmasin</v>
          </cell>
          <cell r="Q2255" t="str">
            <v>Tidak</v>
          </cell>
          <cell r="R2255" t="str">
            <v>Belum TL</v>
          </cell>
          <cell r="S2255" t="str">
            <v>Pending Checker</v>
          </cell>
          <cell r="T2255" t="str">
            <v>00394520 - Frida Akbar Rani</v>
          </cell>
          <cell r="U2255" t="str">
            <v>"-"</v>
          </cell>
        </row>
        <row r="2256">
          <cell r="A2256">
            <v>46265</v>
          </cell>
          <cell r="B2256" t="str">
            <v xml:space="preserve">ARTHA BERKAT NIAGA                      </v>
          </cell>
          <cell r="C2256" t="str">
            <v>AAPDV86</v>
          </cell>
          <cell r="D2256">
            <v>301003332307</v>
          </cell>
          <cell r="E2256" t="str">
            <v>SEDANG</v>
          </cell>
          <cell r="F2256" t="str">
            <v>Tidak</v>
          </cell>
          <cell r="G2256" t="str">
            <v>Tidak</v>
          </cell>
          <cell r="H2256" t="str">
            <v>Tidak</v>
          </cell>
          <cell r="I2256" t="str">
            <v>Perpajakan</v>
          </cell>
          <cell r="J2256">
            <v>48</v>
          </cell>
          <cell r="K2256">
            <v>41</v>
          </cell>
          <cell r="L2256" t="str">
            <v>Perpajakan</v>
          </cell>
          <cell r="M2256" t="str">
            <v xml:space="preserve">KC Banjarmasin                          </v>
          </cell>
          <cell r="N2256" t="str">
            <v xml:space="preserve">KC Banjarmasin                          </v>
          </cell>
          <cell r="O2256" t="str">
            <v xml:space="preserve">Banjarmasin                             </v>
          </cell>
          <cell r="Q2256" t="str">
            <v>Tidak</v>
          </cell>
          <cell r="R2256" t="str">
            <v>Belum TL</v>
          </cell>
          <cell r="S2256" t="str">
            <v>Pending Checker</v>
          </cell>
          <cell r="T2256" t="str">
            <v>90150130 - Intan Aida Pratiwi</v>
          </cell>
          <cell r="U2256" t="str">
            <v>"-"</v>
          </cell>
        </row>
        <row r="2257">
          <cell r="A2257">
            <v>46265</v>
          </cell>
          <cell r="B2257" t="str">
            <v xml:space="preserve">CV BONANZA                              </v>
          </cell>
          <cell r="C2257" t="str">
            <v>C124387</v>
          </cell>
          <cell r="D2257">
            <v>13101999999305</v>
          </cell>
          <cell r="E2257" t="str">
            <v>SEDANG</v>
          </cell>
          <cell r="F2257" t="str">
            <v>Tidak</v>
          </cell>
          <cell r="G2257" t="str">
            <v>Tidak</v>
          </cell>
          <cell r="H2257" t="str">
            <v>Tidak</v>
          </cell>
          <cell r="I2257" t="str">
            <v>Perpajakan</v>
          </cell>
          <cell r="J2257">
            <v>50</v>
          </cell>
          <cell r="K2257">
            <v>41</v>
          </cell>
          <cell r="L2257" t="str">
            <v>Perpajakan</v>
          </cell>
          <cell r="M2257" t="str">
            <v xml:space="preserve">KC Tanjung Pandan                       </v>
          </cell>
          <cell r="N2257" t="str">
            <v xml:space="preserve">KC Tanjung Pandan                       </v>
          </cell>
          <cell r="O2257" t="str">
            <v xml:space="preserve">Palembang                               </v>
          </cell>
          <cell r="Q2257" t="str">
            <v>Tidak</v>
          </cell>
          <cell r="R2257" t="str">
            <v>Belum TL</v>
          </cell>
          <cell r="S2257" t="str">
            <v>Approved</v>
          </cell>
          <cell r="T2257" t="str">
            <v>90185538 - Muhammad Fahikal Auz</v>
          </cell>
          <cell r="U2257" t="str">
            <v>"-"</v>
          </cell>
        </row>
        <row r="2258">
          <cell r="A2258">
            <v>46265</v>
          </cell>
          <cell r="B2258" t="str">
            <v xml:space="preserve">CV IKHWAH                               </v>
          </cell>
          <cell r="C2258" t="str">
            <v>CQ23555</v>
          </cell>
          <cell r="D2258">
            <v>13101002180308</v>
          </cell>
          <cell r="E2258" t="str">
            <v>SEDANG</v>
          </cell>
          <cell r="F2258" t="str">
            <v>Tidak</v>
          </cell>
          <cell r="G2258" t="str">
            <v>Tidak</v>
          </cell>
          <cell r="H2258" t="str">
            <v>Tidak</v>
          </cell>
          <cell r="I2258" t="str">
            <v>Perpajakan</v>
          </cell>
          <cell r="J2258">
            <v>48</v>
          </cell>
          <cell r="K2258">
            <v>41</v>
          </cell>
          <cell r="L2258" t="str">
            <v>Perpajakan</v>
          </cell>
          <cell r="M2258" t="str">
            <v xml:space="preserve">KC Tanjung Pandan                       </v>
          </cell>
          <cell r="N2258" t="str">
            <v xml:space="preserve">KC Tanjung Pandan                       </v>
          </cell>
          <cell r="O2258" t="str">
            <v xml:space="preserve">Palembang                               </v>
          </cell>
          <cell r="Q2258" t="str">
            <v>Tidak</v>
          </cell>
          <cell r="R2258" t="str">
            <v>Belum TL</v>
          </cell>
          <cell r="S2258" t="str">
            <v>Approved</v>
          </cell>
          <cell r="T2258" t="str">
            <v>90170665 - Mutiara Ayuningtyas</v>
          </cell>
          <cell r="U2258" t="str">
            <v>"-"</v>
          </cell>
        </row>
        <row r="2259">
          <cell r="A2259">
            <v>46265</v>
          </cell>
          <cell r="B2259" t="str">
            <v xml:space="preserve">CV OHZP PARDOMUAN SEJAHTERA             </v>
          </cell>
          <cell r="C2259" t="str">
            <v>CU64419</v>
          </cell>
          <cell r="D2259">
            <v>222801001499303</v>
          </cell>
          <cell r="F2259" t="str">
            <v>Tidak</v>
          </cell>
          <cell r="G2259" t="str">
            <v>Tidak</v>
          </cell>
          <cell r="H2259" t="str">
            <v>Tidak</v>
          </cell>
          <cell r="I2259" t="str">
            <v>Perpajakan</v>
          </cell>
          <cell r="J2259">
            <v>33</v>
          </cell>
          <cell r="K2259">
            <v>41</v>
          </cell>
          <cell r="L2259" t="str">
            <v>Perpajakan</v>
          </cell>
          <cell r="M2259" t="str">
            <v xml:space="preserve">KCP GUNUNG TUA                          </v>
          </cell>
          <cell r="N2259" t="str">
            <v xml:space="preserve">KC Padang Sidempuan                     </v>
          </cell>
          <cell r="O2259" t="str">
            <v xml:space="preserve">Medan                                   </v>
          </cell>
          <cell r="Q2259" t="str">
            <v>Tidak</v>
          </cell>
          <cell r="R2259" t="str">
            <v>Belum TL</v>
          </cell>
          <cell r="S2259" t="str">
            <v>Approved</v>
          </cell>
          <cell r="T2259" t="str">
            <v>90186790 - Muhammad Alfin Farha</v>
          </cell>
          <cell r="U2259" t="str">
            <v>"-"</v>
          </cell>
        </row>
        <row r="2260">
          <cell r="A2260">
            <v>46265</v>
          </cell>
          <cell r="B2260" t="str">
            <v xml:space="preserve">KENTDY                                  </v>
          </cell>
          <cell r="C2260" t="str">
            <v>KKG2624</v>
          </cell>
          <cell r="D2260">
            <v>60601111111564</v>
          </cell>
          <cell r="E2260" t="str">
            <v>SEDANG</v>
          </cell>
          <cell r="F2260" t="str">
            <v>Tidak</v>
          </cell>
          <cell r="G2260" t="str">
            <v>Tidak</v>
          </cell>
          <cell r="H2260" t="str">
            <v>Tidak</v>
          </cell>
          <cell r="I2260" t="str">
            <v>Perpajakan</v>
          </cell>
          <cell r="J2260">
            <v>60</v>
          </cell>
          <cell r="K2260">
            <v>1.33</v>
          </cell>
          <cell r="L2260" t="str">
            <v>Perpajakan</v>
          </cell>
          <cell r="M2260" t="str">
            <v xml:space="preserve">KC Abunjani Sipin                       </v>
          </cell>
          <cell r="N2260" t="str">
            <v xml:space="preserve">KC Abunjani Sipin                       </v>
          </cell>
          <cell r="O2260" t="str">
            <v xml:space="preserve">Palembang                               </v>
          </cell>
          <cell r="Q2260" t="str">
            <v>Tidak</v>
          </cell>
          <cell r="R2260" t="str">
            <v>Belum TL</v>
          </cell>
          <cell r="S2260" t="str">
            <v>Approved</v>
          </cell>
          <cell r="T2260" t="str">
            <v>90186796 - Devito Arya Wiradila</v>
          </cell>
          <cell r="U2260" t="str">
            <v>"-"</v>
          </cell>
        </row>
        <row r="2261">
          <cell r="A2261">
            <v>46265</v>
          </cell>
          <cell r="B2261" t="str">
            <v xml:space="preserve">NOVITA NUR AFIFAH                       </v>
          </cell>
          <cell r="C2261" t="str">
            <v>NBNN862</v>
          </cell>
          <cell r="D2261">
            <v>223901000693561</v>
          </cell>
          <cell r="E2261" t="str">
            <v>SEDANG</v>
          </cell>
          <cell r="F2261" t="str">
            <v>Ya</v>
          </cell>
          <cell r="G2261" t="str">
            <v>Tidak</v>
          </cell>
          <cell r="H2261" t="str">
            <v>Ya</v>
          </cell>
          <cell r="I2261" t="str">
            <v>Prostitusi</v>
          </cell>
          <cell r="J2261">
            <v>47</v>
          </cell>
          <cell r="K2261">
            <v>104</v>
          </cell>
          <cell r="L2261" t="str">
            <v>Prostitusi</v>
          </cell>
          <cell r="M2261" t="str">
            <v xml:space="preserve">KCP SUNGAI BAHAR                        </v>
          </cell>
          <cell r="N2261" t="str">
            <v xml:space="preserve">KC Muara Bulian                         </v>
          </cell>
          <cell r="O2261" t="str">
            <v xml:space="preserve">Palembang                               </v>
          </cell>
          <cell r="Q2261" t="str">
            <v>Tidak</v>
          </cell>
          <cell r="R2261" t="str">
            <v>Belum TL</v>
          </cell>
          <cell r="S2261" t="str">
            <v>Approved</v>
          </cell>
          <cell r="T2261" t="str">
            <v>90186790 - Muhammad Alfin Farha</v>
          </cell>
          <cell r="U2261" t="str">
            <v>"-"</v>
          </cell>
        </row>
        <row r="2262">
          <cell r="A2262">
            <v>46265</v>
          </cell>
          <cell r="B2262" t="str">
            <v xml:space="preserve">MASJID BAITUL MAKMUR                    </v>
          </cell>
          <cell r="C2262" t="str">
            <v>MMZJ553</v>
          </cell>
          <cell r="D2262">
            <v>220501002101531</v>
          </cell>
          <cell r="E2262" t="str">
            <v>SEDANG</v>
          </cell>
          <cell r="F2262" t="str">
            <v>Tidak</v>
          </cell>
          <cell r="G2262" t="str">
            <v>Tidak</v>
          </cell>
          <cell r="H2262" t="str">
            <v>Tidak</v>
          </cell>
          <cell r="I2262" t="str">
            <v>Perpajakan</v>
          </cell>
          <cell r="J2262">
            <v>48</v>
          </cell>
          <cell r="K2262">
            <v>41</v>
          </cell>
          <cell r="L2262" t="str">
            <v>Perpajakan</v>
          </cell>
          <cell r="M2262" t="str">
            <v xml:space="preserve">KCP KM 5                                </v>
          </cell>
          <cell r="N2262" t="str">
            <v xml:space="preserve">KC Palembang Sriwijaya                  </v>
          </cell>
          <cell r="O2262" t="str">
            <v xml:space="preserve">Palembang                               </v>
          </cell>
          <cell r="Q2262" t="str">
            <v>Tidak</v>
          </cell>
          <cell r="R2262" t="str">
            <v>Belum TL</v>
          </cell>
          <cell r="S2262" t="str">
            <v>Approved</v>
          </cell>
          <cell r="T2262" t="str">
            <v>00394520 - Frida Akbar Rani</v>
          </cell>
          <cell r="U2262" t="str">
            <v>"-"</v>
          </cell>
        </row>
        <row r="2263">
          <cell r="A2263">
            <v>46265</v>
          </cell>
          <cell r="B2263" t="str">
            <v xml:space="preserve">PT  HAMPARAN ANUGERAH                   </v>
          </cell>
          <cell r="C2263" t="str">
            <v>POE3622</v>
          </cell>
          <cell r="D2263">
            <v>220501000593562</v>
          </cell>
          <cell r="F2263" t="str">
            <v>Tidak</v>
          </cell>
          <cell r="G2263" t="str">
            <v>Tidak</v>
          </cell>
          <cell r="H2263" t="str">
            <v>Tidak</v>
          </cell>
          <cell r="I2263" t="str">
            <v>Perpajakan</v>
          </cell>
          <cell r="J2263">
            <v>33</v>
          </cell>
          <cell r="K2263">
            <v>41</v>
          </cell>
          <cell r="L2263" t="str">
            <v>Perpajakan</v>
          </cell>
          <cell r="M2263" t="str">
            <v xml:space="preserve">KCP KM 5                                </v>
          </cell>
          <cell r="N2263" t="str">
            <v xml:space="preserve">KC Palembang Sriwijaya                  </v>
          </cell>
          <cell r="O2263" t="str">
            <v xml:space="preserve">Palembang                               </v>
          </cell>
          <cell r="Q2263" t="str">
            <v>Ya</v>
          </cell>
          <cell r="R2263" t="str">
            <v>Belum TL</v>
          </cell>
          <cell r="S2263" t="str">
            <v>Approved</v>
          </cell>
          <cell r="T2263" t="str">
            <v>00336949 - Mochammad Al Farabi</v>
          </cell>
          <cell r="U2263" t="str">
            <v>"-"</v>
          </cell>
        </row>
        <row r="2264">
          <cell r="A2264">
            <v>46265</v>
          </cell>
          <cell r="B2264" t="str">
            <v xml:space="preserve">PT UMKM RUDI APRIADI                    </v>
          </cell>
          <cell r="C2264" t="str">
            <v>PNW0931</v>
          </cell>
          <cell r="D2264">
            <v>220501000580569</v>
          </cell>
          <cell r="F2264" t="str">
            <v>Tidak</v>
          </cell>
          <cell r="G2264" t="str">
            <v>Tidak</v>
          </cell>
          <cell r="H2264" t="str">
            <v>Tidak</v>
          </cell>
          <cell r="I2264" t="str">
            <v>Perpajakan</v>
          </cell>
          <cell r="J2264">
            <v>33</v>
          </cell>
          <cell r="K2264">
            <v>41</v>
          </cell>
          <cell r="L2264" t="str">
            <v>Perpajakan</v>
          </cell>
          <cell r="M2264" t="str">
            <v xml:space="preserve">KCP KM 5                                </v>
          </cell>
          <cell r="N2264" t="str">
            <v xml:space="preserve">KC Palembang Sriwijaya                  </v>
          </cell>
          <cell r="O2264" t="str">
            <v xml:space="preserve">Palembang                               </v>
          </cell>
          <cell r="Q2264" t="str">
            <v>Tidak</v>
          </cell>
          <cell r="R2264" t="str">
            <v>Belum TL</v>
          </cell>
          <cell r="S2264" t="str">
            <v>Approved</v>
          </cell>
          <cell r="T2264" t="str">
            <v>90171841 - Rifqi Aziz</v>
          </cell>
          <cell r="U2264" t="str">
            <v>"-"</v>
          </cell>
        </row>
        <row r="2265">
          <cell r="A2265">
            <v>46265</v>
          </cell>
          <cell r="B2265" t="str">
            <v xml:space="preserve">RUSLIYANI                               </v>
          </cell>
          <cell r="C2265" t="str">
            <v>RFPE764</v>
          </cell>
          <cell r="D2265">
            <v>33601003979560</v>
          </cell>
          <cell r="E2265" t="str">
            <v>SEDANG</v>
          </cell>
          <cell r="F2265" t="str">
            <v>Tidak</v>
          </cell>
          <cell r="G2265" t="str">
            <v>Tidak</v>
          </cell>
          <cell r="H2265" t="str">
            <v>Tidak</v>
          </cell>
          <cell r="I2265" t="str">
            <v>Bandar Judol Withdrawal</v>
          </cell>
          <cell r="J2265">
            <v>50</v>
          </cell>
          <cell r="K2265" t="str">
            <v>86,88,87</v>
          </cell>
          <cell r="L2265" t="str">
            <v>Judi Online</v>
          </cell>
          <cell r="M2265" t="str">
            <v xml:space="preserve">Kas Kanpus                              </v>
          </cell>
          <cell r="N2265" t="str">
            <v xml:space="preserve">Kas Kanpus                              </v>
          </cell>
          <cell r="O2265" t="str">
            <v xml:space="preserve">KAS KANPUS                              </v>
          </cell>
          <cell r="P2265" t="str">
            <v>Ya</v>
          </cell>
          <cell r="R2265" t="str">
            <v>Pending Approver</v>
          </cell>
          <cell r="S2265" t="str">
            <v>Belum TL</v>
          </cell>
          <cell r="T2265" t="str">
            <v>00394521 - Muhammad Hibbanduta</v>
          </cell>
          <cell r="U2265" t="str">
            <v>"-"</v>
          </cell>
        </row>
        <row r="2266">
          <cell r="A2266">
            <v>46265</v>
          </cell>
          <cell r="B2266" t="str">
            <v xml:space="preserve">RITA PURNAMA                            </v>
          </cell>
          <cell r="C2266" t="str">
            <v>RLJX288</v>
          </cell>
          <cell r="D2266">
            <v>33601036119537</v>
          </cell>
          <cell r="F2266" t="str">
            <v>Tidak</v>
          </cell>
          <cell r="G2266" t="str">
            <v>Tidak</v>
          </cell>
          <cell r="I2266" t="str">
            <v>Jual Beli Rekening - E channel Trx</v>
          </cell>
          <cell r="J2266">
            <v>33</v>
          </cell>
          <cell r="K2266">
            <v>113</v>
          </cell>
          <cell r="L2266" t="str">
            <v>Narkotika/Judi Online/Penipuan</v>
          </cell>
          <cell r="M2266" t="str">
            <v xml:space="preserve">KC Medan Iskandar Muda                  </v>
          </cell>
          <cell r="N2266" t="str">
            <v xml:space="preserve">KC Medan Iskandar Muda                  </v>
          </cell>
          <cell r="O2266" t="str">
            <v xml:space="preserve">Medan                                   </v>
          </cell>
          <cell r="P2266" t="str">
            <v>Ya</v>
          </cell>
          <cell r="R2266" t="str">
            <v>Pending Approver</v>
          </cell>
          <cell r="S2266" t="str">
            <v>Belum TL</v>
          </cell>
          <cell r="U2266" t="str">
            <v>"-"</v>
          </cell>
        </row>
        <row r="2267">
          <cell r="A2267">
            <v>46265</v>
          </cell>
          <cell r="B2267" t="str">
            <v xml:space="preserve">RABIATUL ADAWIYAH                       </v>
          </cell>
          <cell r="C2267" t="str">
            <v>RKPY512</v>
          </cell>
          <cell r="D2267">
            <v>529701000008563</v>
          </cell>
          <cell r="E2267" t="str">
            <v>SEDANG</v>
          </cell>
          <cell r="F2267" t="str">
            <v>Tidak</v>
          </cell>
          <cell r="G2267" t="str">
            <v>Tidak</v>
          </cell>
          <cell r="H2267" t="str">
            <v>Ya</v>
          </cell>
          <cell r="I2267" t="str">
            <v>Bandar Judol Depo</v>
          </cell>
          <cell r="J2267">
            <v>50</v>
          </cell>
          <cell r="K2267" t="str">
            <v>86,74,87</v>
          </cell>
          <cell r="L2267" t="str">
            <v>Judi Online</v>
          </cell>
          <cell r="M2267" t="str">
            <v xml:space="preserve">Kas Kanpus                              </v>
          </cell>
          <cell r="N2267" t="str">
            <v xml:space="preserve">Kas Kanpus                              </v>
          </cell>
          <cell r="O2267" t="str">
            <v xml:space="preserve">KAS KANPUS                              </v>
          </cell>
          <cell r="P2267" t="str">
            <v>Ya</v>
          </cell>
          <cell r="R2267" t="str">
            <v>Pending Approver</v>
          </cell>
          <cell r="S2267" t="str">
            <v>Belum TL</v>
          </cell>
          <cell r="T2267" t="str">
            <v>90185538 - Muhammad Fahikal Auz</v>
          </cell>
          <cell r="U2267" t="str">
            <v>"-"</v>
          </cell>
        </row>
        <row r="2268">
          <cell r="A2268">
            <v>46265</v>
          </cell>
          <cell r="B2268" t="str">
            <v xml:space="preserve">NOORHIDAYAT                             </v>
          </cell>
          <cell r="C2268" t="str">
            <v>NMP3181</v>
          </cell>
          <cell r="D2268">
            <v>24201113317500</v>
          </cell>
          <cell r="E2268" t="str">
            <v>SEDANG</v>
          </cell>
          <cell r="F2268" t="str">
            <v>Tidak</v>
          </cell>
          <cell r="G2268" t="str">
            <v>Tidak</v>
          </cell>
          <cell r="H2268" t="str">
            <v>Tidak</v>
          </cell>
          <cell r="I2268" t="str">
            <v>Narkotika - Area Lapas</v>
          </cell>
          <cell r="J2268">
            <v>48</v>
          </cell>
          <cell r="K2268">
            <v>48</v>
          </cell>
          <cell r="L2268" t="str">
            <v>Narkotika</v>
          </cell>
          <cell r="M2268" t="str">
            <v>KC Martapura</v>
          </cell>
          <cell r="N2268" t="str">
            <v>KC Martapura</v>
          </cell>
          <cell r="O2268" t="str">
            <v>Banjarmasin</v>
          </cell>
          <cell r="P2268" t="str">
            <v>Tidak</v>
          </cell>
          <cell r="R2268" t="str">
            <v>Pending Approver</v>
          </cell>
          <cell r="S2268" t="str">
            <v>Belum TL</v>
          </cell>
          <cell r="T2268" t="str">
            <v>00336949 - Mochammad Al Farabi</v>
          </cell>
          <cell r="U2268" t="str">
            <v>"-"</v>
          </cell>
        </row>
        <row r="2269">
          <cell r="A2269">
            <v>46265</v>
          </cell>
          <cell r="B2269" t="str">
            <v xml:space="preserve">PUTRA BIMA NUGRAHA                      </v>
          </cell>
          <cell r="C2269" t="str">
            <v>PFL0113</v>
          </cell>
          <cell r="D2269">
            <v>33601034951535</v>
          </cell>
          <cell r="E2269" t="str">
            <v>SEDANG</v>
          </cell>
          <cell r="F2269" t="str">
            <v>Tidak</v>
          </cell>
          <cell r="G2269" t="str">
            <v>Tidak</v>
          </cell>
          <cell r="H2269" t="str">
            <v>Tidak</v>
          </cell>
          <cell r="I2269" t="str">
            <v>Bandar Judol Depo</v>
          </cell>
          <cell r="J2269">
            <v>50</v>
          </cell>
          <cell r="K2269" t="str">
            <v>86,74,87</v>
          </cell>
          <cell r="L2269" t="str">
            <v>Judi Online</v>
          </cell>
          <cell r="M2269" t="str">
            <v xml:space="preserve">Kas Kanpus                              </v>
          </cell>
          <cell r="N2269" t="str">
            <v xml:space="preserve">Kas Kanpus                              </v>
          </cell>
          <cell r="O2269" t="str">
            <v xml:space="preserve">KAS KANPUS                              </v>
          </cell>
          <cell r="P2269" t="str">
            <v>Ya</v>
          </cell>
          <cell r="R2269" t="str">
            <v>Pending Approver</v>
          </cell>
          <cell r="S2269" t="str">
            <v>Belum TL</v>
          </cell>
          <cell r="T2269" t="str">
            <v>90186790 - Muhammad Alfin Farha</v>
          </cell>
          <cell r="U2269" t="str">
            <v>"-"</v>
          </cell>
        </row>
        <row r="2270">
          <cell r="A2270">
            <v>46265</v>
          </cell>
          <cell r="B2270" t="str">
            <v xml:space="preserve">PT SETIA BUDI INDAH                     </v>
          </cell>
          <cell r="C2270" t="str">
            <v>PEE5221</v>
          </cell>
          <cell r="D2270">
            <v>5301890888302</v>
          </cell>
          <cell r="E2270" t="str">
            <v>SEDANG</v>
          </cell>
          <cell r="F2270" t="str">
            <v>Tidak</v>
          </cell>
          <cell r="G2270" t="str">
            <v>Tidak</v>
          </cell>
          <cell r="H2270" t="str">
            <v>Tidak</v>
          </cell>
          <cell r="I2270" t="str">
            <v>Perpajakan</v>
          </cell>
          <cell r="J2270">
            <v>53</v>
          </cell>
          <cell r="K2270">
            <v>41</v>
          </cell>
          <cell r="L2270" t="str">
            <v>Perpajakan</v>
          </cell>
          <cell r="M2270" t="str">
            <v xml:space="preserve">KC Medan Putri Hijau                    </v>
          </cell>
          <cell r="N2270" t="str">
            <v xml:space="preserve">KC Medan Putri Hijau                    </v>
          </cell>
          <cell r="O2270" t="str">
            <v xml:space="preserve">Medan                                   </v>
          </cell>
          <cell r="P2270" t="str">
            <v>Ya</v>
          </cell>
          <cell r="R2270" t="str">
            <v>Pending Approver</v>
          </cell>
          <cell r="S2270" t="str">
            <v>Belum TL</v>
          </cell>
          <cell r="T2270" t="str">
            <v>00394520 - Frida Akbar Rani</v>
          </cell>
          <cell r="U2270" t="str">
            <v>"-"</v>
          </cell>
        </row>
        <row r="2271">
          <cell r="A2271">
            <v>46265</v>
          </cell>
          <cell r="B2271" t="str">
            <v xml:space="preserve">PT HAMENGKU KARYA                       </v>
          </cell>
          <cell r="C2271" t="str">
            <v>PDY8497</v>
          </cell>
          <cell r="D2271">
            <v>1701003069301</v>
          </cell>
          <cell r="E2271" t="str">
            <v>SEDANG</v>
          </cell>
          <cell r="F2271" t="str">
            <v>Tidak</v>
          </cell>
          <cell r="G2271" t="str">
            <v>Tidak</v>
          </cell>
          <cell r="H2271" t="str">
            <v>Tidak</v>
          </cell>
          <cell r="I2271" t="str">
            <v>Perpajakan</v>
          </cell>
          <cell r="J2271">
            <v>48</v>
          </cell>
          <cell r="K2271">
            <v>41</v>
          </cell>
          <cell r="L2271" t="str">
            <v>Perpajakan</v>
          </cell>
          <cell r="M2271" t="str">
            <v xml:space="preserve">KC Denpasar Gajah Mada                  </v>
          </cell>
          <cell r="N2271" t="str">
            <v xml:space="preserve">KC Denpasar Gajah Mada                  </v>
          </cell>
          <cell r="O2271" t="str">
            <v xml:space="preserve">Denpasar                                </v>
          </cell>
          <cell r="P2271" t="str">
            <v>Tidak</v>
          </cell>
          <cell r="R2271" t="str">
            <v>Pending Approver</v>
          </cell>
          <cell r="S2271" t="str">
            <v>Belum TL</v>
          </cell>
          <cell r="T2271" t="str">
            <v>90185537 - Moh.Khoerul Fajar Ar</v>
          </cell>
          <cell r="U2271" t="str">
            <v>"-"</v>
          </cell>
        </row>
        <row r="2272">
          <cell r="A2272">
            <v>46265</v>
          </cell>
          <cell r="B2272" t="str">
            <v xml:space="preserve">PERUM PEGADAIAN SLEMAN                  </v>
          </cell>
          <cell r="C2272" t="str">
            <v>P035023</v>
          </cell>
          <cell r="D2272">
            <v>24701000096304</v>
          </cell>
          <cell r="E2272" t="str">
            <v>SEDANG</v>
          </cell>
          <cell r="F2272" t="str">
            <v>Tidak</v>
          </cell>
          <cell r="G2272" t="str">
            <v>Tidak</v>
          </cell>
          <cell r="H2272" t="str">
            <v>Tidak</v>
          </cell>
          <cell r="I2272" t="str">
            <v>Narkotika - Area Lapas</v>
          </cell>
          <cell r="J2272">
            <v>49</v>
          </cell>
          <cell r="K2272">
            <v>47</v>
          </cell>
          <cell r="L2272" t="str">
            <v>Narkotika</v>
          </cell>
          <cell r="M2272" t="str">
            <v>KC Sleman</v>
          </cell>
          <cell r="N2272" t="str">
            <v>KC Sleman</v>
          </cell>
          <cell r="O2272" t="str">
            <v>Yogyakarta</v>
          </cell>
          <cell r="P2272" t="str">
            <v>Tidak</v>
          </cell>
          <cell r="R2272" t="str">
            <v>Pending Approver</v>
          </cell>
          <cell r="S2272" t="str">
            <v>Belum TL</v>
          </cell>
          <cell r="T2272" t="str">
            <v>90186790 - Muhammad Alfin Farha</v>
          </cell>
          <cell r="U2272" t="str">
            <v>"-"</v>
          </cell>
        </row>
        <row r="2273">
          <cell r="A2273">
            <v>46265</v>
          </cell>
          <cell r="B2273" t="str">
            <v xml:space="preserve">MIRANTI                                 </v>
          </cell>
          <cell r="C2273" t="str">
            <v>MNUR810</v>
          </cell>
          <cell r="D2273">
            <v>40701011757531</v>
          </cell>
          <cell r="E2273" t="str">
            <v>SEDANG</v>
          </cell>
          <cell r="F2273" t="str">
            <v>Tidak</v>
          </cell>
          <cell r="G2273" t="str">
            <v>Tidak</v>
          </cell>
          <cell r="H2273" t="str">
            <v>Tidak</v>
          </cell>
          <cell r="I2273" t="str">
            <v>Bandar Judol Withdrawal</v>
          </cell>
          <cell r="J2273">
            <v>50</v>
          </cell>
          <cell r="K2273" t="str">
            <v>86,88,87</v>
          </cell>
          <cell r="L2273" t="str">
            <v>Judi Online</v>
          </cell>
          <cell r="M2273" t="str">
            <v xml:space="preserve">Kas Kanpus                              </v>
          </cell>
          <cell r="N2273" t="str">
            <v xml:space="preserve">Kas Kanpus                              </v>
          </cell>
          <cell r="O2273" t="str">
            <v xml:space="preserve">KAS KANPUS                              </v>
          </cell>
          <cell r="P2273" t="str">
            <v>Tidak</v>
          </cell>
          <cell r="R2273" t="str">
            <v>Pending Approver</v>
          </cell>
          <cell r="S2273" t="str">
            <v>Belum TL</v>
          </cell>
          <cell r="T2273" t="str">
            <v>90150130 - Intan Aida Pratiwi</v>
          </cell>
          <cell r="U2273" t="str">
            <v>"-"</v>
          </cell>
        </row>
        <row r="2274">
          <cell r="A2274">
            <v>46265</v>
          </cell>
          <cell r="B2274" t="str">
            <v xml:space="preserve">MISLINA                                 </v>
          </cell>
          <cell r="C2274" t="str">
            <v>MJZ6979</v>
          </cell>
          <cell r="D2274">
            <v>56801000120563</v>
          </cell>
          <cell r="E2274" t="str">
            <v>TINGGI</v>
          </cell>
          <cell r="F2274" t="str">
            <v>Tidak</v>
          </cell>
          <cell r="G2274" t="str">
            <v>Tidak</v>
          </cell>
          <cell r="H2274" t="str">
            <v>Tidak</v>
          </cell>
          <cell r="I2274" t="str">
            <v>Bandar Judol Withdrawal</v>
          </cell>
          <cell r="J2274">
            <v>65</v>
          </cell>
          <cell r="K2274" t="str">
            <v>86,88,87</v>
          </cell>
          <cell r="L2274" t="str">
            <v>Judi Online</v>
          </cell>
          <cell r="M2274" t="str">
            <v xml:space="preserve">Kas Kanpus                              </v>
          </cell>
          <cell r="N2274" t="str">
            <v xml:space="preserve">Kas Kanpus                              </v>
          </cell>
          <cell r="O2274" t="str">
            <v xml:space="preserve">KAS KANPUS                              </v>
          </cell>
          <cell r="P2274" t="str">
            <v>Ya</v>
          </cell>
          <cell r="R2274" t="str">
            <v>Pending Approver</v>
          </cell>
          <cell r="S2274" t="str">
            <v>Belum TL</v>
          </cell>
          <cell r="T2274" t="str">
            <v>90171841 - Rifqi Aziz</v>
          </cell>
          <cell r="U2274" t="str">
            <v>"-"</v>
          </cell>
        </row>
        <row r="2275">
          <cell r="A2275">
            <v>46265</v>
          </cell>
          <cell r="B2275" t="str">
            <v xml:space="preserve">MUHAMAD GILANG RAMADHAN                 </v>
          </cell>
          <cell r="C2275" t="str">
            <v>MFAWI04</v>
          </cell>
          <cell r="D2275">
            <v>33601162228505</v>
          </cell>
          <cell r="F2275" t="str">
            <v>Tidak</v>
          </cell>
          <cell r="G2275" t="str">
            <v>Tidak</v>
          </cell>
          <cell r="H2275" t="str">
            <v>Tidak</v>
          </cell>
          <cell r="I2275" t="str">
            <v>Bandar Judol Withdrawal</v>
          </cell>
          <cell r="J2275">
            <v>35</v>
          </cell>
          <cell r="K2275" t="str">
            <v>86,88,87</v>
          </cell>
          <cell r="L2275" t="str">
            <v>Judi Online</v>
          </cell>
          <cell r="M2275" t="str">
            <v xml:space="preserve">Kas Kanpus                              </v>
          </cell>
          <cell r="N2275" t="str">
            <v xml:space="preserve">Kas Kanpus                              </v>
          </cell>
          <cell r="O2275" t="str">
            <v xml:space="preserve">KAS KANPUS                              </v>
          </cell>
          <cell r="P2275" t="str">
            <v>Ya</v>
          </cell>
          <cell r="R2275" t="str">
            <v>Pending Approver</v>
          </cell>
          <cell r="S2275" t="str">
            <v>Belum TL</v>
          </cell>
          <cell r="T2275" t="str">
            <v>90171841 - Rifqi Aziz</v>
          </cell>
          <cell r="U2275" t="str">
            <v>"-"</v>
          </cell>
        </row>
        <row r="2276">
          <cell r="A2276">
            <v>46265</v>
          </cell>
          <cell r="B2276" t="str">
            <v xml:space="preserve">M ARIZAL                                </v>
          </cell>
          <cell r="C2276" t="str">
            <v>MXW0098</v>
          </cell>
          <cell r="D2276">
            <v>40401020853534</v>
          </cell>
          <cell r="E2276" t="str">
            <v>SEDANG</v>
          </cell>
          <cell r="F2276" t="str">
            <v>Tidak</v>
          </cell>
          <cell r="G2276" t="str">
            <v>Tidak</v>
          </cell>
          <cell r="H2276" t="str">
            <v>Tidak</v>
          </cell>
          <cell r="I2276" t="str">
            <v>Bandar Judol Withdrawal</v>
          </cell>
          <cell r="J2276">
            <v>50</v>
          </cell>
          <cell r="K2276" t="str">
            <v>86,88,87</v>
          </cell>
          <cell r="L2276" t="str">
            <v>Judi Online</v>
          </cell>
          <cell r="M2276" t="str">
            <v xml:space="preserve">Kas Kanpus                              </v>
          </cell>
          <cell r="N2276" t="str">
            <v xml:space="preserve">Kas Kanpus                              </v>
          </cell>
          <cell r="O2276" t="str">
            <v xml:space="preserve">KAS KANPUS                              </v>
          </cell>
          <cell r="P2276" t="str">
            <v>Ya</v>
          </cell>
          <cell r="R2276" t="str">
            <v>Pending Approver</v>
          </cell>
          <cell r="S2276" t="str">
            <v>Belum TL</v>
          </cell>
          <cell r="T2276" t="str">
            <v>00336949 - Mochammad Al Farabi</v>
          </cell>
          <cell r="U2276" t="str">
            <v>"-"</v>
          </cell>
        </row>
        <row r="2277">
          <cell r="A2277">
            <v>46265</v>
          </cell>
          <cell r="B2277" t="str">
            <v xml:space="preserve">MONICA PONGMAKAMBA                      </v>
          </cell>
          <cell r="C2277" t="str">
            <v>MYC8553</v>
          </cell>
          <cell r="D2277">
            <v>108101035822509</v>
          </cell>
          <cell r="E2277" t="str">
            <v>SEDANG</v>
          </cell>
          <cell r="F2277" t="str">
            <v>Tidak</v>
          </cell>
          <cell r="G2277" t="str">
            <v>Tidak</v>
          </cell>
          <cell r="H2277" t="str">
            <v>Tidak</v>
          </cell>
          <cell r="I2277" t="str">
            <v>Narkotika - Area Lapas</v>
          </cell>
          <cell r="J2277">
            <v>50</v>
          </cell>
          <cell r="K2277">
            <v>48</v>
          </cell>
          <cell r="L2277" t="str">
            <v>Narkotika</v>
          </cell>
          <cell r="M2277" t="str">
            <v>KC Fakfak</v>
          </cell>
          <cell r="N2277" t="str">
            <v>KC Fakfak</v>
          </cell>
          <cell r="O2277" t="str">
            <v>KANWIL JAYAPURA</v>
          </cell>
          <cell r="P2277" t="str">
            <v>Tidak</v>
          </cell>
          <cell r="R2277" t="str">
            <v>Pending Approver</v>
          </cell>
          <cell r="S2277" t="str">
            <v>Belum TL</v>
          </cell>
          <cell r="T2277" t="str">
            <v>00394520 - Frida Akbar Rani</v>
          </cell>
          <cell r="U2277" t="str">
            <v>"-"</v>
          </cell>
        </row>
        <row r="2278">
          <cell r="A2278">
            <v>46265</v>
          </cell>
          <cell r="B2278" t="str">
            <v xml:space="preserve">MHD AFANDI                              </v>
          </cell>
          <cell r="C2278" t="str">
            <v>MDJHE82</v>
          </cell>
          <cell r="D2278">
            <v>337901091746536</v>
          </cell>
          <cell r="F2278" t="str">
            <v>Tidak</v>
          </cell>
          <cell r="G2278" t="str">
            <v>Tidak</v>
          </cell>
          <cell r="H2278" t="str">
            <v>Tidak</v>
          </cell>
          <cell r="I2278" t="str">
            <v>Bandar Judol Withdrawal</v>
          </cell>
          <cell r="J2278">
            <v>35</v>
          </cell>
          <cell r="K2278" t="str">
            <v>86,88,87</v>
          </cell>
          <cell r="L2278" t="str">
            <v>Judi Online</v>
          </cell>
          <cell r="M2278" t="str">
            <v xml:space="preserve">Kas Kanpus                              </v>
          </cell>
          <cell r="N2278" t="str">
            <v xml:space="preserve">Kas Kanpus                              </v>
          </cell>
          <cell r="O2278" t="str">
            <v xml:space="preserve">KAS KANPUS                              </v>
          </cell>
          <cell r="P2278" t="str">
            <v>Ya</v>
          </cell>
          <cell r="R2278" t="str">
            <v>Pending Approver</v>
          </cell>
          <cell r="S2278" t="str">
            <v>Belum TL</v>
          </cell>
          <cell r="T2278" t="str">
            <v>90185537 - Moh.Khoerul Fajar Ar</v>
          </cell>
          <cell r="U2278" t="str">
            <v>"-"</v>
          </cell>
        </row>
        <row r="2279">
          <cell r="A2279">
            <v>46265</v>
          </cell>
          <cell r="B2279" t="str">
            <v xml:space="preserve">MIFTAKHUDIN                             </v>
          </cell>
          <cell r="C2279" t="str">
            <v>MD75713</v>
          </cell>
          <cell r="D2279">
            <v>110801000190531</v>
          </cell>
          <cell r="E2279" t="str">
            <v>SEDANG</v>
          </cell>
          <cell r="F2279" t="str">
            <v>Tidak</v>
          </cell>
          <cell r="G2279" t="str">
            <v>Tidak</v>
          </cell>
          <cell r="H2279" t="str">
            <v>Tidak</v>
          </cell>
          <cell r="I2279" t="str">
            <v>Bandar Judol Depo</v>
          </cell>
          <cell r="J2279">
            <v>50</v>
          </cell>
          <cell r="K2279" t="str">
            <v>86,74,87</v>
          </cell>
          <cell r="L2279" t="str">
            <v>Judi Online</v>
          </cell>
          <cell r="M2279" t="str">
            <v xml:space="preserve">Kas Kanpus                              </v>
          </cell>
          <cell r="N2279" t="str">
            <v xml:space="preserve">Kas Kanpus                              </v>
          </cell>
          <cell r="O2279" t="str">
            <v xml:space="preserve">KAS KANPUS                              </v>
          </cell>
          <cell r="P2279" t="str">
            <v>Tidak</v>
          </cell>
          <cell r="R2279" t="str">
            <v>Pending Approver</v>
          </cell>
          <cell r="S2279" t="str">
            <v>Belum TL</v>
          </cell>
          <cell r="T2279" t="str">
            <v>00394521 - Muhammad Hibbanduta</v>
          </cell>
          <cell r="U2279" t="str">
            <v>"-"</v>
          </cell>
        </row>
        <row r="2280">
          <cell r="A2280">
            <v>46265</v>
          </cell>
          <cell r="B2280" t="str">
            <v xml:space="preserve">M PUTRA                                 </v>
          </cell>
          <cell r="C2280" t="str">
            <v>MCTEM59</v>
          </cell>
          <cell r="D2280">
            <v>33601003741569</v>
          </cell>
          <cell r="F2280" t="str">
            <v>Tidak</v>
          </cell>
          <cell r="G2280" t="str">
            <v>Tidak</v>
          </cell>
          <cell r="H2280" t="str">
            <v>Tidak</v>
          </cell>
          <cell r="I2280" t="str">
            <v>Bandar Judol Withdrawal</v>
          </cell>
          <cell r="J2280">
            <v>35</v>
          </cell>
          <cell r="K2280" t="str">
            <v>86,88,87</v>
          </cell>
          <cell r="L2280" t="str">
            <v>Judi Online</v>
          </cell>
          <cell r="M2280" t="str">
            <v xml:space="preserve">Kas Kanpus                              </v>
          </cell>
          <cell r="N2280" t="str">
            <v xml:space="preserve">Kas Kanpus                              </v>
          </cell>
          <cell r="O2280" t="str">
            <v xml:space="preserve">KAS KANPUS                              </v>
          </cell>
          <cell r="P2280" t="str">
            <v>Ya</v>
          </cell>
          <cell r="R2280" t="str">
            <v>Pending Approver</v>
          </cell>
          <cell r="S2280" t="str">
            <v>Belum TL</v>
          </cell>
          <cell r="T2280" t="str">
            <v>90186790 - Muhammad Alfin Farha</v>
          </cell>
          <cell r="U2280" t="str">
            <v>"-"</v>
          </cell>
        </row>
        <row r="2281">
          <cell r="A2281">
            <v>46265</v>
          </cell>
          <cell r="B2281" t="str">
            <v xml:space="preserve">MUHAMMAD RONY                           </v>
          </cell>
          <cell r="C2281" t="str">
            <v>MCRAQ42</v>
          </cell>
          <cell r="D2281">
            <v>763401039199531</v>
          </cell>
          <cell r="F2281" t="str">
            <v>Tidak</v>
          </cell>
          <cell r="G2281" t="str">
            <v>Tidak</v>
          </cell>
          <cell r="H2281" t="str">
            <v>Tidak</v>
          </cell>
          <cell r="I2281" t="str">
            <v>Bandar Judol Depo</v>
          </cell>
          <cell r="J2281">
            <v>35</v>
          </cell>
          <cell r="K2281" t="str">
            <v>86,74,87</v>
          </cell>
          <cell r="L2281" t="str">
            <v>Judi Online</v>
          </cell>
          <cell r="M2281" t="str">
            <v xml:space="preserve">Kas Kanpus                              </v>
          </cell>
          <cell r="N2281" t="str">
            <v xml:space="preserve">Kas Kanpus                              </v>
          </cell>
          <cell r="O2281" t="str">
            <v xml:space="preserve">KAS KANPUS                              </v>
          </cell>
          <cell r="P2281" t="str">
            <v>Ya</v>
          </cell>
          <cell r="R2281" t="str">
            <v>Pending Approver</v>
          </cell>
          <cell r="S2281" t="str">
            <v>Belum TL</v>
          </cell>
          <cell r="T2281" t="str">
            <v>90150130 - Intan Aida Pratiwi</v>
          </cell>
          <cell r="U2281" t="str">
            <v>"-"</v>
          </cell>
        </row>
        <row r="2282">
          <cell r="A2282">
            <v>46265</v>
          </cell>
          <cell r="B2282" t="str">
            <v xml:space="preserve">MARLINA SIMATUPANG                      </v>
          </cell>
          <cell r="C2282" t="str">
            <v>MDRVR05</v>
          </cell>
          <cell r="D2282">
            <v>40401020915530</v>
          </cell>
          <cell r="F2282" t="str">
            <v>Tidak</v>
          </cell>
          <cell r="G2282" t="str">
            <v>Tidak</v>
          </cell>
          <cell r="H2282" t="str">
            <v>Tidak</v>
          </cell>
          <cell r="I2282" t="str">
            <v>Bandar Judol Withdrawal</v>
          </cell>
          <cell r="J2282">
            <v>35</v>
          </cell>
          <cell r="K2282" t="str">
            <v>86,88,87</v>
          </cell>
          <cell r="L2282" t="str">
            <v>Judi Online</v>
          </cell>
          <cell r="M2282" t="str">
            <v xml:space="preserve">Kas Kanpus                              </v>
          </cell>
          <cell r="N2282" t="str">
            <v xml:space="preserve">Kas Kanpus                              </v>
          </cell>
          <cell r="O2282" t="str">
            <v xml:space="preserve">KAS KANPUS                              </v>
          </cell>
          <cell r="P2282" t="str">
            <v>Ya</v>
          </cell>
          <cell r="R2282" t="str">
            <v>Pending Approver</v>
          </cell>
          <cell r="S2282" t="str">
            <v>Belum TL</v>
          </cell>
          <cell r="T2282" t="str">
            <v>90186796 - Devito Arya Wiradila</v>
          </cell>
          <cell r="U2282" t="str">
            <v>"-"</v>
          </cell>
        </row>
        <row r="2283">
          <cell r="A2283">
            <v>46265</v>
          </cell>
          <cell r="B2283" t="str">
            <v xml:space="preserve">M. RANGGA SALIM                         </v>
          </cell>
          <cell r="C2283" t="str">
            <v>MECAI26</v>
          </cell>
          <cell r="D2283">
            <v>109001047226502</v>
          </cell>
          <cell r="F2283" t="str">
            <v>Tidak</v>
          </cell>
          <cell r="G2283" t="str">
            <v>Tidak</v>
          </cell>
          <cell r="H2283" t="str">
            <v>Tidak</v>
          </cell>
          <cell r="I2283" t="str">
            <v>Bandar Judol Withdrawal</v>
          </cell>
          <cell r="J2283">
            <v>35</v>
          </cell>
          <cell r="K2283" t="str">
            <v>86,88,87</v>
          </cell>
          <cell r="L2283" t="str">
            <v>Judi Online</v>
          </cell>
          <cell r="M2283" t="str">
            <v xml:space="preserve">Kas Kanpus                              </v>
          </cell>
          <cell r="N2283" t="str">
            <v xml:space="preserve">Kas Kanpus                              </v>
          </cell>
          <cell r="O2283" t="str">
            <v xml:space="preserve">KAS KANPUS                              </v>
          </cell>
          <cell r="P2283" t="str">
            <v>Ya</v>
          </cell>
          <cell r="R2283" t="str">
            <v>Pending Approver</v>
          </cell>
          <cell r="S2283" t="str">
            <v>Belum TL</v>
          </cell>
          <cell r="T2283" t="str">
            <v>90186790 - Muhammad Alfin Farha</v>
          </cell>
          <cell r="U2283" t="str">
            <v>"-"</v>
          </cell>
        </row>
        <row r="2284">
          <cell r="A2284">
            <v>46265</v>
          </cell>
          <cell r="B2284" t="str">
            <v xml:space="preserve">MUHAMMAD FADLAN                         </v>
          </cell>
          <cell r="C2284" t="str">
            <v>MEYEM63</v>
          </cell>
          <cell r="D2284">
            <v>530201004131505</v>
          </cell>
          <cell r="F2284" t="str">
            <v>Tidak</v>
          </cell>
          <cell r="G2284" t="str">
            <v>Tidak</v>
          </cell>
          <cell r="H2284" t="str">
            <v>Tidak</v>
          </cell>
          <cell r="I2284" t="str">
            <v>Bandar Judol Withdrawal</v>
          </cell>
          <cell r="J2284">
            <v>35</v>
          </cell>
          <cell r="K2284" t="str">
            <v>86,88,87</v>
          </cell>
          <cell r="L2284" t="str">
            <v>Judi Online</v>
          </cell>
          <cell r="M2284" t="str">
            <v xml:space="preserve">Kas Kanpus                              </v>
          </cell>
          <cell r="N2284" t="str">
            <v xml:space="preserve">Kas Kanpus                              </v>
          </cell>
          <cell r="O2284" t="str">
            <v xml:space="preserve">KAS KANPUS                              </v>
          </cell>
          <cell r="P2284" t="str">
            <v>Ya</v>
          </cell>
          <cell r="R2284" t="str">
            <v>Pending Approver</v>
          </cell>
          <cell r="S2284" t="str">
            <v>Belum TL</v>
          </cell>
          <cell r="T2284" t="str">
            <v>90150130 - Intan Aida Pratiwi</v>
          </cell>
          <cell r="U2284" t="str">
            <v>"-"</v>
          </cell>
        </row>
        <row r="2285">
          <cell r="A2285">
            <v>46265</v>
          </cell>
          <cell r="B2285" t="str">
            <v xml:space="preserve">M. AZI BAHARI                           </v>
          </cell>
          <cell r="C2285" t="str">
            <v>MEKPC03</v>
          </cell>
          <cell r="D2285">
            <v>63801001120565</v>
          </cell>
          <cell r="F2285" t="str">
            <v>Tidak</v>
          </cell>
          <cell r="G2285" t="str">
            <v>Tidak</v>
          </cell>
          <cell r="H2285" t="str">
            <v>Tidak</v>
          </cell>
          <cell r="I2285" t="str">
            <v>Bandar Judol Depo</v>
          </cell>
          <cell r="J2285">
            <v>35</v>
          </cell>
          <cell r="K2285" t="str">
            <v>86,74,87</v>
          </cell>
          <cell r="L2285" t="str">
            <v>Judi Online</v>
          </cell>
          <cell r="M2285" t="str">
            <v xml:space="preserve">Kas Kanpus                              </v>
          </cell>
          <cell r="N2285" t="str">
            <v xml:space="preserve">Kas Kanpus                              </v>
          </cell>
          <cell r="O2285" t="str">
            <v xml:space="preserve">KAS KANPUS                              </v>
          </cell>
          <cell r="P2285" t="str">
            <v>Tidak</v>
          </cell>
          <cell r="R2285" t="str">
            <v>Pending Approver</v>
          </cell>
          <cell r="S2285" t="str">
            <v>Belum TL</v>
          </cell>
          <cell r="T2285" t="str">
            <v>90185538 - Muhammad Fahikal Auz</v>
          </cell>
          <cell r="U2285" t="str">
            <v>"-"</v>
          </cell>
        </row>
        <row r="2286">
          <cell r="A2286">
            <v>46265</v>
          </cell>
          <cell r="B2286" t="str">
            <v xml:space="preserve">MUHAMMAD RIZKI                          </v>
          </cell>
          <cell r="C2286" t="str">
            <v>MEJVZ68</v>
          </cell>
          <cell r="D2286">
            <v>109001048127507</v>
          </cell>
          <cell r="F2286" t="str">
            <v>Tidak</v>
          </cell>
          <cell r="G2286" t="str">
            <v>Tidak</v>
          </cell>
          <cell r="H2286" t="str">
            <v>Tidak</v>
          </cell>
          <cell r="I2286" t="str">
            <v>Bandar Judol Withdrawal</v>
          </cell>
          <cell r="J2286">
            <v>35</v>
          </cell>
          <cell r="K2286" t="str">
            <v>86,88,87</v>
          </cell>
          <cell r="L2286" t="str">
            <v>Judi Online</v>
          </cell>
          <cell r="M2286" t="str">
            <v xml:space="preserve">Kas Kanpus                              </v>
          </cell>
          <cell r="N2286" t="str">
            <v xml:space="preserve">Kas Kanpus                              </v>
          </cell>
          <cell r="O2286" t="str">
            <v xml:space="preserve">KAS KANPUS                              </v>
          </cell>
          <cell r="P2286" t="str">
            <v>Ya</v>
          </cell>
          <cell r="R2286" t="str">
            <v>Pending Approver</v>
          </cell>
          <cell r="S2286" t="str">
            <v>Belum TL</v>
          </cell>
          <cell r="T2286" t="str">
            <v>90171841 - Rifqi Aziz</v>
          </cell>
          <cell r="U2286" t="str">
            <v>"-"</v>
          </cell>
        </row>
        <row r="2287">
          <cell r="A2287">
            <v>46265</v>
          </cell>
          <cell r="B2287" t="str">
            <v xml:space="preserve">RAMADHAN                                </v>
          </cell>
          <cell r="C2287" t="str">
            <v>RQPF009</v>
          </cell>
          <cell r="D2287">
            <v>208301037631501</v>
          </cell>
          <cell r="F2287" t="str">
            <v>Tidak</v>
          </cell>
          <cell r="G2287" t="str">
            <v>Tidak</v>
          </cell>
          <cell r="H2287" t="str">
            <v>Tidak</v>
          </cell>
          <cell r="I2287" t="str">
            <v>Bandar Judol Withdrawal</v>
          </cell>
          <cell r="J2287">
            <v>35</v>
          </cell>
          <cell r="K2287" t="str">
            <v>86,88,87</v>
          </cell>
          <cell r="L2287" t="str">
            <v>Judi Online</v>
          </cell>
          <cell r="M2287" t="str">
            <v xml:space="preserve">Kas Kanpus                              </v>
          </cell>
          <cell r="N2287" t="str">
            <v xml:space="preserve">Kas Kanpus                              </v>
          </cell>
          <cell r="O2287" t="str">
            <v xml:space="preserve">KAS KANPUS                              </v>
          </cell>
          <cell r="P2287" t="str">
            <v>Ya</v>
          </cell>
          <cell r="R2287" t="str">
            <v>Pending Approver</v>
          </cell>
          <cell r="S2287" t="str">
            <v>Belum TL</v>
          </cell>
          <cell r="T2287" t="str">
            <v>90186796 - Devito Arya Wiradila</v>
          </cell>
          <cell r="U2287" t="str">
            <v>"-"</v>
          </cell>
        </row>
        <row r="2288">
          <cell r="A2288">
            <v>46265</v>
          </cell>
          <cell r="B2288" t="str">
            <v xml:space="preserve">RABU                                    </v>
          </cell>
          <cell r="C2288" t="str">
            <v>RSV5790</v>
          </cell>
          <cell r="D2288">
            <v>355201054695530</v>
          </cell>
          <cell r="E2288" t="str">
            <v>SEDANG</v>
          </cell>
          <cell r="F2288" t="str">
            <v>Ya</v>
          </cell>
          <cell r="G2288" t="str">
            <v>Tidak</v>
          </cell>
          <cell r="H2288" t="str">
            <v>Tidak</v>
          </cell>
          <cell r="I2288" t="str">
            <v>Narkotika - Area Lapas</v>
          </cell>
          <cell r="J2288">
            <v>53</v>
          </cell>
          <cell r="K2288">
            <v>46</v>
          </cell>
          <cell r="L2288" t="str">
            <v>Narkotika</v>
          </cell>
          <cell r="M2288" t="str">
            <v>UNIT SANGETI JAMBI</v>
          </cell>
          <cell r="N2288" t="str">
            <v>KC Jambi</v>
          </cell>
          <cell r="O2288" t="str">
            <v>Palembang</v>
          </cell>
          <cell r="P2288" t="str">
            <v>Tidak</v>
          </cell>
          <cell r="R2288" t="str">
            <v>Pending Approver</v>
          </cell>
          <cell r="S2288" t="str">
            <v>Belum TL</v>
          </cell>
          <cell r="T2288" t="str">
            <v>90185537 - Moh.Khoerul Fajar Ar</v>
          </cell>
          <cell r="U2288" t="str">
            <v>"-"</v>
          </cell>
        </row>
        <row r="2289">
          <cell r="A2289">
            <v>46265</v>
          </cell>
          <cell r="B2289" t="str">
            <v xml:space="preserve">RUSLANDI                                </v>
          </cell>
          <cell r="C2289" t="str">
            <v>ROUB479</v>
          </cell>
          <cell r="D2289">
            <v>33601157721500</v>
          </cell>
          <cell r="F2289" t="str">
            <v>Tidak</v>
          </cell>
          <cell r="G2289" t="str">
            <v>Tidak</v>
          </cell>
          <cell r="H2289" t="str">
            <v>Tidak</v>
          </cell>
          <cell r="I2289" t="str">
            <v>Bandar Judol Withdrawal</v>
          </cell>
          <cell r="J2289">
            <v>35</v>
          </cell>
          <cell r="K2289" t="str">
            <v>86,88,87</v>
          </cell>
          <cell r="L2289" t="str">
            <v>Judi Online</v>
          </cell>
          <cell r="M2289" t="str">
            <v xml:space="preserve">Kas Kanpus                              </v>
          </cell>
          <cell r="N2289" t="str">
            <v xml:space="preserve">Kas Kanpus                              </v>
          </cell>
          <cell r="O2289" t="str">
            <v xml:space="preserve">KAS KANPUS                              </v>
          </cell>
          <cell r="P2289" t="str">
            <v>Ya</v>
          </cell>
          <cell r="R2289" t="str">
            <v>Pending Approver</v>
          </cell>
          <cell r="S2289" t="str">
            <v>Belum TL</v>
          </cell>
          <cell r="T2289" t="str">
            <v>90171841 - Rifqi Aziz</v>
          </cell>
          <cell r="U2289" t="str">
            <v>"-"</v>
          </cell>
        </row>
        <row r="2290">
          <cell r="A2290">
            <v>46265</v>
          </cell>
          <cell r="B2290" t="str">
            <v xml:space="preserve">ROBBY SUGALA                            </v>
          </cell>
          <cell r="C2290" t="str">
            <v>RORT033</v>
          </cell>
          <cell r="D2290">
            <v>109001038711502</v>
          </cell>
          <cell r="F2290" t="str">
            <v>Tidak</v>
          </cell>
          <cell r="G2290" t="str">
            <v>Tidak</v>
          </cell>
          <cell r="H2290" t="str">
            <v>Tidak</v>
          </cell>
          <cell r="I2290" t="str">
            <v>Bandar Judol Withdrawal</v>
          </cell>
          <cell r="J2290">
            <v>35</v>
          </cell>
          <cell r="K2290" t="str">
            <v>86,88,87</v>
          </cell>
          <cell r="L2290" t="str">
            <v>Judi Online</v>
          </cell>
          <cell r="M2290" t="str">
            <v xml:space="preserve">Kas Kanpus                              </v>
          </cell>
          <cell r="N2290" t="str">
            <v xml:space="preserve">Kas Kanpus                              </v>
          </cell>
          <cell r="O2290" t="str">
            <v xml:space="preserve">KAS KANPUS                              </v>
          </cell>
          <cell r="P2290" t="str">
            <v>Ya</v>
          </cell>
          <cell r="R2290" t="str">
            <v>Pending Approver</v>
          </cell>
          <cell r="S2290" t="str">
            <v>Belum TL</v>
          </cell>
          <cell r="T2290" t="str">
            <v>90185538 - Muhammad Fahikal Auz</v>
          </cell>
          <cell r="U2290" t="str">
            <v>"-"</v>
          </cell>
        </row>
        <row r="2291">
          <cell r="A2291">
            <v>46265</v>
          </cell>
          <cell r="B2291" t="str">
            <v xml:space="preserve">SOPIAN HADI                             </v>
          </cell>
          <cell r="C2291" t="str">
            <v>SGJJJ80</v>
          </cell>
          <cell r="D2291">
            <v>208301038157500</v>
          </cell>
          <cell r="F2291" t="str">
            <v>Tidak</v>
          </cell>
          <cell r="G2291" t="str">
            <v>Tidak</v>
          </cell>
          <cell r="I2291" t="str">
            <v>Jual Beli Rekening - E channel Trx</v>
          </cell>
          <cell r="J2291">
            <v>33</v>
          </cell>
          <cell r="K2291">
            <v>113</v>
          </cell>
          <cell r="L2291" t="str">
            <v>Narkotika/Judi Online/Penipuan</v>
          </cell>
          <cell r="M2291" t="str">
            <v xml:space="preserve">KCP WILLEM ISKANDAR                     </v>
          </cell>
          <cell r="N2291" t="str">
            <v xml:space="preserve">KC Medan Thamrin                        </v>
          </cell>
          <cell r="O2291" t="str">
            <v xml:space="preserve">Medan                                   </v>
          </cell>
          <cell r="P2291" t="str">
            <v>Ya</v>
          </cell>
          <cell r="R2291" t="str">
            <v>Pending Approver</v>
          </cell>
          <cell r="S2291" t="str">
            <v>Belum TL</v>
          </cell>
          <cell r="U2291" t="str">
            <v>"-"</v>
          </cell>
        </row>
        <row r="2292">
          <cell r="A2292">
            <v>46265</v>
          </cell>
          <cell r="B2292" t="str">
            <v xml:space="preserve">SUHARIANTO                              </v>
          </cell>
          <cell r="C2292" t="str">
            <v>SATXE39</v>
          </cell>
          <cell r="D2292">
            <v>33601139092503</v>
          </cell>
          <cell r="E2292" t="str">
            <v>SEDANG</v>
          </cell>
          <cell r="F2292" t="str">
            <v>Tidak</v>
          </cell>
          <cell r="G2292" t="str">
            <v>Tidak</v>
          </cell>
          <cell r="H2292" t="str">
            <v>Tidak</v>
          </cell>
          <cell r="I2292" t="str">
            <v>Bandar Judol Depo</v>
          </cell>
          <cell r="J2292">
            <v>50</v>
          </cell>
          <cell r="K2292" t="str">
            <v>86,74,87</v>
          </cell>
          <cell r="L2292" t="str">
            <v>Judi Online</v>
          </cell>
          <cell r="M2292" t="str">
            <v xml:space="preserve">Kas Kanpus                              </v>
          </cell>
          <cell r="N2292" t="str">
            <v xml:space="preserve">Kas Kanpus                              </v>
          </cell>
          <cell r="O2292" t="str">
            <v xml:space="preserve">KAS KANPUS                              </v>
          </cell>
          <cell r="P2292" t="str">
            <v>Ya</v>
          </cell>
          <cell r="R2292" t="str">
            <v>Pending Approver</v>
          </cell>
          <cell r="S2292" t="str">
            <v>Belum TL</v>
          </cell>
          <cell r="T2292" t="str">
            <v>90185537 - Moh.Khoerul Fajar Ar</v>
          </cell>
          <cell r="U2292" t="str">
            <v>"-"</v>
          </cell>
        </row>
        <row r="2293">
          <cell r="A2293">
            <v>46265</v>
          </cell>
          <cell r="B2293" t="str">
            <v xml:space="preserve">SITI RAHMAH                             </v>
          </cell>
          <cell r="C2293" t="str">
            <v>SJERA71</v>
          </cell>
          <cell r="D2293">
            <v>208301037963500</v>
          </cell>
          <cell r="F2293" t="str">
            <v>Tidak</v>
          </cell>
          <cell r="G2293" t="str">
            <v>Tidak</v>
          </cell>
          <cell r="H2293" t="str">
            <v>Tidak</v>
          </cell>
          <cell r="I2293" t="str">
            <v>Bandar Judol Withdrawal</v>
          </cell>
          <cell r="J2293">
            <v>35</v>
          </cell>
          <cell r="K2293" t="str">
            <v>86,88,87</v>
          </cell>
          <cell r="L2293" t="str">
            <v>Judi Online</v>
          </cell>
          <cell r="M2293" t="str">
            <v xml:space="preserve">Kas Kanpus                              </v>
          </cell>
          <cell r="N2293" t="str">
            <v xml:space="preserve">Kas Kanpus                              </v>
          </cell>
          <cell r="O2293" t="str">
            <v xml:space="preserve">KAS KANPUS                              </v>
          </cell>
          <cell r="P2293" t="str">
            <v>Ya</v>
          </cell>
          <cell r="R2293" t="str">
            <v>Pending Approver</v>
          </cell>
          <cell r="S2293" t="str">
            <v>Belum TL</v>
          </cell>
          <cell r="T2293" t="str">
            <v>90171841 - Rifqi Aziz</v>
          </cell>
          <cell r="U2293" t="str">
            <v>"-"</v>
          </cell>
        </row>
        <row r="2294">
          <cell r="A2294">
            <v>46265</v>
          </cell>
          <cell r="B2294" t="str">
            <v xml:space="preserve">SUDIRMAN                                </v>
          </cell>
          <cell r="C2294" t="str">
            <v>SJJRR69</v>
          </cell>
          <cell r="D2294">
            <v>33601003833560</v>
          </cell>
          <cell r="F2294" t="str">
            <v>Tidak</v>
          </cell>
          <cell r="G2294" t="str">
            <v>Tidak</v>
          </cell>
          <cell r="H2294" t="str">
            <v>Tidak</v>
          </cell>
          <cell r="I2294" t="str">
            <v>Bandar Judol Depo</v>
          </cell>
          <cell r="J2294">
            <v>35</v>
          </cell>
          <cell r="K2294" t="str">
            <v>86,74,87</v>
          </cell>
          <cell r="L2294" t="str">
            <v>Judi Online</v>
          </cell>
          <cell r="M2294" t="str">
            <v xml:space="preserve">Kas Kanpus                              </v>
          </cell>
          <cell r="N2294" t="str">
            <v xml:space="preserve">Kas Kanpus                              </v>
          </cell>
          <cell r="O2294" t="str">
            <v xml:space="preserve">KAS KANPUS                              </v>
          </cell>
          <cell r="P2294" t="str">
            <v>Ya</v>
          </cell>
          <cell r="R2294" t="str">
            <v>Pending Approver</v>
          </cell>
          <cell r="S2294" t="str">
            <v>Belum TL</v>
          </cell>
          <cell r="T2294" t="str">
            <v>90186796 - Devito Arya Wiradila</v>
          </cell>
          <cell r="U2294" t="str">
            <v>"-"</v>
          </cell>
        </row>
        <row r="2295">
          <cell r="A2295">
            <v>46265</v>
          </cell>
          <cell r="B2295" t="str">
            <v xml:space="preserve">SEYRA FANESA                            </v>
          </cell>
          <cell r="C2295" t="str">
            <v>STSS795</v>
          </cell>
          <cell r="D2295">
            <v>77201022699501</v>
          </cell>
          <cell r="E2295" t="str">
            <v>SEDANG</v>
          </cell>
          <cell r="F2295" t="str">
            <v>Tidak</v>
          </cell>
          <cell r="G2295" t="str">
            <v>Tidak</v>
          </cell>
          <cell r="H2295" t="str">
            <v>Tidak</v>
          </cell>
          <cell r="I2295" t="str">
            <v>Bandar Judol Withdrawal</v>
          </cell>
          <cell r="J2295">
            <v>50</v>
          </cell>
          <cell r="K2295" t="str">
            <v>86,88,87</v>
          </cell>
          <cell r="L2295" t="str">
            <v>Judi Online</v>
          </cell>
          <cell r="M2295" t="str">
            <v xml:space="preserve">Kas Kanpus                              </v>
          </cell>
          <cell r="N2295" t="str">
            <v xml:space="preserve">Kas Kanpus                              </v>
          </cell>
          <cell r="O2295" t="str">
            <v xml:space="preserve">KAS KANPUS                              </v>
          </cell>
          <cell r="P2295" t="str">
            <v>Ya</v>
          </cell>
          <cell r="R2295" t="str">
            <v>Pending Approver</v>
          </cell>
          <cell r="S2295" t="str">
            <v>Belum TL</v>
          </cell>
          <cell r="T2295" t="str">
            <v>90185537 - Moh.Khoerul Fajar Ar</v>
          </cell>
          <cell r="U2295" t="str">
            <v>"-"</v>
          </cell>
        </row>
        <row r="2296">
          <cell r="A2296">
            <v>46265</v>
          </cell>
          <cell r="B2296" t="str">
            <v xml:space="preserve">SUMADI                                  </v>
          </cell>
          <cell r="C2296" t="str">
            <v>SKZOM33</v>
          </cell>
          <cell r="D2296">
            <v>531301008656504</v>
          </cell>
          <cell r="F2296" t="str">
            <v>Tidak</v>
          </cell>
          <cell r="G2296" t="str">
            <v>Tidak</v>
          </cell>
          <cell r="H2296" t="str">
            <v>Tidak</v>
          </cell>
          <cell r="I2296" t="str">
            <v>Bandar Judol Withdrawal</v>
          </cell>
          <cell r="J2296">
            <v>35</v>
          </cell>
          <cell r="K2296" t="str">
            <v>86,88,87</v>
          </cell>
          <cell r="L2296" t="str">
            <v>Judi Online</v>
          </cell>
          <cell r="M2296" t="str">
            <v xml:space="preserve">Kas Kanpus                              </v>
          </cell>
          <cell r="N2296" t="str">
            <v xml:space="preserve">Kas Kanpus                              </v>
          </cell>
          <cell r="O2296" t="str">
            <v xml:space="preserve">KAS KANPUS                              </v>
          </cell>
          <cell r="P2296" t="str">
            <v>Ya</v>
          </cell>
          <cell r="R2296" t="str">
            <v>Pending Approver</v>
          </cell>
          <cell r="S2296" t="str">
            <v>Belum TL</v>
          </cell>
          <cell r="T2296" t="str">
            <v>90171841 - Rifqi Aziz</v>
          </cell>
          <cell r="U2296" t="str">
            <v>"-"</v>
          </cell>
        </row>
        <row r="2297">
          <cell r="A2297">
            <v>46265</v>
          </cell>
          <cell r="B2297" t="str">
            <v xml:space="preserve">TRISNADI                                </v>
          </cell>
          <cell r="C2297" t="str">
            <v>TVB2787</v>
          </cell>
          <cell r="D2297">
            <v>33601162348509</v>
          </cell>
          <cell r="F2297" t="str">
            <v>Tidak</v>
          </cell>
          <cell r="G2297" t="str">
            <v>Tidak</v>
          </cell>
          <cell r="H2297" t="str">
            <v>Tidak</v>
          </cell>
          <cell r="I2297" t="str">
            <v>Bandar Judol Withdrawal</v>
          </cell>
          <cell r="J2297">
            <v>35</v>
          </cell>
          <cell r="K2297" t="str">
            <v>86,88,87</v>
          </cell>
          <cell r="L2297" t="str">
            <v>Judi Online</v>
          </cell>
          <cell r="M2297" t="str">
            <v xml:space="preserve">Kas Kanpus                              </v>
          </cell>
          <cell r="N2297" t="str">
            <v xml:space="preserve">Kas Kanpus                              </v>
          </cell>
          <cell r="O2297" t="str">
            <v xml:space="preserve">KAS KANPUS                              </v>
          </cell>
          <cell r="P2297" t="str">
            <v>Ya</v>
          </cell>
          <cell r="R2297" t="str">
            <v>Pending Approver</v>
          </cell>
          <cell r="S2297" t="str">
            <v>Belum TL</v>
          </cell>
          <cell r="T2297" t="str">
            <v>90171841 - Rifqi Aziz</v>
          </cell>
          <cell r="U2297" t="str">
            <v>"-"</v>
          </cell>
        </row>
        <row r="2298">
          <cell r="A2298">
            <v>46265</v>
          </cell>
          <cell r="B2298" t="str">
            <v xml:space="preserve">TONI                                    </v>
          </cell>
          <cell r="C2298" t="str">
            <v>TIP8000</v>
          </cell>
          <cell r="D2298">
            <v>576001010380534</v>
          </cell>
          <cell r="E2298" t="str">
            <v>SEDANG</v>
          </cell>
          <cell r="F2298" t="str">
            <v>Tidak</v>
          </cell>
          <cell r="G2298" t="str">
            <v>Tidak</v>
          </cell>
          <cell r="H2298" t="str">
            <v>Tidak</v>
          </cell>
          <cell r="I2298" t="str">
            <v>Bandar Judol Withdrawal</v>
          </cell>
          <cell r="J2298">
            <v>50</v>
          </cell>
          <cell r="K2298" t="str">
            <v>86,88,87</v>
          </cell>
          <cell r="L2298" t="str">
            <v>Judi Online</v>
          </cell>
          <cell r="M2298" t="str">
            <v xml:space="preserve">Kas Kanpus                              </v>
          </cell>
          <cell r="N2298" t="str">
            <v xml:space="preserve">Kas Kanpus                              </v>
          </cell>
          <cell r="O2298" t="str">
            <v xml:space="preserve">KAS KANPUS                              </v>
          </cell>
          <cell r="P2298" t="str">
            <v>Ya</v>
          </cell>
          <cell r="R2298" t="str">
            <v>Pending Approver</v>
          </cell>
          <cell r="S2298" t="str">
            <v>Belum TL</v>
          </cell>
          <cell r="T2298" t="str">
            <v>90186796 - Devito Arya Wiradila</v>
          </cell>
          <cell r="U2298" t="str">
            <v>"-"</v>
          </cell>
        </row>
        <row r="2299">
          <cell r="A2299">
            <v>46265</v>
          </cell>
          <cell r="B2299" t="str">
            <v xml:space="preserve">T. M. REZA                              </v>
          </cell>
          <cell r="C2299" t="str">
            <v>TRB1715</v>
          </cell>
          <cell r="D2299">
            <v>63801029158534</v>
          </cell>
          <cell r="E2299" t="str">
            <v>SEDANG</v>
          </cell>
          <cell r="F2299" t="str">
            <v>Tidak</v>
          </cell>
          <cell r="G2299" t="str">
            <v>Tidak</v>
          </cell>
          <cell r="H2299" t="str">
            <v>Tidak</v>
          </cell>
          <cell r="I2299" t="str">
            <v>Bandar Judol Withdrawal</v>
          </cell>
          <cell r="J2299">
            <v>50</v>
          </cell>
          <cell r="K2299" t="str">
            <v>86,88,87</v>
          </cell>
          <cell r="L2299" t="str">
            <v>Judi Online</v>
          </cell>
          <cell r="M2299" t="str">
            <v xml:space="preserve">Kas Kanpus                              </v>
          </cell>
          <cell r="N2299" t="str">
            <v xml:space="preserve">Kas Kanpus                              </v>
          </cell>
          <cell r="O2299" t="str">
            <v xml:space="preserve">KAS KANPUS                              </v>
          </cell>
          <cell r="P2299" t="str">
            <v>Tidak</v>
          </cell>
          <cell r="R2299" t="str">
            <v>Pending Approver</v>
          </cell>
          <cell r="S2299" t="str">
            <v>Belum TL</v>
          </cell>
          <cell r="T2299" t="str">
            <v>00394520 - Frida Akbar Rani</v>
          </cell>
          <cell r="U2299" t="str">
            <v>"-"</v>
          </cell>
        </row>
        <row r="2300">
          <cell r="A2300">
            <v>46265</v>
          </cell>
          <cell r="B2300" t="str">
            <v xml:space="preserve">WAHYU PURNOMO                           </v>
          </cell>
          <cell r="C2300" t="str">
            <v>WNG0026</v>
          </cell>
          <cell r="D2300">
            <v>24501123511502</v>
          </cell>
          <cell r="F2300" t="str">
            <v>Tidak</v>
          </cell>
          <cell r="G2300" t="str">
            <v>Tidak</v>
          </cell>
          <cell r="H2300" t="str">
            <v>Tidak</v>
          </cell>
          <cell r="I2300" t="str">
            <v>Bandar Judol Depo</v>
          </cell>
          <cell r="J2300">
            <v>35</v>
          </cell>
          <cell r="K2300" t="str">
            <v>86,74,87</v>
          </cell>
          <cell r="L2300" t="str">
            <v>Judi Online</v>
          </cell>
          <cell r="M2300" t="str">
            <v xml:space="preserve">Kas Kanpus                              </v>
          </cell>
          <cell r="N2300" t="str">
            <v xml:space="preserve">Kas Kanpus                              </v>
          </cell>
          <cell r="O2300" t="str">
            <v xml:space="preserve">KAS KANPUS                              </v>
          </cell>
          <cell r="P2300" t="str">
            <v>Tidak</v>
          </cell>
          <cell r="R2300" t="str">
            <v>Pending Approver</v>
          </cell>
          <cell r="S2300" t="str">
            <v>Belum TL</v>
          </cell>
          <cell r="T2300" t="str">
            <v>90185538 - Muhammad Fahikal Auz</v>
          </cell>
          <cell r="U2300" t="str">
            <v>"-"</v>
          </cell>
        </row>
        <row r="2301">
          <cell r="A2301">
            <v>46265</v>
          </cell>
          <cell r="B2301" t="str">
            <v xml:space="preserve">WILDAN WARANDI                          </v>
          </cell>
          <cell r="C2301" t="str">
            <v>WLW1672</v>
          </cell>
          <cell r="D2301">
            <v>9201002385562</v>
          </cell>
          <cell r="F2301" t="str">
            <v>Tidak</v>
          </cell>
          <cell r="G2301" t="str">
            <v>Tidak</v>
          </cell>
          <cell r="H2301" t="str">
            <v>Tidak</v>
          </cell>
          <cell r="I2301" t="str">
            <v>Bandar Judol Withdrawal</v>
          </cell>
          <cell r="J2301">
            <v>35</v>
          </cell>
          <cell r="K2301" t="str">
            <v>86,88,87</v>
          </cell>
          <cell r="L2301" t="str">
            <v>Judi Online</v>
          </cell>
          <cell r="M2301" t="str">
            <v xml:space="preserve">Kas Kanpus                              </v>
          </cell>
          <cell r="N2301" t="str">
            <v xml:space="preserve">Kas Kanpus                              </v>
          </cell>
          <cell r="O2301" t="str">
            <v xml:space="preserve">KAS KANPUS                              </v>
          </cell>
          <cell r="P2301" t="str">
            <v>Ya</v>
          </cell>
          <cell r="R2301" t="str">
            <v>Pending Approver</v>
          </cell>
          <cell r="S2301" t="str">
            <v>Belum TL</v>
          </cell>
          <cell r="T2301" t="str">
            <v>90186790 - Muhammad Alfin Farha</v>
          </cell>
          <cell r="U2301" t="str">
            <v>"-"</v>
          </cell>
        </row>
        <row r="2302">
          <cell r="A2302">
            <v>46265</v>
          </cell>
          <cell r="B2302" t="str">
            <v xml:space="preserve">WAHYUDI SYAHPUTRA HAREFA                </v>
          </cell>
          <cell r="C2302" t="str">
            <v>WLP0277</v>
          </cell>
          <cell r="D2302">
            <v>33601033773536</v>
          </cell>
          <cell r="F2302" t="str">
            <v>Tidak</v>
          </cell>
          <cell r="G2302" t="str">
            <v>Tidak</v>
          </cell>
          <cell r="H2302" t="str">
            <v>Tidak</v>
          </cell>
          <cell r="I2302" t="str">
            <v>Bandar Judol Withdrawal</v>
          </cell>
          <cell r="J2302">
            <v>35</v>
          </cell>
          <cell r="K2302" t="str">
            <v>86,88,87</v>
          </cell>
          <cell r="L2302" t="str">
            <v>Judi Online</v>
          </cell>
          <cell r="M2302" t="str">
            <v xml:space="preserve">Kas Kanpus                              </v>
          </cell>
          <cell r="N2302" t="str">
            <v xml:space="preserve">Kas Kanpus                              </v>
          </cell>
          <cell r="O2302" t="str">
            <v xml:space="preserve">KAS KANPUS                              </v>
          </cell>
          <cell r="P2302" t="str">
            <v>Ya</v>
          </cell>
          <cell r="R2302" t="str">
            <v>Pending Approver</v>
          </cell>
          <cell r="S2302" t="str">
            <v>Belum TL</v>
          </cell>
          <cell r="T2302" t="str">
            <v>90186796 - Devito Arya Wiradila</v>
          </cell>
          <cell r="U2302" t="str">
            <v>"-"</v>
          </cell>
        </row>
        <row r="2303">
          <cell r="A2303">
            <v>46265</v>
          </cell>
          <cell r="B2303" t="str">
            <v xml:space="preserve">WAHYU DANIAH                            </v>
          </cell>
          <cell r="C2303" t="str">
            <v>WFN4797</v>
          </cell>
          <cell r="D2303">
            <v>526301022076539</v>
          </cell>
          <cell r="E2303" t="str">
            <v>SEDANG</v>
          </cell>
          <cell r="F2303" t="str">
            <v>Tidak</v>
          </cell>
          <cell r="G2303" t="str">
            <v>Tidak</v>
          </cell>
          <cell r="H2303" t="str">
            <v>Tidak</v>
          </cell>
          <cell r="I2303" t="str">
            <v>Bandar Judol Withdrawal</v>
          </cell>
          <cell r="J2303">
            <v>50</v>
          </cell>
          <cell r="K2303" t="str">
            <v>86,88,87</v>
          </cell>
          <cell r="L2303" t="str">
            <v>Judi Online</v>
          </cell>
          <cell r="M2303" t="str">
            <v xml:space="preserve">Kas Kanpus                              </v>
          </cell>
          <cell r="N2303" t="str">
            <v xml:space="preserve">Kas Kanpus                              </v>
          </cell>
          <cell r="O2303" t="str">
            <v xml:space="preserve">KAS KANPUS                              </v>
          </cell>
          <cell r="P2303" t="str">
            <v>Ya</v>
          </cell>
          <cell r="R2303" t="str">
            <v>Pending Approver</v>
          </cell>
          <cell r="S2303" t="str">
            <v>Belum TL</v>
          </cell>
          <cell r="T2303" t="str">
            <v>90186796 - Devito Arya Wiradila</v>
          </cell>
          <cell r="U2303" t="str">
            <v>"-"</v>
          </cell>
        </row>
        <row r="2304">
          <cell r="A2304">
            <v>46265</v>
          </cell>
          <cell r="B2304" t="str">
            <v xml:space="preserve">YENDARI SIMATUPANG                      </v>
          </cell>
          <cell r="C2304" t="str">
            <v>YPD0672</v>
          </cell>
          <cell r="D2304">
            <v>208301038166509</v>
          </cell>
          <cell r="F2304" t="str">
            <v>Tidak</v>
          </cell>
          <cell r="G2304" t="str">
            <v>Tidak</v>
          </cell>
          <cell r="I2304" t="str">
            <v>Jual Beli Rekening - E channel Trx</v>
          </cell>
          <cell r="J2304">
            <v>33</v>
          </cell>
          <cell r="K2304">
            <v>113</v>
          </cell>
          <cell r="L2304" t="str">
            <v>Narkotika/Judi Online/Penipuan</v>
          </cell>
          <cell r="M2304" t="str">
            <v xml:space="preserve">KCP WILLEM ISKANDAR                     </v>
          </cell>
          <cell r="N2304" t="str">
            <v xml:space="preserve">KC Medan Thamrin                        </v>
          </cell>
          <cell r="O2304" t="str">
            <v xml:space="preserve">Medan                                   </v>
          </cell>
          <cell r="P2304" t="str">
            <v>Ya</v>
          </cell>
          <cell r="R2304" t="str">
            <v>Pending Approver</v>
          </cell>
          <cell r="S2304" t="str">
            <v>Belum TL</v>
          </cell>
          <cell r="U2304" t="str">
            <v>"-"</v>
          </cell>
        </row>
        <row r="2305">
          <cell r="A2305">
            <v>46265</v>
          </cell>
          <cell r="B2305" t="str">
            <v xml:space="preserve">YUVIA                                   </v>
          </cell>
          <cell r="C2305" t="str">
            <v>YNK3702</v>
          </cell>
          <cell r="D2305">
            <v>8901090135502</v>
          </cell>
          <cell r="E2305" t="str">
            <v>SEDANG</v>
          </cell>
          <cell r="F2305" t="str">
            <v>Tidak</v>
          </cell>
          <cell r="G2305" t="str">
            <v>Tidak</v>
          </cell>
          <cell r="H2305" t="str">
            <v>Tidak</v>
          </cell>
          <cell r="I2305" t="str">
            <v>Bandar Judol Depo</v>
          </cell>
          <cell r="J2305">
            <v>50</v>
          </cell>
          <cell r="K2305" t="str">
            <v>86,74,87</v>
          </cell>
          <cell r="L2305" t="str">
            <v>Judi Online</v>
          </cell>
          <cell r="M2305" t="str">
            <v xml:space="preserve">Kas Kanpus                              </v>
          </cell>
          <cell r="N2305" t="str">
            <v xml:space="preserve">Kas Kanpus                              </v>
          </cell>
          <cell r="O2305" t="str">
            <v xml:space="preserve">KAS KANPUS                              </v>
          </cell>
          <cell r="P2305" t="str">
            <v>Ya</v>
          </cell>
          <cell r="R2305" t="str">
            <v>Pending Approver</v>
          </cell>
          <cell r="S2305" t="str">
            <v>Belum TL</v>
          </cell>
          <cell r="T2305" t="str">
            <v>90171841 - Rifqi Aziz</v>
          </cell>
          <cell r="U2305" t="str">
            <v>"-"</v>
          </cell>
        </row>
        <row r="2306">
          <cell r="A2306">
            <v>46265</v>
          </cell>
          <cell r="B2306" t="str">
            <v xml:space="preserve">ZAIDAN AZZAKI                           </v>
          </cell>
          <cell r="C2306" t="str">
            <v>ZO09013</v>
          </cell>
          <cell r="D2306">
            <v>33601033090530</v>
          </cell>
          <cell r="F2306" t="str">
            <v>Tidak</v>
          </cell>
          <cell r="G2306" t="str">
            <v>Tidak</v>
          </cell>
          <cell r="H2306" t="str">
            <v>Tidak</v>
          </cell>
          <cell r="I2306" t="str">
            <v>Bandar Judol Withdrawal</v>
          </cell>
          <cell r="J2306">
            <v>35</v>
          </cell>
          <cell r="K2306" t="str">
            <v>86,88,87</v>
          </cell>
          <cell r="L2306" t="str">
            <v>Judi Online</v>
          </cell>
          <cell r="M2306" t="str">
            <v xml:space="preserve">Kas Kanpus                              </v>
          </cell>
          <cell r="N2306" t="str">
            <v xml:space="preserve">Kas Kanpus                              </v>
          </cell>
          <cell r="O2306" t="str">
            <v xml:space="preserve">KAS KANPUS                              </v>
          </cell>
          <cell r="P2306" t="str">
            <v>Ya</v>
          </cell>
          <cell r="R2306" t="str">
            <v>Pending Approver</v>
          </cell>
          <cell r="S2306" t="str">
            <v>Belum TL</v>
          </cell>
          <cell r="T2306" t="str">
            <v>90185537 - Moh.Khoerul Fajar Ar</v>
          </cell>
          <cell r="U2306" t="str">
            <v>"-"</v>
          </cell>
        </row>
        <row r="2307">
          <cell r="A2307">
            <v>46265</v>
          </cell>
          <cell r="B2307" t="str">
            <v xml:space="preserve">KIKI INDRA FIRMANSYAH                   </v>
          </cell>
          <cell r="C2307" t="str">
            <v>KBDT447</v>
          </cell>
          <cell r="D2307">
            <v>1701005899566</v>
          </cell>
          <cell r="F2307" t="str">
            <v>Tidak</v>
          </cell>
          <cell r="G2307" t="str">
            <v>Tidak</v>
          </cell>
          <cell r="H2307" t="str">
            <v>Tidak</v>
          </cell>
          <cell r="I2307" t="str">
            <v>Bandar Judol Withdrawal</v>
          </cell>
          <cell r="J2307">
            <v>35</v>
          </cell>
          <cell r="K2307" t="str">
            <v>86,88,87</v>
          </cell>
          <cell r="L2307" t="str">
            <v>Judi Online</v>
          </cell>
          <cell r="M2307" t="str">
            <v xml:space="preserve">Kas Kanpus                              </v>
          </cell>
          <cell r="N2307" t="str">
            <v xml:space="preserve">Kas Kanpus                              </v>
          </cell>
          <cell r="O2307" t="str">
            <v xml:space="preserve">KAS KANPUS                              </v>
          </cell>
          <cell r="P2307" t="str">
            <v>Ya</v>
          </cell>
          <cell r="R2307" t="str">
            <v>Pending Approver</v>
          </cell>
          <cell r="S2307" t="str">
            <v>Belum TL</v>
          </cell>
          <cell r="T2307" t="str">
            <v>90186790 - Muhammad Alfin Farha</v>
          </cell>
          <cell r="U2307" t="str">
            <v>"-"</v>
          </cell>
        </row>
        <row r="2308">
          <cell r="A2308">
            <v>46265</v>
          </cell>
          <cell r="B2308" t="str">
            <v xml:space="preserve">LUSI KURNIAWAN                          </v>
          </cell>
          <cell r="C2308" t="str">
            <v>LGK8939</v>
          </cell>
          <cell r="D2308">
            <v>9201001515562</v>
          </cell>
          <cell r="E2308" t="str">
            <v>SEDANG</v>
          </cell>
          <cell r="F2308" t="str">
            <v>Tidak</v>
          </cell>
          <cell r="G2308" t="str">
            <v>Tidak</v>
          </cell>
          <cell r="H2308" t="str">
            <v>Tidak</v>
          </cell>
          <cell r="I2308" t="str">
            <v>Bandar Judol Withdrawal</v>
          </cell>
          <cell r="J2308">
            <v>50</v>
          </cell>
          <cell r="K2308" t="str">
            <v>86,88,87</v>
          </cell>
          <cell r="L2308" t="str">
            <v>Judi Online</v>
          </cell>
          <cell r="M2308" t="str">
            <v xml:space="preserve">Kas Kanpus                              </v>
          </cell>
          <cell r="N2308" t="str">
            <v xml:space="preserve">Kas Kanpus                              </v>
          </cell>
          <cell r="O2308" t="str">
            <v xml:space="preserve">KAS KANPUS                              </v>
          </cell>
          <cell r="P2308" t="str">
            <v>Ya</v>
          </cell>
          <cell r="R2308" t="str">
            <v>Pending Approver</v>
          </cell>
          <cell r="S2308" t="str">
            <v>Belum TL</v>
          </cell>
          <cell r="T2308" t="str">
            <v>90185538 - Muhammad Fahikal Auz</v>
          </cell>
          <cell r="U2308" t="str">
            <v>"-"</v>
          </cell>
        </row>
        <row r="2309">
          <cell r="A2309">
            <v>46265</v>
          </cell>
          <cell r="B2309" t="str">
            <v xml:space="preserve">LIANA KARTIKA SARI                      </v>
          </cell>
          <cell r="C2309" t="str">
            <v>LBJ8515</v>
          </cell>
          <cell r="D2309">
            <v>91001030326508</v>
          </cell>
          <cell r="E2309" t="str">
            <v>SEDANG</v>
          </cell>
          <cell r="F2309" t="str">
            <v>Tidak</v>
          </cell>
          <cell r="G2309" t="str">
            <v>Tidak</v>
          </cell>
          <cell r="H2309" t="str">
            <v>Tidak</v>
          </cell>
          <cell r="I2309" t="str">
            <v>Bandar Judol Withdrawal</v>
          </cell>
          <cell r="J2309">
            <v>50</v>
          </cell>
          <cell r="K2309" t="str">
            <v>86,88,87</v>
          </cell>
          <cell r="L2309" t="str">
            <v>Judi Online</v>
          </cell>
          <cell r="M2309" t="str">
            <v xml:space="preserve">Kas Kanpus                              </v>
          </cell>
          <cell r="N2309" t="str">
            <v xml:space="preserve">Kas Kanpus                              </v>
          </cell>
          <cell r="O2309" t="str">
            <v xml:space="preserve">KAS KANPUS                              </v>
          </cell>
          <cell r="P2309" t="str">
            <v>Ya</v>
          </cell>
          <cell r="R2309" t="str">
            <v>Pending Approver</v>
          </cell>
          <cell r="S2309" t="str">
            <v>Belum TL</v>
          </cell>
          <cell r="T2309" t="str">
            <v>00336949 - Mochammad Al Farabi</v>
          </cell>
          <cell r="U2309" t="str">
            <v>"-"</v>
          </cell>
        </row>
        <row r="2310">
          <cell r="A2310">
            <v>46265</v>
          </cell>
          <cell r="B2310" t="str">
            <v xml:space="preserve">LEO SUTANTO                             </v>
          </cell>
          <cell r="C2310" t="str">
            <v>LKH6854</v>
          </cell>
          <cell r="D2310">
            <v>109001041978509</v>
          </cell>
          <cell r="F2310" t="str">
            <v>Tidak</v>
          </cell>
          <cell r="G2310" t="str">
            <v>Tidak</v>
          </cell>
          <cell r="H2310" t="str">
            <v>Tidak</v>
          </cell>
          <cell r="I2310" t="str">
            <v>Bandar Judol Depo</v>
          </cell>
          <cell r="J2310">
            <v>35</v>
          </cell>
          <cell r="K2310" t="str">
            <v>86,74,87</v>
          </cell>
          <cell r="L2310" t="str">
            <v>Judi Online</v>
          </cell>
          <cell r="M2310" t="str">
            <v xml:space="preserve">Kas Kanpus                              </v>
          </cell>
          <cell r="N2310" t="str">
            <v xml:space="preserve">Kas Kanpus                              </v>
          </cell>
          <cell r="O2310" t="str">
            <v xml:space="preserve">KAS KANPUS                              </v>
          </cell>
          <cell r="P2310" t="str">
            <v>Ya</v>
          </cell>
          <cell r="R2310" t="str">
            <v>Pending Approver</v>
          </cell>
          <cell r="S2310" t="str">
            <v>Belum TL</v>
          </cell>
          <cell r="T2310" t="str">
            <v>90186790 - Muhammad Alfin Farha</v>
          </cell>
          <cell r="U2310" t="str">
            <v>"-"</v>
          </cell>
        </row>
        <row r="2311">
          <cell r="A2311">
            <v>46265</v>
          </cell>
          <cell r="B2311" t="str">
            <v xml:space="preserve">LUKMAN HAKIM                            </v>
          </cell>
          <cell r="C2311" t="str">
            <v>LKN5940</v>
          </cell>
          <cell r="D2311">
            <v>574501004936503</v>
          </cell>
          <cell r="F2311" t="str">
            <v>Tidak</v>
          </cell>
          <cell r="G2311" t="str">
            <v>Tidak</v>
          </cell>
          <cell r="H2311" t="str">
            <v>Tidak</v>
          </cell>
          <cell r="I2311" t="str">
            <v>Bandar Judol Withdrawal</v>
          </cell>
          <cell r="J2311">
            <v>35</v>
          </cell>
          <cell r="K2311" t="str">
            <v>86,88,87</v>
          </cell>
          <cell r="L2311" t="str">
            <v>Judi Online</v>
          </cell>
          <cell r="M2311" t="str">
            <v xml:space="preserve">Kas Kanpus                              </v>
          </cell>
          <cell r="N2311" t="str">
            <v xml:space="preserve">Kas Kanpus                              </v>
          </cell>
          <cell r="O2311" t="str">
            <v xml:space="preserve">KAS KANPUS                              </v>
          </cell>
          <cell r="P2311" t="str">
            <v>Ya</v>
          </cell>
          <cell r="R2311" t="str">
            <v>Pending Approver</v>
          </cell>
          <cell r="S2311" t="str">
            <v>Belum TL</v>
          </cell>
          <cell r="T2311" t="str">
            <v>00394521 - Muhammad Hibbanduta</v>
          </cell>
          <cell r="U2311" t="str">
            <v>"-"</v>
          </cell>
        </row>
        <row r="2312">
          <cell r="A2312">
            <v>46265</v>
          </cell>
          <cell r="B2312" t="str">
            <v xml:space="preserve">MUKLIS SYAHPUTRA                        </v>
          </cell>
          <cell r="C2312" t="str">
            <v>MCDFI02</v>
          </cell>
          <cell r="D2312">
            <v>33601159811505</v>
          </cell>
          <cell r="E2312" t="str">
            <v>SEDANG</v>
          </cell>
          <cell r="F2312" t="str">
            <v>Tidak</v>
          </cell>
          <cell r="G2312" t="str">
            <v>Tidak</v>
          </cell>
          <cell r="H2312" t="str">
            <v>Tidak</v>
          </cell>
          <cell r="I2312" t="str">
            <v>Bandar Judol Depo</v>
          </cell>
          <cell r="J2312">
            <v>50</v>
          </cell>
          <cell r="K2312" t="str">
            <v>86,74,87</v>
          </cell>
          <cell r="L2312" t="str">
            <v>Judi Online</v>
          </cell>
          <cell r="M2312" t="str">
            <v xml:space="preserve">Kas Kanpus                              </v>
          </cell>
          <cell r="N2312" t="str">
            <v xml:space="preserve">Kas Kanpus                              </v>
          </cell>
          <cell r="O2312" t="str">
            <v xml:space="preserve">KAS KANPUS                              </v>
          </cell>
          <cell r="P2312" t="str">
            <v>Ya</v>
          </cell>
          <cell r="R2312" t="str">
            <v>Pending Approver</v>
          </cell>
          <cell r="S2312" t="str">
            <v>Belum TL</v>
          </cell>
          <cell r="T2312" t="str">
            <v>90170665 - Mutiara Ayuningtyas</v>
          </cell>
          <cell r="U2312" t="str">
            <v>"-"</v>
          </cell>
        </row>
        <row r="2313">
          <cell r="A2313">
            <v>46265</v>
          </cell>
          <cell r="B2313" t="str">
            <v xml:space="preserve">IPAN YUSRIJAL                           </v>
          </cell>
          <cell r="C2313" t="str">
            <v>IXZ7757</v>
          </cell>
          <cell r="D2313">
            <v>9201001628569</v>
          </cell>
          <cell r="E2313" t="str">
            <v>SEDANG</v>
          </cell>
          <cell r="F2313" t="str">
            <v>Tidak</v>
          </cell>
          <cell r="G2313" t="str">
            <v>Tidak</v>
          </cell>
          <cell r="H2313" t="str">
            <v>Tidak</v>
          </cell>
          <cell r="I2313" t="str">
            <v>Bandar Judol Withdrawal</v>
          </cell>
          <cell r="J2313">
            <v>50</v>
          </cell>
          <cell r="K2313" t="str">
            <v>86,88,87</v>
          </cell>
          <cell r="L2313" t="str">
            <v>Judi Online</v>
          </cell>
          <cell r="M2313" t="str">
            <v xml:space="preserve">Kas Kanpus                              </v>
          </cell>
          <cell r="N2313" t="str">
            <v xml:space="preserve">Kas Kanpus                              </v>
          </cell>
          <cell r="O2313" t="str">
            <v xml:space="preserve">KAS KANPUS                              </v>
          </cell>
          <cell r="P2313" t="str">
            <v>Ya</v>
          </cell>
          <cell r="R2313" t="str">
            <v>Pending Approver</v>
          </cell>
          <cell r="S2313" t="str">
            <v>Belum TL</v>
          </cell>
          <cell r="T2313" t="str">
            <v>00394521 - Muhammad Hibbanduta</v>
          </cell>
          <cell r="U2313" t="str">
            <v>"-"</v>
          </cell>
        </row>
        <row r="2314">
          <cell r="A2314">
            <v>46265</v>
          </cell>
          <cell r="B2314" t="str">
            <v xml:space="preserve">IYAN SOPIYAN                            </v>
          </cell>
          <cell r="C2314" t="str">
            <v>IBSW665</v>
          </cell>
          <cell r="D2314">
            <v>40701047155503</v>
          </cell>
          <cell r="F2314" t="str">
            <v>Tidak</v>
          </cell>
          <cell r="G2314" t="str">
            <v>Tidak</v>
          </cell>
          <cell r="H2314" t="str">
            <v>Tidak</v>
          </cell>
          <cell r="I2314" t="str">
            <v>Bandar Judol Withdrawal</v>
          </cell>
          <cell r="J2314">
            <v>35</v>
          </cell>
          <cell r="K2314" t="str">
            <v>86,88,87</v>
          </cell>
          <cell r="L2314" t="str">
            <v>Judi Online</v>
          </cell>
          <cell r="M2314" t="str">
            <v xml:space="preserve">Kas Kanpus                              </v>
          </cell>
          <cell r="N2314" t="str">
            <v xml:space="preserve">Kas Kanpus                              </v>
          </cell>
          <cell r="O2314" t="str">
            <v xml:space="preserve">KAS KANPUS                              </v>
          </cell>
          <cell r="P2314" t="str">
            <v>Ya</v>
          </cell>
          <cell r="R2314" t="str">
            <v>Pending Approver</v>
          </cell>
          <cell r="S2314" t="str">
            <v>Belum TL</v>
          </cell>
          <cell r="T2314" t="str">
            <v>00336949 - Mochammad Al Farabi</v>
          </cell>
          <cell r="U2314" t="str">
            <v>"-"</v>
          </cell>
        </row>
        <row r="2315">
          <cell r="A2315">
            <v>46265</v>
          </cell>
          <cell r="B2315" t="str">
            <v xml:space="preserve">HIMA JAYA                               </v>
          </cell>
          <cell r="C2315" t="str">
            <v>HY97934</v>
          </cell>
          <cell r="D2315">
            <v>12101120225500</v>
          </cell>
          <cell r="E2315" t="str">
            <v>SEDANG</v>
          </cell>
          <cell r="F2315" t="str">
            <v>Tidak</v>
          </cell>
          <cell r="G2315" t="str">
            <v>Tidak</v>
          </cell>
          <cell r="H2315" t="str">
            <v>Tidak</v>
          </cell>
          <cell r="I2315" t="str">
            <v>Bandar Judol Withdrawal</v>
          </cell>
          <cell r="J2315">
            <v>50</v>
          </cell>
          <cell r="K2315" t="str">
            <v>86,88,87</v>
          </cell>
          <cell r="L2315" t="str">
            <v>Judi Online</v>
          </cell>
          <cell r="M2315" t="str">
            <v xml:space="preserve">Kas Kanpus                              </v>
          </cell>
          <cell r="N2315" t="str">
            <v xml:space="preserve">Kas Kanpus                              </v>
          </cell>
          <cell r="O2315" t="str">
            <v xml:space="preserve">KAS KANPUS                              </v>
          </cell>
          <cell r="P2315" t="str">
            <v>Tidak</v>
          </cell>
          <cell r="R2315" t="str">
            <v>Pending Approver</v>
          </cell>
          <cell r="S2315" t="str">
            <v>Belum TL</v>
          </cell>
          <cell r="T2315" t="str">
            <v>90185537 - Moh.Khoerul Fajar Ar</v>
          </cell>
          <cell r="U2315" t="str">
            <v>"-"</v>
          </cell>
        </row>
        <row r="2316">
          <cell r="A2316">
            <v>46265</v>
          </cell>
          <cell r="B2316" t="str">
            <v xml:space="preserve">DEDEK SYAHRIANDI                        </v>
          </cell>
          <cell r="C2316" t="str">
            <v>DHZJ546</v>
          </cell>
          <cell r="D2316">
            <v>33601161858501</v>
          </cell>
          <cell r="F2316" t="str">
            <v>Tidak</v>
          </cell>
          <cell r="G2316" t="str">
            <v>Tidak</v>
          </cell>
          <cell r="H2316" t="str">
            <v>Tidak</v>
          </cell>
          <cell r="I2316" t="str">
            <v>Bandar Judol Withdrawal</v>
          </cell>
          <cell r="J2316">
            <v>35</v>
          </cell>
          <cell r="K2316" t="str">
            <v>86,88,87</v>
          </cell>
          <cell r="L2316" t="str">
            <v>Judi Online</v>
          </cell>
          <cell r="M2316" t="str">
            <v xml:space="preserve">Kas Kanpus                              </v>
          </cell>
          <cell r="N2316" t="str">
            <v xml:space="preserve">Kas Kanpus                              </v>
          </cell>
          <cell r="O2316" t="str">
            <v xml:space="preserve">KAS KANPUS                              </v>
          </cell>
          <cell r="P2316" t="str">
            <v>Ya</v>
          </cell>
          <cell r="R2316" t="str">
            <v>Pending Approver</v>
          </cell>
          <cell r="S2316" t="str">
            <v>Belum TL</v>
          </cell>
          <cell r="T2316" t="str">
            <v>00394520 - Frida Akbar Rani</v>
          </cell>
          <cell r="U2316" t="str">
            <v>"-"</v>
          </cell>
        </row>
        <row r="2317">
          <cell r="A2317">
            <v>46265</v>
          </cell>
          <cell r="B2317" t="str">
            <v xml:space="preserve">ELGA YULIANA WAU                        </v>
          </cell>
          <cell r="C2317" t="str">
            <v>EUU1461</v>
          </cell>
          <cell r="D2317">
            <v>5301148941503</v>
          </cell>
          <cell r="E2317" t="str">
            <v>SEDANG</v>
          </cell>
          <cell r="F2317" t="str">
            <v>Tidak</v>
          </cell>
          <cell r="G2317" t="str">
            <v>Tidak</v>
          </cell>
          <cell r="H2317" t="str">
            <v>Tidak</v>
          </cell>
          <cell r="I2317" t="str">
            <v>Bandar Judol Withdrawal</v>
          </cell>
          <cell r="J2317">
            <v>50</v>
          </cell>
          <cell r="K2317" t="str">
            <v>86,88,87</v>
          </cell>
          <cell r="L2317" t="str">
            <v>Judi Online</v>
          </cell>
          <cell r="M2317" t="str">
            <v xml:space="preserve">Kas Kanpus                              </v>
          </cell>
          <cell r="N2317" t="str">
            <v xml:space="preserve">Kas Kanpus                              </v>
          </cell>
          <cell r="O2317" t="str">
            <v xml:space="preserve">KAS KANPUS                              </v>
          </cell>
          <cell r="P2317" t="str">
            <v>Ya</v>
          </cell>
          <cell r="R2317" t="str">
            <v>Pending Approver</v>
          </cell>
          <cell r="S2317" t="str">
            <v>Belum TL</v>
          </cell>
          <cell r="T2317" t="str">
            <v>90185538 - Muhammad Fahikal Auz</v>
          </cell>
          <cell r="U2317" t="str">
            <v>"-"</v>
          </cell>
        </row>
        <row r="2318">
          <cell r="A2318">
            <v>46265</v>
          </cell>
          <cell r="B2318" t="str">
            <v xml:space="preserve">E SOLEHUDIN                             </v>
          </cell>
          <cell r="C2318" t="str">
            <v>EIX6132</v>
          </cell>
          <cell r="D2318">
            <v>406101012858534</v>
          </cell>
          <cell r="E2318" t="str">
            <v>SEDANG</v>
          </cell>
          <cell r="F2318" t="str">
            <v>Ya</v>
          </cell>
          <cell r="G2318" t="str">
            <v>Tidak</v>
          </cell>
          <cell r="H2318" t="str">
            <v>Tidak</v>
          </cell>
          <cell r="I2318" t="str">
            <v>Bandar Judol Depo</v>
          </cell>
          <cell r="J2318">
            <v>50</v>
          </cell>
          <cell r="K2318" t="str">
            <v>86,74,87</v>
          </cell>
          <cell r="L2318" t="str">
            <v>Judi Online</v>
          </cell>
          <cell r="M2318" t="str">
            <v xml:space="preserve">Kas Kanpus                              </v>
          </cell>
          <cell r="N2318" t="str">
            <v xml:space="preserve">Kas Kanpus                              </v>
          </cell>
          <cell r="O2318" t="str">
            <v xml:space="preserve">KAS KANPUS                              </v>
          </cell>
          <cell r="P2318" t="str">
            <v>Ya</v>
          </cell>
          <cell r="R2318" t="str">
            <v>Pending Approver</v>
          </cell>
          <cell r="S2318" t="str">
            <v>Belum TL</v>
          </cell>
          <cell r="T2318" t="str">
            <v>90171841 - Rifqi Aziz</v>
          </cell>
          <cell r="U2318" t="str">
            <v>"-"</v>
          </cell>
        </row>
        <row r="2319">
          <cell r="A2319">
            <v>46265</v>
          </cell>
          <cell r="B2319" t="str">
            <v xml:space="preserve">ERIADI                                  </v>
          </cell>
          <cell r="C2319" t="str">
            <v>EZI7019</v>
          </cell>
          <cell r="D2319">
            <v>109001047941500</v>
          </cell>
          <cell r="F2319" t="str">
            <v>Tidak</v>
          </cell>
          <cell r="G2319" t="str">
            <v>Tidak</v>
          </cell>
          <cell r="H2319" t="str">
            <v>Tidak</v>
          </cell>
          <cell r="I2319" t="str">
            <v>Bandar Judol Withdrawal</v>
          </cell>
          <cell r="J2319">
            <v>35</v>
          </cell>
          <cell r="K2319" t="str">
            <v>86,88,87</v>
          </cell>
          <cell r="L2319" t="str">
            <v>Judi Online</v>
          </cell>
          <cell r="M2319" t="str">
            <v xml:space="preserve">Kas Kanpus                              </v>
          </cell>
          <cell r="N2319" t="str">
            <v xml:space="preserve">Kas Kanpus                              </v>
          </cell>
          <cell r="O2319" t="str">
            <v xml:space="preserve">KAS KANPUS                              </v>
          </cell>
          <cell r="P2319" t="str">
            <v>Ya</v>
          </cell>
          <cell r="R2319" t="str">
            <v>Pending Approver</v>
          </cell>
          <cell r="S2319" t="str">
            <v>Belum TL</v>
          </cell>
          <cell r="T2319" t="str">
            <v>90150130 - Intan Aida Pratiwi</v>
          </cell>
          <cell r="U2319" t="str">
            <v>"-"</v>
          </cell>
        </row>
        <row r="2320">
          <cell r="A2320">
            <v>46265</v>
          </cell>
          <cell r="B2320" t="str">
            <v xml:space="preserve">ENDANG PUJIANI                          </v>
          </cell>
          <cell r="C2320" t="str">
            <v>EYW0851</v>
          </cell>
          <cell r="D2320">
            <v>33601003980561</v>
          </cell>
          <cell r="F2320" t="str">
            <v>Tidak</v>
          </cell>
          <cell r="G2320" t="str">
            <v>Tidak</v>
          </cell>
          <cell r="H2320" t="str">
            <v>Tidak</v>
          </cell>
          <cell r="I2320" t="str">
            <v>Bandar Judol Depo</v>
          </cell>
          <cell r="J2320">
            <v>35</v>
          </cell>
          <cell r="K2320" t="str">
            <v>86,74,87</v>
          </cell>
          <cell r="L2320" t="str">
            <v>Judi Online</v>
          </cell>
          <cell r="M2320" t="str">
            <v xml:space="preserve">Kas Kanpus                              </v>
          </cell>
          <cell r="N2320" t="str">
            <v xml:space="preserve">Kas Kanpus                              </v>
          </cell>
          <cell r="O2320" t="str">
            <v xml:space="preserve">KAS KANPUS                              </v>
          </cell>
          <cell r="P2320" t="str">
            <v>Ya</v>
          </cell>
          <cell r="R2320" t="str">
            <v>Pending Approver</v>
          </cell>
          <cell r="S2320" t="str">
            <v>Belum TL</v>
          </cell>
          <cell r="T2320" t="str">
            <v>90171841 - Rifqi Aziz</v>
          </cell>
          <cell r="U2320" t="str">
            <v>"-"</v>
          </cell>
        </row>
        <row r="2321">
          <cell r="A2321">
            <v>46265</v>
          </cell>
          <cell r="B2321" t="str">
            <v xml:space="preserve">FEBRIYANSYAH                            </v>
          </cell>
          <cell r="C2321" t="str">
            <v>FSL6138</v>
          </cell>
          <cell r="D2321">
            <v>529701008099500</v>
          </cell>
          <cell r="F2321" t="str">
            <v>Tidak</v>
          </cell>
          <cell r="G2321" t="str">
            <v>Tidak</v>
          </cell>
          <cell r="H2321" t="str">
            <v>Tidak</v>
          </cell>
          <cell r="I2321" t="str">
            <v>Bandar Judol Withdrawal</v>
          </cell>
          <cell r="J2321">
            <v>35</v>
          </cell>
          <cell r="K2321" t="str">
            <v>86,88,87</v>
          </cell>
          <cell r="L2321" t="str">
            <v>Judi Online</v>
          </cell>
          <cell r="M2321" t="str">
            <v xml:space="preserve">Kas Kanpus                              </v>
          </cell>
          <cell r="N2321" t="str">
            <v xml:space="preserve">Kas Kanpus                              </v>
          </cell>
          <cell r="O2321" t="str">
            <v xml:space="preserve">KAS KANPUS                              </v>
          </cell>
          <cell r="P2321" t="str">
            <v>Ya</v>
          </cell>
          <cell r="R2321" t="str">
            <v>Pending Approver</v>
          </cell>
          <cell r="S2321" t="str">
            <v>Belum TL</v>
          </cell>
          <cell r="T2321" t="str">
            <v>90185537 - Moh.Khoerul Fajar Ar</v>
          </cell>
          <cell r="U2321" t="str">
            <v>"-"</v>
          </cell>
        </row>
        <row r="2322">
          <cell r="A2322">
            <v>46265</v>
          </cell>
          <cell r="B2322" t="str">
            <v xml:space="preserve">DIMAS AJI PANGESTU                      </v>
          </cell>
          <cell r="C2322" t="str">
            <v>DGOY622</v>
          </cell>
          <cell r="D2322">
            <v>529001015893507</v>
          </cell>
          <cell r="F2322" t="str">
            <v>Tidak</v>
          </cell>
          <cell r="G2322" t="str">
            <v>Tidak</v>
          </cell>
          <cell r="H2322" t="str">
            <v>Tidak</v>
          </cell>
          <cell r="I2322" t="str">
            <v>Bandar Judol Withdrawal</v>
          </cell>
          <cell r="J2322">
            <v>35</v>
          </cell>
          <cell r="K2322" t="str">
            <v>86,88,87</v>
          </cell>
          <cell r="L2322" t="str">
            <v>Judi Online</v>
          </cell>
          <cell r="M2322" t="str">
            <v xml:space="preserve">Kas Kanpus                              </v>
          </cell>
          <cell r="N2322" t="str">
            <v xml:space="preserve">Kas Kanpus                              </v>
          </cell>
          <cell r="O2322" t="str">
            <v xml:space="preserve">KAS KANPUS                              </v>
          </cell>
          <cell r="P2322" t="str">
            <v>Ya</v>
          </cell>
          <cell r="R2322" t="str">
            <v>Pending Approver</v>
          </cell>
          <cell r="S2322" t="str">
            <v>Belum TL</v>
          </cell>
          <cell r="T2322" t="str">
            <v>90186796 - Devito Arya Wiradila</v>
          </cell>
          <cell r="U2322" t="str">
            <v>"-"</v>
          </cell>
        </row>
        <row r="2323">
          <cell r="A2323">
            <v>46265</v>
          </cell>
          <cell r="B2323" t="str">
            <v xml:space="preserve">DERI SEPTIADI                           </v>
          </cell>
          <cell r="C2323" t="str">
            <v>DEZM574</v>
          </cell>
          <cell r="D2323">
            <v>746301029184537</v>
          </cell>
          <cell r="F2323" t="str">
            <v>Tidak</v>
          </cell>
          <cell r="G2323" t="str">
            <v>Tidak</v>
          </cell>
          <cell r="H2323" t="str">
            <v>Tidak</v>
          </cell>
          <cell r="I2323" t="str">
            <v>Bandar Judol Withdrawal</v>
          </cell>
          <cell r="J2323">
            <v>35</v>
          </cell>
          <cell r="K2323" t="str">
            <v>86,88,87</v>
          </cell>
          <cell r="L2323" t="str">
            <v>Judi Online</v>
          </cell>
          <cell r="M2323" t="str">
            <v xml:space="preserve">Kas Kanpus                              </v>
          </cell>
          <cell r="N2323" t="str">
            <v xml:space="preserve">Kas Kanpus                              </v>
          </cell>
          <cell r="O2323" t="str">
            <v xml:space="preserve">KAS KANPUS                              </v>
          </cell>
          <cell r="P2323" t="str">
            <v>Tidak</v>
          </cell>
          <cell r="R2323" t="str">
            <v>Pending Approver</v>
          </cell>
          <cell r="S2323" t="str">
            <v>Belum TL</v>
          </cell>
          <cell r="T2323" t="str">
            <v>00394521 - Muhammad Hibbanduta</v>
          </cell>
          <cell r="U2323" t="str">
            <v>"-"</v>
          </cell>
        </row>
        <row r="2324">
          <cell r="A2324">
            <v>46265</v>
          </cell>
          <cell r="B2324" t="str">
            <v xml:space="preserve">DANA MAS MULIA                          </v>
          </cell>
          <cell r="C2324" t="str">
            <v>DEQV783</v>
          </cell>
          <cell r="D2324">
            <v>1701004963304</v>
          </cell>
          <cell r="E2324" t="str">
            <v>SEDANG</v>
          </cell>
          <cell r="F2324" t="str">
            <v>Tidak</v>
          </cell>
          <cell r="G2324" t="str">
            <v>Tidak</v>
          </cell>
          <cell r="H2324" t="str">
            <v>Tidak</v>
          </cell>
          <cell r="I2324" t="str">
            <v>Perpajakan</v>
          </cell>
          <cell r="J2324">
            <v>48</v>
          </cell>
          <cell r="K2324">
            <v>41</v>
          </cell>
          <cell r="L2324" t="str">
            <v>Perpajakan</v>
          </cell>
          <cell r="M2324" t="str">
            <v xml:space="preserve">KC Denpasar Gajah Mada                  </v>
          </cell>
          <cell r="N2324" t="str">
            <v xml:space="preserve">KC Denpasar Gajah Mada                  </v>
          </cell>
          <cell r="O2324" t="str">
            <v xml:space="preserve">Denpasar                                </v>
          </cell>
          <cell r="P2324" t="str">
            <v>Tidak</v>
          </cell>
          <cell r="R2324" t="str">
            <v>Pending Approver</v>
          </cell>
          <cell r="S2324" t="str">
            <v>Belum TL</v>
          </cell>
          <cell r="T2324" t="str">
            <v>90150130 - Intan Aida Pratiwi</v>
          </cell>
          <cell r="U2324" t="str">
            <v>"-"</v>
          </cell>
        </row>
        <row r="2325">
          <cell r="A2325">
            <v>46265</v>
          </cell>
          <cell r="B2325" t="str">
            <v xml:space="preserve">DAVID HERFRIK S                         </v>
          </cell>
          <cell r="C2325" t="str">
            <v>DEJG507</v>
          </cell>
          <cell r="D2325">
            <v>763401000016562</v>
          </cell>
          <cell r="E2325" t="str">
            <v>SEDANG</v>
          </cell>
          <cell r="F2325" t="str">
            <v>Tidak</v>
          </cell>
          <cell r="G2325" t="str">
            <v>Tidak</v>
          </cell>
          <cell r="H2325" t="str">
            <v>Tidak</v>
          </cell>
          <cell r="I2325" t="str">
            <v>Bandar Judol Withdrawal</v>
          </cell>
          <cell r="J2325">
            <v>50</v>
          </cell>
          <cell r="K2325" t="str">
            <v>86,88,87</v>
          </cell>
          <cell r="L2325" t="str">
            <v>Judi Online</v>
          </cell>
          <cell r="M2325" t="str">
            <v xml:space="preserve">Kas Kanpus                              </v>
          </cell>
          <cell r="N2325" t="str">
            <v xml:space="preserve">Kas Kanpus                              </v>
          </cell>
          <cell r="O2325" t="str">
            <v xml:space="preserve">KAS KANPUS                              </v>
          </cell>
          <cell r="P2325" t="str">
            <v>Ya</v>
          </cell>
          <cell r="R2325" t="str">
            <v>Pending Approver</v>
          </cell>
          <cell r="S2325" t="str">
            <v>Belum TL</v>
          </cell>
          <cell r="T2325" t="str">
            <v>90185538 - Muhammad Fahikal Auz</v>
          </cell>
          <cell r="U2325" t="str">
            <v>"-"</v>
          </cell>
        </row>
        <row r="2326">
          <cell r="A2326">
            <v>46265</v>
          </cell>
          <cell r="B2326" t="str">
            <v xml:space="preserve">DESI MAYANG SARI                        </v>
          </cell>
          <cell r="C2326" t="str">
            <v>DBK4679</v>
          </cell>
          <cell r="D2326">
            <v>763401000025561</v>
          </cell>
          <cell r="E2326" t="str">
            <v>RENDAH</v>
          </cell>
          <cell r="F2326" t="str">
            <v>Tidak</v>
          </cell>
          <cell r="G2326" t="str">
            <v>Tidak</v>
          </cell>
          <cell r="H2326" t="str">
            <v>Tidak</v>
          </cell>
          <cell r="I2326" t="str">
            <v>Bandar Judol Withdrawal</v>
          </cell>
          <cell r="J2326">
            <v>35</v>
          </cell>
          <cell r="K2326" t="str">
            <v>86,88,87</v>
          </cell>
          <cell r="L2326" t="str">
            <v>Judi Online</v>
          </cell>
          <cell r="M2326" t="str">
            <v xml:space="preserve">Kas Kanpus                              </v>
          </cell>
          <cell r="N2326" t="str">
            <v xml:space="preserve">Kas Kanpus                              </v>
          </cell>
          <cell r="O2326" t="str">
            <v xml:space="preserve">KAS KANPUS                              </v>
          </cell>
          <cell r="P2326" t="str">
            <v>Ya</v>
          </cell>
          <cell r="R2326" t="str">
            <v>Pending Approver</v>
          </cell>
          <cell r="S2326" t="str">
            <v>Belum TL</v>
          </cell>
          <cell r="T2326" t="str">
            <v>90185538 - Muhammad Fahikal Auz</v>
          </cell>
          <cell r="U2326" t="str">
            <v>"-"</v>
          </cell>
        </row>
        <row r="2327">
          <cell r="A2327">
            <v>46265</v>
          </cell>
          <cell r="B2327" t="str">
            <v xml:space="preserve">CINDI ANDREANI                          </v>
          </cell>
          <cell r="C2327" t="str">
            <v>CY59017</v>
          </cell>
          <cell r="D2327">
            <v>33601161859507</v>
          </cell>
          <cell r="F2327" t="str">
            <v>Tidak</v>
          </cell>
          <cell r="G2327" t="str">
            <v>Tidak</v>
          </cell>
          <cell r="H2327" t="str">
            <v>Tidak</v>
          </cell>
          <cell r="I2327" t="str">
            <v>Bandar Judol Depo</v>
          </cell>
          <cell r="J2327">
            <v>35</v>
          </cell>
          <cell r="K2327" t="str">
            <v>86,74,87</v>
          </cell>
          <cell r="L2327" t="str">
            <v>Judi Online</v>
          </cell>
          <cell r="M2327" t="str">
            <v xml:space="preserve">Kas Kanpus                              </v>
          </cell>
          <cell r="N2327" t="str">
            <v xml:space="preserve">Kas Kanpus                              </v>
          </cell>
          <cell r="O2327" t="str">
            <v xml:space="preserve">KAS KANPUS                              </v>
          </cell>
          <cell r="P2327" t="str">
            <v>Ya</v>
          </cell>
          <cell r="R2327" t="str">
            <v>Pending Approver</v>
          </cell>
          <cell r="S2327" t="str">
            <v>Belum TL</v>
          </cell>
          <cell r="T2327" t="str">
            <v>00394521 - Muhammad Hibbanduta</v>
          </cell>
          <cell r="U2327" t="str">
            <v>"-"</v>
          </cell>
        </row>
        <row r="2328">
          <cell r="A2328">
            <v>46265</v>
          </cell>
          <cell r="B2328" t="str">
            <v xml:space="preserve">AHMAD FAUZI                             </v>
          </cell>
          <cell r="C2328" t="str">
            <v>ADUHV01</v>
          </cell>
          <cell r="D2328">
            <v>33601036124532</v>
          </cell>
          <cell r="F2328" t="str">
            <v>Tidak</v>
          </cell>
          <cell r="G2328" t="str">
            <v>Tidak</v>
          </cell>
          <cell r="I2328" t="str">
            <v>Jual Beli Rekening - E channel Trx</v>
          </cell>
          <cell r="J2328">
            <v>33</v>
          </cell>
          <cell r="K2328">
            <v>113</v>
          </cell>
          <cell r="L2328" t="str">
            <v>Narkotika/Judi Online/Penipuan</v>
          </cell>
          <cell r="M2328" t="str">
            <v xml:space="preserve">KC Medan Iskandar Muda                  </v>
          </cell>
          <cell r="N2328" t="str">
            <v xml:space="preserve">KC Medan Iskandar Muda                  </v>
          </cell>
          <cell r="O2328" t="str">
            <v xml:space="preserve">Medan                                   </v>
          </cell>
          <cell r="P2328" t="str">
            <v>Ya</v>
          </cell>
          <cell r="R2328" t="str">
            <v>Pending Approver</v>
          </cell>
          <cell r="S2328" t="str">
            <v>Belum TL</v>
          </cell>
          <cell r="U2328" t="str">
            <v>"-"</v>
          </cell>
        </row>
        <row r="2329">
          <cell r="A2329">
            <v>46265</v>
          </cell>
          <cell r="B2329" t="str">
            <v xml:space="preserve">ALFITO ALFANDI                          </v>
          </cell>
          <cell r="C2329" t="str">
            <v>ACSTK64</v>
          </cell>
          <cell r="D2329">
            <v>5301006405560</v>
          </cell>
          <cell r="F2329" t="str">
            <v>Tidak</v>
          </cell>
          <cell r="G2329" t="str">
            <v>Tidak</v>
          </cell>
          <cell r="H2329" t="str">
            <v>Tidak</v>
          </cell>
          <cell r="I2329" t="str">
            <v>Bandar Judol Depo</v>
          </cell>
          <cell r="J2329">
            <v>35</v>
          </cell>
          <cell r="K2329" t="str">
            <v>86,74,87</v>
          </cell>
          <cell r="L2329" t="str">
            <v>Judi Online</v>
          </cell>
          <cell r="M2329" t="str">
            <v xml:space="preserve">Kas Kanpus                              </v>
          </cell>
          <cell r="N2329" t="str">
            <v xml:space="preserve">Kas Kanpus                              </v>
          </cell>
          <cell r="O2329" t="str">
            <v xml:space="preserve">KAS KANPUS                              </v>
          </cell>
          <cell r="P2329" t="str">
            <v>Ya</v>
          </cell>
          <cell r="R2329" t="str">
            <v>Pending Approver</v>
          </cell>
          <cell r="S2329" t="str">
            <v>Belum TL</v>
          </cell>
          <cell r="T2329" t="str">
            <v>90150130 - Intan Aida Pratiwi</v>
          </cell>
          <cell r="U2329" t="str">
            <v>"-"</v>
          </cell>
        </row>
        <row r="2330">
          <cell r="A2330">
            <v>46265</v>
          </cell>
          <cell r="B2330" t="str">
            <v xml:space="preserve">ADITIYA ANUGRAH NOVIANTO                </v>
          </cell>
          <cell r="C2330" t="str">
            <v>AIIK358</v>
          </cell>
          <cell r="D2330">
            <v>1701146082501</v>
          </cell>
          <cell r="E2330" t="str">
            <v>SEDANG</v>
          </cell>
          <cell r="F2330" t="str">
            <v>Tidak</v>
          </cell>
          <cell r="G2330" t="str">
            <v>Tidak</v>
          </cell>
          <cell r="H2330" t="str">
            <v>Tidak</v>
          </cell>
          <cell r="I2330" t="str">
            <v>Bandar Judol Withdrawal</v>
          </cell>
          <cell r="J2330">
            <v>50</v>
          </cell>
          <cell r="K2330" t="str">
            <v>86,88,87</v>
          </cell>
          <cell r="L2330" t="str">
            <v>Judi Online</v>
          </cell>
          <cell r="M2330" t="str">
            <v xml:space="preserve">Kas Kanpus                              </v>
          </cell>
          <cell r="N2330" t="str">
            <v xml:space="preserve">Kas Kanpus                              </v>
          </cell>
          <cell r="O2330" t="str">
            <v xml:space="preserve">KAS KANPUS                              </v>
          </cell>
          <cell r="P2330" t="str">
            <v>Ya</v>
          </cell>
          <cell r="R2330" t="str">
            <v>Pending Approver</v>
          </cell>
          <cell r="S2330" t="str">
            <v>Belum TL</v>
          </cell>
          <cell r="T2330" t="str">
            <v>90171841 - Rifqi Aziz</v>
          </cell>
          <cell r="U2330" t="str">
            <v>"-"</v>
          </cell>
        </row>
        <row r="2331">
          <cell r="A2331">
            <v>46265</v>
          </cell>
          <cell r="B2331" t="str">
            <v xml:space="preserve">AGUS TIARWAN PUTRA                      </v>
          </cell>
          <cell r="C2331" t="str">
            <v>AFXTG77</v>
          </cell>
          <cell r="D2331">
            <v>33601162358504</v>
          </cell>
          <cell r="F2331" t="str">
            <v>Tidak</v>
          </cell>
          <cell r="G2331" t="str">
            <v>Tidak</v>
          </cell>
          <cell r="H2331" t="str">
            <v>Tidak</v>
          </cell>
          <cell r="I2331" t="str">
            <v>Bandar Judol Withdrawal</v>
          </cell>
          <cell r="J2331">
            <v>35</v>
          </cell>
          <cell r="K2331" t="str">
            <v>86,88,87</v>
          </cell>
          <cell r="L2331" t="str">
            <v>Judi Online</v>
          </cell>
          <cell r="M2331" t="str">
            <v xml:space="preserve">Kas Kanpus                              </v>
          </cell>
          <cell r="N2331" t="str">
            <v xml:space="preserve">Kas Kanpus                              </v>
          </cell>
          <cell r="O2331" t="str">
            <v xml:space="preserve">KAS KANPUS                              </v>
          </cell>
          <cell r="P2331" t="str">
            <v>Ya</v>
          </cell>
          <cell r="R2331" t="str">
            <v>Pending Approver</v>
          </cell>
          <cell r="S2331" t="str">
            <v>Belum TL</v>
          </cell>
          <cell r="T2331" t="str">
            <v>90186790 - Muhammad Alfin Farha</v>
          </cell>
          <cell r="U2331" t="str">
            <v>"-"</v>
          </cell>
        </row>
        <row r="2332">
          <cell r="A2332">
            <v>46265</v>
          </cell>
          <cell r="B2332" t="str">
            <v xml:space="preserve">CV ASTRO NAUTICS CORP                   </v>
          </cell>
          <cell r="C2332" t="str">
            <v>CX99629</v>
          </cell>
          <cell r="D2332">
            <v>18301505050568</v>
          </cell>
          <cell r="F2332" t="str">
            <v>Tidak</v>
          </cell>
          <cell r="G2332" t="str">
            <v>Tidak</v>
          </cell>
          <cell r="H2332" t="str">
            <v>Tidak</v>
          </cell>
          <cell r="I2332" t="str">
            <v>Business Email Compromise (BEC)</v>
          </cell>
          <cell r="J2332">
            <v>32</v>
          </cell>
          <cell r="K2332">
            <v>13</v>
          </cell>
          <cell r="L2332" t="str">
            <v>Penipuan</v>
          </cell>
          <cell r="M2332" t="str">
            <v xml:space="preserve">KC Tarakan                              </v>
          </cell>
          <cell r="N2332" t="str">
            <v xml:space="preserve">KC Tarakan                              </v>
          </cell>
          <cell r="O2332" t="str">
            <v xml:space="preserve">Banjarmasin                             </v>
          </cell>
          <cell r="P2332" t="str">
            <v>Tidak</v>
          </cell>
          <cell r="Q2332" t="str">
            <v>Tidak</v>
          </cell>
          <cell r="R2332" t="str">
            <v>Pending Approver</v>
          </cell>
          <cell r="S2332" t="str">
            <v>Pending Checker</v>
          </cell>
          <cell r="T2332" t="str">
            <v>00394520 - Frida Akbar Rani</v>
          </cell>
          <cell r="U2332" t="str">
            <v>"-"</v>
          </cell>
        </row>
        <row r="2333">
          <cell r="A2333">
            <v>46265</v>
          </cell>
          <cell r="B2333" t="str">
            <v xml:space="preserve">FARID WAZDI                             </v>
          </cell>
          <cell r="C2333" t="str">
            <v>FOT8078</v>
          </cell>
          <cell r="D2333">
            <v>33601036111539</v>
          </cell>
          <cell r="F2333" t="str">
            <v>Tidak</v>
          </cell>
          <cell r="G2333" t="str">
            <v>Tidak</v>
          </cell>
          <cell r="I2333" t="str">
            <v>Jual Beli Rekening - E channel Trx</v>
          </cell>
          <cell r="J2333">
            <v>33</v>
          </cell>
          <cell r="K2333">
            <v>113</v>
          </cell>
          <cell r="L2333" t="str">
            <v>Narkotika/Judi Online/Penipuan</v>
          </cell>
          <cell r="M2333" t="str">
            <v xml:space="preserve">KC Medan Iskandar Muda                  </v>
          </cell>
          <cell r="N2333" t="str">
            <v xml:space="preserve">KC Medan Iskandar Muda                  </v>
          </cell>
          <cell r="O2333" t="str">
            <v xml:space="preserve">Medan                                   </v>
          </cell>
          <cell r="P2333" t="str">
            <v>Ya</v>
          </cell>
          <cell r="Q2333" t="str">
            <v>Ya</v>
          </cell>
          <cell r="R2333" t="str">
            <v>Pending Approver</v>
          </cell>
          <cell r="S2333" t="str">
            <v>Pending Checker</v>
          </cell>
          <cell r="U2333" t="str">
            <v>"-"</v>
          </cell>
        </row>
        <row r="2334">
          <cell r="A2334">
            <v>46265</v>
          </cell>
          <cell r="B2334" t="str">
            <v xml:space="preserve">TENGKU MAHYUDI                          </v>
          </cell>
          <cell r="C2334" t="str">
            <v>TK91847</v>
          </cell>
          <cell r="D2334">
            <v>5301177595507</v>
          </cell>
          <cell r="F2334" t="str">
            <v>Tidak</v>
          </cell>
          <cell r="G2334" t="str">
            <v>Tidak</v>
          </cell>
          <cell r="I2334" t="str">
            <v>Jual Beli Rekening - E channel Trx</v>
          </cell>
          <cell r="J2334">
            <v>33</v>
          </cell>
          <cell r="K2334">
            <v>113</v>
          </cell>
          <cell r="L2334" t="str">
            <v>Narkotika/Judi Online/Penipuan</v>
          </cell>
          <cell r="M2334" t="str">
            <v xml:space="preserve">KC Medan Putri Hijau                    </v>
          </cell>
          <cell r="N2334" t="str">
            <v xml:space="preserve">KC Medan Putri Hijau                    </v>
          </cell>
          <cell r="O2334" t="str">
            <v xml:space="preserve">Medan                                   </v>
          </cell>
          <cell r="P2334" t="str">
            <v>Ya</v>
          </cell>
          <cell r="Q2334" t="str">
            <v>Ya</v>
          </cell>
          <cell r="R2334" t="str">
            <v>Pending Approver</v>
          </cell>
          <cell r="S2334" t="str">
            <v>Pending Checker</v>
          </cell>
          <cell r="U2334" t="str">
            <v>"-"</v>
          </cell>
        </row>
        <row r="2335">
          <cell r="A2335">
            <v>46265</v>
          </cell>
          <cell r="B2335" t="str">
            <v xml:space="preserve">SITI HODIJAH                            </v>
          </cell>
          <cell r="C2335" t="str">
            <v>SOHZ324</v>
          </cell>
          <cell r="D2335">
            <v>16301003895563</v>
          </cell>
          <cell r="E2335" t="str">
            <v>SEDANG</v>
          </cell>
          <cell r="F2335" t="str">
            <v>Tidak</v>
          </cell>
          <cell r="G2335" t="str">
            <v>Tidak</v>
          </cell>
          <cell r="H2335" t="str">
            <v>Tidak</v>
          </cell>
          <cell r="I2335" t="str">
            <v>Pencurian Rekening</v>
          </cell>
          <cell r="J2335">
            <v>49</v>
          </cell>
          <cell r="K2335">
            <v>59</v>
          </cell>
          <cell r="L2335" t="str">
            <v>Perbankan</v>
          </cell>
          <cell r="M2335" t="str">
            <v xml:space="preserve">KC Sampit                               </v>
          </cell>
          <cell r="N2335" t="str">
            <v xml:space="preserve">KC Sampit                               </v>
          </cell>
          <cell r="O2335" t="str">
            <v xml:space="preserve">Banjarmasin                             </v>
          </cell>
          <cell r="P2335" t="str">
            <v>Tidak</v>
          </cell>
          <cell r="Q2335" t="str">
            <v>Tidak</v>
          </cell>
          <cell r="R2335" t="str">
            <v>Pending Approver</v>
          </cell>
          <cell r="S2335" t="str">
            <v>Pending Checker</v>
          </cell>
          <cell r="T2335" t="str">
            <v>90186796 - Devito Arya Wiradila</v>
          </cell>
          <cell r="U2335" t="str">
            <v>"-"</v>
          </cell>
        </row>
        <row r="2336">
          <cell r="A2336">
            <v>46265</v>
          </cell>
          <cell r="B2336" t="str">
            <v xml:space="preserve">PT SYAHIR JAYA AGROTANI                 </v>
          </cell>
          <cell r="C2336" t="str">
            <v>PMJ3615</v>
          </cell>
          <cell r="D2336">
            <v>56301002168567</v>
          </cell>
          <cell r="E2336" t="str">
            <v>SEDANG</v>
          </cell>
          <cell r="F2336" t="str">
            <v>Tidak</v>
          </cell>
          <cell r="G2336" t="str">
            <v>Tidak</v>
          </cell>
          <cell r="H2336" t="str">
            <v>Tidak</v>
          </cell>
          <cell r="I2336" t="str">
            <v>Perpajakan</v>
          </cell>
          <cell r="J2336">
            <v>48</v>
          </cell>
          <cell r="K2336">
            <v>41</v>
          </cell>
          <cell r="L2336" t="str">
            <v>Perpajakan</v>
          </cell>
          <cell r="M2336" t="str">
            <v xml:space="preserve">KC Sangatta                             </v>
          </cell>
          <cell r="N2336" t="str">
            <v xml:space="preserve">KC Sangatta                             </v>
          </cell>
          <cell r="O2336" t="str">
            <v xml:space="preserve">Banjarmasin                             </v>
          </cell>
          <cell r="P2336" t="str">
            <v>Tidak</v>
          </cell>
          <cell r="Q2336" t="str">
            <v>Tidak</v>
          </cell>
          <cell r="R2336" t="str">
            <v>Pending Approver</v>
          </cell>
          <cell r="S2336" t="str">
            <v>Pending Checker</v>
          </cell>
          <cell r="T2336" t="str">
            <v>90150130 - Intan Aida Pratiwi</v>
          </cell>
          <cell r="U2336" t="str">
            <v>"-"</v>
          </cell>
        </row>
        <row r="2337">
          <cell r="A2337">
            <v>46265</v>
          </cell>
          <cell r="B2337" t="str">
            <v xml:space="preserve">PT SINARNIAGA SEJAHTERA                 </v>
          </cell>
          <cell r="C2337" t="str">
            <v>PU95219</v>
          </cell>
          <cell r="D2337">
            <v>115301000034308</v>
          </cell>
          <cell r="E2337" t="str">
            <v>TINGGI</v>
          </cell>
          <cell r="F2337" t="str">
            <v>Tidak</v>
          </cell>
          <cell r="G2337" t="str">
            <v>Tidak</v>
          </cell>
          <cell r="H2337" t="str">
            <v>Tidak</v>
          </cell>
          <cell r="I2337" t="str">
            <v>Perpajakan</v>
          </cell>
          <cell r="J2337">
            <v>65</v>
          </cell>
          <cell r="K2337">
            <v>1.33</v>
          </cell>
          <cell r="L2337" t="str">
            <v>Perpajakan</v>
          </cell>
          <cell r="M2337" t="str">
            <v xml:space="preserve">KCP SULTAN AGUNG                        </v>
          </cell>
          <cell r="N2337" t="str">
            <v xml:space="preserve">KC Bekasi Harapan Indah                 </v>
          </cell>
          <cell r="O2337" t="str">
            <v xml:space="preserve">DKI2                                    </v>
          </cell>
          <cell r="P2337" t="str">
            <v>Tidak</v>
          </cell>
          <cell r="Q2337" t="str">
            <v>Tidak</v>
          </cell>
          <cell r="R2337" t="str">
            <v>Pending Approver</v>
          </cell>
          <cell r="S2337" t="str">
            <v>Pending Checker</v>
          </cell>
          <cell r="T2337" t="str">
            <v>90171841 - Rifqi Aziz</v>
          </cell>
          <cell r="U2337" t="str">
            <v>"-"</v>
          </cell>
        </row>
        <row r="2338">
          <cell r="A2338">
            <v>46265</v>
          </cell>
          <cell r="B2338" t="str">
            <v xml:space="preserve">RISMA DARA FEBRIYANTI                   </v>
          </cell>
          <cell r="C2338" t="str">
            <v>RJCM413</v>
          </cell>
          <cell r="D2338">
            <v>9201001475568</v>
          </cell>
          <cell r="E2338" t="str">
            <v>SEDANG</v>
          </cell>
          <cell r="F2338" t="str">
            <v>Tidak</v>
          </cell>
          <cell r="G2338" t="str">
            <v>Tidak</v>
          </cell>
          <cell r="H2338" t="str">
            <v>Tidak</v>
          </cell>
          <cell r="I2338" t="str">
            <v>Narkotika - Area Lapas</v>
          </cell>
          <cell r="J2338">
            <v>50</v>
          </cell>
          <cell r="K2338">
            <v>46</v>
          </cell>
          <cell r="L2338" t="str">
            <v>Narkotika</v>
          </cell>
          <cell r="M2338" t="str">
            <v>KC Sukabumi</v>
          </cell>
          <cell r="N2338" t="str">
            <v>KC Sukabumi</v>
          </cell>
          <cell r="O2338" t="str">
            <v>Bandung</v>
          </cell>
          <cell r="P2338" t="str">
            <v>Ya</v>
          </cell>
          <cell r="Q2338" t="str">
            <v>Tidak</v>
          </cell>
          <cell r="R2338" t="str">
            <v>Pending Approver</v>
          </cell>
          <cell r="S2338" t="str">
            <v>Approved</v>
          </cell>
          <cell r="T2338" t="str">
            <v>00394521 - Muhammad Hibbanduta</v>
          </cell>
          <cell r="U2338" t="str">
            <v>"-"</v>
          </cell>
        </row>
        <row r="2339">
          <cell r="A2339">
            <v>46265</v>
          </cell>
          <cell r="B2339" t="str">
            <v xml:space="preserve">RATMIANI BR SEBAYANG                    </v>
          </cell>
          <cell r="C2339" t="str">
            <v>RILO941</v>
          </cell>
          <cell r="D2339">
            <v>222401010526531</v>
          </cell>
          <cell r="E2339" t="str">
            <v>SEDANG</v>
          </cell>
          <cell r="F2339" t="str">
            <v>Tidak</v>
          </cell>
          <cell r="G2339" t="str">
            <v>Tidak</v>
          </cell>
          <cell r="H2339" t="str">
            <v>Tidak</v>
          </cell>
          <cell r="I2339" t="str">
            <v>Bandar Judol Withdrawal</v>
          </cell>
          <cell r="J2339">
            <v>50</v>
          </cell>
          <cell r="K2339" t="str">
            <v>86,88,87</v>
          </cell>
          <cell r="L2339" t="str">
            <v>Judi Online</v>
          </cell>
          <cell r="M2339" t="str">
            <v xml:space="preserve">Kas Kanpus                              </v>
          </cell>
          <cell r="N2339" t="str">
            <v xml:space="preserve">Kas Kanpus                              </v>
          </cell>
          <cell r="O2339" t="str">
            <v xml:space="preserve">KAS KANPUS                              </v>
          </cell>
          <cell r="P2339" t="str">
            <v>Ya</v>
          </cell>
          <cell r="Q2339" t="str">
            <v>Ya</v>
          </cell>
          <cell r="R2339" t="str">
            <v>Pending Approver</v>
          </cell>
          <cell r="S2339" t="str">
            <v>Approved</v>
          </cell>
          <cell r="T2339" t="str">
            <v>90186790 - Muhammad Alfin Farha</v>
          </cell>
          <cell r="U2339" t="str">
            <v>"-"</v>
          </cell>
        </row>
        <row r="2340">
          <cell r="A2340">
            <v>46265</v>
          </cell>
          <cell r="B2340" t="str">
            <v xml:space="preserve">RIDWAN                                  </v>
          </cell>
          <cell r="C2340" t="str">
            <v>ROHN127</v>
          </cell>
          <cell r="D2340">
            <v>205801005017538</v>
          </cell>
          <cell r="F2340" t="str">
            <v>Tidak</v>
          </cell>
          <cell r="G2340" t="str">
            <v>Tidak</v>
          </cell>
          <cell r="H2340" t="str">
            <v>Tidak</v>
          </cell>
          <cell r="I2340" t="str">
            <v>Bandar Judol Withdrawal</v>
          </cell>
          <cell r="J2340">
            <v>35</v>
          </cell>
          <cell r="K2340" t="str">
            <v>86,88,87</v>
          </cell>
          <cell r="L2340" t="str">
            <v>Judi Online</v>
          </cell>
          <cell r="M2340" t="str">
            <v xml:space="preserve">Kas Kanpus                              </v>
          </cell>
          <cell r="N2340" t="str">
            <v xml:space="preserve">Kas Kanpus                              </v>
          </cell>
          <cell r="O2340" t="str">
            <v xml:space="preserve">KAS KANPUS                              </v>
          </cell>
          <cell r="P2340" t="str">
            <v>Ya</v>
          </cell>
          <cell r="Q2340" t="str">
            <v>Ya</v>
          </cell>
          <cell r="R2340" t="str">
            <v>Pending Approver</v>
          </cell>
          <cell r="S2340" t="str">
            <v>Approved</v>
          </cell>
          <cell r="T2340" t="str">
            <v>90186796 - Devito Arya Wiradila</v>
          </cell>
          <cell r="U2340" t="str">
            <v>"-"</v>
          </cell>
        </row>
        <row r="2341">
          <cell r="A2341">
            <v>46265</v>
          </cell>
          <cell r="B2341" t="str">
            <v xml:space="preserve">PT RIZQY MAJU SEJAHTERA                 </v>
          </cell>
          <cell r="C2341" t="str">
            <v>PIX1680</v>
          </cell>
          <cell r="D2341">
            <v>8601004536560</v>
          </cell>
          <cell r="E2341" t="str">
            <v>TINGGI</v>
          </cell>
          <cell r="F2341" t="str">
            <v>Tidak</v>
          </cell>
          <cell r="G2341" t="str">
            <v>Tidak</v>
          </cell>
          <cell r="H2341" t="str">
            <v>Tidak</v>
          </cell>
          <cell r="I2341" t="str">
            <v>Perpajakan</v>
          </cell>
          <cell r="J2341">
            <v>63</v>
          </cell>
          <cell r="K2341">
            <v>41</v>
          </cell>
          <cell r="L2341" t="str">
            <v>Perpajakan</v>
          </cell>
          <cell r="M2341" t="str">
            <v xml:space="preserve">KC Sidoarjo                             </v>
          </cell>
          <cell r="N2341" t="str">
            <v xml:space="preserve">KC Sidoarjo                             </v>
          </cell>
          <cell r="O2341" t="str">
            <v xml:space="preserve">Surabaya                                </v>
          </cell>
          <cell r="P2341" t="str">
            <v>Tidak</v>
          </cell>
          <cell r="Q2341" t="str">
            <v>Tidak</v>
          </cell>
          <cell r="R2341" t="str">
            <v>Pending Approver</v>
          </cell>
          <cell r="S2341" t="str">
            <v>Approved</v>
          </cell>
          <cell r="T2341" t="str">
            <v>90186796 - Devito Arya Wiradila</v>
          </cell>
          <cell r="U2341" t="str">
            <v>"-"</v>
          </cell>
        </row>
        <row r="2342">
          <cell r="A2342">
            <v>46265</v>
          </cell>
          <cell r="B2342" t="str">
            <v xml:space="preserve">MUHAMMAD RONI                           </v>
          </cell>
          <cell r="C2342" t="str">
            <v>MECE934</v>
          </cell>
          <cell r="D2342">
            <v>567001014406531</v>
          </cell>
          <cell r="E2342" t="str">
            <v>SEDANG</v>
          </cell>
          <cell r="F2342" t="str">
            <v>Ya</v>
          </cell>
          <cell r="G2342" t="str">
            <v>Tidak</v>
          </cell>
          <cell r="H2342" t="str">
            <v>Tidak</v>
          </cell>
          <cell r="I2342" t="str">
            <v>Pencurian Rekening</v>
          </cell>
          <cell r="J2342">
            <v>49</v>
          </cell>
          <cell r="K2342">
            <v>59</v>
          </cell>
          <cell r="L2342" t="str">
            <v>Perbankan</v>
          </cell>
          <cell r="M2342" t="str">
            <v xml:space="preserve">UNIT PELABUHAN DAGANG KUALA TU          </v>
          </cell>
          <cell r="N2342" t="str">
            <v xml:space="preserve">KC Kuala Tungkal                        </v>
          </cell>
          <cell r="O2342" t="str">
            <v xml:space="preserve">Palembang                               </v>
          </cell>
          <cell r="P2342" t="str">
            <v>Tidak</v>
          </cell>
          <cell r="Q2342" t="str">
            <v>Tidak</v>
          </cell>
          <cell r="R2342" t="str">
            <v>Pending Approver</v>
          </cell>
          <cell r="S2342" t="str">
            <v>Approved</v>
          </cell>
          <cell r="T2342" t="str">
            <v>90150130 - Intan Aida Pratiwi</v>
          </cell>
          <cell r="U2342" t="str">
            <v>"-"</v>
          </cell>
        </row>
        <row r="2343">
          <cell r="A2343">
            <v>46265</v>
          </cell>
          <cell r="B2343" t="str">
            <v xml:space="preserve">MUHAMMAD KARDANI                        </v>
          </cell>
          <cell r="C2343" t="str">
            <v>MCMZE15</v>
          </cell>
          <cell r="D2343">
            <v>88901024113500</v>
          </cell>
          <cell r="F2343" t="str">
            <v>Tidak</v>
          </cell>
          <cell r="G2343" t="str">
            <v>Tidak</v>
          </cell>
          <cell r="H2343" t="str">
            <v>Tidak</v>
          </cell>
          <cell r="I2343" t="str">
            <v>Bandar Judol Depo</v>
          </cell>
          <cell r="J2343">
            <v>35</v>
          </cell>
          <cell r="K2343" t="str">
            <v>86,74,87</v>
          </cell>
          <cell r="L2343" t="str">
            <v>Judi Online</v>
          </cell>
          <cell r="M2343" t="str">
            <v xml:space="preserve">Kas Kanpus                              </v>
          </cell>
          <cell r="N2343" t="str">
            <v xml:space="preserve">Kas Kanpus                              </v>
          </cell>
          <cell r="O2343" t="str">
            <v xml:space="preserve">KAS KANPUS                              </v>
          </cell>
          <cell r="P2343" t="str">
            <v>Ya</v>
          </cell>
          <cell r="Q2343" t="str">
            <v>Ya</v>
          </cell>
          <cell r="R2343" t="str">
            <v>Pending Approver</v>
          </cell>
          <cell r="S2343" t="str">
            <v>Approved</v>
          </cell>
          <cell r="T2343" t="str">
            <v>90171841 - Rifqi Aziz</v>
          </cell>
          <cell r="U2343" t="str">
            <v>"-"</v>
          </cell>
        </row>
        <row r="2344">
          <cell r="A2344">
            <v>46265</v>
          </cell>
          <cell r="B2344" t="str">
            <v xml:space="preserve">MAS WIYOGA HAMZAH PRILIANA              </v>
          </cell>
          <cell r="C2344" t="str">
            <v>MCNML41</v>
          </cell>
          <cell r="D2344">
            <v>9201002245568</v>
          </cell>
          <cell r="F2344" t="str">
            <v>Tidak</v>
          </cell>
          <cell r="G2344" t="str">
            <v>Tidak</v>
          </cell>
          <cell r="H2344" t="str">
            <v>Tidak</v>
          </cell>
          <cell r="I2344" t="str">
            <v>Bandar Judol Withdrawal</v>
          </cell>
          <cell r="J2344">
            <v>35</v>
          </cell>
          <cell r="K2344" t="str">
            <v>86,88,87</v>
          </cell>
          <cell r="L2344" t="str">
            <v>Judi Online</v>
          </cell>
          <cell r="M2344" t="str">
            <v xml:space="preserve">Kas Kanpus                              </v>
          </cell>
          <cell r="N2344" t="str">
            <v xml:space="preserve">Kas Kanpus                              </v>
          </cell>
          <cell r="O2344" t="str">
            <v xml:space="preserve">KAS KANPUS                              </v>
          </cell>
          <cell r="P2344" t="str">
            <v>Ya</v>
          </cell>
          <cell r="Q2344" t="str">
            <v>Tidak</v>
          </cell>
          <cell r="R2344" t="str">
            <v>Pending Approver</v>
          </cell>
          <cell r="S2344" t="str">
            <v>Approved</v>
          </cell>
          <cell r="T2344" t="str">
            <v>00394520 - Frida Akbar Rani</v>
          </cell>
          <cell r="U2344" t="str">
            <v>"-"</v>
          </cell>
        </row>
        <row r="2345">
          <cell r="A2345">
            <v>46265</v>
          </cell>
          <cell r="B2345" t="str">
            <v xml:space="preserve">MARISA PUJI ASTUTI                      </v>
          </cell>
          <cell r="C2345" t="str">
            <v>MCVQ325</v>
          </cell>
          <cell r="D2345">
            <v>31501001302563</v>
          </cell>
          <cell r="E2345" t="str">
            <v>SEDANG</v>
          </cell>
          <cell r="F2345" t="str">
            <v>Tidak</v>
          </cell>
          <cell r="G2345" t="str">
            <v>Tidak</v>
          </cell>
          <cell r="H2345" t="str">
            <v>Tidak</v>
          </cell>
          <cell r="I2345" t="str">
            <v>Narkotika - Area Lapas</v>
          </cell>
          <cell r="J2345">
            <v>60</v>
          </cell>
          <cell r="K2345">
            <v>46</v>
          </cell>
          <cell r="L2345" t="str">
            <v>Narkotika</v>
          </cell>
          <cell r="M2345" t="str">
            <v>KC Muara Bulian</v>
          </cell>
          <cell r="N2345" t="str">
            <v>KC Muara Bulian</v>
          </cell>
          <cell r="O2345" t="str">
            <v>Palembang</v>
          </cell>
          <cell r="P2345" t="str">
            <v>Tidak</v>
          </cell>
          <cell r="Q2345" t="str">
            <v>Ya</v>
          </cell>
          <cell r="R2345" t="str">
            <v>Pending Approver</v>
          </cell>
          <cell r="S2345" t="str">
            <v>Approved</v>
          </cell>
          <cell r="T2345" t="str">
            <v>90186790 - Muhammad Alfin Farha</v>
          </cell>
          <cell r="U2345" t="str">
            <v>"-"</v>
          </cell>
        </row>
        <row r="2346">
          <cell r="A2346">
            <v>46265</v>
          </cell>
          <cell r="B2346" t="str">
            <v xml:space="preserve">M FADLY HASIBUAN                        </v>
          </cell>
          <cell r="C2346" t="str">
            <v>MCUUJ94</v>
          </cell>
          <cell r="D2346">
            <v>222401009766538</v>
          </cell>
          <cell r="F2346" t="str">
            <v>Tidak</v>
          </cell>
          <cell r="G2346" t="str">
            <v>Tidak</v>
          </cell>
          <cell r="H2346" t="str">
            <v>Tidak</v>
          </cell>
          <cell r="I2346" t="str">
            <v>Bandar Judol Withdrawal</v>
          </cell>
          <cell r="J2346">
            <v>35</v>
          </cell>
          <cell r="K2346" t="str">
            <v>86,88,87</v>
          </cell>
          <cell r="L2346" t="str">
            <v>Judi Online</v>
          </cell>
          <cell r="M2346" t="str">
            <v xml:space="preserve">Kas Kanpus                              </v>
          </cell>
          <cell r="N2346" t="str">
            <v xml:space="preserve">Kas Kanpus                              </v>
          </cell>
          <cell r="O2346" t="str">
            <v xml:space="preserve">KAS KANPUS                              </v>
          </cell>
          <cell r="P2346" t="str">
            <v>Ya</v>
          </cell>
          <cell r="Q2346" t="str">
            <v>Ya</v>
          </cell>
          <cell r="R2346" t="str">
            <v>Pending Approver</v>
          </cell>
          <cell r="S2346" t="str">
            <v>Approved</v>
          </cell>
          <cell r="T2346" t="str">
            <v>00394521 - Muhammad Hibbanduta</v>
          </cell>
          <cell r="U2346" t="str">
            <v>"-"</v>
          </cell>
        </row>
        <row r="2347">
          <cell r="A2347">
            <v>46265</v>
          </cell>
          <cell r="B2347" t="str">
            <v xml:space="preserve">MOH ANGGI AZIJUDIN                      </v>
          </cell>
          <cell r="C2347" t="str">
            <v>MCYPU10</v>
          </cell>
          <cell r="D2347">
            <v>9201002398565</v>
          </cell>
          <cell r="F2347" t="str">
            <v>Tidak</v>
          </cell>
          <cell r="G2347" t="str">
            <v>Tidak</v>
          </cell>
          <cell r="H2347" t="str">
            <v>Tidak</v>
          </cell>
          <cell r="I2347" t="str">
            <v>Bandar Judol Withdrawal</v>
          </cell>
          <cell r="J2347">
            <v>35</v>
          </cell>
          <cell r="K2347" t="str">
            <v>86,88,87</v>
          </cell>
          <cell r="L2347" t="str">
            <v>Judi Online</v>
          </cell>
          <cell r="M2347" t="str">
            <v xml:space="preserve">Kas Kanpus                              </v>
          </cell>
          <cell r="N2347" t="str">
            <v xml:space="preserve">Kas Kanpus                              </v>
          </cell>
          <cell r="O2347" t="str">
            <v xml:space="preserve">KAS KANPUS                              </v>
          </cell>
          <cell r="P2347" t="str">
            <v>Ya</v>
          </cell>
          <cell r="Q2347" t="str">
            <v>Ya</v>
          </cell>
          <cell r="R2347" t="str">
            <v>Pending Approver</v>
          </cell>
          <cell r="S2347" t="str">
            <v>Approved</v>
          </cell>
          <cell r="T2347" t="str">
            <v>00394520 - Frida Akbar Rani</v>
          </cell>
          <cell r="U2347" t="str">
            <v>"-"</v>
          </cell>
        </row>
        <row r="2348">
          <cell r="A2348">
            <v>46265</v>
          </cell>
          <cell r="B2348" t="str">
            <v xml:space="preserve">NUR INDAH                               </v>
          </cell>
          <cell r="C2348" t="str">
            <v>NCRM355</v>
          </cell>
          <cell r="D2348">
            <v>40601053124504</v>
          </cell>
          <cell r="E2348" t="str">
            <v>SEDANG</v>
          </cell>
          <cell r="F2348" t="str">
            <v>Tidak</v>
          </cell>
          <cell r="G2348" t="str">
            <v>Tidak</v>
          </cell>
          <cell r="H2348" t="str">
            <v>Tidak</v>
          </cell>
          <cell r="I2348" t="str">
            <v>Bandar Judol Withdrawal</v>
          </cell>
          <cell r="J2348">
            <v>50</v>
          </cell>
          <cell r="K2348" t="str">
            <v>86,88,87</v>
          </cell>
          <cell r="L2348" t="str">
            <v>Judi Online</v>
          </cell>
          <cell r="M2348" t="str">
            <v xml:space="preserve">Kas Kanpus                              </v>
          </cell>
          <cell r="N2348" t="str">
            <v xml:space="preserve">Kas Kanpus                              </v>
          </cell>
          <cell r="O2348" t="str">
            <v xml:space="preserve">KAS KANPUS                              </v>
          </cell>
          <cell r="P2348" t="str">
            <v>Tidak</v>
          </cell>
          <cell r="Q2348" t="str">
            <v>Ya</v>
          </cell>
          <cell r="R2348" t="str">
            <v>Pending Approver</v>
          </cell>
          <cell r="S2348" t="str">
            <v>Approved</v>
          </cell>
          <cell r="T2348" t="str">
            <v>90171841 - Rifqi Aziz</v>
          </cell>
          <cell r="U2348" t="str">
            <v>"-"</v>
          </cell>
        </row>
        <row r="2349">
          <cell r="A2349">
            <v>46265</v>
          </cell>
          <cell r="B2349" t="str">
            <v xml:space="preserve">MOCH. AGUNG SOLEHUDIN                   </v>
          </cell>
          <cell r="C2349" t="str">
            <v>MIMD309</v>
          </cell>
          <cell r="D2349">
            <v>9201002247560</v>
          </cell>
          <cell r="E2349" t="str">
            <v>SEDANG</v>
          </cell>
          <cell r="F2349" t="str">
            <v>Tidak</v>
          </cell>
          <cell r="G2349" t="str">
            <v>Tidak</v>
          </cell>
          <cell r="H2349" t="str">
            <v>Tidak</v>
          </cell>
          <cell r="I2349" t="str">
            <v>Bandar Judol Withdrawal</v>
          </cell>
          <cell r="J2349">
            <v>50</v>
          </cell>
          <cell r="K2349" t="str">
            <v>86,88,87</v>
          </cell>
          <cell r="L2349" t="str">
            <v>Judi Online</v>
          </cell>
          <cell r="M2349" t="str">
            <v xml:space="preserve">Kas Kanpus                              </v>
          </cell>
          <cell r="N2349" t="str">
            <v xml:space="preserve">Kas Kanpus                              </v>
          </cell>
          <cell r="O2349" t="str">
            <v xml:space="preserve">KAS KANPUS                              </v>
          </cell>
          <cell r="P2349" t="str">
            <v>Ya</v>
          </cell>
          <cell r="Q2349" t="str">
            <v>Ya</v>
          </cell>
          <cell r="R2349" t="str">
            <v>Pending Approver</v>
          </cell>
          <cell r="S2349" t="str">
            <v>Approved</v>
          </cell>
          <cell r="T2349" t="str">
            <v>90170665 - Mutiara Ayuningtyas</v>
          </cell>
          <cell r="U2349" t="str">
            <v>"-"</v>
          </cell>
        </row>
        <row r="2350">
          <cell r="A2350">
            <v>46265</v>
          </cell>
          <cell r="B2350" t="str">
            <v xml:space="preserve">SILVINA AMELIA PUTRI                    </v>
          </cell>
          <cell r="C2350" t="str">
            <v>SJEEU30</v>
          </cell>
          <cell r="D2350">
            <v>88501012850500</v>
          </cell>
          <cell r="F2350" t="str">
            <v>Tidak</v>
          </cell>
          <cell r="G2350" t="str">
            <v>Tidak</v>
          </cell>
          <cell r="H2350" t="str">
            <v>Tidak</v>
          </cell>
          <cell r="I2350" t="str">
            <v>Bandar Judol Withdrawal</v>
          </cell>
          <cell r="J2350">
            <v>35</v>
          </cell>
          <cell r="K2350" t="str">
            <v>86,88,87</v>
          </cell>
          <cell r="L2350" t="str">
            <v>Judi Online</v>
          </cell>
          <cell r="M2350" t="str">
            <v xml:space="preserve">Kas Kanpus                              </v>
          </cell>
          <cell r="N2350" t="str">
            <v xml:space="preserve">Kas Kanpus                              </v>
          </cell>
          <cell r="O2350" t="str">
            <v xml:space="preserve">KAS KANPUS                              </v>
          </cell>
          <cell r="P2350" t="str">
            <v>Tidak</v>
          </cell>
          <cell r="Q2350" t="str">
            <v>Tidak</v>
          </cell>
          <cell r="R2350" t="str">
            <v>Pending Approver</v>
          </cell>
          <cell r="S2350" t="str">
            <v>Approved</v>
          </cell>
          <cell r="T2350" t="str">
            <v>90185537 - Moh.Khoerul Fajar Ar</v>
          </cell>
          <cell r="U2350" t="str">
            <v>"-"</v>
          </cell>
        </row>
        <row r="2351">
          <cell r="A2351">
            <v>46265</v>
          </cell>
          <cell r="B2351" t="str">
            <v xml:space="preserve">SANDI SAPUTRA                           </v>
          </cell>
          <cell r="C2351" t="str">
            <v>SJIPX86</v>
          </cell>
          <cell r="D2351">
            <v>9201002358565</v>
          </cell>
          <cell r="F2351" t="str">
            <v>Tidak</v>
          </cell>
          <cell r="G2351" t="str">
            <v>Tidak</v>
          </cell>
          <cell r="H2351" t="str">
            <v>Tidak</v>
          </cell>
          <cell r="I2351" t="str">
            <v>Bandar Judol Depo</v>
          </cell>
          <cell r="J2351">
            <v>35</v>
          </cell>
          <cell r="K2351" t="str">
            <v>86,74,87</v>
          </cell>
          <cell r="L2351" t="str">
            <v>Judi Online</v>
          </cell>
          <cell r="M2351" t="str">
            <v xml:space="preserve">Kas Kanpus                              </v>
          </cell>
          <cell r="N2351" t="str">
            <v xml:space="preserve">Kas Kanpus                              </v>
          </cell>
          <cell r="O2351" t="str">
            <v xml:space="preserve">KAS KANPUS                              </v>
          </cell>
          <cell r="P2351" t="str">
            <v>Ya</v>
          </cell>
          <cell r="Q2351" t="str">
            <v>Ya</v>
          </cell>
          <cell r="R2351" t="str">
            <v>Pending Approver</v>
          </cell>
          <cell r="S2351" t="str">
            <v>Approved</v>
          </cell>
          <cell r="T2351" t="str">
            <v>90186790 - Muhammad Alfin Farha</v>
          </cell>
          <cell r="U2351" t="str">
            <v>"-"</v>
          </cell>
        </row>
        <row r="2352">
          <cell r="A2352">
            <v>46265</v>
          </cell>
          <cell r="B2352" t="str">
            <v xml:space="preserve">SEPTIAN ADI KAPONCO                     </v>
          </cell>
          <cell r="C2352" t="str">
            <v>SHRHY18</v>
          </cell>
          <cell r="D2352">
            <v>175201017488500</v>
          </cell>
          <cell r="E2352" t="str">
            <v>SEDANG</v>
          </cell>
          <cell r="F2352" t="str">
            <v>Tidak</v>
          </cell>
          <cell r="G2352" t="str">
            <v>Tidak</v>
          </cell>
          <cell r="H2352" t="str">
            <v>Ya</v>
          </cell>
          <cell r="I2352" t="str">
            <v>Bandar Judol Depo</v>
          </cell>
          <cell r="J2352">
            <v>50</v>
          </cell>
          <cell r="K2352" t="str">
            <v>86,74,87</v>
          </cell>
          <cell r="L2352" t="str">
            <v>Judi Online</v>
          </cell>
          <cell r="M2352" t="str">
            <v xml:space="preserve">Kas Kanpus                              </v>
          </cell>
          <cell r="N2352" t="str">
            <v xml:space="preserve">Kas Kanpus                              </v>
          </cell>
          <cell r="O2352" t="str">
            <v xml:space="preserve">KAS KANPUS                              </v>
          </cell>
          <cell r="P2352" t="str">
            <v>Ya</v>
          </cell>
          <cell r="Q2352" t="str">
            <v>Ya</v>
          </cell>
          <cell r="R2352" t="str">
            <v>Pending Approver</v>
          </cell>
          <cell r="S2352" t="str">
            <v>Approved</v>
          </cell>
          <cell r="T2352" t="str">
            <v>90170665 - Mutiara Ayuningtyas</v>
          </cell>
          <cell r="U2352" t="str">
            <v>"-"</v>
          </cell>
        </row>
        <row r="2353">
          <cell r="A2353">
            <v>46265</v>
          </cell>
          <cell r="B2353" t="str">
            <v xml:space="preserve">SHERLY ANGGRAINI                        </v>
          </cell>
          <cell r="C2353" t="str">
            <v>SHOBD85</v>
          </cell>
          <cell r="D2353">
            <v>222401019235501</v>
          </cell>
          <cell r="E2353" t="str">
            <v>SEDANG</v>
          </cell>
          <cell r="F2353" t="str">
            <v>Tidak</v>
          </cell>
          <cell r="G2353" t="str">
            <v>Tidak</v>
          </cell>
          <cell r="H2353" t="str">
            <v>Tidak</v>
          </cell>
          <cell r="I2353" t="str">
            <v>Bandar Judol Withdrawal</v>
          </cell>
          <cell r="J2353">
            <v>50</v>
          </cell>
          <cell r="K2353" t="str">
            <v>86,88,87</v>
          </cell>
          <cell r="L2353" t="str">
            <v>Judi Online</v>
          </cell>
          <cell r="M2353" t="str">
            <v xml:space="preserve">Kas Kanpus                              </v>
          </cell>
          <cell r="N2353" t="str">
            <v xml:space="preserve">Kas Kanpus                              </v>
          </cell>
          <cell r="O2353" t="str">
            <v xml:space="preserve">KAS KANPUS                              </v>
          </cell>
          <cell r="P2353" t="str">
            <v>Ya</v>
          </cell>
          <cell r="Q2353" t="str">
            <v>Ya</v>
          </cell>
          <cell r="R2353" t="str">
            <v>Pending Approver</v>
          </cell>
          <cell r="S2353" t="str">
            <v>Approved</v>
          </cell>
          <cell r="T2353" t="str">
            <v>90186790 - Muhammad Alfin Farha</v>
          </cell>
          <cell r="U2353" t="str">
            <v>"-"</v>
          </cell>
        </row>
        <row r="2354">
          <cell r="A2354">
            <v>46265</v>
          </cell>
          <cell r="B2354" t="str">
            <v xml:space="preserve">SUKRIANTO                               </v>
          </cell>
          <cell r="C2354" t="str">
            <v>SAKSB95</v>
          </cell>
          <cell r="D2354">
            <v>13101049621501</v>
          </cell>
          <cell r="E2354" t="str">
            <v>SEDANG</v>
          </cell>
          <cell r="F2354" t="str">
            <v>Tidak</v>
          </cell>
          <cell r="G2354" t="str">
            <v>Tidak</v>
          </cell>
          <cell r="H2354" t="str">
            <v>Tidak</v>
          </cell>
          <cell r="I2354" t="str">
            <v>Bandar Judol Withdrawal</v>
          </cell>
          <cell r="J2354">
            <v>50</v>
          </cell>
          <cell r="K2354" t="str">
            <v>86,88,87</v>
          </cell>
          <cell r="L2354" t="str">
            <v>Judi Online</v>
          </cell>
          <cell r="M2354" t="str">
            <v xml:space="preserve">Kas Kanpus                              </v>
          </cell>
          <cell r="N2354" t="str">
            <v xml:space="preserve">Kas Kanpus                              </v>
          </cell>
          <cell r="O2354" t="str">
            <v xml:space="preserve">KAS KANPUS                              </v>
          </cell>
          <cell r="P2354" t="str">
            <v>Ya</v>
          </cell>
          <cell r="Q2354" t="str">
            <v>Tidak</v>
          </cell>
          <cell r="R2354" t="str">
            <v>Pending Approver</v>
          </cell>
          <cell r="S2354" t="str">
            <v>Approved</v>
          </cell>
          <cell r="T2354" t="str">
            <v>90171841 - Rifqi Aziz</v>
          </cell>
          <cell r="U2354" t="str">
            <v>"-"</v>
          </cell>
        </row>
        <row r="2355">
          <cell r="A2355">
            <v>46265</v>
          </cell>
          <cell r="B2355" t="str">
            <v xml:space="preserve">SUSANTO                                 </v>
          </cell>
          <cell r="C2355" t="str">
            <v>SDBL699</v>
          </cell>
          <cell r="D2355">
            <v>32401000637566</v>
          </cell>
          <cell r="E2355" t="str">
            <v>SEDANG</v>
          </cell>
          <cell r="F2355" t="str">
            <v>Tidak</v>
          </cell>
          <cell r="G2355" t="str">
            <v>Tidak</v>
          </cell>
          <cell r="H2355" t="str">
            <v>Tidak</v>
          </cell>
          <cell r="I2355" t="str">
            <v>Bandar Judol Depo</v>
          </cell>
          <cell r="J2355">
            <v>60</v>
          </cell>
          <cell r="K2355" t="str">
            <v>86,74,87</v>
          </cell>
          <cell r="L2355" t="str">
            <v>Judi Online</v>
          </cell>
          <cell r="M2355" t="str">
            <v xml:space="preserve">Kas Kanpus                              </v>
          </cell>
          <cell r="N2355" t="str">
            <v xml:space="preserve">Kas Kanpus                              </v>
          </cell>
          <cell r="O2355" t="str">
            <v xml:space="preserve">KAS KANPUS                              </v>
          </cell>
          <cell r="P2355" t="str">
            <v>Tidak</v>
          </cell>
          <cell r="Q2355" t="str">
            <v>Tidak</v>
          </cell>
          <cell r="R2355" t="str">
            <v>Pending Approver</v>
          </cell>
          <cell r="S2355" t="str">
            <v>Approved</v>
          </cell>
          <cell r="T2355" t="str">
            <v>90185537 - Moh.Khoerul Fajar Ar</v>
          </cell>
          <cell r="U2355" t="str">
            <v>"-"</v>
          </cell>
        </row>
        <row r="2356">
          <cell r="A2356">
            <v>46265</v>
          </cell>
          <cell r="B2356" t="str">
            <v xml:space="preserve">ROBERT KRISTIAN EFFENDHI                </v>
          </cell>
          <cell r="C2356" t="str">
            <v>RPG9014</v>
          </cell>
          <cell r="D2356">
            <v>44801001992561</v>
          </cell>
          <cell r="E2356" t="str">
            <v>SEDANG</v>
          </cell>
          <cell r="F2356" t="str">
            <v>Tidak</v>
          </cell>
          <cell r="G2356" t="str">
            <v>Tidak</v>
          </cell>
          <cell r="H2356" t="str">
            <v>Tidak</v>
          </cell>
          <cell r="I2356" t="str">
            <v>Bandar Judol Withdrawal</v>
          </cell>
          <cell r="J2356">
            <v>50</v>
          </cell>
          <cell r="K2356" t="str">
            <v>86,88,87</v>
          </cell>
          <cell r="L2356" t="str">
            <v>Judi Online</v>
          </cell>
          <cell r="M2356" t="str">
            <v xml:space="preserve">Kas Kanpus                              </v>
          </cell>
          <cell r="N2356" t="str">
            <v xml:space="preserve">Kas Kanpus                              </v>
          </cell>
          <cell r="O2356" t="str">
            <v xml:space="preserve">KAS KANPUS                              </v>
          </cell>
          <cell r="P2356" t="str">
            <v>Tidak</v>
          </cell>
          <cell r="Q2356" t="str">
            <v>Tidak</v>
          </cell>
          <cell r="R2356" t="str">
            <v>Pending Approver</v>
          </cell>
          <cell r="S2356" t="str">
            <v>Approved</v>
          </cell>
          <cell r="T2356" t="str">
            <v>90186796 - Devito Arya Wiradila</v>
          </cell>
          <cell r="U2356" t="str">
            <v>"-"</v>
          </cell>
        </row>
        <row r="2357">
          <cell r="A2357">
            <v>46265</v>
          </cell>
          <cell r="B2357" t="str">
            <v xml:space="preserve">TANTI AYU                               </v>
          </cell>
          <cell r="C2357" t="str">
            <v>TUA2858</v>
          </cell>
          <cell r="D2357">
            <v>205801016595503</v>
          </cell>
          <cell r="F2357" t="str">
            <v>Tidak</v>
          </cell>
          <cell r="G2357" t="str">
            <v>Tidak</v>
          </cell>
          <cell r="H2357" t="str">
            <v>Tidak</v>
          </cell>
          <cell r="I2357" t="str">
            <v>Bandar Judol Withdrawal</v>
          </cell>
          <cell r="J2357">
            <v>35</v>
          </cell>
          <cell r="K2357" t="str">
            <v>86,88,87</v>
          </cell>
          <cell r="L2357" t="str">
            <v>Judi Online</v>
          </cell>
          <cell r="M2357" t="str">
            <v xml:space="preserve">Kas Kanpus                              </v>
          </cell>
          <cell r="N2357" t="str">
            <v xml:space="preserve">Kas Kanpus                              </v>
          </cell>
          <cell r="O2357" t="str">
            <v xml:space="preserve">KAS KANPUS                              </v>
          </cell>
          <cell r="P2357" t="str">
            <v>Ya</v>
          </cell>
          <cell r="Q2357" t="str">
            <v>Tidak</v>
          </cell>
          <cell r="R2357" t="str">
            <v>Pending Approver</v>
          </cell>
          <cell r="S2357" t="str">
            <v>Approved</v>
          </cell>
          <cell r="T2357" t="str">
            <v>90171841 - Rifqi Aziz</v>
          </cell>
          <cell r="U2357" t="str">
            <v>"-"</v>
          </cell>
        </row>
        <row r="2358">
          <cell r="A2358">
            <v>46265</v>
          </cell>
          <cell r="B2358" t="str">
            <v xml:space="preserve">YAYANG YUDA SEPTIANA                    </v>
          </cell>
          <cell r="C2358" t="str">
            <v>YPX4222</v>
          </cell>
          <cell r="D2358">
            <v>9201002243566</v>
          </cell>
          <cell r="F2358" t="str">
            <v>Tidak</v>
          </cell>
          <cell r="G2358" t="str">
            <v>Tidak</v>
          </cell>
          <cell r="H2358" t="str">
            <v>Tidak</v>
          </cell>
          <cell r="I2358" t="str">
            <v>Bandar Judol Withdrawal</v>
          </cell>
          <cell r="J2358">
            <v>35</v>
          </cell>
          <cell r="K2358" t="str">
            <v>86,88,87</v>
          </cell>
          <cell r="L2358" t="str">
            <v>Judi Online</v>
          </cell>
          <cell r="M2358" t="str">
            <v xml:space="preserve">Kas Kanpus                              </v>
          </cell>
          <cell r="N2358" t="str">
            <v xml:space="preserve">Kas Kanpus                              </v>
          </cell>
          <cell r="O2358" t="str">
            <v xml:space="preserve">KAS KANPUS                              </v>
          </cell>
          <cell r="P2358" t="str">
            <v>Ya</v>
          </cell>
          <cell r="Q2358" t="str">
            <v>Ya</v>
          </cell>
          <cell r="R2358" t="str">
            <v>Pending Approver</v>
          </cell>
          <cell r="S2358" t="str">
            <v>Approved</v>
          </cell>
          <cell r="T2358" t="str">
            <v>90171841 - Rifqi Aziz</v>
          </cell>
          <cell r="U2358" t="str">
            <v>"-"</v>
          </cell>
        </row>
        <row r="2359">
          <cell r="A2359">
            <v>46265</v>
          </cell>
          <cell r="B2359" t="str">
            <v xml:space="preserve">YKI QQ MANADO INDEPENDENT SCHOOL        </v>
          </cell>
          <cell r="C2359" t="str">
            <v>YQX9926</v>
          </cell>
          <cell r="D2359">
            <v>5401005512300</v>
          </cell>
          <cell r="F2359" t="str">
            <v>Tidak</v>
          </cell>
          <cell r="G2359" t="str">
            <v>Tidak</v>
          </cell>
          <cell r="H2359" t="str">
            <v>Tidak</v>
          </cell>
          <cell r="I2359" t="str">
            <v>Perpajakan</v>
          </cell>
          <cell r="J2359">
            <v>36</v>
          </cell>
          <cell r="K2359">
            <v>41</v>
          </cell>
          <cell r="L2359" t="str">
            <v>Perpajakan</v>
          </cell>
          <cell r="M2359" t="str">
            <v xml:space="preserve">KC Manado                               </v>
          </cell>
          <cell r="N2359" t="str">
            <v xml:space="preserve">KC Manado                               </v>
          </cell>
          <cell r="O2359" t="str">
            <v xml:space="preserve">Manado                                  </v>
          </cell>
          <cell r="P2359" t="str">
            <v>Tidak</v>
          </cell>
          <cell r="Q2359" t="str">
            <v>Tidak</v>
          </cell>
          <cell r="R2359" t="str">
            <v>Pending Approver</v>
          </cell>
          <cell r="S2359" t="str">
            <v>Approved</v>
          </cell>
          <cell r="T2359" t="str">
            <v>90185538 - Muhammad Fahikal Auz</v>
          </cell>
          <cell r="U2359" t="str">
            <v>"-"</v>
          </cell>
        </row>
        <row r="2360">
          <cell r="A2360">
            <v>46265</v>
          </cell>
          <cell r="B2360" t="str">
            <v xml:space="preserve">YUSUP MAULANA                           </v>
          </cell>
          <cell r="C2360" t="str">
            <v>YQJ9799</v>
          </cell>
          <cell r="D2360">
            <v>9201002389566</v>
          </cell>
          <cell r="F2360" t="str">
            <v>Tidak</v>
          </cell>
          <cell r="G2360" t="str">
            <v>Tidak</v>
          </cell>
          <cell r="H2360" t="str">
            <v>Tidak</v>
          </cell>
          <cell r="I2360" t="str">
            <v>Bandar Judol Withdrawal</v>
          </cell>
          <cell r="J2360">
            <v>35</v>
          </cell>
          <cell r="K2360" t="str">
            <v>86,88,87</v>
          </cell>
          <cell r="L2360" t="str">
            <v>Judi Online</v>
          </cell>
          <cell r="M2360" t="str">
            <v xml:space="preserve">Kas Kanpus                              </v>
          </cell>
          <cell r="N2360" t="str">
            <v xml:space="preserve">Kas Kanpus                              </v>
          </cell>
          <cell r="O2360" t="str">
            <v xml:space="preserve">KAS KANPUS                              </v>
          </cell>
          <cell r="P2360" t="str">
            <v>Ya</v>
          </cell>
          <cell r="Q2360" t="str">
            <v>Ya</v>
          </cell>
          <cell r="R2360" t="str">
            <v>Pending Approver</v>
          </cell>
          <cell r="S2360" t="str">
            <v>Approved</v>
          </cell>
          <cell r="T2360" t="str">
            <v>90186790 - Muhammad Alfin Farha</v>
          </cell>
          <cell r="U2360" t="str">
            <v>"-"</v>
          </cell>
        </row>
        <row r="2361">
          <cell r="A2361">
            <v>46265</v>
          </cell>
          <cell r="B2361" t="str">
            <v xml:space="preserve">DAME SALMA ULI TUA OPUSUNGGU            </v>
          </cell>
          <cell r="C2361" t="str">
            <v>DQW9146</v>
          </cell>
          <cell r="D2361">
            <v>538701020675531</v>
          </cell>
          <cell r="E2361" t="str">
            <v>SEDANG</v>
          </cell>
          <cell r="F2361" t="str">
            <v>Tidak</v>
          </cell>
          <cell r="G2361" t="str">
            <v>Tidak</v>
          </cell>
          <cell r="H2361" t="str">
            <v>Tidak</v>
          </cell>
          <cell r="I2361" t="str">
            <v>Bandar Judol Depo</v>
          </cell>
          <cell r="J2361">
            <v>50</v>
          </cell>
          <cell r="K2361" t="str">
            <v>86,74,87</v>
          </cell>
          <cell r="L2361" t="str">
            <v>Judi Online</v>
          </cell>
          <cell r="M2361" t="str">
            <v xml:space="preserve">Kas Kanpus                              </v>
          </cell>
          <cell r="N2361" t="str">
            <v xml:space="preserve">Kas Kanpus                              </v>
          </cell>
          <cell r="O2361" t="str">
            <v xml:space="preserve">KAS KANPUS                              </v>
          </cell>
          <cell r="P2361" t="str">
            <v>Ya</v>
          </cell>
          <cell r="Q2361" t="str">
            <v>Ya</v>
          </cell>
          <cell r="R2361" t="str">
            <v>Pending Approver</v>
          </cell>
          <cell r="S2361" t="str">
            <v>Approved</v>
          </cell>
          <cell r="T2361" t="str">
            <v>00394520 - Frida Akbar Rani</v>
          </cell>
          <cell r="U2361" t="str">
            <v>"-"</v>
          </cell>
        </row>
        <row r="2362">
          <cell r="A2362">
            <v>46265</v>
          </cell>
          <cell r="B2362" t="str">
            <v xml:space="preserve">ELSA ELSANI RACHMADANI S                </v>
          </cell>
          <cell r="C2362" t="str">
            <v>ECP2218</v>
          </cell>
          <cell r="D2362">
            <v>9201002315567</v>
          </cell>
          <cell r="E2362" t="str">
            <v>SEDANG</v>
          </cell>
          <cell r="F2362" t="str">
            <v>Tidak</v>
          </cell>
          <cell r="G2362" t="str">
            <v>Tidak</v>
          </cell>
          <cell r="H2362" t="str">
            <v>Tidak</v>
          </cell>
          <cell r="I2362" t="str">
            <v>Narkotika - Area Lapas</v>
          </cell>
          <cell r="J2362">
            <v>50</v>
          </cell>
          <cell r="K2362">
            <v>46</v>
          </cell>
          <cell r="L2362" t="str">
            <v>Narkotika</v>
          </cell>
          <cell r="M2362" t="str">
            <v>KC Sukabumi</v>
          </cell>
          <cell r="N2362" t="str">
            <v>KC Sukabumi</v>
          </cell>
          <cell r="O2362" t="str">
            <v>Bandung</v>
          </cell>
          <cell r="P2362" t="str">
            <v>Tidak</v>
          </cell>
          <cell r="Q2362" t="str">
            <v>Tidak</v>
          </cell>
          <cell r="R2362" t="str">
            <v>Pending Approver</v>
          </cell>
          <cell r="S2362" t="str">
            <v>Approved</v>
          </cell>
          <cell r="T2362" t="str">
            <v>90170665 - Mutiara Ayuningtyas</v>
          </cell>
          <cell r="U2362" t="str">
            <v>"-"</v>
          </cell>
        </row>
        <row r="2363">
          <cell r="A2363">
            <v>46265</v>
          </cell>
          <cell r="B2363" t="str">
            <v xml:space="preserve">GUSRIATI                                </v>
          </cell>
          <cell r="C2363" t="str">
            <v>GN05503</v>
          </cell>
          <cell r="D2363">
            <v>222401019256507</v>
          </cell>
          <cell r="E2363" t="str">
            <v>SEDANG</v>
          </cell>
          <cell r="F2363" t="str">
            <v>Tidak</v>
          </cell>
          <cell r="G2363" t="str">
            <v>Tidak</v>
          </cell>
          <cell r="H2363" t="str">
            <v>Tidak</v>
          </cell>
          <cell r="I2363" t="str">
            <v>Bandar Judol Depo</v>
          </cell>
          <cell r="J2363">
            <v>50</v>
          </cell>
          <cell r="K2363" t="str">
            <v>86,74,87</v>
          </cell>
          <cell r="L2363" t="str">
            <v>Judi Online</v>
          </cell>
          <cell r="M2363" t="str">
            <v xml:space="preserve">Kas Kanpus                              </v>
          </cell>
          <cell r="N2363" t="str">
            <v xml:space="preserve">Kas Kanpus                              </v>
          </cell>
          <cell r="O2363" t="str">
            <v xml:space="preserve">KAS KANPUS                              </v>
          </cell>
          <cell r="P2363" t="str">
            <v>Ya</v>
          </cell>
          <cell r="Q2363" t="str">
            <v>Ya</v>
          </cell>
          <cell r="R2363" t="str">
            <v>Pending Approver</v>
          </cell>
          <cell r="S2363" t="str">
            <v>Approved</v>
          </cell>
          <cell r="T2363" t="str">
            <v>00394520 - Frida Akbar Rani</v>
          </cell>
          <cell r="U2363" t="str">
            <v>"-"</v>
          </cell>
        </row>
        <row r="2364">
          <cell r="A2364">
            <v>46265</v>
          </cell>
          <cell r="B2364" t="str">
            <v xml:space="preserve">HILYA AULIA SYAHIDAH                    </v>
          </cell>
          <cell r="C2364" t="str">
            <v>HQD2428</v>
          </cell>
          <cell r="D2364">
            <v>418901022174536</v>
          </cell>
          <cell r="E2364" t="str">
            <v>TINGGI</v>
          </cell>
          <cell r="F2364" t="str">
            <v>Tidak</v>
          </cell>
          <cell r="G2364" t="str">
            <v>Tidak</v>
          </cell>
          <cell r="H2364" t="str">
            <v>Tidak</v>
          </cell>
          <cell r="I2364" t="str">
            <v>Terorisme - SIPENDAR</v>
          </cell>
          <cell r="J2364">
            <v>185</v>
          </cell>
          <cell r="K2364">
            <v>36</v>
          </cell>
          <cell r="L2364" t="str">
            <v>Terorisme</v>
          </cell>
          <cell r="M2364" t="str">
            <v xml:space="preserve">Kas Kanpus                              </v>
          </cell>
          <cell r="N2364" t="str">
            <v xml:space="preserve">Kas Kanpus                              </v>
          </cell>
          <cell r="O2364" t="str">
            <v xml:space="preserve">KAS KANPUS                              </v>
          </cell>
          <cell r="P2364" t="str">
            <v>Tidak</v>
          </cell>
          <cell r="Q2364" t="str">
            <v>Tidak</v>
          </cell>
          <cell r="R2364" t="str">
            <v>Pending Approver</v>
          </cell>
          <cell r="S2364" t="str">
            <v>Approved</v>
          </cell>
          <cell r="T2364" t="str">
            <v>00394521 - Muhammad Hibbanduta</v>
          </cell>
          <cell r="U2364" t="str">
            <v>"-"</v>
          </cell>
        </row>
        <row r="2365">
          <cell r="A2365">
            <v>46265</v>
          </cell>
          <cell r="B2365" t="str">
            <v xml:space="preserve">KIKI MULKI SULAEMAN                     </v>
          </cell>
          <cell r="C2365" t="str">
            <v>KAAE376</v>
          </cell>
          <cell r="D2365">
            <v>9201002364566</v>
          </cell>
          <cell r="F2365" t="str">
            <v>Tidak</v>
          </cell>
          <cell r="G2365" t="str">
            <v>Tidak</v>
          </cell>
          <cell r="H2365" t="str">
            <v>Tidak</v>
          </cell>
          <cell r="I2365" t="str">
            <v>Bandar Judol Withdrawal</v>
          </cell>
          <cell r="J2365">
            <v>35</v>
          </cell>
          <cell r="K2365" t="str">
            <v>86,88,87</v>
          </cell>
          <cell r="L2365" t="str">
            <v>Judi Online</v>
          </cell>
          <cell r="M2365" t="str">
            <v xml:space="preserve">Kas Kanpus                              </v>
          </cell>
          <cell r="N2365" t="str">
            <v xml:space="preserve">Kas Kanpus                              </v>
          </cell>
          <cell r="O2365" t="str">
            <v xml:space="preserve">KAS KANPUS                              </v>
          </cell>
          <cell r="P2365" t="str">
            <v>Ya</v>
          </cell>
          <cell r="Q2365" t="str">
            <v>Ya</v>
          </cell>
          <cell r="R2365" t="str">
            <v>Pending Approver</v>
          </cell>
          <cell r="S2365" t="str">
            <v>Approved</v>
          </cell>
          <cell r="T2365" t="str">
            <v>90150130 - Intan Aida Pratiwi</v>
          </cell>
          <cell r="U2365" t="str">
            <v>"-"</v>
          </cell>
        </row>
        <row r="2366">
          <cell r="A2366">
            <v>46265</v>
          </cell>
          <cell r="B2366" t="str">
            <v xml:space="preserve">MUHAMMAD ABDILAH                        </v>
          </cell>
          <cell r="C2366" t="str">
            <v>MBUDT03</v>
          </cell>
          <cell r="D2366">
            <v>109401020959502</v>
          </cell>
          <cell r="E2366" t="str">
            <v>SEDANG</v>
          </cell>
          <cell r="F2366" t="str">
            <v>Tidak</v>
          </cell>
          <cell r="G2366" t="str">
            <v>Tidak</v>
          </cell>
          <cell r="H2366" t="str">
            <v>Tidak</v>
          </cell>
          <cell r="I2366" t="str">
            <v>Bandar Judol Withdrawal</v>
          </cell>
          <cell r="J2366">
            <v>50</v>
          </cell>
          <cell r="K2366" t="str">
            <v>86,88,87</v>
          </cell>
          <cell r="L2366" t="str">
            <v>Judi Online</v>
          </cell>
          <cell r="M2366" t="str">
            <v xml:space="preserve">Kas Kanpus                              </v>
          </cell>
          <cell r="N2366" t="str">
            <v xml:space="preserve">Kas Kanpus                              </v>
          </cell>
          <cell r="O2366" t="str">
            <v xml:space="preserve">KAS KANPUS                              </v>
          </cell>
          <cell r="P2366" t="str">
            <v>Ya</v>
          </cell>
          <cell r="Q2366" t="str">
            <v>Ya</v>
          </cell>
          <cell r="R2366" t="str">
            <v>Pending Approver</v>
          </cell>
          <cell r="S2366" t="str">
            <v>Approved</v>
          </cell>
          <cell r="T2366" t="str">
            <v>90170665 - Mutiara Ayuningtyas</v>
          </cell>
          <cell r="U2366" t="str">
            <v>"-"</v>
          </cell>
        </row>
        <row r="2367">
          <cell r="A2367">
            <v>46265</v>
          </cell>
          <cell r="B2367" t="str">
            <v xml:space="preserve">MAWARNI                                 </v>
          </cell>
          <cell r="C2367" t="str">
            <v>MAJL868</v>
          </cell>
          <cell r="D2367">
            <v>773101001338507</v>
          </cell>
          <cell r="E2367" t="str">
            <v>SEDANG</v>
          </cell>
          <cell r="F2367" t="str">
            <v>Tidak</v>
          </cell>
          <cell r="G2367" t="str">
            <v>Tidak</v>
          </cell>
          <cell r="H2367" t="str">
            <v>Tidak</v>
          </cell>
          <cell r="I2367" t="str">
            <v>Pencurian Rekening</v>
          </cell>
          <cell r="J2367">
            <v>49</v>
          </cell>
          <cell r="K2367">
            <v>59</v>
          </cell>
          <cell r="L2367" t="str">
            <v>Perbankan</v>
          </cell>
          <cell r="M2367" t="str">
            <v xml:space="preserve">UNIT PASAR PANAS TANJUNG TABAL          </v>
          </cell>
          <cell r="N2367" t="str">
            <v xml:space="preserve">KC Tanjung Tabalong                     </v>
          </cell>
          <cell r="O2367" t="str">
            <v xml:space="preserve">Banjarmasin                             </v>
          </cell>
          <cell r="P2367" t="str">
            <v>Tidak</v>
          </cell>
          <cell r="Q2367" t="str">
            <v>Tidak</v>
          </cell>
          <cell r="R2367" t="str">
            <v>Pending Approver</v>
          </cell>
          <cell r="S2367" t="str">
            <v>Approved</v>
          </cell>
          <cell r="T2367" t="str">
            <v>90171841 - Rifqi Aziz</v>
          </cell>
          <cell r="U2367" t="str">
            <v>"-"</v>
          </cell>
        </row>
        <row r="2368">
          <cell r="A2368">
            <v>46265</v>
          </cell>
          <cell r="B2368" t="str">
            <v xml:space="preserve">KURNIA ROMADHONI                        </v>
          </cell>
          <cell r="C2368" t="str">
            <v>KJW2025</v>
          </cell>
          <cell r="D2368">
            <v>24901045294509</v>
          </cell>
          <cell r="E2368" t="str">
            <v>SEDANG</v>
          </cell>
          <cell r="F2368" t="str">
            <v>Tidak</v>
          </cell>
          <cell r="G2368" t="str">
            <v>Tidak</v>
          </cell>
          <cell r="H2368" t="str">
            <v>Tidak</v>
          </cell>
          <cell r="I2368" t="str">
            <v>Narkotika - Area Lapas</v>
          </cell>
          <cell r="J2368">
            <v>50</v>
          </cell>
          <cell r="K2368">
            <v>48</v>
          </cell>
          <cell r="L2368" t="str">
            <v>Narkotika</v>
          </cell>
          <cell r="M2368" t="str">
            <v>KC Tanjung Tabalong</v>
          </cell>
          <cell r="N2368" t="str">
            <v>KC Tanjung Tabalong</v>
          </cell>
          <cell r="O2368" t="str">
            <v>Banjarmasin</v>
          </cell>
          <cell r="P2368" t="str">
            <v>Ya</v>
          </cell>
          <cell r="Q2368" t="str">
            <v>Tidak</v>
          </cell>
          <cell r="R2368" t="str">
            <v>Pending Approver</v>
          </cell>
          <cell r="S2368" t="str">
            <v>Approved</v>
          </cell>
          <cell r="T2368" t="str">
            <v>90170665 - Mutiara Ayuningtyas</v>
          </cell>
          <cell r="U2368" t="str">
            <v>"-"</v>
          </cell>
        </row>
        <row r="2369">
          <cell r="A2369">
            <v>46265</v>
          </cell>
          <cell r="B2369" t="str">
            <v xml:space="preserve">KAMALIAH                                </v>
          </cell>
          <cell r="C2369" t="str">
            <v>KQF3660</v>
          </cell>
          <cell r="D2369">
            <v>206001000786565</v>
          </cell>
          <cell r="E2369" t="str">
            <v>TINGGI</v>
          </cell>
          <cell r="F2369" t="str">
            <v>Tidak</v>
          </cell>
          <cell r="G2369" t="str">
            <v>Tidak</v>
          </cell>
          <cell r="H2369" t="str">
            <v>Tidak</v>
          </cell>
          <cell r="I2369" t="str">
            <v>Narkotika - Area Lapas</v>
          </cell>
          <cell r="J2369">
            <v>75</v>
          </cell>
          <cell r="K2369">
            <v>47</v>
          </cell>
          <cell r="L2369" t="str">
            <v>Narkotika</v>
          </cell>
          <cell r="M2369" t="str">
            <v>KCP KATINGAN</v>
          </cell>
          <cell r="N2369" t="str">
            <v>KC Palangkaraya</v>
          </cell>
          <cell r="O2369" t="str">
            <v>Banjarmasin</v>
          </cell>
          <cell r="P2369" t="str">
            <v>Tidak</v>
          </cell>
          <cell r="Q2369" t="str">
            <v>Tidak</v>
          </cell>
          <cell r="R2369" t="str">
            <v>Pending Approver</v>
          </cell>
          <cell r="S2369" t="str">
            <v>Approved</v>
          </cell>
          <cell r="T2369" t="str">
            <v>90150130 - Intan Aida Pratiwi</v>
          </cell>
          <cell r="U2369" t="str">
            <v>"-"</v>
          </cell>
        </row>
        <row r="2370">
          <cell r="A2370">
            <v>46265</v>
          </cell>
          <cell r="B2370" t="str">
            <v xml:space="preserve">CV CORETRONIC CORP                      </v>
          </cell>
          <cell r="C2370" t="str">
            <v>CY64099</v>
          </cell>
          <cell r="D2370">
            <v>63801001189569</v>
          </cell>
          <cell r="F2370" t="str">
            <v>Tidak</v>
          </cell>
          <cell r="G2370" t="str">
            <v>Tidak</v>
          </cell>
          <cell r="H2370" t="str">
            <v>Tidak</v>
          </cell>
          <cell r="I2370" t="str">
            <v>Business Email Compromise (BEC)</v>
          </cell>
          <cell r="J2370">
            <v>30</v>
          </cell>
          <cell r="K2370">
            <v>13</v>
          </cell>
          <cell r="L2370" t="str">
            <v>Penipuan</v>
          </cell>
          <cell r="M2370" t="str">
            <v xml:space="preserve">KC Stabat                               </v>
          </cell>
          <cell r="N2370" t="str">
            <v xml:space="preserve">KC Stabat                               </v>
          </cell>
          <cell r="O2370" t="str">
            <v xml:space="preserve">Medan                                   </v>
          </cell>
          <cell r="P2370" t="str">
            <v>Tidak</v>
          </cell>
          <cell r="Q2370" t="str">
            <v>Tidak</v>
          </cell>
          <cell r="R2370" t="str">
            <v>Pending Approver</v>
          </cell>
          <cell r="S2370" t="str">
            <v>Approved</v>
          </cell>
          <cell r="T2370" t="str">
            <v>90171841 - Rifqi Aziz</v>
          </cell>
          <cell r="U2370" t="str">
            <v>"-"</v>
          </cell>
        </row>
        <row r="2371">
          <cell r="A2371">
            <v>46265</v>
          </cell>
          <cell r="B2371" t="str">
            <v xml:space="preserve">DENA MEILANDIRA                         </v>
          </cell>
          <cell r="C2371" t="str">
            <v>DCES557</v>
          </cell>
          <cell r="D2371">
            <v>440101034748531</v>
          </cell>
          <cell r="E2371" t="str">
            <v>SEDANG</v>
          </cell>
          <cell r="F2371" t="str">
            <v>Ya</v>
          </cell>
          <cell r="G2371" t="str">
            <v>Tidak</v>
          </cell>
          <cell r="H2371" t="str">
            <v>Tidak</v>
          </cell>
          <cell r="I2371" t="str">
            <v>Pencurian Rekening</v>
          </cell>
          <cell r="J2371">
            <v>49</v>
          </cell>
          <cell r="K2371">
            <v>59</v>
          </cell>
          <cell r="L2371" t="str">
            <v>Perbankan</v>
          </cell>
          <cell r="M2371" t="str">
            <v xml:space="preserve">UNIT CIRACAP SUKABUMI                   </v>
          </cell>
          <cell r="N2371" t="str">
            <v xml:space="preserve">KC Sukabumi                             </v>
          </cell>
          <cell r="O2371" t="str">
            <v xml:space="preserve">Bandung                                 </v>
          </cell>
          <cell r="P2371" t="str">
            <v>Tidak</v>
          </cell>
          <cell r="Q2371" t="str">
            <v>Tidak</v>
          </cell>
          <cell r="R2371" t="str">
            <v>Pending Approver</v>
          </cell>
          <cell r="S2371" t="str">
            <v>Approved</v>
          </cell>
          <cell r="T2371" t="str">
            <v>00394520 - Frida Akbar Rani</v>
          </cell>
          <cell r="U2371" t="str">
            <v>"-"</v>
          </cell>
        </row>
        <row r="2372">
          <cell r="A2372">
            <v>46265</v>
          </cell>
          <cell r="B2372" t="str">
            <v xml:space="preserve">DIDIN                                   </v>
          </cell>
          <cell r="C2372" t="str">
            <v>DFTZ634</v>
          </cell>
          <cell r="D2372">
            <v>88901024705501</v>
          </cell>
          <cell r="F2372" t="str">
            <v>Tidak</v>
          </cell>
          <cell r="G2372" t="str">
            <v>Tidak</v>
          </cell>
          <cell r="H2372" t="str">
            <v>Tidak</v>
          </cell>
          <cell r="I2372" t="str">
            <v>Bandar Judol Withdrawal</v>
          </cell>
          <cell r="J2372">
            <v>35</v>
          </cell>
          <cell r="K2372" t="str">
            <v>86,88,87</v>
          </cell>
          <cell r="L2372" t="str">
            <v>Judi Online</v>
          </cell>
          <cell r="M2372" t="str">
            <v xml:space="preserve">Kas Kanpus                              </v>
          </cell>
          <cell r="N2372" t="str">
            <v xml:space="preserve">Kas Kanpus                              </v>
          </cell>
          <cell r="O2372" t="str">
            <v xml:space="preserve">KAS KANPUS                              </v>
          </cell>
          <cell r="P2372" t="str">
            <v>Ya</v>
          </cell>
          <cell r="Q2372" t="str">
            <v>Ya</v>
          </cell>
          <cell r="R2372" t="str">
            <v>Pending Approver</v>
          </cell>
          <cell r="S2372" t="str">
            <v>Approved</v>
          </cell>
          <cell r="T2372" t="str">
            <v>00336949 - Mochammad Al Farabi</v>
          </cell>
          <cell r="U2372" t="str">
            <v>"-"</v>
          </cell>
        </row>
        <row r="2373">
          <cell r="A2373">
            <v>46265</v>
          </cell>
          <cell r="B2373" t="str">
            <v xml:space="preserve">DWI RAHAYU                              </v>
          </cell>
          <cell r="C2373" t="str">
            <v>DFTN044</v>
          </cell>
          <cell r="D2373">
            <v>485901000019561</v>
          </cell>
          <cell r="F2373" t="str">
            <v>Tidak</v>
          </cell>
          <cell r="G2373" t="str">
            <v>Tidak</v>
          </cell>
          <cell r="H2373" t="str">
            <v>Tidak</v>
          </cell>
          <cell r="I2373" t="str">
            <v>Bandar Judol Withdrawal</v>
          </cell>
          <cell r="J2373">
            <v>35</v>
          </cell>
          <cell r="K2373" t="str">
            <v>86,88,87</v>
          </cell>
          <cell r="L2373" t="str">
            <v>Judi Online</v>
          </cell>
          <cell r="M2373" t="str">
            <v xml:space="preserve">Kas Kanpus                              </v>
          </cell>
          <cell r="N2373" t="str">
            <v xml:space="preserve">Kas Kanpus                              </v>
          </cell>
          <cell r="O2373" t="str">
            <v xml:space="preserve">KAS KANPUS                              </v>
          </cell>
          <cell r="P2373" t="str">
            <v>Ya</v>
          </cell>
          <cell r="Q2373" t="str">
            <v>Ya</v>
          </cell>
          <cell r="R2373" t="str">
            <v>Pending Approver</v>
          </cell>
          <cell r="S2373" t="str">
            <v>Approved</v>
          </cell>
          <cell r="T2373" t="str">
            <v>90171841 - Rifqi Aziz</v>
          </cell>
          <cell r="U2373" t="str">
            <v>"-"</v>
          </cell>
        </row>
        <row r="2374">
          <cell r="A2374">
            <v>46265</v>
          </cell>
          <cell r="B2374" t="str">
            <v xml:space="preserve">CENDI TRIAWAN                           </v>
          </cell>
          <cell r="C2374" t="str">
            <v>CS51544</v>
          </cell>
          <cell r="D2374">
            <v>222401019238509</v>
          </cell>
          <cell r="E2374" t="str">
            <v>SEDANG</v>
          </cell>
          <cell r="F2374" t="str">
            <v>Tidak</v>
          </cell>
          <cell r="G2374" t="str">
            <v>Tidak</v>
          </cell>
          <cell r="H2374" t="str">
            <v>Tidak</v>
          </cell>
          <cell r="I2374" t="str">
            <v>Bandar Judol Withdrawal</v>
          </cell>
          <cell r="J2374">
            <v>50</v>
          </cell>
          <cell r="K2374" t="str">
            <v>86,88,87</v>
          </cell>
          <cell r="L2374" t="str">
            <v>Judi Online</v>
          </cell>
          <cell r="M2374" t="str">
            <v xml:space="preserve">Kas Kanpus                              </v>
          </cell>
          <cell r="N2374" t="str">
            <v xml:space="preserve">Kas Kanpus                              </v>
          </cell>
          <cell r="O2374" t="str">
            <v xml:space="preserve">KAS KANPUS                              </v>
          </cell>
          <cell r="P2374" t="str">
            <v>Ya</v>
          </cell>
          <cell r="Q2374" t="str">
            <v>Tidak</v>
          </cell>
          <cell r="R2374" t="str">
            <v>Pending Approver</v>
          </cell>
          <cell r="S2374" t="str">
            <v>Approved</v>
          </cell>
          <cell r="T2374" t="str">
            <v>00336949 - Mochammad Al Farabi</v>
          </cell>
          <cell r="U2374" t="str">
            <v>"-"</v>
          </cell>
        </row>
        <row r="2375">
          <cell r="A2375">
            <v>46265</v>
          </cell>
          <cell r="B2375" t="str">
            <v xml:space="preserve">BERNADETTA ANGRIANI SIHOTANG            </v>
          </cell>
          <cell r="C2375" t="str">
            <v>BDK3466</v>
          </cell>
          <cell r="D2375">
            <v>532401000011561</v>
          </cell>
          <cell r="E2375" t="str">
            <v>SEDANG</v>
          </cell>
          <cell r="F2375" t="str">
            <v>Tidak</v>
          </cell>
          <cell r="G2375" t="str">
            <v>Tidak</v>
          </cell>
          <cell r="H2375" t="str">
            <v>Tidak</v>
          </cell>
          <cell r="I2375" t="str">
            <v>Bandar Judol Withdrawal</v>
          </cell>
          <cell r="J2375">
            <v>50</v>
          </cell>
          <cell r="K2375" t="str">
            <v>86,88,87</v>
          </cell>
          <cell r="L2375" t="str">
            <v>Judi Online</v>
          </cell>
          <cell r="M2375" t="str">
            <v xml:space="preserve">Kas Kanpus                              </v>
          </cell>
          <cell r="N2375" t="str">
            <v xml:space="preserve">Kas Kanpus                              </v>
          </cell>
          <cell r="O2375" t="str">
            <v xml:space="preserve">KAS KANPUS                              </v>
          </cell>
          <cell r="P2375" t="str">
            <v>Ya</v>
          </cell>
          <cell r="Q2375" t="str">
            <v>Ya</v>
          </cell>
          <cell r="R2375" t="str">
            <v>Pending Approver</v>
          </cell>
          <cell r="S2375" t="str">
            <v>Approved</v>
          </cell>
          <cell r="T2375" t="str">
            <v>00394521 - Muhammad Hibbanduta</v>
          </cell>
          <cell r="U2375" t="str">
            <v>"-"</v>
          </cell>
        </row>
        <row r="2376">
          <cell r="A2376">
            <v>46265</v>
          </cell>
          <cell r="B2376" t="str">
            <v xml:space="preserve">AI NINING                               </v>
          </cell>
          <cell r="C2376" t="str">
            <v>ANOP975</v>
          </cell>
          <cell r="D2376">
            <v>110701012375505</v>
          </cell>
          <cell r="E2376" t="str">
            <v>SEDANG</v>
          </cell>
          <cell r="F2376" t="str">
            <v>Tidak</v>
          </cell>
          <cell r="G2376" t="str">
            <v>Tidak</v>
          </cell>
          <cell r="H2376" t="str">
            <v>Tidak</v>
          </cell>
          <cell r="I2376" t="str">
            <v>Bandar Judol Withdrawal</v>
          </cell>
          <cell r="J2376">
            <v>50</v>
          </cell>
          <cell r="K2376" t="str">
            <v>86,88,87</v>
          </cell>
          <cell r="L2376" t="str">
            <v>Judi Online</v>
          </cell>
          <cell r="M2376" t="str">
            <v xml:space="preserve">Kas Kanpus                              </v>
          </cell>
          <cell r="N2376" t="str">
            <v xml:space="preserve">Kas Kanpus                              </v>
          </cell>
          <cell r="O2376" t="str">
            <v xml:space="preserve">KAS KANPUS                              </v>
          </cell>
          <cell r="P2376" t="str">
            <v>Tidak</v>
          </cell>
          <cell r="Q2376" t="str">
            <v>Tidak</v>
          </cell>
          <cell r="R2376" t="str">
            <v>Pending Approver</v>
          </cell>
          <cell r="S2376" t="str">
            <v>Approved</v>
          </cell>
          <cell r="T2376" t="str">
            <v>90171841 - Rifqi Aziz</v>
          </cell>
          <cell r="U2376" t="str">
            <v>"-"</v>
          </cell>
        </row>
        <row r="2377">
          <cell r="A2377">
            <v>46265</v>
          </cell>
          <cell r="B2377" t="str">
            <v xml:space="preserve">ARI ARIPIN                              </v>
          </cell>
          <cell r="C2377" t="str">
            <v>ACPOV96</v>
          </cell>
          <cell r="D2377">
            <v>40701044891508</v>
          </cell>
          <cell r="E2377" t="str">
            <v>SEDANG</v>
          </cell>
          <cell r="F2377" t="str">
            <v>Tidak</v>
          </cell>
          <cell r="G2377" t="str">
            <v>Tidak</v>
          </cell>
          <cell r="H2377" t="str">
            <v>Tidak</v>
          </cell>
          <cell r="I2377" t="str">
            <v>Bandar Judol Withdrawal</v>
          </cell>
          <cell r="J2377">
            <v>50</v>
          </cell>
          <cell r="K2377" t="str">
            <v>86,88,87</v>
          </cell>
          <cell r="L2377" t="str">
            <v>Judi Online</v>
          </cell>
          <cell r="M2377" t="str">
            <v xml:space="preserve">Kas Kanpus                              </v>
          </cell>
          <cell r="N2377" t="str">
            <v xml:space="preserve">Kas Kanpus                              </v>
          </cell>
          <cell r="O2377" t="str">
            <v xml:space="preserve">KAS KANPUS                              </v>
          </cell>
          <cell r="P2377" t="str">
            <v>Ya</v>
          </cell>
          <cell r="Q2377" t="str">
            <v>Ya</v>
          </cell>
          <cell r="R2377" t="str">
            <v>Pending Approver</v>
          </cell>
          <cell r="S2377" t="str">
            <v>Approved</v>
          </cell>
          <cell r="T2377" t="str">
            <v>90171841 - Rifqi Aziz</v>
          </cell>
          <cell r="U2377" t="str">
            <v>"-"</v>
          </cell>
        </row>
        <row r="2378">
          <cell r="A2378">
            <v>46265</v>
          </cell>
          <cell r="B2378" t="str">
            <v xml:space="preserve">ANITA                                   </v>
          </cell>
          <cell r="C2378" t="str">
            <v>ADRFJ37</v>
          </cell>
          <cell r="D2378">
            <v>222401010361533</v>
          </cell>
          <cell r="F2378" t="str">
            <v>Tidak</v>
          </cell>
          <cell r="G2378" t="str">
            <v>Tidak</v>
          </cell>
          <cell r="H2378" t="str">
            <v>Tidak</v>
          </cell>
          <cell r="I2378" t="str">
            <v>Bandar Judol Withdrawal</v>
          </cell>
          <cell r="J2378">
            <v>35</v>
          </cell>
          <cell r="K2378" t="str">
            <v>86,88,87</v>
          </cell>
          <cell r="L2378" t="str">
            <v>Judi Online</v>
          </cell>
          <cell r="M2378" t="str">
            <v xml:space="preserve">Kas Kanpus                              </v>
          </cell>
          <cell r="N2378" t="str">
            <v xml:space="preserve">Kas Kanpus                              </v>
          </cell>
          <cell r="O2378" t="str">
            <v xml:space="preserve">KAS KANPUS                              </v>
          </cell>
          <cell r="P2378" t="str">
            <v>Ya</v>
          </cell>
          <cell r="Q2378" t="str">
            <v>Ya</v>
          </cell>
          <cell r="R2378" t="str">
            <v>Pending Approver</v>
          </cell>
          <cell r="S2378" t="str">
            <v>Approved</v>
          </cell>
          <cell r="T2378" t="str">
            <v>90171841 - Rifqi Aziz</v>
          </cell>
          <cell r="U2378" t="str">
            <v>"-"</v>
          </cell>
        </row>
        <row r="2379">
          <cell r="A2379">
            <v>46265</v>
          </cell>
          <cell r="B2379" t="str">
            <v xml:space="preserve">AHMAD ISMAIL                            </v>
          </cell>
          <cell r="C2379" t="str">
            <v>ACMBT40</v>
          </cell>
          <cell r="D2379">
            <v>88901022498506</v>
          </cell>
          <cell r="E2379" t="str">
            <v>SEDANG</v>
          </cell>
          <cell r="F2379" t="str">
            <v>Tidak</v>
          </cell>
          <cell r="G2379" t="str">
            <v>Tidak</v>
          </cell>
          <cell r="H2379" t="str">
            <v>Tidak</v>
          </cell>
          <cell r="I2379" t="str">
            <v>Bandar Judol Withdrawal</v>
          </cell>
          <cell r="J2379">
            <v>50</v>
          </cell>
          <cell r="K2379" t="str">
            <v>86,88,87</v>
          </cell>
          <cell r="L2379" t="str">
            <v>Judi Online</v>
          </cell>
          <cell r="M2379" t="str">
            <v xml:space="preserve">Kas Kanpus                              </v>
          </cell>
          <cell r="N2379" t="str">
            <v xml:space="preserve">Kas Kanpus                              </v>
          </cell>
          <cell r="O2379" t="str">
            <v xml:space="preserve">KAS KANPUS                              </v>
          </cell>
          <cell r="P2379" t="str">
            <v>Ya</v>
          </cell>
          <cell r="Q2379" t="str">
            <v>Tidak</v>
          </cell>
          <cell r="R2379" t="str">
            <v>Pending Approver</v>
          </cell>
          <cell r="S2379" t="str">
            <v>Approved</v>
          </cell>
          <cell r="T2379" t="str">
            <v>00336949 - Mochammad Al Farabi</v>
          </cell>
          <cell r="U2379" t="str">
            <v>"-"</v>
          </cell>
        </row>
        <row r="2380">
          <cell r="A2380">
            <v>46265</v>
          </cell>
          <cell r="B2380" t="str">
            <v xml:space="preserve">ANUGERAH MULIA SEJAHTERA FOODS SERVICES </v>
          </cell>
          <cell r="C2380" t="str">
            <v>ACCRF27</v>
          </cell>
          <cell r="D2380">
            <v>55301001880309</v>
          </cell>
          <cell r="E2380" t="str">
            <v>TINGGI</v>
          </cell>
          <cell r="F2380" t="str">
            <v>Tidak</v>
          </cell>
          <cell r="G2380" t="str">
            <v>Tidak</v>
          </cell>
          <cell r="H2380" t="str">
            <v>Tidak</v>
          </cell>
          <cell r="I2380" t="str">
            <v>Perpajakan</v>
          </cell>
          <cell r="J2380">
            <v>63</v>
          </cell>
          <cell r="K2380">
            <v>41</v>
          </cell>
          <cell r="L2380" t="str">
            <v>Perpajakan</v>
          </cell>
          <cell r="M2380" t="str">
            <v xml:space="preserve">KC Krian                                </v>
          </cell>
          <cell r="N2380" t="str">
            <v xml:space="preserve">KC Krian                                </v>
          </cell>
          <cell r="O2380" t="str">
            <v xml:space="preserve">Surabaya                                </v>
          </cell>
          <cell r="P2380" t="str">
            <v>Tidak</v>
          </cell>
          <cell r="Q2380" t="str">
            <v>Tidak</v>
          </cell>
          <cell r="R2380" t="str">
            <v>Pending Approver</v>
          </cell>
          <cell r="S2380" t="str">
            <v>Approved</v>
          </cell>
          <cell r="T2380" t="str">
            <v>90186790 - Muhammad Alfin Farha</v>
          </cell>
          <cell r="U2380" t="str">
            <v>"-"</v>
          </cell>
        </row>
        <row r="2381">
          <cell r="A2381">
            <v>46265</v>
          </cell>
          <cell r="B2381" t="str">
            <v xml:space="preserve">APRIL YANTO                             </v>
          </cell>
          <cell r="C2381" t="str">
            <v>ABZIM31</v>
          </cell>
          <cell r="D2381">
            <v>5901003708565</v>
          </cell>
          <cell r="E2381" t="str">
            <v>SEDANG</v>
          </cell>
          <cell r="F2381" t="str">
            <v>Tidak</v>
          </cell>
          <cell r="G2381" t="str">
            <v>Tidak</v>
          </cell>
          <cell r="H2381" t="str">
            <v>Tidak</v>
          </cell>
          <cell r="I2381" t="str">
            <v>Bandar Judol Withdrawal</v>
          </cell>
          <cell r="J2381">
            <v>50</v>
          </cell>
          <cell r="K2381" t="str">
            <v>86,88,87</v>
          </cell>
          <cell r="L2381" t="str">
            <v>Judi Online</v>
          </cell>
          <cell r="M2381" t="str">
            <v xml:space="preserve">Kas Kanpus                              </v>
          </cell>
          <cell r="N2381" t="str">
            <v xml:space="preserve">Kas Kanpus                              </v>
          </cell>
          <cell r="O2381" t="str">
            <v xml:space="preserve">KAS KANPUS                              </v>
          </cell>
          <cell r="P2381" t="str">
            <v>Ya</v>
          </cell>
          <cell r="R2381" t="str">
            <v>Done</v>
          </cell>
          <cell r="S2381" t="str">
            <v>Belum TL</v>
          </cell>
          <cell r="T2381" t="str">
            <v>90186790 - Muhammad Alfin Farha</v>
          </cell>
          <cell r="U2381" t="str">
            <v>"-"</v>
          </cell>
        </row>
        <row r="2382">
          <cell r="A2382">
            <v>46265</v>
          </cell>
          <cell r="B2382" t="str">
            <v xml:space="preserve">ALFAN SULAEMAN                          </v>
          </cell>
          <cell r="C2382" t="str">
            <v>ABZQY58</v>
          </cell>
          <cell r="D2382">
            <v>41701001110302</v>
          </cell>
          <cell r="E2382" t="str">
            <v>SEDANG</v>
          </cell>
          <cell r="F2382" t="str">
            <v>Tidak</v>
          </cell>
          <cell r="G2382" t="str">
            <v>Tidak</v>
          </cell>
          <cell r="H2382" t="str">
            <v>Tidak</v>
          </cell>
          <cell r="I2382" t="str">
            <v>High Transaction Custodian</v>
          </cell>
          <cell r="J2382">
            <v>46</v>
          </cell>
          <cell r="K2382">
            <v>32</v>
          </cell>
          <cell r="L2382" t="str">
            <v>Kustodian</v>
          </cell>
          <cell r="M2382" t="str">
            <v>Kas Kanpus</v>
          </cell>
          <cell r="N2382" t="str">
            <v>Kas Kanpus</v>
          </cell>
          <cell r="O2382" t="str">
            <v>KAS KANPUS</v>
          </cell>
          <cell r="P2382" t="str">
            <v>Tidak</v>
          </cell>
          <cell r="R2382" t="str">
            <v>Done</v>
          </cell>
          <cell r="S2382" t="str">
            <v>Belum TL</v>
          </cell>
          <cell r="T2382" t="str">
            <v>90186796 - Devito Arya Wiradila</v>
          </cell>
          <cell r="U2382" t="str">
            <v>"-"</v>
          </cell>
        </row>
        <row r="2383">
          <cell r="A2383">
            <v>46265</v>
          </cell>
          <cell r="B2383" t="str">
            <v xml:space="preserve">AKBAR SURYA DINATA                      </v>
          </cell>
          <cell r="C2383" t="str">
            <v>ACDGY13</v>
          </cell>
          <cell r="D2383">
            <v>379601007261504</v>
          </cell>
          <cell r="E2383" t="str">
            <v>SEDANG</v>
          </cell>
          <cell r="F2383" t="str">
            <v>Tidak</v>
          </cell>
          <cell r="G2383" t="str">
            <v>Tidak</v>
          </cell>
          <cell r="H2383" t="str">
            <v>Tidak</v>
          </cell>
          <cell r="I2383" t="str">
            <v>Bandar Judol Withdrawal</v>
          </cell>
          <cell r="J2383">
            <v>50</v>
          </cell>
          <cell r="K2383" t="str">
            <v>86,88,87</v>
          </cell>
          <cell r="L2383" t="str">
            <v>Judi Online</v>
          </cell>
          <cell r="M2383" t="str">
            <v xml:space="preserve">Kas Kanpus                              </v>
          </cell>
          <cell r="N2383" t="str">
            <v xml:space="preserve">Kas Kanpus                              </v>
          </cell>
          <cell r="O2383" t="str">
            <v xml:space="preserve">KAS KANPUS                              </v>
          </cell>
          <cell r="P2383" t="str">
            <v>Ya</v>
          </cell>
          <cell r="R2383" t="str">
            <v>Done</v>
          </cell>
          <cell r="S2383" t="str">
            <v>Belum TL</v>
          </cell>
          <cell r="T2383" t="str">
            <v>90185538 - Muhammad Fahikal Auz</v>
          </cell>
          <cell r="U2383" t="str">
            <v>"-"</v>
          </cell>
        </row>
        <row r="2384">
          <cell r="A2384">
            <v>46265</v>
          </cell>
          <cell r="B2384" t="str">
            <v xml:space="preserve">AFIFA DWI ANGGRAINI                     </v>
          </cell>
          <cell r="C2384" t="str">
            <v>ACHYU06</v>
          </cell>
          <cell r="D2384">
            <v>151601031277507</v>
          </cell>
          <cell r="E2384" t="str">
            <v>SEDANG</v>
          </cell>
          <cell r="F2384" t="str">
            <v>Tidak</v>
          </cell>
          <cell r="G2384" t="str">
            <v>Tidak</v>
          </cell>
          <cell r="H2384" t="str">
            <v>Tidak</v>
          </cell>
          <cell r="I2384" t="str">
            <v>Bandar Judol Withdrawal</v>
          </cell>
          <cell r="J2384">
            <v>50</v>
          </cell>
          <cell r="K2384" t="str">
            <v>86,88,87</v>
          </cell>
          <cell r="L2384" t="str">
            <v>Judi Online</v>
          </cell>
          <cell r="M2384" t="str">
            <v xml:space="preserve">Kas Kanpus                              </v>
          </cell>
          <cell r="N2384" t="str">
            <v xml:space="preserve">Kas Kanpus                              </v>
          </cell>
          <cell r="O2384" t="str">
            <v xml:space="preserve">KAS KANPUS                              </v>
          </cell>
          <cell r="P2384" t="str">
            <v>Ya</v>
          </cell>
          <cell r="R2384" t="str">
            <v>Done</v>
          </cell>
          <cell r="S2384" t="str">
            <v>Belum TL</v>
          </cell>
          <cell r="T2384" t="str">
            <v>90186790 - Muhammad Alfin Farha</v>
          </cell>
          <cell r="U2384" t="str">
            <v>"-"</v>
          </cell>
        </row>
        <row r="2385">
          <cell r="A2385">
            <v>46265</v>
          </cell>
          <cell r="B2385" t="str">
            <v xml:space="preserve">A.SRIWAHYUNINGSI                        </v>
          </cell>
          <cell r="C2385" t="str">
            <v>ABLI741</v>
          </cell>
          <cell r="D2385">
            <v>363401030969533</v>
          </cell>
          <cell r="E2385" t="str">
            <v>SEDANG</v>
          </cell>
          <cell r="F2385" t="str">
            <v>Tidak</v>
          </cell>
          <cell r="G2385" t="str">
            <v>Tidak</v>
          </cell>
          <cell r="H2385" t="str">
            <v>Tidak</v>
          </cell>
          <cell r="I2385" t="str">
            <v>Bandar Judol Depo</v>
          </cell>
          <cell r="J2385">
            <v>50</v>
          </cell>
          <cell r="K2385" t="str">
            <v>86,74,87</v>
          </cell>
          <cell r="L2385" t="str">
            <v>Judi Online</v>
          </cell>
          <cell r="M2385" t="str">
            <v xml:space="preserve">Kas Kanpus                              </v>
          </cell>
          <cell r="N2385" t="str">
            <v xml:space="preserve">Kas Kanpus                              </v>
          </cell>
          <cell r="O2385" t="str">
            <v xml:space="preserve">KAS KANPUS                              </v>
          </cell>
          <cell r="P2385" t="str">
            <v>Tidak</v>
          </cell>
          <cell r="R2385" t="str">
            <v>Done</v>
          </cell>
          <cell r="S2385" t="str">
            <v>Belum TL</v>
          </cell>
          <cell r="T2385" t="str">
            <v>90150130 - Intan Aida Pratiwi</v>
          </cell>
          <cell r="U2385" t="str">
            <v>"-"</v>
          </cell>
        </row>
        <row r="2386">
          <cell r="A2386">
            <v>46265</v>
          </cell>
          <cell r="B2386" t="str">
            <v xml:space="preserve">ANDI M CHARU HUSSEIN                    </v>
          </cell>
          <cell r="C2386" t="str">
            <v>ACFRH25</v>
          </cell>
          <cell r="D2386">
            <v>332901002984504</v>
          </cell>
          <cell r="E2386" t="str">
            <v>SEDANG</v>
          </cell>
          <cell r="F2386" t="str">
            <v>Tidak</v>
          </cell>
          <cell r="G2386" t="str">
            <v>Tidak</v>
          </cell>
          <cell r="H2386" t="str">
            <v>Tidak</v>
          </cell>
          <cell r="I2386" t="str">
            <v>Bandar Judol Depo</v>
          </cell>
          <cell r="J2386">
            <v>50</v>
          </cell>
          <cell r="K2386" t="str">
            <v>86,74,87</v>
          </cell>
          <cell r="L2386" t="str">
            <v>Judi Online</v>
          </cell>
          <cell r="M2386" t="str">
            <v xml:space="preserve">Kas Kanpus                              </v>
          </cell>
          <cell r="N2386" t="str">
            <v xml:space="preserve">Kas Kanpus                              </v>
          </cell>
          <cell r="O2386" t="str">
            <v xml:space="preserve">KAS KANPUS                              </v>
          </cell>
          <cell r="P2386" t="str">
            <v>Ya</v>
          </cell>
          <cell r="R2386" t="str">
            <v>Done</v>
          </cell>
          <cell r="S2386" t="str">
            <v>Belum TL</v>
          </cell>
          <cell r="T2386" t="str">
            <v>90171841 - Rifqi Aziz</v>
          </cell>
          <cell r="U2386" t="str">
            <v>"-"</v>
          </cell>
        </row>
        <row r="2387">
          <cell r="A2387">
            <v>46265</v>
          </cell>
          <cell r="B2387" t="str">
            <v xml:space="preserve">ANDINI                                  </v>
          </cell>
          <cell r="C2387" t="str">
            <v>ABUYY53</v>
          </cell>
          <cell r="D2387">
            <v>530401042391531</v>
          </cell>
          <cell r="E2387" t="str">
            <v>SEDANG</v>
          </cell>
          <cell r="F2387" t="str">
            <v>Tidak</v>
          </cell>
          <cell r="G2387" t="str">
            <v>Tidak</v>
          </cell>
          <cell r="H2387" t="str">
            <v>Tidak</v>
          </cell>
          <cell r="I2387" t="str">
            <v>Bandar Judol Withdrawal</v>
          </cell>
          <cell r="J2387">
            <v>50</v>
          </cell>
          <cell r="K2387" t="str">
            <v>86,88,87</v>
          </cell>
          <cell r="L2387" t="str">
            <v>Judi Online</v>
          </cell>
          <cell r="M2387" t="str">
            <v xml:space="preserve">Kas Kanpus                              </v>
          </cell>
          <cell r="N2387" t="str">
            <v xml:space="preserve">Kas Kanpus                              </v>
          </cell>
          <cell r="O2387" t="str">
            <v xml:space="preserve">KAS KANPUS                              </v>
          </cell>
          <cell r="P2387" t="str">
            <v>Ya</v>
          </cell>
          <cell r="R2387" t="str">
            <v>Done</v>
          </cell>
          <cell r="S2387" t="str">
            <v>Belum TL</v>
          </cell>
          <cell r="T2387" t="str">
            <v>00394521 - Muhammad Hibbanduta</v>
          </cell>
          <cell r="U2387" t="str">
            <v>"-"</v>
          </cell>
        </row>
        <row r="2388">
          <cell r="A2388">
            <v>46265</v>
          </cell>
          <cell r="B2388" t="str">
            <v xml:space="preserve">AYU PUSPITASARI                         </v>
          </cell>
          <cell r="C2388" t="str">
            <v>ABVCP88</v>
          </cell>
          <cell r="D2388">
            <v>804201041152537</v>
          </cell>
          <cell r="E2388" t="str">
            <v>SEDANG</v>
          </cell>
          <cell r="F2388" t="str">
            <v>Tidak</v>
          </cell>
          <cell r="G2388" t="str">
            <v>Tidak</v>
          </cell>
          <cell r="H2388" t="str">
            <v>Tidak</v>
          </cell>
          <cell r="I2388" t="str">
            <v>Bandar Judol Depo</v>
          </cell>
          <cell r="J2388">
            <v>50</v>
          </cell>
          <cell r="K2388" t="str">
            <v>86,74,87</v>
          </cell>
          <cell r="L2388" t="str">
            <v>Judi Online</v>
          </cell>
          <cell r="M2388" t="str">
            <v xml:space="preserve">Kas Kanpus                              </v>
          </cell>
          <cell r="N2388" t="str">
            <v xml:space="preserve">Kas Kanpus                              </v>
          </cell>
          <cell r="O2388" t="str">
            <v xml:space="preserve">KAS KANPUS                              </v>
          </cell>
          <cell r="P2388" t="str">
            <v>Ya</v>
          </cell>
          <cell r="R2388" t="str">
            <v>Done</v>
          </cell>
          <cell r="S2388" t="str">
            <v>Belum TL</v>
          </cell>
          <cell r="T2388" t="str">
            <v>90185537 - Moh.Khoerul Fajar Ar</v>
          </cell>
          <cell r="U2388" t="str">
            <v>"-"</v>
          </cell>
        </row>
        <row r="2389">
          <cell r="A2389">
            <v>46265</v>
          </cell>
          <cell r="B2389" t="str">
            <v xml:space="preserve">ALFIN SUSANTO                           </v>
          </cell>
          <cell r="C2389" t="str">
            <v>ABPKA14</v>
          </cell>
          <cell r="D2389">
            <v>370501002721508</v>
          </cell>
          <cell r="E2389" t="str">
            <v>SEDANG</v>
          </cell>
          <cell r="F2389" t="str">
            <v>Tidak</v>
          </cell>
          <cell r="G2389" t="str">
            <v>Tidak</v>
          </cell>
          <cell r="H2389" t="str">
            <v>Tidak</v>
          </cell>
          <cell r="I2389" t="str">
            <v>Bandar Judol Withdrawal</v>
          </cell>
          <cell r="J2389">
            <v>50</v>
          </cell>
          <cell r="K2389" t="str">
            <v>86,88,87</v>
          </cell>
          <cell r="L2389" t="str">
            <v>Judi Online</v>
          </cell>
          <cell r="M2389" t="str">
            <v xml:space="preserve">Kas Kanpus                              </v>
          </cell>
          <cell r="N2389" t="str">
            <v xml:space="preserve">Kas Kanpus                              </v>
          </cell>
          <cell r="O2389" t="str">
            <v xml:space="preserve">KAS KANPUS                              </v>
          </cell>
          <cell r="P2389" t="str">
            <v>Ya</v>
          </cell>
          <cell r="R2389" t="str">
            <v>Done</v>
          </cell>
          <cell r="S2389" t="str">
            <v>Belum TL</v>
          </cell>
          <cell r="T2389" t="str">
            <v>00394521 - Muhammad Hibbanduta</v>
          </cell>
          <cell r="U2389" t="str">
            <v>"-"</v>
          </cell>
        </row>
        <row r="2390">
          <cell r="A2390">
            <v>46265</v>
          </cell>
          <cell r="B2390" t="str">
            <v xml:space="preserve">ATIB                                    </v>
          </cell>
          <cell r="C2390" t="str">
            <v>ABCUZ73</v>
          </cell>
          <cell r="D2390">
            <v>708701032289538</v>
          </cell>
          <cell r="E2390" t="str">
            <v>SEDANG</v>
          </cell>
          <cell r="F2390" t="str">
            <v>Tidak</v>
          </cell>
          <cell r="G2390" t="str">
            <v>Tidak</v>
          </cell>
          <cell r="H2390" t="str">
            <v>Ya</v>
          </cell>
          <cell r="I2390" t="str">
            <v>Bandar Judol Depo</v>
          </cell>
          <cell r="J2390">
            <v>50</v>
          </cell>
          <cell r="K2390" t="str">
            <v>86,74,87</v>
          </cell>
          <cell r="L2390" t="str">
            <v>Judi Online</v>
          </cell>
          <cell r="M2390" t="str">
            <v xml:space="preserve">Kas Kanpus                              </v>
          </cell>
          <cell r="N2390" t="str">
            <v xml:space="preserve">Kas Kanpus                              </v>
          </cell>
          <cell r="O2390" t="str">
            <v xml:space="preserve">KAS KANPUS                              </v>
          </cell>
          <cell r="P2390" t="str">
            <v>Ya</v>
          </cell>
          <cell r="R2390" t="str">
            <v>Done</v>
          </cell>
          <cell r="S2390" t="str">
            <v>Belum TL</v>
          </cell>
          <cell r="T2390" t="str">
            <v>90186796 - Devito Arya Wiradila</v>
          </cell>
          <cell r="U2390" t="str">
            <v>"-"</v>
          </cell>
        </row>
        <row r="2391">
          <cell r="A2391">
            <v>46265</v>
          </cell>
          <cell r="B2391" t="str">
            <v xml:space="preserve">AZIZ RAMADHAN                           </v>
          </cell>
          <cell r="C2391" t="str">
            <v>AAWLJ75</v>
          </cell>
          <cell r="D2391">
            <v>154201001722501</v>
          </cell>
          <cell r="E2391" t="str">
            <v>SEDANG</v>
          </cell>
          <cell r="F2391" t="str">
            <v>Tidak</v>
          </cell>
          <cell r="G2391" t="str">
            <v>Tidak</v>
          </cell>
          <cell r="H2391" t="str">
            <v>Tidak</v>
          </cell>
          <cell r="I2391" t="str">
            <v>Bandar Judol Withdrawal</v>
          </cell>
          <cell r="J2391">
            <v>50</v>
          </cell>
          <cell r="K2391" t="str">
            <v>86,88,87</v>
          </cell>
          <cell r="L2391" t="str">
            <v>Judi Online</v>
          </cell>
          <cell r="M2391" t="str">
            <v xml:space="preserve">Kas Kanpus                              </v>
          </cell>
          <cell r="N2391" t="str">
            <v xml:space="preserve">Kas Kanpus                              </v>
          </cell>
          <cell r="O2391" t="str">
            <v xml:space="preserve">KAS KANPUS                              </v>
          </cell>
          <cell r="P2391" t="str">
            <v>Ya</v>
          </cell>
          <cell r="R2391" t="str">
            <v>Done</v>
          </cell>
          <cell r="S2391" t="str">
            <v>Belum TL</v>
          </cell>
          <cell r="T2391" t="str">
            <v>90185537 - Moh.Khoerul Fajar Ar</v>
          </cell>
          <cell r="U2391" t="str">
            <v>"-"</v>
          </cell>
        </row>
        <row r="2392">
          <cell r="A2392">
            <v>46265</v>
          </cell>
          <cell r="B2392" t="str">
            <v xml:space="preserve">BRI ASURANSI INDONESIA                  </v>
          </cell>
          <cell r="C2392" t="str">
            <v>AAVH029</v>
          </cell>
          <cell r="D2392">
            <v>34101001324306</v>
          </cell>
          <cell r="E2392" t="str">
            <v>SEDANG</v>
          </cell>
          <cell r="F2392" t="str">
            <v>Tidak</v>
          </cell>
          <cell r="G2392" t="str">
            <v>Tidak</v>
          </cell>
          <cell r="H2392" t="str">
            <v>Tidak</v>
          </cell>
          <cell r="I2392" t="str">
            <v>Bandar Judol Depo</v>
          </cell>
          <cell r="J2392">
            <v>50</v>
          </cell>
          <cell r="K2392" t="str">
            <v>86,74,87</v>
          </cell>
          <cell r="L2392" t="str">
            <v>Judi Online</v>
          </cell>
          <cell r="M2392" t="str">
            <v xml:space="preserve">Kas Kanpus                              </v>
          </cell>
          <cell r="N2392" t="str">
            <v xml:space="preserve">Kas Kanpus                              </v>
          </cell>
          <cell r="O2392" t="str">
            <v xml:space="preserve">KAS KANPUS                              </v>
          </cell>
          <cell r="P2392" t="str">
            <v>Tidak</v>
          </cell>
          <cell r="R2392" t="str">
            <v>Done</v>
          </cell>
          <cell r="S2392" t="str">
            <v>Belum TL</v>
          </cell>
          <cell r="T2392" t="str">
            <v>00394520 - Frida Akbar Rani</v>
          </cell>
          <cell r="U2392" t="str">
            <v>"-"</v>
          </cell>
        </row>
        <row r="2393">
          <cell r="A2393">
            <v>46265</v>
          </cell>
          <cell r="B2393" t="str">
            <v xml:space="preserve">BRI ASURANSI INDONESIA                  </v>
          </cell>
          <cell r="C2393" t="str">
            <v>AAVH029</v>
          </cell>
          <cell r="D2393">
            <v>118501000150305</v>
          </cell>
          <cell r="E2393" t="str">
            <v>SEDANG</v>
          </cell>
          <cell r="F2393" t="str">
            <v>Tidak</v>
          </cell>
          <cell r="G2393" t="str">
            <v>Tidak</v>
          </cell>
          <cell r="H2393" t="str">
            <v>Tidak</v>
          </cell>
          <cell r="I2393" t="str">
            <v>Bandar Judol Depo</v>
          </cell>
          <cell r="J2393">
            <v>50</v>
          </cell>
          <cell r="K2393" t="str">
            <v>86,74,87</v>
          </cell>
          <cell r="L2393" t="str">
            <v>Judi Online</v>
          </cell>
          <cell r="M2393" t="str">
            <v xml:space="preserve">Kas Kanpus                              </v>
          </cell>
          <cell r="N2393" t="str">
            <v xml:space="preserve">Kas Kanpus                              </v>
          </cell>
          <cell r="O2393" t="str">
            <v xml:space="preserve">KAS KANPUS                              </v>
          </cell>
          <cell r="P2393" t="str">
            <v>Tidak</v>
          </cell>
          <cell r="R2393" t="str">
            <v>Done</v>
          </cell>
          <cell r="S2393" t="str">
            <v>Belum TL</v>
          </cell>
          <cell r="T2393" t="str">
            <v>90170665 - Mutiara Ayuningtyas</v>
          </cell>
          <cell r="U2393" t="str">
            <v>"-"</v>
          </cell>
        </row>
        <row r="2394">
          <cell r="A2394">
            <v>46265</v>
          </cell>
          <cell r="B2394" t="str">
            <v xml:space="preserve">ARIHYANTO                               </v>
          </cell>
          <cell r="C2394" t="str">
            <v>AASHQ08</v>
          </cell>
          <cell r="D2394">
            <v>19301112254506</v>
          </cell>
          <cell r="E2394" t="str">
            <v>SEDANG</v>
          </cell>
          <cell r="F2394" t="str">
            <v>Tidak</v>
          </cell>
          <cell r="G2394" t="str">
            <v>Tidak</v>
          </cell>
          <cell r="H2394" t="str">
            <v>Tidak</v>
          </cell>
          <cell r="I2394" t="str">
            <v>Bandar Judol Withdrawal</v>
          </cell>
          <cell r="J2394">
            <v>50</v>
          </cell>
          <cell r="K2394" t="str">
            <v>86,88,87</v>
          </cell>
          <cell r="L2394" t="str">
            <v>Judi Online</v>
          </cell>
          <cell r="M2394" t="str">
            <v xml:space="preserve">Kas Kanpus                              </v>
          </cell>
          <cell r="N2394" t="str">
            <v xml:space="preserve">Kas Kanpus                              </v>
          </cell>
          <cell r="O2394" t="str">
            <v xml:space="preserve">KAS KANPUS                              </v>
          </cell>
          <cell r="P2394" t="str">
            <v>Ya</v>
          </cell>
          <cell r="R2394" t="str">
            <v>Done</v>
          </cell>
          <cell r="S2394" t="str">
            <v>Belum TL</v>
          </cell>
          <cell r="T2394" t="str">
            <v>90186790 - Muhammad Alfin Farha</v>
          </cell>
          <cell r="U2394" t="str">
            <v>"-"</v>
          </cell>
        </row>
        <row r="2395">
          <cell r="A2395">
            <v>46265</v>
          </cell>
          <cell r="B2395" t="str">
            <v xml:space="preserve">AKMAL NUGRAHA                           </v>
          </cell>
          <cell r="C2395" t="str">
            <v>AAMPJ78</v>
          </cell>
          <cell r="D2395">
            <v>15401070335503</v>
          </cell>
          <cell r="E2395" t="str">
            <v>SEDANG</v>
          </cell>
          <cell r="F2395" t="str">
            <v>Tidak</v>
          </cell>
          <cell r="G2395" t="str">
            <v>Tidak</v>
          </cell>
          <cell r="H2395" t="str">
            <v>Tidak</v>
          </cell>
          <cell r="I2395" t="str">
            <v>Bandar Judol Withdrawal</v>
          </cell>
          <cell r="J2395">
            <v>50</v>
          </cell>
          <cell r="K2395" t="str">
            <v>86,88,87</v>
          </cell>
          <cell r="L2395" t="str">
            <v>Judi Online</v>
          </cell>
          <cell r="M2395" t="str">
            <v xml:space="preserve">Kas Kanpus                              </v>
          </cell>
          <cell r="N2395" t="str">
            <v xml:space="preserve">Kas Kanpus                              </v>
          </cell>
          <cell r="O2395" t="str">
            <v xml:space="preserve">KAS KANPUS                              </v>
          </cell>
          <cell r="P2395" t="str">
            <v>Tidak</v>
          </cell>
          <cell r="R2395" t="str">
            <v>Done</v>
          </cell>
          <cell r="S2395" t="str">
            <v>Belum TL</v>
          </cell>
          <cell r="T2395" t="str">
            <v>90150130 - Intan Aida Pratiwi</v>
          </cell>
          <cell r="U2395" t="str">
            <v>"-"</v>
          </cell>
        </row>
        <row r="2396">
          <cell r="A2396">
            <v>46265</v>
          </cell>
          <cell r="B2396" t="str">
            <v xml:space="preserve">ATANG SUPARLAN                          </v>
          </cell>
          <cell r="C2396" t="str">
            <v>AAILI62</v>
          </cell>
          <cell r="D2396">
            <v>39601022014507</v>
          </cell>
          <cell r="E2396" t="str">
            <v>SEDANG</v>
          </cell>
          <cell r="F2396" t="str">
            <v>Tidak</v>
          </cell>
          <cell r="G2396" t="str">
            <v>Tidak</v>
          </cell>
          <cell r="H2396" t="str">
            <v>Tidak</v>
          </cell>
          <cell r="I2396" t="str">
            <v>Bandar Judol Withdrawal</v>
          </cell>
          <cell r="J2396">
            <v>50</v>
          </cell>
          <cell r="K2396" t="str">
            <v>86,88,87</v>
          </cell>
          <cell r="L2396" t="str">
            <v>Judi Online</v>
          </cell>
          <cell r="M2396" t="str">
            <v xml:space="preserve">Kas Kanpus                              </v>
          </cell>
          <cell r="N2396" t="str">
            <v xml:space="preserve">Kas Kanpus                              </v>
          </cell>
          <cell r="O2396" t="str">
            <v xml:space="preserve">KAS KANPUS                              </v>
          </cell>
          <cell r="P2396" t="str">
            <v>Ya</v>
          </cell>
          <cell r="R2396" t="str">
            <v>Done</v>
          </cell>
          <cell r="S2396" t="str">
            <v>Belum TL</v>
          </cell>
          <cell r="T2396" t="str">
            <v>90186790 - Muhammad Alfin Farha</v>
          </cell>
          <cell r="U2396" t="str">
            <v>"-"</v>
          </cell>
        </row>
        <row r="2397">
          <cell r="A2397">
            <v>46265</v>
          </cell>
          <cell r="B2397" t="str">
            <v xml:space="preserve">PT BRI ASURANSI INDONESIA               </v>
          </cell>
          <cell r="C2397" t="str">
            <v>A604784</v>
          </cell>
          <cell r="D2397">
            <v>5301000233305</v>
          </cell>
          <cell r="E2397" t="str">
            <v>SEDANG</v>
          </cell>
          <cell r="F2397" t="str">
            <v>Tidak</v>
          </cell>
          <cell r="G2397" t="str">
            <v>Tidak</v>
          </cell>
          <cell r="H2397" t="str">
            <v>Tidak</v>
          </cell>
          <cell r="I2397" t="str">
            <v>Bandar Judol Depo</v>
          </cell>
          <cell r="J2397">
            <v>50</v>
          </cell>
          <cell r="K2397" t="str">
            <v>86,74,87</v>
          </cell>
          <cell r="L2397" t="str">
            <v>Judi Online</v>
          </cell>
          <cell r="M2397" t="str">
            <v xml:space="preserve">Kas Kanpus                              </v>
          </cell>
          <cell r="N2397" t="str">
            <v xml:space="preserve">Kas Kanpus                              </v>
          </cell>
          <cell r="O2397" t="str">
            <v xml:space="preserve">KAS KANPUS                              </v>
          </cell>
          <cell r="P2397" t="str">
            <v>Tidak</v>
          </cell>
          <cell r="R2397" t="str">
            <v>Done</v>
          </cell>
          <cell r="S2397" t="str">
            <v>Belum TL</v>
          </cell>
          <cell r="T2397" t="str">
            <v>90185537 - Moh.Khoerul Fajar Ar</v>
          </cell>
          <cell r="U2397" t="str">
            <v>"-"</v>
          </cell>
        </row>
        <row r="2398">
          <cell r="A2398">
            <v>46265</v>
          </cell>
          <cell r="B2398" t="str">
            <v xml:space="preserve">ANNISAA AKMALIAH                        </v>
          </cell>
          <cell r="C2398" t="str">
            <v>ADKNR48</v>
          </cell>
          <cell r="D2398">
            <v>91701000045562</v>
          </cell>
          <cell r="F2398" t="str">
            <v>Tidak</v>
          </cell>
          <cell r="G2398" t="str">
            <v>Tidak</v>
          </cell>
          <cell r="H2398" t="str">
            <v>Tidak</v>
          </cell>
          <cell r="I2398" t="str">
            <v>Bandar Judol Depo</v>
          </cell>
          <cell r="J2398">
            <v>35</v>
          </cell>
          <cell r="K2398" t="str">
            <v>86,74,87</v>
          </cell>
          <cell r="L2398" t="str">
            <v>Judi Online</v>
          </cell>
          <cell r="M2398" t="str">
            <v xml:space="preserve">Kas Kanpus                              </v>
          </cell>
          <cell r="N2398" t="str">
            <v xml:space="preserve">Kas Kanpus                              </v>
          </cell>
          <cell r="O2398" t="str">
            <v xml:space="preserve">KAS KANPUS                              </v>
          </cell>
          <cell r="P2398" t="str">
            <v>Ya</v>
          </cell>
          <cell r="R2398" t="str">
            <v>Done</v>
          </cell>
          <cell r="S2398" t="str">
            <v>Belum TL</v>
          </cell>
          <cell r="T2398" t="str">
            <v>00336949 - Mochammad Al Farabi</v>
          </cell>
          <cell r="U2398" t="str">
            <v>"-"</v>
          </cell>
        </row>
        <row r="2399">
          <cell r="A2399">
            <v>46265</v>
          </cell>
          <cell r="B2399" t="str">
            <v xml:space="preserve">ATIKA                                   </v>
          </cell>
          <cell r="C2399" t="str">
            <v>ADIWQ63</v>
          </cell>
          <cell r="D2399">
            <v>714401012620504</v>
          </cell>
          <cell r="F2399" t="str">
            <v>Tidak</v>
          </cell>
          <cell r="G2399" t="str">
            <v>Tidak</v>
          </cell>
          <cell r="H2399" t="str">
            <v>Tidak</v>
          </cell>
          <cell r="I2399" t="str">
            <v>Bandar Judol Depo</v>
          </cell>
          <cell r="J2399">
            <v>35</v>
          </cell>
          <cell r="K2399" t="str">
            <v>86,74,87</v>
          </cell>
          <cell r="L2399" t="str">
            <v>Judi Online</v>
          </cell>
          <cell r="M2399" t="str">
            <v xml:space="preserve">Kas Kanpus                              </v>
          </cell>
          <cell r="N2399" t="str">
            <v xml:space="preserve">Kas Kanpus                              </v>
          </cell>
          <cell r="O2399" t="str">
            <v xml:space="preserve">KAS KANPUS                              </v>
          </cell>
          <cell r="P2399" t="str">
            <v>Ya</v>
          </cell>
          <cell r="R2399" t="str">
            <v>Done</v>
          </cell>
          <cell r="S2399" t="str">
            <v>Belum TL</v>
          </cell>
          <cell r="T2399" t="str">
            <v>00336949 - Mochammad Al Farabi</v>
          </cell>
          <cell r="U2399" t="str">
            <v>"-"</v>
          </cell>
        </row>
        <row r="2400">
          <cell r="A2400">
            <v>46265</v>
          </cell>
          <cell r="B2400" t="str">
            <v xml:space="preserve">ANDRIAN SAPUTRA                         </v>
          </cell>
          <cell r="C2400" t="str">
            <v>ADFPY28</v>
          </cell>
          <cell r="D2400">
            <v>1201003748565</v>
          </cell>
          <cell r="F2400" t="str">
            <v>Tidak</v>
          </cell>
          <cell r="G2400" t="str">
            <v>Tidak</v>
          </cell>
          <cell r="H2400" t="str">
            <v>Tidak</v>
          </cell>
          <cell r="I2400" t="str">
            <v>Bandar Judol Withdrawal</v>
          </cell>
          <cell r="J2400">
            <v>35</v>
          </cell>
          <cell r="K2400" t="str">
            <v>86,88,87</v>
          </cell>
          <cell r="L2400" t="str">
            <v>Judi Online</v>
          </cell>
          <cell r="M2400" t="str">
            <v xml:space="preserve">Kas Kanpus                              </v>
          </cell>
          <cell r="N2400" t="str">
            <v xml:space="preserve">Kas Kanpus                              </v>
          </cell>
          <cell r="O2400" t="str">
            <v xml:space="preserve">KAS KANPUS                              </v>
          </cell>
          <cell r="P2400" t="str">
            <v>Ya</v>
          </cell>
          <cell r="R2400" t="str">
            <v>Done</v>
          </cell>
          <cell r="S2400" t="str">
            <v>Belum TL</v>
          </cell>
          <cell r="T2400" t="str">
            <v>90186790 - Muhammad Alfin Farha</v>
          </cell>
          <cell r="U2400" t="str">
            <v>"-"</v>
          </cell>
        </row>
        <row r="2401">
          <cell r="A2401">
            <v>46265</v>
          </cell>
          <cell r="B2401" t="str">
            <v xml:space="preserve">ARISCA MAULANA ILHAM                    </v>
          </cell>
          <cell r="C2401" t="str">
            <v>ADHPX92</v>
          </cell>
          <cell r="D2401">
            <v>99301000028568</v>
          </cell>
          <cell r="F2401" t="str">
            <v>Tidak</v>
          </cell>
          <cell r="G2401" t="str">
            <v>Tidak</v>
          </cell>
          <cell r="H2401" t="str">
            <v>Tidak</v>
          </cell>
          <cell r="I2401" t="str">
            <v>Bandar Judol Withdrawal</v>
          </cell>
          <cell r="J2401">
            <v>35</v>
          </cell>
          <cell r="K2401" t="str">
            <v>86,88,87</v>
          </cell>
          <cell r="L2401" t="str">
            <v>Judi Online</v>
          </cell>
          <cell r="M2401" t="str">
            <v xml:space="preserve">Kas Kanpus                              </v>
          </cell>
          <cell r="N2401" t="str">
            <v xml:space="preserve">Kas Kanpus                              </v>
          </cell>
          <cell r="O2401" t="str">
            <v xml:space="preserve">KAS KANPUS                              </v>
          </cell>
          <cell r="P2401" t="str">
            <v>Ya</v>
          </cell>
          <cell r="R2401" t="str">
            <v>Done</v>
          </cell>
          <cell r="S2401" t="str">
            <v>Belum TL</v>
          </cell>
          <cell r="T2401" t="str">
            <v>90170665 - Mutiara Ayuningtyas</v>
          </cell>
          <cell r="U2401" t="str">
            <v>"-"</v>
          </cell>
        </row>
        <row r="2402">
          <cell r="A2402">
            <v>46265</v>
          </cell>
          <cell r="B2402" t="str">
            <v xml:space="preserve">ARIS BAHARI CANIAGO                     </v>
          </cell>
          <cell r="C2402" t="str">
            <v>ADRD756</v>
          </cell>
          <cell r="D2402">
            <v>335201069097535</v>
          </cell>
          <cell r="E2402" t="str">
            <v>SEDANG</v>
          </cell>
          <cell r="F2402" t="str">
            <v>Tidak</v>
          </cell>
          <cell r="G2402" t="str">
            <v>Tidak</v>
          </cell>
          <cell r="H2402" t="str">
            <v>Tidak</v>
          </cell>
          <cell r="I2402" t="str">
            <v>Bandar Judol Depo</v>
          </cell>
          <cell r="J2402">
            <v>50</v>
          </cell>
          <cell r="K2402" t="str">
            <v>86,74,87</v>
          </cell>
          <cell r="L2402" t="str">
            <v>Judi Online</v>
          </cell>
          <cell r="M2402" t="str">
            <v xml:space="preserve">Kas Kanpus                              </v>
          </cell>
          <cell r="N2402" t="str">
            <v xml:space="preserve">Kas Kanpus                              </v>
          </cell>
          <cell r="O2402" t="str">
            <v xml:space="preserve">KAS KANPUS                              </v>
          </cell>
          <cell r="P2402" t="str">
            <v>Ya</v>
          </cell>
          <cell r="R2402" t="str">
            <v>Done</v>
          </cell>
          <cell r="S2402" t="str">
            <v>Belum TL</v>
          </cell>
          <cell r="T2402" t="str">
            <v>90185538 - Muhammad Fahikal Auz</v>
          </cell>
          <cell r="U2402" t="str">
            <v>"-"</v>
          </cell>
        </row>
        <row r="2403">
          <cell r="A2403">
            <v>46265</v>
          </cell>
          <cell r="B2403" t="str">
            <v xml:space="preserve">ABDUL LATIF                             </v>
          </cell>
          <cell r="C2403" t="str">
            <v>AEDAQ79</v>
          </cell>
          <cell r="D2403">
            <v>109201052119502</v>
          </cell>
          <cell r="F2403" t="str">
            <v>Tidak</v>
          </cell>
          <cell r="G2403" t="str">
            <v>Tidak</v>
          </cell>
          <cell r="H2403" t="str">
            <v>Tidak</v>
          </cell>
          <cell r="I2403" t="str">
            <v>Bandar Judol Withdrawal</v>
          </cell>
          <cell r="J2403">
            <v>35</v>
          </cell>
          <cell r="K2403" t="str">
            <v>86,88,87</v>
          </cell>
          <cell r="L2403" t="str">
            <v>Judi Online</v>
          </cell>
          <cell r="M2403" t="str">
            <v xml:space="preserve">Kas Kanpus                              </v>
          </cell>
          <cell r="N2403" t="str">
            <v xml:space="preserve">Kas Kanpus                              </v>
          </cell>
          <cell r="O2403" t="str">
            <v xml:space="preserve">KAS KANPUS                              </v>
          </cell>
          <cell r="P2403" t="str">
            <v>Ya</v>
          </cell>
          <cell r="R2403" t="str">
            <v>Done</v>
          </cell>
          <cell r="S2403" t="str">
            <v>Belum TL</v>
          </cell>
          <cell r="T2403" t="str">
            <v>90185538 - Muhammad Fahikal Auz</v>
          </cell>
          <cell r="U2403" t="str">
            <v>"-"</v>
          </cell>
        </row>
        <row r="2404">
          <cell r="A2404">
            <v>46265</v>
          </cell>
          <cell r="B2404" t="str">
            <v xml:space="preserve">ANGGA MAULANA SAPUTRA                   </v>
          </cell>
          <cell r="C2404" t="str">
            <v>ADXPM70</v>
          </cell>
          <cell r="D2404">
            <v>1201284354503</v>
          </cell>
          <cell r="F2404" t="str">
            <v>Tidak</v>
          </cell>
          <cell r="G2404" t="str">
            <v>Tidak</v>
          </cell>
          <cell r="H2404" t="str">
            <v>Tidak</v>
          </cell>
          <cell r="I2404" t="str">
            <v>Bandar Judol Withdrawal</v>
          </cell>
          <cell r="J2404">
            <v>35</v>
          </cell>
          <cell r="K2404" t="str">
            <v>86,88,87</v>
          </cell>
          <cell r="L2404" t="str">
            <v>Judi Online</v>
          </cell>
          <cell r="M2404" t="str">
            <v xml:space="preserve">Kas Kanpus                              </v>
          </cell>
          <cell r="N2404" t="str">
            <v xml:space="preserve">Kas Kanpus                              </v>
          </cell>
          <cell r="O2404" t="str">
            <v xml:space="preserve">KAS KANPUS                              </v>
          </cell>
          <cell r="P2404" t="str">
            <v>Ya</v>
          </cell>
          <cell r="R2404" t="str">
            <v>Done</v>
          </cell>
          <cell r="S2404" t="str">
            <v>Belum TL</v>
          </cell>
          <cell r="T2404" t="str">
            <v>90150130 - Intan Aida Pratiwi</v>
          </cell>
          <cell r="U2404" t="str">
            <v>"-"</v>
          </cell>
        </row>
        <row r="2405">
          <cell r="A2405">
            <v>46265</v>
          </cell>
          <cell r="B2405" t="str">
            <v xml:space="preserve">ACHMAD NOFIAN                           </v>
          </cell>
          <cell r="C2405" t="str">
            <v>ADXLZ06</v>
          </cell>
          <cell r="D2405">
            <v>59101025629501</v>
          </cell>
          <cell r="F2405" t="str">
            <v>Tidak</v>
          </cell>
          <cell r="G2405" t="str">
            <v>Tidak</v>
          </cell>
          <cell r="H2405" t="str">
            <v>Tidak</v>
          </cell>
          <cell r="I2405" t="str">
            <v>Bandar Judol Withdrawal</v>
          </cell>
          <cell r="J2405">
            <v>35</v>
          </cell>
          <cell r="K2405" t="str">
            <v>86,88,87</v>
          </cell>
          <cell r="L2405" t="str">
            <v>Judi Online</v>
          </cell>
          <cell r="M2405" t="str">
            <v xml:space="preserve">Kas Kanpus                              </v>
          </cell>
          <cell r="N2405" t="str">
            <v xml:space="preserve">Kas Kanpus                              </v>
          </cell>
          <cell r="O2405" t="str">
            <v xml:space="preserve">KAS KANPUS                              </v>
          </cell>
          <cell r="P2405" t="str">
            <v>Ya</v>
          </cell>
          <cell r="R2405" t="str">
            <v>Done</v>
          </cell>
          <cell r="S2405" t="str">
            <v>Belum TL</v>
          </cell>
          <cell r="T2405" t="str">
            <v>90185538 - Muhammad Fahikal Auz</v>
          </cell>
          <cell r="U2405" t="str">
            <v>"-"</v>
          </cell>
        </row>
        <row r="2406">
          <cell r="A2406">
            <v>46265</v>
          </cell>
          <cell r="B2406" t="str">
            <v xml:space="preserve">ARI SAPUTRA                             </v>
          </cell>
          <cell r="C2406" t="str">
            <v>ADXGA58</v>
          </cell>
          <cell r="D2406">
            <v>534101022704500</v>
          </cell>
          <cell r="F2406" t="str">
            <v>Tidak</v>
          </cell>
          <cell r="G2406" t="str">
            <v>Tidak</v>
          </cell>
          <cell r="H2406" t="str">
            <v>Tidak</v>
          </cell>
          <cell r="I2406" t="str">
            <v>Bandar Judol Withdrawal</v>
          </cell>
          <cell r="J2406">
            <v>35</v>
          </cell>
          <cell r="K2406" t="str">
            <v>86,88,87</v>
          </cell>
          <cell r="L2406" t="str">
            <v>Judi Online</v>
          </cell>
          <cell r="M2406" t="str">
            <v xml:space="preserve">Kas Kanpus                              </v>
          </cell>
          <cell r="N2406" t="str">
            <v xml:space="preserve">Kas Kanpus                              </v>
          </cell>
          <cell r="O2406" t="str">
            <v xml:space="preserve">KAS KANPUS                              </v>
          </cell>
          <cell r="P2406" t="str">
            <v>Ya</v>
          </cell>
          <cell r="R2406" t="str">
            <v>Done</v>
          </cell>
          <cell r="S2406" t="str">
            <v>Belum TL</v>
          </cell>
          <cell r="T2406" t="str">
            <v>90150130 - Intan Aida Pratiwi</v>
          </cell>
          <cell r="U2406" t="str">
            <v>"-"</v>
          </cell>
        </row>
        <row r="2407">
          <cell r="A2407">
            <v>46265</v>
          </cell>
          <cell r="B2407" t="str">
            <v xml:space="preserve">ANIDIYA CELLA EPITA PARAWANGSA          </v>
          </cell>
          <cell r="C2407" t="str">
            <v>ADWYF73</v>
          </cell>
          <cell r="D2407">
            <v>34501052631508</v>
          </cell>
          <cell r="F2407" t="str">
            <v>Tidak</v>
          </cell>
          <cell r="G2407" t="str">
            <v>Tidak</v>
          </cell>
          <cell r="H2407" t="str">
            <v>Tidak</v>
          </cell>
          <cell r="I2407" t="str">
            <v>Bandar Judol Withdrawal</v>
          </cell>
          <cell r="J2407">
            <v>35</v>
          </cell>
          <cell r="K2407" t="str">
            <v>86,88,87</v>
          </cell>
          <cell r="L2407" t="str">
            <v>Judi Online</v>
          </cell>
          <cell r="M2407" t="str">
            <v xml:space="preserve">Kas Kanpus                              </v>
          </cell>
          <cell r="N2407" t="str">
            <v xml:space="preserve">Kas Kanpus                              </v>
          </cell>
          <cell r="O2407" t="str">
            <v xml:space="preserve">KAS KANPUS                              </v>
          </cell>
          <cell r="P2407" t="str">
            <v>Ya</v>
          </cell>
          <cell r="R2407" t="str">
            <v>Done</v>
          </cell>
          <cell r="S2407" t="str">
            <v>Belum TL</v>
          </cell>
          <cell r="T2407" t="str">
            <v>90186790 - Muhammad Alfin Farha</v>
          </cell>
          <cell r="U2407" t="str">
            <v>"-"</v>
          </cell>
        </row>
        <row r="2408">
          <cell r="A2408">
            <v>46265</v>
          </cell>
          <cell r="B2408" t="str">
            <v xml:space="preserve">ANDRI SYAHPUTRA                         </v>
          </cell>
          <cell r="C2408" t="str">
            <v>ACZZH92</v>
          </cell>
          <cell r="D2408">
            <v>334601021536502</v>
          </cell>
          <cell r="F2408" t="str">
            <v>Tidak</v>
          </cell>
          <cell r="G2408" t="str">
            <v>Tidak</v>
          </cell>
          <cell r="H2408" t="str">
            <v>Tidak</v>
          </cell>
          <cell r="I2408" t="str">
            <v>Bandar Judol Withdrawal</v>
          </cell>
          <cell r="J2408">
            <v>35</v>
          </cell>
          <cell r="K2408" t="str">
            <v>86,88,87</v>
          </cell>
          <cell r="L2408" t="str">
            <v>Judi Online</v>
          </cell>
          <cell r="M2408" t="str">
            <v xml:space="preserve">Kas Kanpus                              </v>
          </cell>
          <cell r="N2408" t="str">
            <v xml:space="preserve">Kas Kanpus                              </v>
          </cell>
          <cell r="O2408" t="str">
            <v xml:space="preserve">KAS KANPUS                              </v>
          </cell>
          <cell r="P2408" t="str">
            <v>Ya</v>
          </cell>
          <cell r="R2408" t="str">
            <v>Done</v>
          </cell>
          <cell r="S2408" t="str">
            <v>Belum TL</v>
          </cell>
          <cell r="T2408" t="str">
            <v>90185537 - Moh.Khoerul Fajar Ar</v>
          </cell>
          <cell r="U2408" t="str">
            <v>"-"</v>
          </cell>
        </row>
        <row r="2409">
          <cell r="A2409">
            <v>46265</v>
          </cell>
          <cell r="B2409" t="str">
            <v xml:space="preserve">APRIDIYANTO                             </v>
          </cell>
          <cell r="C2409" t="str">
            <v>ACZZT33</v>
          </cell>
          <cell r="D2409">
            <v>419701005955508</v>
          </cell>
          <cell r="F2409" t="str">
            <v>Tidak</v>
          </cell>
          <cell r="G2409" t="str">
            <v>Tidak</v>
          </cell>
          <cell r="H2409" t="str">
            <v>Tidak</v>
          </cell>
          <cell r="I2409" t="str">
            <v>Bandar Judol Withdrawal</v>
          </cell>
          <cell r="J2409">
            <v>35</v>
          </cell>
          <cell r="K2409" t="str">
            <v>86,88,87</v>
          </cell>
          <cell r="L2409" t="str">
            <v>Judi Online</v>
          </cell>
          <cell r="M2409" t="str">
            <v xml:space="preserve">Kas Kanpus                              </v>
          </cell>
          <cell r="N2409" t="str">
            <v xml:space="preserve">Kas Kanpus                              </v>
          </cell>
          <cell r="O2409" t="str">
            <v xml:space="preserve">KAS KANPUS                              </v>
          </cell>
          <cell r="P2409" t="str">
            <v>Ya</v>
          </cell>
          <cell r="R2409" t="str">
            <v>Done</v>
          </cell>
          <cell r="S2409" t="str">
            <v>Belum TL</v>
          </cell>
          <cell r="T2409" t="str">
            <v>90186790 - Muhammad Alfin Farha</v>
          </cell>
          <cell r="U2409" t="str">
            <v>"-"</v>
          </cell>
        </row>
        <row r="2410">
          <cell r="A2410">
            <v>46265</v>
          </cell>
          <cell r="B2410" t="str">
            <v xml:space="preserve">ALDISA ADI PUTRA                        </v>
          </cell>
          <cell r="C2410" t="str">
            <v>ADFKJ80</v>
          </cell>
          <cell r="D2410">
            <v>118401001100561</v>
          </cell>
          <cell r="F2410" t="str">
            <v>Tidak</v>
          </cell>
          <cell r="G2410" t="str">
            <v>Tidak</v>
          </cell>
          <cell r="H2410" t="str">
            <v>Tidak</v>
          </cell>
          <cell r="I2410" t="str">
            <v>Bandar Judol Withdrawal</v>
          </cell>
          <cell r="J2410">
            <v>35</v>
          </cell>
          <cell r="K2410" t="str">
            <v>86,88,87</v>
          </cell>
          <cell r="L2410" t="str">
            <v>Judi Online</v>
          </cell>
          <cell r="M2410" t="str">
            <v xml:space="preserve">Kas Kanpus                              </v>
          </cell>
          <cell r="N2410" t="str">
            <v xml:space="preserve">Kas Kanpus                              </v>
          </cell>
          <cell r="O2410" t="str">
            <v xml:space="preserve">KAS KANPUS                              </v>
          </cell>
          <cell r="P2410" t="str">
            <v>Ya</v>
          </cell>
          <cell r="R2410" t="str">
            <v>Done</v>
          </cell>
          <cell r="S2410" t="str">
            <v>Belum TL</v>
          </cell>
          <cell r="T2410" t="str">
            <v>00336949 - Mochammad Al Farabi</v>
          </cell>
          <cell r="U2410" t="str">
            <v>"-"</v>
          </cell>
        </row>
        <row r="2411">
          <cell r="A2411">
            <v>46265</v>
          </cell>
          <cell r="B2411" t="str">
            <v xml:space="preserve">AL NAZRI                                </v>
          </cell>
          <cell r="C2411" t="str">
            <v>ADEAQ53</v>
          </cell>
          <cell r="D2411">
            <v>386201004190503</v>
          </cell>
          <cell r="F2411" t="str">
            <v>Tidak</v>
          </cell>
          <cell r="G2411" t="str">
            <v>Tidak</v>
          </cell>
          <cell r="H2411" t="str">
            <v>Tidak</v>
          </cell>
          <cell r="I2411" t="str">
            <v>Bandar Judol Withdrawal</v>
          </cell>
          <cell r="J2411">
            <v>35</v>
          </cell>
          <cell r="K2411" t="str">
            <v>86,88,87</v>
          </cell>
          <cell r="L2411" t="str">
            <v>Judi Online</v>
          </cell>
          <cell r="M2411" t="str">
            <v xml:space="preserve">Kas Kanpus                              </v>
          </cell>
          <cell r="N2411" t="str">
            <v xml:space="preserve">Kas Kanpus                              </v>
          </cell>
          <cell r="O2411" t="str">
            <v xml:space="preserve">KAS KANPUS                              </v>
          </cell>
          <cell r="P2411" t="str">
            <v>Ya</v>
          </cell>
          <cell r="R2411" t="str">
            <v>Done</v>
          </cell>
          <cell r="S2411" t="str">
            <v>Belum TL</v>
          </cell>
          <cell r="T2411" t="str">
            <v>00394521 - Muhammad Hibbanduta</v>
          </cell>
          <cell r="U2411" t="str">
            <v>"-"</v>
          </cell>
        </row>
        <row r="2412">
          <cell r="A2412">
            <v>46265</v>
          </cell>
          <cell r="B2412" t="str">
            <v xml:space="preserve">AHMAD MULYONO                           </v>
          </cell>
          <cell r="C2412" t="str">
            <v>ACTG590</v>
          </cell>
          <cell r="D2412">
            <v>78701048306537</v>
          </cell>
          <cell r="E2412" t="str">
            <v>SEDANG</v>
          </cell>
          <cell r="F2412" t="str">
            <v>Tidak</v>
          </cell>
          <cell r="G2412" t="str">
            <v>Tidak</v>
          </cell>
          <cell r="H2412" t="str">
            <v>Tidak</v>
          </cell>
          <cell r="I2412" t="str">
            <v>Bandar Judol Withdrawal</v>
          </cell>
          <cell r="J2412">
            <v>50</v>
          </cell>
          <cell r="K2412" t="str">
            <v>86,88,87</v>
          </cell>
          <cell r="L2412" t="str">
            <v>Judi Online</v>
          </cell>
          <cell r="M2412" t="str">
            <v xml:space="preserve">Kas Kanpus                              </v>
          </cell>
          <cell r="N2412" t="str">
            <v xml:space="preserve">Kas Kanpus                              </v>
          </cell>
          <cell r="O2412" t="str">
            <v xml:space="preserve">KAS KANPUS                              </v>
          </cell>
          <cell r="P2412" t="str">
            <v>Ya</v>
          </cell>
          <cell r="R2412" t="str">
            <v>Done</v>
          </cell>
          <cell r="S2412" t="str">
            <v>Belum TL</v>
          </cell>
          <cell r="T2412" t="str">
            <v>90186790 - Muhammad Alfin Farha</v>
          </cell>
          <cell r="U2412" t="str">
            <v>"-"</v>
          </cell>
        </row>
        <row r="2413">
          <cell r="A2413">
            <v>46265</v>
          </cell>
          <cell r="B2413" t="str">
            <v xml:space="preserve">AHMAD AINUL KHAKIM                      </v>
          </cell>
          <cell r="C2413" t="str">
            <v>ADDDP31</v>
          </cell>
          <cell r="D2413">
            <v>2201034408539</v>
          </cell>
          <cell r="F2413" t="str">
            <v>Tidak</v>
          </cell>
          <cell r="G2413" t="str">
            <v>Tidak</v>
          </cell>
          <cell r="H2413" t="str">
            <v>Tidak</v>
          </cell>
          <cell r="I2413" t="str">
            <v>Bandar Judol Withdrawal</v>
          </cell>
          <cell r="J2413">
            <v>35</v>
          </cell>
          <cell r="K2413" t="str">
            <v>86,88,87</v>
          </cell>
          <cell r="L2413" t="str">
            <v>Judi Online</v>
          </cell>
          <cell r="M2413" t="str">
            <v xml:space="preserve">Kas Kanpus                              </v>
          </cell>
          <cell r="N2413" t="str">
            <v xml:space="preserve">Kas Kanpus                              </v>
          </cell>
          <cell r="O2413" t="str">
            <v xml:space="preserve">KAS KANPUS                              </v>
          </cell>
          <cell r="P2413" t="str">
            <v>Ya</v>
          </cell>
          <cell r="R2413" t="str">
            <v>Done</v>
          </cell>
          <cell r="S2413" t="str">
            <v>Belum TL</v>
          </cell>
          <cell r="T2413" t="str">
            <v>90185538 - Muhammad Fahikal Auz</v>
          </cell>
          <cell r="U2413" t="str">
            <v>"-"</v>
          </cell>
        </row>
        <row r="2414">
          <cell r="A2414">
            <v>46265</v>
          </cell>
          <cell r="B2414" t="str">
            <v xml:space="preserve">ARY RAHMAT SYAHPUTRA                    </v>
          </cell>
          <cell r="C2414" t="str">
            <v>ADCEB70</v>
          </cell>
          <cell r="D2414">
            <v>530201003702507</v>
          </cell>
          <cell r="F2414" t="str">
            <v>Tidak</v>
          </cell>
          <cell r="G2414" t="str">
            <v>Tidak</v>
          </cell>
          <cell r="H2414" t="str">
            <v>Tidak</v>
          </cell>
          <cell r="I2414" t="str">
            <v>Bandar Judol Depo</v>
          </cell>
          <cell r="J2414">
            <v>35</v>
          </cell>
          <cell r="K2414" t="str">
            <v>86,74,87</v>
          </cell>
          <cell r="L2414" t="str">
            <v>Judi Online</v>
          </cell>
          <cell r="M2414" t="str">
            <v xml:space="preserve">Kas Kanpus                              </v>
          </cell>
          <cell r="N2414" t="str">
            <v xml:space="preserve">Kas Kanpus                              </v>
          </cell>
          <cell r="O2414" t="str">
            <v xml:space="preserve">KAS KANPUS                              </v>
          </cell>
          <cell r="P2414" t="str">
            <v>Ya</v>
          </cell>
          <cell r="R2414" t="str">
            <v>Done</v>
          </cell>
          <cell r="S2414" t="str">
            <v>Belum TL</v>
          </cell>
          <cell r="T2414" t="str">
            <v>00394521 - Muhammad Hibbanduta</v>
          </cell>
          <cell r="U2414" t="str">
            <v>"-"</v>
          </cell>
        </row>
        <row r="2415">
          <cell r="A2415">
            <v>46265</v>
          </cell>
          <cell r="B2415" t="str">
            <v xml:space="preserve">AFRIZAL                                 </v>
          </cell>
          <cell r="C2415" t="str">
            <v>ASL4394</v>
          </cell>
          <cell r="D2415">
            <v>335201064619536</v>
          </cell>
          <cell r="E2415" t="str">
            <v>SEDANG</v>
          </cell>
          <cell r="F2415" t="str">
            <v>Tidak</v>
          </cell>
          <cell r="G2415" t="str">
            <v>Tidak</v>
          </cell>
          <cell r="H2415" t="str">
            <v>Tidak</v>
          </cell>
          <cell r="I2415" t="str">
            <v>Bandar Judol Withdrawal</v>
          </cell>
          <cell r="J2415">
            <v>50</v>
          </cell>
          <cell r="K2415" t="str">
            <v>86,88,87</v>
          </cell>
          <cell r="L2415" t="str">
            <v>Judi Online</v>
          </cell>
          <cell r="M2415" t="str">
            <v xml:space="preserve">Kas Kanpus                              </v>
          </cell>
          <cell r="N2415" t="str">
            <v xml:space="preserve">Kas Kanpus                              </v>
          </cell>
          <cell r="O2415" t="str">
            <v xml:space="preserve">KAS KANPUS                              </v>
          </cell>
          <cell r="P2415" t="str">
            <v>Ya</v>
          </cell>
          <cell r="R2415" t="str">
            <v>Done</v>
          </cell>
          <cell r="S2415" t="str">
            <v>Belum TL</v>
          </cell>
          <cell r="T2415" t="str">
            <v>90185538 - Muhammad Fahikal Auz</v>
          </cell>
          <cell r="U2415" t="str">
            <v>"-"</v>
          </cell>
        </row>
        <row r="2416">
          <cell r="A2416">
            <v>46265</v>
          </cell>
          <cell r="B2416" t="str">
            <v xml:space="preserve">ANGGA HARSANA                           </v>
          </cell>
          <cell r="C2416" t="str">
            <v>ATD8153</v>
          </cell>
          <cell r="D2416">
            <v>1701020933531</v>
          </cell>
          <cell r="E2416" t="str">
            <v>RENDAH</v>
          </cell>
          <cell r="F2416" t="str">
            <v>Tidak</v>
          </cell>
          <cell r="G2416" t="str">
            <v>Tidak</v>
          </cell>
          <cell r="H2416" t="str">
            <v>Tidak</v>
          </cell>
          <cell r="I2416" t="str">
            <v>Bandar Judol Withdrawal</v>
          </cell>
          <cell r="J2416">
            <v>35</v>
          </cell>
          <cell r="K2416" t="str">
            <v>86,88,87</v>
          </cell>
          <cell r="L2416" t="str">
            <v>Judi Online</v>
          </cell>
          <cell r="M2416" t="str">
            <v xml:space="preserve">Kas Kanpus                              </v>
          </cell>
          <cell r="N2416" t="str">
            <v xml:space="preserve">Kas Kanpus                              </v>
          </cell>
          <cell r="O2416" t="str">
            <v xml:space="preserve">KAS KANPUS                              </v>
          </cell>
          <cell r="P2416" t="str">
            <v>Ya</v>
          </cell>
          <cell r="R2416" t="str">
            <v>Done</v>
          </cell>
          <cell r="S2416" t="str">
            <v>Belum TL</v>
          </cell>
          <cell r="T2416" t="str">
            <v>00394520 - Frida Akbar Rani</v>
          </cell>
          <cell r="U2416" t="str">
            <v>"-"</v>
          </cell>
        </row>
        <row r="2417">
          <cell r="A2417">
            <v>46265</v>
          </cell>
          <cell r="B2417" t="str">
            <v xml:space="preserve">ANIS TAKUL FITRIYA                      </v>
          </cell>
          <cell r="C2417" t="str">
            <v>AUF1614</v>
          </cell>
          <cell r="D2417">
            <v>225101000904568</v>
          </cell>
          <cell r="E2417" t="str">
            <v>SEDANG</v>
          </cell>
          <cell r="F2417" t="str">
            <v>Tidak</v>
          </cell>
          <cell r="G2417" t="str">
            <v>Tidak</v>
          </cell>
          <cell r="H2417" t="str">
            <v>Tidak</v>
          </cell>
          <cell r="I2417" t="str">
            <v>Bandar Judol Depo</v>
          </cell>
          <cell r="J2417">
            <v>50</v>
          </cell>
          <cell r="K2417" t="str">
            <v>86,74,87</v>
          </cell>
          <cell r="L2417" t="str">
            <v>Judi Online</v>
          </cell>
          <cell r="M2417" t="str">
            <v xml:space="preserve">Kas Kanpus                              </v>
          </cell>
          <cell r="N2417" t="str">
            <v xml:space="preserve">Kas Kanpus                              </v>
          </cell>
          <cell r="O2417" t="str">
            <v xml:space="preserve">KAS KANPUS                              </v>
          </cell>
          <cell r="P2417" t="str">
            <v>Tidak</v>
          </cell>
          <cell r="R2417" t="str">
            <v>Done</v>
          </cell>
          <cell r="S2417" t="str">
            <v>Belum TL</v>
          </cell>
          <cell r="T2417" t="str">
            <v>90186790 - Muhammad Alfin Farha</v>
          </cell>
          <cell r="U2417" t="str">
            <v>"-"</v>
          </cell>
        </row>
        <row r="2418">
          <cell r="A2418">
            <v>46265</v>
          </cell>
          <cell r="B2418" t="str">
            <v xml:space="preserve">ANDI MAULANA                            </v>
          </cell>
          <cell r="C2418" t="str">
            <v>AWIF027</v>
          </cell>
          <cell r="D2418">
            <v>30201019248538</v>
          </cell>
          <cell r="E2418" t="str">
            <v>SEDANG</v>
          </cell>
          <cell r="F2418" t="str">
            <v>Tidak</v>
          </cell>
          <cell r="G2418" t="str">
            <v>Tidak</v>
          </cell>
          <cell r="H2418" t="str">
            <v>Tidak</v>
          </cell>
          <cell r="I2418" t="str">
            <v>Bandar Judol Depo</v>
          </cell>
          <cell r="J2418">
            <v>50</v>
          </cell>
          <cell r="K2418" t="str">
            <v>86,74,87</v>
          </cell>
          <cell r="L2418" t="str">
            <v>Judi Online</v>
          </cell>
          <cell r="M2418" t="str">
            <v xml:space="preserve">Kas Kanpus                              </v>
          </cell>
          <cell r="N2418" t="str">
            <v xml:space="preserve">Kas Kanpus                              </v>
          </cell>
          <cell r="O2418" t="str">
            <v xml:space="preserve">KAS KANPUS                              </v>
          </cell>
          <cell r="P2418" t="str">
            <v>Ya</v>
          </cell>
          <cell r="R2418" t="str">
            <v>Done</v>
          </cell>
          <cell r="S2418" t="str">
            <v>Belum TL</v>
          </cell>
          <cell r="T2418" t="str">
            <v>90186790 - Muhammad Alfin Farha</v>
          </cell>
          <cell r="U2418" t="str">
            <v>"-"</v>
          </cell>
        </row>
        <row r="2419">
          <cell r="A2419">
            <v>46265</v>
          </cell>
          <cell r="B2419" t="str">
            <v xml:space="preserve">AGUS SALIM S                            </v>
          </cell>
          <cell r="C2419" t="str">
            <v>AWKR321</v>
          </cell>
          <cell r="D2419">
            <v>64201096783505</v>
          </cell>
          <cell r="E2419" t="str">
            <v>SEDANG</v>
          </cell>
          <cell r="F2419" t="str">
            <v>Tidak</v>
          </cell>
          <cell r="G2419" t="str">
            <v>Tidak</v>
          </cell>
          <cell r="H2419" t="str">
            <v>Tidak</v>
          </cell>
          <cell r="I2419" t="str">
            <v>Bandar Judol Withdrawal</v>
          </cell>
          <cell r="J2419">
            <v>50</v>
          </cell>
          <cell r="K2419" t="str">
            <v>86,88,87</v>
          </cell>
          <cell r="L2419" t="str">
            <v>Judi Online</v>
          </cell>
          <cell r="M2419" t="str">
            <v xml:space="preserve">Kas Kanpus                              </v>
          </cell>
          <cell r="N2419" t="str">
            <v xml:space="preserve">Kas Kanpus                              </v>
          </cell>
          <cell r="O2419" t="str">
            <v xml:space="preserve">KAS KANPUS                              </v>
          </cell>
          <cell r="P2419" t="str">
            <v>Ya</v>
          </cell>
          <cell r="R2419" t="str">
            <v>Done</v>
          </cell>
          <cell r="S2419" t="str">
            <v>Belum TL</v>
          </cell>
          <cell r="T2419" t="str">
            <v>00394521 - Muhammad Hibbanduta</v>
          </cell>
          <cell r="U2419" t="str">
            <v>"-"</v>
          </cell>
        </row>
        <row r="2420">
          <cell r="A2420">
            <v>46265</v>
          </cell>
          <cell r="B2420" t="str">
            <v xml:space="preserve">ASEP SUGIANTO                           </v>
          </cell>
          <cell r="C2420" t="str">
            <v>AVXY647</v>
          </cell>
          <cell r="D2420">
            <v>39901053766501</v>
          </cell>
          <cell r="E2420" t="str">
            <v>SEDANG</v>
          </cell>
          <cell r="F2420" t="str">
            <v>Tidak</v>
          </cell>
          <cell r="G2420" t="str">
            <v>Tidak</v>
          </cell>
          <cell r="H2420" t="str">
            <v>Tidak</v>
          </cell>
          <cell r="I2420" t="str">
            <v>Bandar Judol Withdrawal</v>
          </cell>
          <cell r="J2420">
            <v>50</v>
          </cell>
          <cell r="K2420" t="str">
            <v>86,88,87</v>
          </cell>
          <cell r="L2420" t="str">
            <v>Judi Online</v>
          </cell>
          <cell r="M2420" t="str">
            <v xml:space="preserve">Kas Kanpus                              </v>
          </cell>
          <cell r="N2420" t="str">
            <v xml:space="preserve">Kas Kanpus                              </v>
          </cell>
          <cell r="O2420" t="str">
            <v xml:space="preserve">KAS KANPUS                              </v>
          </cell>
          <cell r="P2420" t="str">
            <v>Ya</v>
          </cell>
          <cell r="R2420" t="str">
            <v>Done</v>
          </cell>
          <cell r="S2420" t="str">
            <v>Belum TL</v>
          </cell>
          <cell r="T2420" t="str">
            <v>90170665 - Mutiara Ayuningtyas</v>
          </cell>
          <cell r="U2420" t="str">
            <v>"-"</v>
          </cell>
        </row>
        <row r="2421">
          <cell r="A2421">
            <v>46265</v>
          </cell>
          <cell r="B2421" t="str">
            <v xml:space="preserve">AHWAT                                   </v>
          </cell>
          <cell r="C2421" t="str">
            <v>AVY3715</v>
          </cell>
          <cell r="D2421">
            <v>115401015690509</v>
          </cell>
          <cell r="E2421" t="str">
            <v>SEDANG</v>
          </cell>
          <cell r="F2421" t="str">
            <v>Tidak</v>
          </cell>
          <cell r="G2421" t="str">
            <v>Tidak</v>
          </cell>
          <cell r="H2421" t="str">
            <v>Tidak</v>
          </cell>
          <cell r="I2421" t="str">
            <v>Bandar Judol Withdrawal</v>
          </cell>
          <cell r="J2421">
            <v>50</v>
          </cell>
          <cell r="K2421" t="str">
            <v>86,88,87</v>
          </cell>
          <cell r="L2421" t="str">
            <v>Judi Online</v>
          </cell>
          <cell r="M2421" t="str">
            <v xml:space="preserve">Kas Kanpus                              </v>
          </cell>
          <cell r="N2421" t="str">
            <v xml:space="preserve">Kas Kanpus                              </v>
          </cell>
          <cell r="O2421" t="str">
            <v xml:space="preserve">KAS KANPUS                              </v>
          </cell>
          <cell r="P2421" t="str">
            <v>Ya</v>
          </cell>
          <cell r="R2421" t="str">
            <v>Done</v>
          </cell>
          <cell r="S2421" t="str">
            <v>Belum TL</v>
          </cell>
          <cell r="T2421" t="str">
            <v>00336949 - Mochammad Al Farabi</v>
          </cell>
          <cell r="U2421" t="str">
            <v>"-"</v>
          </cell>
        </row>
        <row r="2422">
          <cell r="A2422">
            <v>46265</v>
          </cell>
          <cell r="B2422" t="str">
            <v xml:space="preserve">ANISA HASANAH                           </v>
          </cell>
          <cell r="C2422" t="str">
            <v>AXBD480</v>
          </cell>
          <cell r="D2422">
            <v>575301000007569</v>
          </cell>
          <cell r="E2422" t="str">
            <v>SEDANG</v>
          </cell>
          <cell r="F2422" t="str">
            <v>Tidak</v>
          </cell>
          <cell r="G2422" t="str">
            <v>Tidak</v>
          </cell>
          <cell r="H2422" t="str">
            <v>Tidak</v>
          </cell>
          <cell r="I2422" t="str">
            <v>Bandar Judol Withdrawal</v>
          </cell>
          <cell r="J2422">
            <v>50</v>
          </cell>
          <cell r="K2422" t="str">
            <v>86,88,87</v>
          </cell>
          <cell r="L2422" t="str">
            <v>Judi Online</v>
          </cell>
          <cell r="M2422" t="str">
            <v xml:space="preserve">Kas Kanpus                              </v>
          </cell>
          <cell r="N2422" t="str">
            <v xml:space="preserve">Kas Kanpus                              </v>
          </cell>
          <cell r="O2422" t="str">
            <v xml:space="preserve">KAS KANPUS                              </v>
          </cell>
          <cell r="P2422" t="str">
            <v>Ya</v>
          </cell>
          <cell r="R2422" t="str">
            <v>Done</v>
          </cell>
          <cell r="S2422" t="str">
            <v>Belum TL</v>
          </cell>
          <cell r="T2422" t="str">
            <v>90185537 - Moh.Khoerul Fajar Ar</v>
          </cell>
          <cell r="U2422" t="str">
            <v>"-"</v>
          </cell>
        </row>
        <row r="2423">
          <cell r="A2423">
            <v>46265</v>
          </cell>
          <cell r="B2423" t="str">
            <v xml:space="preserve">AGUNG MAULANA                           </v>
          </cell>
          <cell r="C2423" t="str">
            <v>AZYH811</v>
          </cell>
          <cell r="D2423">
            <v>63301040754509</v>
          </cell>
          <cell r="E2423" t="str">
            <v>SEDANG</v>
          </cell>
          <cell r="F2423" t="str">
            <v>Tidak</v>
          </cell>
          <cell r="G2423" t="str">
            <v>Tidak</v>
          </cell>
          <cell r="H2423" t="str">
            <v>Tidak</v>
          </cell>
          <cell r="I2423" t="str">
            <v>Bandar Judol Withdrawal</v>
          </cell>
          <cell r="J2423">
            <v>50</v>
          </cell>
          <cell r="K2423" t="str">
            <v>86,88,87</v>
          </cell>
          <cell r="L2423" t="str">
            <v>Judi Online</v>
          </cell>
          <cell r="M2423" t="str">
            <v xml:space="preserve">Kas Kanpus                              </v>
          </cell>
          <cell r="N2423" t="str">
            <v xml:space="preserve">Kas Kanpus                              </v>
          </cell>
          <cell r="O2423" t="str">
            <v xml:space="preserve">KAS KANPUS                              </v>
          </cell>
          <cell r="P2423" t="str">
            <v>Ya</v>
          </cell>
          <cell r="R2423" t="str">
            <v>Done</v>
          </cell>
          <cell r="S2423" t="str">
            <v>Belum TL</v>
          </cell>
          <cell r="T2423" t="str">
            <v>90185538 - Muhammad Fahikal Auz</v>
          </cell>
          <cell r="U2423" t="str">
            <v>"-"</v>
          </cell>
        </row>
        <row r="2424">
          <cell r="A2424">
            <v>46265</v>
          </cell>
          <cell r="B2424" t="str">
            <v xml:space="preserve">AMELIA CAHYATI                          </v>
          </cell>
          <cell r="C2424" t="str">
            <v>AZFJ484</v>
          </cell>
          <cell r="D2424">
            <v>784701010146502</v>
          </cell>
          <cell r="E2424" t="str">
            <v>SEDANG</v>
          </cell>
          <cell r="F2424" t="str">
            <v>Tidak</v>
          </cell>
          <cell r="G2424" t="str">
            <v>Tidak</v>
          </cell>
          <cell r="H2424" t="str">
            <v>Ya</v>
          </cell>
          <cell r="I2424" t="str">
            <v>Bandar Judol Withdrawal</v>
          </cell>
          <cell r="J2424">
            <v>50</v>
          </cell>
          <cell r="K2424" t="str">
            <v>86,88,87</v>
          </cell>
          <cell r="L2424" t="str">
            <v>Judi Online</v>
          </cell>
          <cell r="M2424" t="str">
            <v xml:space="preserve">Kas Kanpus                              </v>
          </cell>
          <cell r="N2424" t="str">
            <v xml:space="preserve">Kas Kanpus                              </v>
          </cell>
          <cell r="O2424" t="str">
            <v xml:space="preserve">KAS KANPUS                              </v>
          </cell>
          <cell r="P2424" t="str">
            <v>Ya</v>
          </cell>
          <cell r="R2424" t="str">
            <v>Done</v>
          </cell>
          <cell r="S2424" t="str">
            <v>Belum TL</v>
          </cell>
          <cell r="T2424" t="str">
            <v>90186796 - Devito Arya Wiradila</v>
          </cell>
          <cell r="U2424" t="str">
            <v>"-"</v>
          </cell>
        </row>
        <row r="2425">
          <cell r="A2425">
            <v>46265</v>
          </cell>
          <cell r="B2425" t="str">
            <v xml:space="preserve">ANDINA AMELIA FUTRI                     </v>
          </cell>
          <cell r="C2425" t="str">
            <v>ANOO729</v>
          </cell>
          <cell r="D2425">
            <v>40401067781502</v>
          </cell>
          <cell r="E2425" t="str">
            <v>RENDAH</v>
          </cell>
          <cell r="F2425" t="str">
            <v>Tidak</v>
          </cell>
          <cell r="G2425" t="str">
            <v>Tidak</v>
          </cell>
          <cell r="H2425" t="str">
            <v>Tidak</v>
          </cell>
          <cell r="I2425" t="str">
            <v>Bandar Judol Withdrawal</v>
          </cell>
          <cell r="J2425">
            <v>35</v>
          </cell>
          <cell r="K2425" t="str">
            <v>86,88,87</v>
          </cell>
          <cell r="L2425" t="str">
            <v>Judi Online</v>
          </cell>
          <cell r="M2425" t="str">
            <v xml:space="preserve">Kas Kanpus                              </v>
          </cell>
          <cell r="N2425" t="str">
            <v xml:space="preserve">Kas Kanpus                              </v>
          </cell>
          <cell r="O2425" t="str">
            <v xml:space="preserve">KAS KANPUS                              </v>
          </cell>
          <cell r="P2425" t="str">
            <v>Ya</v>
          </cell>
          <cell r="R2425" t="str">
            <v>Done</v>
          </cell>
          <cell r="S2425" t="str">
            <v>Belum TL</v>
          </cell>
          <cell r="T2425" t="str">
            <v>00394521 - Muhammad Hibbanduta</v>
          </cell>
          <cell r="U2425" t="str">
            <v>"-"</v>
          </cell>
        </row>
        <row r="2426">
          <cell r="A2426">
            <v>46265</v>
          </cell>
          <cell r="B2426" t="str">
            <v xml:space="preserve">APRISEILA RAHMAWATI                     </v>
          </cell>
          <cell r="C2426" t="str">
            <v>ANCG410</v>
          </cell>
          <cell r="D2426">
            <v>225101000912561</v>
          </cell>
          <cell r="E2426" t="str">
            <v>SEDANG</v>
          </cell>
          <cell r="F2426" t="str">
            <v>Tidak</v>
          </cell>
          <cell r="G2426" t="str">
            <v>Tidak</v>
          </cell>
          <cell r="H2426" t="str">
            <v>Tidak</v>
          </cell>
          <cell r="I2426" t="str">
            <v>Bandar Judol Depo</v>
          </cell>
          <cell r="J2426">
            <v>50</v>
          </cell>
          <cell r="K2426" t="str">
            <v>86,74,87</v>
          </cell>
          <cell r="L2426" t="str">
            <v>Judi Online</v>
          </cell>
          <cell r="M2426" t="str">
            <v xml:space="preserve">Kas Kanpus                              </v>
          </cell>
          <cell r="N2426" t="str">
            <v xml:space="preserve">Kas Kanpus                              </v>
          </cell>
          <cell r="O2426" t="str">
            <v xml:space="preserve">KAS KANPUS                              </v>
          </cell>
          <cell r="P2426" t="str">
            <v>Tidak</v>
          </cell>
          <cell r="R2426" t="str">
            <v>Done</v>
          </cell>
          <cell r="S2426" t="str">
            <v>Belum TL</v>
          </cell>
          <cell r="T2426" t="str">
            <v>00394521 - Muhammad Hibbanduta</v>
          </cell>
          <cell r="U2426" t="str">
            <v>"-"</v>
          </cell>
        </row>
        <row r="2427">
          <cell r="A2427">
            <v>46265</v>
          </cell>
          <cell r="B2427" t="str">
            <v xml:space="preserve">ALVIN YOHANES                           </v>
          </cell>
          <cell r="C2427" t="str">
            <v>AOON694</v>
          </cell>
          <cell r="D2427">
            <v>43801073103501</v>
          </cell>
          <cell r="E2427" t="str">
            <v>SEDANG</v>
          </cell>
          <cell r="F2427" t="str">
            <v>Tidak</v>
          </cell>
          <cell r="G2427" t="str">
            <v>Tidak</v>
          </cell>
          <cell r="H2427" t="str">
            <v>Tidak</v>
          </cell>
          <cell r="I2427" t="str">
            <v>Bandar Judol Withdrawal</v>
          </cell>
          <cell r="J2427">
            <v>50</v>
          </cell>
          <cell r="K2427" t="str">
            <v>86,88,87</v>
          </cell>
          <cell r="L2427" t="str">
            <v>Judi Online</v>
          </cell>
          <cell r="M2427" t="str">
            <v xml:space="preserve">Kas Kanpus                              </v>
          </cell>
          <cell r="N2427" t="str">
            <v xml:space="preserve">Kas Kanpus                              </v>
          </cell>
          <cell r="O2427" t="str">
            <v xml:space="preserve">KAS KANPUS                              </v>
          </cell>
          <cell r="P2427" t="str">
            <v>Ya</v>
          </cell>
          <cell r="R2427" t="str">
            <v>Done</v>
          </cell>
          <cell r="S2427" t="str">
            <v>Belum TL</v>
          </cell>
          <cell r="T2427" t="str">
            <v>00394520 - Frida Akbar Rani</v>
          </cell>
          <cell r="U2427" t="str">
            <v>"-"</v>
          </cell>
        </row>
        <row r="2428">
          <cell r="A2428">
            <v>46265</v>
          </cell>
          <cell r="B2428" t="str">
            <v xml:space="preserve">ACHMAD ABDUL MUHI                       </v>
          </cell>
          <cell r="C2428" t="str">
            <v>ASF1941</v>
          </cell>
          <cell r="D2428">
            <v>44501002120563</v>
          </cell>
          <cell r="E2428" t="str">
            <v>SEDANG</v>
          </cell>
          <cell r="F2428" t="str">
            <v>Tidak</v>
          </cell>
          <cell r="G2428" t="str">
            <v>Tidak</v>
          </cell>
          <cell r="H2428" t="str">
            <v>Tidak</v>
          </cell>
          <cell r="I2428" t="str">
            <v>Bandar Judol Withdrawal</v>
          </cell>
          <cell r="J2428">
            <v>50</v>
          </cell>
          <cell r="K2428" t="str">
            <v>86,88,87</v>
          </cell>
          <cell r="L2428" t="str">
            <v>Judi Online</v>
          </cell>
          <cell r="M2428" t="str">
            <v xml:space="preserve">Kas Kanpus                              </v>
          </cell>
          <cell r="N2428" t="str">
            <v xml:space="preserve">Kas Kanpus                              </v>
          </cell>
          <cell r="O2428" t="str">
            <v xml:space="preserve">KAS KANPUS                              </v>
          </cell>
          <cell r="P2428" t="str">
            <v>Ya</v>
          </cell>
          <cell r="R2428" t="str">
            <v>Done</v>
          </cell>
          <cell r="S2428" t="str">
            <v>Belum TL</v>
          </cell>
          <cell r="T2428" t="str">
            <v>00394520 - Frida Akbar Rani</v>
          </cell>
          <cell r="U2428" t="str">
            <v>"-"</v>
          </cell>
        </row>
        <row r="2429">
          <cell r="A2429">
            <v>46265</v>
          </cell>
          <cell r="B2429" t="str">
            <v xml:space="preserve">ALVIANA SARI                            </v>
          </cell>
          <cell r="C2429" t="str">
            <v>ARH1686</v>
          </cell>
          <cell r="D2429">
            <v>52601013751507</v>
          </cell>
          <cell r="E2429" t="str">
            <v>SEDANG</v>
          </cell>
          <cell r="F2429" t="str">
            <v>Tidak</v>
          </cell>
          <cell r="G2429" t="str">
            <v>Tidak</v>
          </cell>
          <cell r="H2429" t="str">
            <v>Tidak</v>
          </cell>
          <cell r="I2429" t="str">
            <v>Bandar Judol Withdrawal</v>
          </cell>
          <cell r="J2429">
            <v>50</v>
          </cell>
          <cell r="K2429" t="str">
            <v>86,88,87</v>
          </cell>
          <cell r="L2429" t="str">
            <v>Judi Online</v>
          </cell>
          <cell r="M2429" t="str">
            <v xml:space="preserve">Kas Kanpus                              </v>
          </cell>
          <cell r="N2429" t="str">
            <v xml:space="preserve">Kas Kanpus                              </v>
          </cell>
          <cell r="O2429" t="str">
            <v xml:space="preserve">KAS KANPUS                              </v>
          </cell>
          <cell r="P2429" t="str">
            <v>Ya</v>
          </cell>
          <cell r="R2429" t="str">
            <v>Done</v>
          </cell>
          <cell r="S2429" t="str">
            <v>Belum TL</v>
          </cell>
          <cell r="T2429" t="str">
            <v>90171841 - Rifqi Aziz</v>
          </cell>
          <cell r="U2429" t="str">
            <v>"-"</v>
          </cell>
        </row>
        <row r="2430">
          <cell r="A2430">
            <v>46265</v>
          </cell>
          <cell r="B2430" t="str">
            <v xml:space="preserve">APRIANI RACHMAWATI                      </v>
          </cell>
          <cell r="C2430" t="str">
            <v>ARID953</v>
          </cell>
          <cell r="D2430">
            <v>408101009804500</v>
          </cell>
          <cell r="E2430" t="str">
            <v>SEDANG</v>
          </cell>
          <cell r="F2430" t="str">
            <v>Tidak</v>
          </cell>
          <cell r="G2430" t="str">
            <v>Tidak</v>
          </cell>
          <cell r="H2430" t="str">
            <v>Tidak</v>
          </cell>
          <cell r="I2430" t="str">
            <v>Bandar Judol Withdrawal</v>
          </cell>
          <cell r="J2430">
            <v>50</v>
          </cell>
          <cell r="K2430" t="str">
            <v>86,88,87</v>
          </cell>
          <cell r="L2430" t="str">
            <v>Judi Online</v>
          </cell>
          <cell r="M2430" t="str">
            <v xml:space="preserve">Kas Kanpus                              </v>
          </cell>
          <cell r="N2430" t="str">
            <v xml:space="preserve">Kas Kanpus                              </v>
          </cell>
          <cell r="O2430" t="str">
            <v xml:space="preserve">KAS KANPUS                              </v>
          </cell>
          <cell r="P2430" t="str">
            <v>Ya</v>
          </cell>
          <cell r="R2430" t="str">
            <v>Done</v>
          </cell>
          <cell r="S2430" t="str">
            <v>Belum TL</v>
          </cell>
          <cell r="T2430" t="str">
            <v>90186796 - Devito Arya Wiradila</v>
          </cell>
          <cell r="U2430" t="str">
            <v>"-"</v>
          </cell>
        </row>
        <row r="2431">
          <cell r="A2431">
            <v>46265</v>
          </cell>
          <cell r="B2431" t="str">
            <v xml:space="preserve">ABDUL ROCHIM                            </v>
          </cell>
          <cell r="C2431" t="str">
            <v>APK0017</v>
          </cell>
          <cell r="D2431">
            <v>93101028525530</v>
          </cell>
          <cell r="E2431" t="str">
            <v>SEDANG</v>
          </cell>
          <cell r="F2431" t="str">
            <v>Ya</v>
          </cell>
          <cell r="G2431" t="str">
            <v>Tidak</v>
          </cell>
          <cell r="H2431" t="str">
            <v>Tidak</v>
          </cell>
          <cell r="I2431" t="str">
            <v>Perpajakan</v>
          </cell>
          <cell r="J2431">
            <v>60</v>
          </cell>
          <cell r="K2431">
            <v>1.33</v>
          </cell>
          <cell r="L2431" t="str">
            <v>Perpajakan</v>
          </cell>
          <cell r="M2431" t="str">
            <v xml:space="preserve">UNIT KRAMAT JATI INDUK                  </v>
          </cell>
          <cell r="N2431" t="str">
            <v xml:space="preserve">KC Jakarta Kramat Jati                  </v>
          </cell>
          <cell r="O2431" t="str">
            <v xml:space="preserve">DKI                                     </v>
          </cell>
          <cell r="P2431" t="str">
            <v>Tidak</v>
          </cell>
          <cell r="R2431" t="str">
            <v>Done</v>
          </cell>
          <cell r="S2431" t="str">
            <v>Belum TL</v>
          </cell>
          <cell r="T2431" t="str">
            <v>90185537 - Moh.Khoerul Fajar Ar</v>
          </cell>
          <cell r="U2431" t="str">
            <v>"-"</v>
          </cell>
        </row>
        <row r="2432">
          <cell r="A2432">
            <v>46265</v>
          </cell>
          <cell r="B2432" t="str">
            <v xml:space="preserve">IR ARENA PRIMA                          </v>
          </cell>
          <cell r="C2432" t="str">
            <v>AHL0811</v>
          </cell>
          <cell r="D2432">
            <v>0</v>
          </cell>
          <cell r="E2432" t="str">
            <v>TINGGI</v>
          </cell>
          <cell r="F2432" t="str">
            <v>Tidak</v>
          </cell>
          <cell r="G2432" t="str">
            <v>Tidak</v>
          </cell>
          <cell r="H2432" t="str">
            <v>Tidak</v>
          </cell>
          <cell r="I2432" t="str">
            <v>Private or Priority Customer Investment</v>
          </cell>
          <cell r="J2432">
            <v>78</v>
          </cell>
          <cell r="K2432">
            <v>93</v>
          </cell>
          <cell r="L2432" t="str">
            <v>Pasar Modal</v>
          </cell>
          <cell r="M2432" t="str">
            <v xml:space="preserve">KC SUDIRMAN SEMANGGI                    </v>
          </cell>
          <cell r="N2432" t="str">
            <v xml:space="preserve">KC SUDIRMAN SEMANGGI                    </v>
          </cell>
          <cell r="O2432" t="str">
            <v xml:space="preserve">DKI                                     </v>
          </cell>
          <cell r="P2432" t="str">
            <v>Tidak</v>
          </cell>
          <cell r="R2432" t="str">
            <v>Done</v>
          </cell>
          <cell r="S2432" t="str">
            <v>Belum TL</v>
          </cell>
          <cell r="T2432" t="str">
            <v>00336949 - Mochammad Al Farabi</v>
          </cell>
          <cell r="U2432" t="str">
            <v>"-"</v>
          </cell>
        </row>
        <row r="2433">
          <cell r="A2433">
            <v>46265</v>
          </cell>
          <cell r="B2433" t="str">
            <v xml:space="preserve">ANDHIKA ARIWJAYA                        </v>
          </cell>
          <cell r="C2433" t="str">
            <v>AFHGB29</v>
          </cell>
          <cell r="D2433">
            <v>1901270863500</v>
          </cell>
          <cell r="F2433" t="str">
            <v>Tidak</v>
          </cell>
          <cell r="G2433" t="str">
            <v>Tidak</v>
          </cell>
          <cell r="H2433" t="str">
            <v>Tidak</v>
          </cell>
          <cell r="I2433" t="str">
            <v>Bandar Judol Withdrawal</v>
          </cell>
          <cell r="J2433">
            <v>35</v>
          </cell>
          <cell r="K2433" t="str">
            <v>86,88,87</v>
          </cell>
          <cell r="L2433" t="str">
            <v>Judi Online</v>
          </cell>
          <cell r="M2433" t="str">
            <v xml:space="preserve">Kas Kanpus                              </v>
          </cell>
          <cell r="N2433" t="str">
            <v xml:space="preserve">Kas Kanpus                              </v>
          </cell>
          <cell r="O2433" t="str">
            <v xml:space="preserve">KAS KANPUS                              </v>
          </cell>
          <cell r="P2433" t="str">
            <v>Ya</v>
          </cell>
          <cell r="R2433" t="str">
            <v>Done</v>
          </cell>
          <cell r="S2433" t="str">
            <v>Belum TL</v>
          </cell>
          <cell r="T2433" t="str">
            <v>90186790 - Muhammad Alfin Farha</v>
          </cell>
          <cell r="U2433" t="str">
            <v>"-"</v>
          </cell>
        </row>
        <row r="2434">
          <cell r="A2434">
            <v>46265</v>
          </cell>
          <cell r="B2434" t="str">
            <v xml:space="preserve">AMBONO                                  </v>
          </cell>
          <cell r="C2434" t="str">
            <v>AFDHI97</v>
          </cell>
          <cell r="D2434">
            <v>112201017701503</v>
          </cell>
          <cell r="F2434" t="str">
            <v>Tidak</v>
          </cell>
          <cell r="G2434" t="str">
            <v>Tidak</v>
          </cell>
          <cell r="H2434" t="str">
            <v>Tidak</v>
          </cell>
          <cell r="I2434" t="str">
            <v>Bandar Judol Depo</v>
          </cell>
          <cell r="J2434">
            <v>35</v>
          </cell>
          <cell r="K2434" t="str">
            <v>86,74,87</v>
          </cell>
          <cell r="L2434" t="str">
            <v>Judi Online</v>
          </cell>
          <cell r="M2434" t="str">
            <v xml:space="preserve">Kas Kanpus                              </v>
          </cell>
          <cell r="N2434" t="str">
            <v xml:space="preserve">Kas Kanpus                              </v>
          </cell>
          <cell r="O2434" t="str">
            <v xml:space="preserve">KAS KANPUS                              </v>
          </cell>
          <cell r="P2434" t="str">
            <v>Ya</v>
          </cell>
          <cell r="R2434" t="str">
            <v>Done</v>
          </cell>
          <cell r="S2434" t="str">
            <v>Belum TL</v>
          </cell>
          <cell r="T2434" t="str">
            <v>90186796 - Devito Arya Wiradila</v>
          </cell>
          <cell r="U2434" t="str">
            <v>"-"</v>
          </cell>
        </row>
        <row r="2435">
          <cell r="A2435">
            <v>46265</v>
          </cell>
          <cell r="B2435" t="str">
            <v xml:space="preserve">ANDREAN SYAHPUTRA                       </v>
          </cell>
          <cell r="C2435" t="str">
            <v>AFDJA42</v>
          </cell>
          <cell r="D2435">
            <v>33601161354507</v>
          </cell>
          <cell r="F2435" t="str">
            <v>Tidak</v>
          </cell>
          <cell r="G2435" t="str">
            <v>Tidak</v>
          </cell>
          <cell r="H2435" t="str">
            <v>Tidak</v>
          </cell>
          <cell r="I2435" t="str">
            <v>Bandar Judol Depo</v>
          </cell>
          <cell r="J2435">
            <v>35</v>
          </cell>
          <cell r="K2435" t="str">
            <v>86,74,87</v>
          </cell>
          <cell r="L2435" t="str">
            <v>Judi Online</v>
          </cell>
          <cell r="M2435" t="str">
            <v xml:space="preserve">Kas Kanpus                              </v>
          </cell>
          <cell r="N2435" t="str">
            <v xml:space="preserve">Kas Kanpus                              </v>
          </cell>
          <cell r="O2435" t="str">
            <v xml:space="preserve">KAS KANPUS                              </v>
          </cell>
          <cell r="P2435" t="str">
            <v>Ya</v>
          </cell>
          <cell r="R2435" t="str">
            <v>Done</v>
          </cell>
          <cell r="S2435" t="str">
            <v>Belum TL</v>
          </cell>
          <cell r="T2435" t="str">
            <v>00394521 - Muhammad Hibbanduta</v>
          </cell>
          <cell r="U2435" t="str">
            <v>"-"</v>
          </cell>
        </row>
        <row r="2436">
          <cell r="A2436">
            <v>46265</v>
          </cell>
          <cell r="B2436" t="str">
            <v xml:space="preserve">ADE PRIMADIA PUTERI                     </v>
          </cell>
          <cell r="C2436" t="str">
            <v>AGR4312</v>
          </cell>
          <cell r="D2436">
            <v>10801021966502</v>
          </cell>
          <cell r="E2436" t="str">
            <v>SEDANG</v>
          </cell>
          <cell r="F2436" t="str">
            <v>Tidak</v>
          </cell>
          <cell r="G2436" t="str">
            <v>Tidak</v>
          </cell>
          <cell r="H2436" t="str">
            <v>Tidak</v>
          </cell>
          <cell r="I2436" t="str">
            <v>Bandar Judol Withdrawal</v>
          </cell>
          <cell r="J2436">
            <v>50</v>
          </cell>
          <cell r="K2436" t="str">
            <v>86,88,87</v>
          </cell>
          <cell r="L2436" t="str">
            <v>Judi Online</v>
          </cell>
          <cell r="M2436" t="str">
            <v xml:space="preserve">Kas Kanpus                              </v>
          </cell>
          <cell r="N2436" t="str">
            <v xml:space="preserve">Kas Kanpus                              </v>
          </cell>
          <cell r="O2436" t="str">
            <v xml:space="preserve">KAS KANPUS                              </v>
          </cell>
          <cell r="P2436" t="str">
            <v>Tidak</v>
          </cell>
          <cell r="R2436" t="str">
            <v>Done</v>
          </cell>
          <cell r="S2436" t="str">
            <v>Belum TL</v>
          </cell>
          <cell r="T2436" t="str">
            <v>90186796 - Devito Arya Wiradila</v>
          </cell>
          <cell r="U2436" t="str">
            <v>"-"</v>
          </cell>
        </row>
        <row r="2437">
          <cell r="A2437">
            <v>46265</v>
          </cell>
          <cell r="B2437" t="str">
            <v xml:space="preserve">ANNISA EKA RAHAYU                       </v>
          </cell>
          <cell r="C2437" t="str">
            <v>AMLC885</v>
          </cell>
          <cell r="D2437">
            <v>714101001732502</v>
          </cell>
          <cell r="E2437" t="str">
            <v>SEDANG</v>
          </cell>
          <cell r="F2437" t="str">
            <v>Tidak</v>
          </cell>
          <cell r="G2437" t="str">
            <v>Tidak</v>
          </cell>
          <cell r="H2437" t="str">
            <v>Tidak</v>
          </cell>
          <cell r="I2437" t="str">
            <v>Bandar Judol Withdrawal</v>
          </cell>
          <cell r="J2437">
            <v>50</v>
          </cell>
          <cell r="K2437" t="str">
            <v>86,88,87</v>
          </cell>
          <cell r="L2437" t="str">
            <v>Judi Online</v>
          </cell>
          <cell r="M2437" t="str">
            <v xml:space="preserve">Kas Kanpus                              </v>
          </cell>
          <cell r="N2437" t="str">
            <v xml:space="preserve">Kas Kanpus                              </v>
          </cell>
          <cell r="O2437" t="str">
            <v xml:space="preserve">KAS KANPUS                              </v>
          </cell>
          <cell r="P2437" t="str">
            <v>Ya</v>
          </cell>
          <cell r="R2437" t="str">
            <v>Done</v>
          </cell>
          <cell r="S2437" t="str">
            <v>Belum TL</v>
          </cell>
          <cell r="T2437" t="str">
            <v>90150130 - Intan Aida Pratiwi</v>
          </cell>
          <cell r="U2437" t="str">
            <v>"-"</v>
          </cell>
        </row>
        <row r="2438">
          <cell r="A2438">
            <v>46265</v>
          </cell>
          <cell r="B2438" t="str">
            <v xml:space="preserve">ASEP SARIPUDIN                          </v>
          </cell>
          <cell r="C2438" t="str">
            <v>AINA786</v>
          </cell>
          <cell r="D2438">
            <v>17401066362506</v>
          </cell>
          <cell r="E2438" t="str">
            <v>TINGGI</v>
          </cell>
          <cell r="F2438" t="str">
            <v>Tidak</v>
          </cell>
          <cell r="G2438" t="str">
            <v>Tidak</v>
          </cell>
          <cell r="H2438" t="str">
            <v>Tidak</v>
          </cell>
          <cell r="I2438" t="str">
            <v>Bandar Judol Withdrawal</v>
          </cell>
          <cell r="J2438">
            <v>65</v>
          </cell>
          <cell r="K2438" t="str">
            <v>86,88,87</v>
          </cell>
          <cell r="L2438" t="str">
            <v>Judi Online</v>
          </cell>
          <cell r="M2438" t="str">
            <v xml:space="preserve">Kas Kanpus                              </v>
          </cell>
          <cell r="N2438" t="str">
            <v xml:space="preserve">Kas Kanpus                              </v>
          </cell>
          <cell r="O2438" t="str">
            <v xml:space="preserve">KAS KANPUS                              </v>
          </cell>
          <cell r="P2438" t="str">
            <v>Ya</v>
          </cell>
          <cell r="R2438" t="str">
            <v>Done</v>
          </cell>
          <cell r="S2438" t="str">
            <v>Belum TL</v>
          </cell>
          <cell r="T2438" t="str">
            <v>90186790 - Muhammad Alfin Farha</v>
          </cell>
          <cell r="U2438" t="str">
            <v>"-"</v>
          </cell>
        </row>
        <row r="2439">
          <cell r="A2439">
            <v>46265</v>
          </cell>
          <cell r="B2439" t="str">
            <v xml:space="preserve">ARIF BUDIMAN                            </v>
          </cell>
          <cell r="C2439" t="str">
            <v>AFGFK05</v>
          </cell>
          <cell r="D2439">
            <v>43801073106509</v>
          </cell>
          <cell r="F2439" t="str">
            <v>Tidak</v>
          </cell>
          <cell r="G2439" t="str">
            <v>Tidak</v>
          </cell>
          <cell r="H2439" t="str">
            <v>Tidak</v>
          </cell>
          <cell r="I2439" t="str">
            <v>Bandar Judol Withdrawal</v>
          </cell>
          <cell r="J2439">
            <v>35</v>
          </cell>
          <cell r="K2439" t="str">
            <v>86,88,87</v>
          </cell>
          <cell r="L2439" t="str">
            <v>Judi Online</v>
          </cell>
          <cell r="M2439" t="str">
            <v xml:space="preserve">Kas Kanpus                              </v>
          </cell>
          <cell r="N2439" t="str">
            <v xml:space="preserve">Kas Kanpus                              </v>
          </cell>
          <cell r="O2439" t="str">
            <v xml:space="preserve">KAS KANPUS                              </v>
          </cell>
          <cell r="P2439" t="str">
            <v>Ya</v>
          </cell>
          <cell r="R2439" t="str">
            <v>Done</v>
          </cell>
          <cell r="S2439" t="str">
            <v>Belum TL</v>
          </cell>
          <cell r="T2439" t="str">
            <v>00336949 - Mochammad Al Farabi</v>
          </cell>
          <cell r="U2439" t="str">
            <v>"-"</v>
          </cell>
        </row>
        <row r="2440">
          <cell r="A2440">
            <v>46265</v>
          </cell>
          <cell r="B2440" t="str">
            <v xml:space="preserve">AHMAD ALFIAN                            </v>
          </cell>
          <cell r="C2440" t="str">
            <v>AFCUD55</v>
          </cell>
          <cell r="D2440">
            <v>179101004259504</v>
          </cell>
          <cell r="F2440" t="str">
            <v>Tidak</v>
          </cell>
          <cell r="G2440" t="str">
            <v>Tidak</v>
          </cell>
          <cell r="H2440" t="str">
            <v>Tidak</v>
          </cell>
          <cell r="I2440" t="str">
            <v>Bandar Judol Withdrawal</v>
          </cell>
          <cell r="J2440">
            <v>35</v>
          </cell>
          <cell r="K2440" t="str">
            <v>86,88,87</v>
          </cell>
          <cell r="L2440" t="str">
            <v>Judi Online</v>
          </cell>
          <cell r="M2440" t="str">
            <v xml:space="preserve">Kas Kanpus                              </v>
          </cell>
          <cell r="N2440" t="str">
            <v xml:space="preserve">Kas Kanpus                              </v>
          </cell>
          <cell r="O2440" t="str">
            <v xml:space="preserve">KAS KANPUS                              </v>
          </cell>
          <cell r="P2440" t="str">
            <v>Ya</v>
          </cell>
          <cell r="R2440" t="str">
            <v>Done</v>
          </cell>
          <cell r="S2440" t="str">
            <v>Belum TL</v>
          </cell>
          <cell r="T2440" t="str">
            <v>90170665 - Mutiara Ayuningtyas</v>
          </cell>
          <cell r="U2440" t="str">
            <v>"-"</v>
          </cell>
        </row>
        <row r="2441">
          <cell r="A2441">
            <v>46265</v>
          </cell>
          <cell r="B2441" t="str">
            <v xml:space="preserve">ANDRIAN SYAHPUTRA HRP                   </v>
          </cell>
          <cell r="C2441" t="str">
            <v>AFCJG67</v>
          </cell>
          <cell r="D2441">
            <v>23801098001500</v>
          </cell>
          <cell r="F2441" t="str">
            <v>Tidak</v>
          </cell>
          <cell r="G2441" t="str">
            <v>Tidak</v>
          </cell>
          <cell r="H2441" t="str">
            <v>Tidak</v>
          </cell>
          <cell r="I2441" t="str">
            <v>Bandar Judol Withdrawal</v>
          </cell>
          <cell r="J2441">
            <v>35</v>
          </cell>
          <cell r="K2441" t="str">
            <v>86,88,87</v>
          </cell>
          <cell r="L2441" t="str">
            <v>Judi Online</v>
          </cell>
          <cell r="M2441" t="str">
            <v xml:space="preserve">Kas Kanpus                              </v>
          </cell>
          <cell r="N2441" t="str">
            <v xml:space="preserve">Kas Kanpus                              </v>
          </cell>
          <cell r="O2441" t="str">
            <v xml:space="preserve">KAS KANPUS                              </v>
          </cell>
          <cell r="P2441" t="str">
            <v>Ya</v>
          </cell>
          <cell r="R2441" t="str">
            <v>Done</v>
          </cell>
          <cell r="S2441" t="str">
            <v>Belum TL</v>
          </cell>
          <cell r="T2441" t="str">
            <v>00394520 - Frida Akbar Rani</v>
          </cell>
          <cell r="U2441" t="str">
            <v>"-"</v>
          </cell>
        </row>
        <row r="2442">
          <cell r="A2442">
            <v>46265</v>
          </cell>
          <cell r="B2442" t="str">
            <v xml:space="preserve">ASEP HIDAYAT                            </v>
          </cell>
          <cell r="C2442" t="str">
            <v>AEZUZ42</v>
          </cell>
          <cell r="D2442">
            <v>119101023037509</v>
          </cell>
          <cell r="F2442" t="str">
            <v>Tidak</v>
          </cell>
          <cell r="G2442" t="str">
            <v>Tidak</v>
          </cell>
          <cell r="H2442" t="str">
            <v>Tidak</v>
          </cell>
          <cell r="I2442" t="str">
            <v>Bandar Judol Withdrawal</v>
          </cell>
          <cell r="J2442">
            <v>35</v>
          </cell>
          <cell r="K2442" t="str">
            <v>86,88,87</v>
          </cell>
          <cell r="L2442" t="str">
            <v>Judi Online</v>
          </cell>
          <cell r="M2442" t="str">
            <v xml:space="preserve">Kas Kanpus                              </v>
          </cell>
          <cell r="N2442" t="str">
            <v xml:space="preserve">Kas Kanpus                              </v>
          </cell>
          <cell r="O2442" t="str">
            <v xml:space="preserve">KAS KANPUS                              </v>
          </cell>
          <cell r="P2442" t="str">
            <v>Ya</v>
          </cell>
          <cell r="R2442" t="str">
            <v>Done</v>
          </cell>
          <cell r="S2442" t="str">
            <v>Belum TL</v>
          </cell>
          <cell r="T2442" t="str">
            <v>00394521 - Muhammad Hibbanduta</v>
          </cell>
          <cell r="U2442" t="str">
            <v>"-"</v>
          </cell>
        </row>
        <row r="2443">
          <cell r="A2443">
            <v>46265</v>
          </cell>
          <cell r="B2443" t="str">
            <v xml:space="preserve">ABDUR ROJAK                             </v>
          </cell>
          <cell r="C2443" t="str">
            <v>AEZYM70</v>
          </cell>
          <cell r="D2443">
            <v>43801004347568</v>
          </cell>
          <cell r="F2443" t="str">
            <v>Tidak</v>
          </cell>
          <cell r="G2443" t="str">
            <v>Tidak</v>
          </cell>
          <cell r="H2443" t="str">
            <v>Tidak</v>
          </cell>
          <cell r="I2443" t="str">
            <v>Bandar Judol Withdrawal</v>
          </cell>
          <cell r="J2443">
            <v>35</v>
          </cell>
          <cell r="K2443" t="str">
            <v>86,88,87</v>
          </cell>
          <cell r="L2443" t="str">
            <v>Judi Online</v>
          </cell>
          <cell r="M2443" t="str">
            <v xml:space="preserve">Kas Kanpus                              </v>
          </cell>
          <cell r="N2443" t="str">
            <v xml:space="preserve">Kas Kanpus                              </v>
          </cell>
          <cell r="O2443" t="str">
            <v xml:space="preserve">KAS KANPUS                              </v>
          </cell>
          <cell r="P2443" t="str">
            <v>Ya</v>
          </cell>
          <cell r="R2443" t="str">
            <v>Done</v>
          </cell>
          <cell r="S2443" t="str">
            <v>Belum TL</v>
          </cell>
          <cell r="T2443" t="str">
            <v>90186790 - Muhammad Alfin Farha</v>
          </cell>
          <cell r="U2443" t="str">
            <v>"-"</v>
          </cell>
        </row>
        <row r="2444">
          <cell r="A2444">
            <v>46265</v>
          </cell>
          <cell r="B2444" t="str">
            <v xml:space="preserve">ADENDRA SYAHTRIOMAS                     </v>
          </cell>
          <cell r="C2444" t="str">
            <v>AFABA82</v>
          </cell>
          <cell r="D2444">
            <v>112901039291508</v>
          </cell>
          <cell r="F2444" t="str">
            <v>Tidak</v>
          </cell>
          <cell r="G2444" t="str">
            <v>Tidak</v>
          </cell>
          <cell r="H2444" t="str">
            <v>Tidak</v>
          </cell>
          <cell r="I2444" t="str">
            <v>Bandar Judol Withdrawal</v>
          </cell>
          <cell r="J2444">
            <v>35</v>
          </cell>
          <cell r="K2444" t="str">
            <v>86,88,87</v>
          </cell>
          <cell r="L2444" t="str">
            <v>Judi Online</v>
          </cell>
          <cell r="M2444" t="str">
            <v xml:space="preserve">Kas Kanpus                              </v>
          </cell>
          <cell r="N2444" t="str">
            <v xml:space="preserve">Kas Kanpus                              </v>
          </cell>
          <cell r="O2444" t="str">
            <v xml:space="preserve">KAS KANPUS                              </v>
          </cell>
          <cell r="P2444" t="str">
            <v>Ya</v>
          </cell>
          <cell r="R2444" t="str">
            <v>Done</v>
          </cell>
          <cell r="S2444" t="str">
            <v>Belum TL</v>
          </cell>
          <cell r="T2444" t="str">
            <v>90150130 - Intan Aida Pratiwi</v>
          </cell>
          <cell r="U2444" t="str">
            <v>"-"</v>
          </cell>
        </row>
        <row r="2445">
          <cell r="A2445">
            <v>46265</v>
          </cell>
          <cell r="B2445" t="str">
            <v xml:space="preserve">AJAT SUDRAJAT                           </v>
          </cell>
          <cell r="C2445" t="str">
            <v>AFCII68</v>
          </cell>
          <cell r="D2445">
            <v>1901257466507</v>
          </cell>
          <cell r="F2445" t="str">
            <v>Tidak</v>
          </cell>
          <cell r="G2445" t="str">
            <v>Tidak</v>
          </cell>
          <cell r="H2445" t="str">
            <v>Tidak</v>
          </cell>
          <cell r="I2445" t="str">
            <v>Bandar Judol Withdrawal</v>
          </cell>
          <cell r="J2445">
            <v>35</v>
          </cell>
          <cell r="K2445" t="str">
            <v>86,88,87</v>
          </cell>
          <cell r="L2445" t="str">
            <v>Judi Online</v>
          </cell>
          <cell r="M2445" t="str">
            <v xml:space="preserve">Kas Kanpus                              </v>
          </cell>
          <cell r="N2445" t="str">
            <v xml:space="preserve">Kas Kanpus                              </v>
          </cell>
          <cell r="O2445" t="str">
            <v xml:space="preserve">KAS KANPUS                              </v>
          </cell>
          <cell r="P2445" t="str">
            <v>Ya</v>
          </cell>
          <cell r="R2445" t="str">
            <v>Done</v>
          </cell>
          <cell r="S2445" t="str">
            <v>Belum TL</v>
          </cell>
          <cell r="T2445" t="str">
            <v>00394521 - Muhammad Hibbanduta</v>
          </cell>
          <cell r="U2445" t="str">
            <v>"-"</v>
          </cell>
        </row>
        <row r="2446">
          <cell r="A2446">
            <v>46265</v>
          </cell>
          <cell r="B2446" t="str">
            <v xml:space="preserve">ARSYIL ABDUL MAJID                      </v>
          </cell>
          <cell r="C2446" t="str">
            <v>AEZNK27</v>
          </cell>
          <cell r="D2446">
            <v>112901039257504</v>
          </cell>
          <cell r="F2446" t="str">
            <v>Tidak</v>
          </cell>
          <cell r="G2446" t="str">
            <v>Tidak</v>
          </cell>
          <cell r="H2446" t="str">
            <v>Tidak</v>
          </cell>
          <cell r="I2446" t="str">
            <v>Bandar Judol Withdrawal</v>
          </cell>
          <cell r="J2446">
            <v>35</v>
          </cell>
          <cell r="K2446" t="str">
            <v>86,88,87</v>
          </cell>
          <cell r="L2446" t="str">
            <v>Judi Online</v>
          </cell>
          <cell r="M2446" t="str">
            <v xml:space="preserve">Kas Kanpus                              </v>
          </cell>
          <cell r="N2446" t="str">
            <v xml:space="preserve">Kas Kanpus                              </v>
          </cell>
          <cell r="O2446" t="str">
            <v xml:space="preserve">KAS KANPUS                              </v>
          </cell>
          <cell r="P2446" t="str">
            <v>Ya</v>
          </cell>
          <cell r="R2446" t="str">
            <v>Done</v>
          </cell>
          <cell r="S2446" t="str">
            <v>Belum TL</v>
          </cell>
          <cell r="T2446" t="str">
            <v>90150130 - Intan Aida Pratiwi</v>
          </cell>
          <cell r="U2446" t="str">
            <v>"-"</v>
          </cell>
        </row>
        <row r="2447">
          <cell r="A2447">
            <v>46265</v>
          </cell>
          <cell r="B2447" t="str">
            <v xml:space="preserve">AHMAD RIZQI FADHILLAH IZZI              </v>
          </cell>
          <cell r="C2447" t="str">
            <v>AEZOW56</v>
          </cell>
          <cell r="D2447">
            <v>463501007640501</v>
          </cell>
          <cell r="F2447" t="str">
            <v>Tidak</v>
          </cell>
          <cell r="G2447" t="str">
            <v>Tidak</v>
          </cell>
          <cell r="H2447" t="str">
            <v>Tidak</v>
          </cell>
          <cell r="I2447" t="str">
            <v>Bandar Judol Withdrawal</v>
          </cell>
          <cell r="J2447">
            <v>35</v>
          </cell>
          <cell r="K2447" t="str">
            <v>86,88,87</v>
          </cell>
          <cell r="L2447" t="str">
            <v>Judi Online</v>
          </cell>
          <cell r="M2447" t="str">
            <v xml:space="preserve">Kas Kanpus                              </v>
          </cell>
          <cell r="N2447" t="str">
            <v xml:space="preserve">Kas Kanpus                              </v>
          </cell>
          <cell r="O2447" t="str">
            <v xml:space="preserve">KAS KANPUS                              </v>
          </cell>
          <cell r="P2447" t="str">
            <v>Ya</v>
          </cell>
          <cell r="R2447" t="str">
            <v>Done</v>
          </cell>
          <cell r="S2447" t="str">
            <v>Belum TL</v>
          </cell>
          <cell r="T2447" t="str">
            <v>00336949 - Mochammad Al Farabi</v>
          </cell>
          <cell r="U2447" t="str">
            <v>"-"</v>
          </cell>
        </row>
        <row r="2448">
          <cell r="A2448">
            <v>46265</v>
          </cell>
          <cell r="B2448" t="str">
            <v>ARNA TASYA ADINDA JETTARIA HOTMARINA LAR</v>
          </cell>
          <cell r="C2448" t="str">
            <v>AEYCE23</v>
          </cell>
          <cell r="D2448">
            <v>56001070007507</v>
          </cell>
          <cell r="F2448" t="str">
            <v>Tidak</v>
          </cell>
          <cell r="G2448" t="str">
            <v>Tidak</v>
          </cell>
          <cell r="H2448" t="str">
            <v>Tidak</v>
          </cell>
          <cell r="I2448" t="str">
            <v>Bandar Judol Withdrawal</v>
          </cell>
          <cell r="J2448">
            <v>35</v>
          </cell>
          <cell r="K2448" t="str">
            <v>86,88,87</v>
          </cell>
          <cell r="L2448" t="str">
            <v>Judi Online</v>
          </cell>
          <cell r="M2448" t="str">
            <v xml:space="preserve">Kas Kanpus                              </v>
          </cell>
          <cell r="N2448" t="str">
            <v xml:space="preserve">Kas Kanpus                              </v>
          </cell>
          <cell r="O2448" t="str">
            <v xml:space="preserve">KAS KANPUS                              </v>
          </cell>
          <cell r="P2448" t="str">
            <v>Ya</v>
          </cell>
          <cell r="R2448" t="str">
            <v>Done</v>
          </cell>
          <cell r="S2448" t="str">
            <v>Belum TL</v>
          </cell>
          <cell r="T2448" t="str">
            <v>90186796 - Devito Arya Wiradila</v>
          </cell>
          <cell r="U2448" t="str">
            <v>"-"</v>
          </cell>
        </row>
        <row r="2449">
          <cell r="A2449">
            <v>46265</v>
          </cell>
          <cell r="B2449" t="str">
            <v xml:space="preserve">ALFIN ZEPRI PRATAMA LUBIS               </v>
          </cell>
          <cell r="C2449" t="str">
            <v>AEYCM36</v>
          </cell>
          <cell r="D2449">
            <v>528801015105505</v>
          </cell>
          <cell r="F2449" t="str">
            <v>Tidak</v>
          </cell>
          <cell r="G2449" t="str">
            <v>Tidak</v>
          </cell>
          <cell r="H2449" t="str">
            <v>Tidak</v>
          </cell>
          <cell r="I2449" t="str">
            <v>Bandar Judol Depo</v>
          </cell>
          <cell r="J2449">
            <v>35</v>
          </cell>
          <cell r="K2449" t="str">
            <v>86,74,87</v>
          </cell>
          <cell r="L2449" t="str">
            <v>Judi Online</v>
          </cell>
          <cell r="M2449" t="str">
            <v xml:space="preserve">Kas Kanpus                              </v>
          </cell>
          <cell r="N2449" t="str">
            <v xml:space="preserve">Kas Kanpus                              </v>
          </cell>
          <cell r="O2449" t="str">
            <v xml:space="preserve">KAS KANPUS                              </v>
          </cell>
          <cell r="P2449" t="str">
            <v>Ya</v>
          </cell>
          <cell r="R2449" t="str">
            <v>Done</v>
          </cell>
          <cell r="S2449" t="str">
            <v>Belum TL</v>
          </cell>
          <cell r="T2449" t="str">
            <v>90150130 - Intan Aida Pratiwi</v>
          </cell>
          <cell r="U2449" t="str">
            <v>"-"</v>
          </cell>
        </row>
        <row r="2450">
          <cell r="A2450">
            <v>46265</v>
          </cell>
          <cell r="B2450" t="str">
            <v xml:space="preserve">AKHMAD FARKHAN                          </v>
          </cell>
          <cell r="C2450" t="str">
            <v>AEVDS57</v>
          </cell>
          <cell r="D2450">
            <v>10701149478502</v>
          </cell>
          <cell r="F2450" t="str">
            <v>Tidak</v>
          </cell>
          <cell r="G2450" t="str">
            <v>Tidak</v>
          </cell>
          <cell r="H2450" t="str">
            <v>Tidak</v>
          </cell>
          <cell r="I2450" t="str">
            <v>Bandar Judol Withdrawal</v>
          </cell>
          <cell r="J2450">
            <v>35</v>
          </cell>
          <cell r="K2450" t="str">
            <v>86,88,87</v>
          </cell>
          <cell r="L2450" t="str">
            <v>Judi Online</v>
          </cell>
          <cell r="M2450" t="str">
            <v xml:space="preserve">Kas Kanpus                              </v>
          </cell>
          <cell r="N2450" t="str">
            <v xml:space="preserve">Kas Kanpus                              </v>
          </cell>
          <cell r="O2450" t="str">
            <v xml:space="preserve">KAS KANPUS                              </v>
          </cell>
          <cell r="P2450" t="str">
            <v>Ya</v>
          </cell>
          <cell r="R2450" t="str">
            <v>Done</v>
          </cell>
          <cell r="S2450" t="str">
            <v>Belum TL</v>
          </cell>
          <cell r="T2450" t="str">
            <v>90185538 - Muhammad Fahikal Auz</v>
          </cell>
          <cell r="U2450" t="str">
            <v>"-"</v>
          </cell>
        </row>
        <row r="2451">
          <cell r="A2451">
            <v>46265</v>
          </cell>
          <cell r="B2451" t="str">
            <v xml:space="preserve">ALDO YOSEF ESTRADA WONGKAR              </v>
          </cell>
          <cell r="C2451" t="str">
            <v>AEXNT91</v>
          </cell>
          <cell r="D2451">
            <v>530101025153502</v>
          </cell>
          <cell r="F2451" t="str">
            <v>Tidak</v>
          </cell>
          <cell r="G2451" t="str">
            <v>Tidak</v>
          </cell>
          <cell r="H2451" t="str">
            <v>Tidak</v>
          </cell>
          <cell r="I2451" t="str">
            <v>Bandar Judol Withdrawal</v>
          </cell>
          <cell r="J2451">
            <v>35</v>
          </cell>
          <cell r="K2451" t="str">
            <v>86,88,87</v>
          </cell>
          <cell r="L2451" t="str">
            <v>Judi Online</v>
          </cell>
          <cell r="M2451" t="str">
            <v xml:space="preserve">Kas Kanpus                              </v>
          </cell>
          <cell r="N2451" t="str">
            <v xml:space="preserve">Kas Kanpus                              </v>
          </cell>
          <cell r="O2451" t="str">
            <v xml:space="preserve">KAS KANPUS                              </v>
          </cell>
          <cell r="P2451" t="str">
            <v>Ya</v>
          </cell>
          <cell r="R2451" t="str">
            <v>Done</v>
          </cell>
          <cell r="S2451" t="str">
            <v>Belum TL</v>
          </cell>
          <cell r="T2451" t="str">
            <v>90171841 - Rifqi Aziz</v>
          </cell>
          <cell r="U2451" t="str">
            <v>"-"</v>
          </cell>
        </row>
        <row r="2452">
          <cell r="A2452">
            <v>46265</v>
          </cell>
          <cell r="B2452" t="str">
            <v xml:space="preserve">ABDUL FATAH                             </v>
          </cell>
          <cell r="C2452" t="str">
            <v>AEVZS18</v>
          </cell>
          <cell r="D2452">
            <v>384901027200509</v>
          </cell>
          <cell r="F2452" t="str">
            <v>Tidak</v>
          </cell>
          <cell r="G2452" t="str">
            <v>Tidak</v>
          </cell>
          <cell r="H2452" t="str">
            <v>Tidak</v>
          </cell>
          <cell r="I2452" t="str">
            <v>Bandar Judol Withdrawal</v>
          </cell>
          <cell r="J2452">
            <v>35</v>
          </cell>
          <cell r="K2452" t="str">
            <v>86,88,87</v>
          </cell>
          <cell r="L2452" t="str">
            <v>Judi Online</v>
          </cell>
          <cell r="M2452" t="str">
            <v xml:space="preserve">Kas Kanpus                              </v>
          </cell>
          <cell r="N2452" t="str">
            <v xml:space="preserve">Kas Kanpus                              </v>
          </cell>
          <cell r="O2452" t="str">
            <v xml:space="preserve">KAS KANPUS                              </v>
          </cell>
          <cell r="P2452" t="str">
            <v>Ya</v>
          </cell>
          <cell r="R2452" t="str">
            <v>Done</v>
          </cell>
          <cell r="S2452" t="str">
            <v>Belum TL</v>
          </cell>
          <cell r="T2452" t="str">
            <v>90150130 - Intan Aida Pratiwi</v>
          </cell>
          <cell r="U2452" t="str">
            <v>"-"</v>
          </cell>
        </row>
        <row r="2453">
          <cell r="A2453">
            <v>46265</v>
          </cell>
          <cell r="B2453" t="str">
            <v xml:space="preserve">AHKWAL INSAN                            </v>
          </cell>
          <cell r="C2453" t="str">
            <v>ADXNZ62</v>
          </cell>
          <cell r="D2453">
            <v>36201059993507</v>
          </cell>
          <cell r="F2453" t="str">
            <v>Tidak</v>
          </cell>
          <cell r="G2453" t="str">
            <v>Tidak</v>
          </cell>
          <cell r="H2453" t="str">
            <v>Tidak</v>
          </cell>
          <cell r="I2453" t="str">
            <v>Bandar Judol Withdrawal</v>
          </cell>
          <cell r="J2453">
            <v>35</v>
          </cell>
          <cell r="K2453" t="str">
            <v>86,88,87</v>
          </cell>
          <cell r="L2453" t="str">
            <v>Judi Online</v>
          </cell>
          <cell r="M2453" t="str">
            <v xml:space="preserve">Kas Kanpus                              </v>
          </cell>
          <cell r="N2453" t="str">
            <v xml:space="preserve">Kas Kanpus                              </v>
          </cell>
          <cell r="O2453" t="str">
            <v xml:space="preserve">KAS KANPUS                              </v>
          </cell>
          <cell r="P2453" t="str">
            <v>Ya</v>
          </cell>
          <cell r="R2453" t="str">
            <v>Done</v>
          </cell>
          <cell r="S2453" t="str">
            <v>Belum TL</v>
          </cell>
          <cell r="T2453" t="str">
            <v>90186790 - Muhammad Alfin Farha</v>
          </cell>
          <cell r="U2453" t="str">
            <v>"-"</v>
          </cell>
        </row>
        <row r="2454">
          <cell r="A2454">
            <v>46265</v>
          </cell>
          <cell r="B2454" t="str">
            <v xml:space="preserve">ALYA AGUSTINA                           </v>
          </cell>
          <cell r="C2454" t="str">
            <v>AEUHP40</v>
          </cell>
          <cell r="D2454">
            <v>8001412775500</v>
          </cell>
          <cell r="F2454" t="str">
            <v>Tidak</v>
          </cell>
          <cell r="G2454" t="str">
            <v>Tidak</v>
          </cell>
          <cell r="H2454" t="str">
            <v>Tidak</v>
          </cell>
          <cell r="I2454" t="str">
            <v>Bandar Judol Withdrawal</v>
          </cell>
          <cell r="J2454">
            <v>35</v>
          </cell>
          <cell r="K2454" t="str">
            <v>86,88,87</v>
          </cell>
          <cell r="L2454" t="str">
            <v>Judi Online</v>
          </cell>
          <cell r="M2454" t="str">
            <v xml:space="preserve">Kas Kanpus                              </v>
          </cell>
          <cell r="N2454" t="str">
            <v xml:space="preserve">Kas Kanpus                              </v>
          </cell>
          <cell r="O2454" t="str">
            <v xml:space="preserve">KAS KANPUS                              </v>
          </cell>
          <cell r="P2454" t="str">
            <v>Ya</v>
          </cell>
          <cell r="R2454" t="str">
            <v>Done</v>
          </cell>
          <cell r="S2454" t="str">
            <v>Belum TL</v>
          </cell>
          <cell r="T2454" t="str">
            <v>90185538 - Muhammad Fahikal Auz</v>
          </cell>
          <cell r="U2454" t="str">
            <v>"-"</v>
          </cell>
        </row>
        <row r="2455">
          <cell r="A2455">
            <v>46265</v>
          </cell>
          <cell r="B2455" t="str">
            <v xml:space="preserve">ARIEF FAHRIZAL                          </v>
          </cell>
          <cell r="C2455" t="str">
            <v>AESTP16</v>
          </cell>
          <cell r="D2455">
            <v>332201005107501</v>
          </cell>
          <cell r="F2455" t="str">
            <v>Tidak</v>
          </cell>
          <cell r="G2455" t="str">
            <v>Tidak</v>
          </cell>
          <cell r="H2455" t="str">
            <v>Tidak</v>
          </cell>
          <cell r="I2455" t="str">
            <v>Bandar Judol Withdrawal</v>
          </cell>
          <cell r="J2455">
            <v>35</v>
          </cell>
          <cell r="K2455" t="str">
            <v>86,88,87</v>
          </cell>
          <cell r="L2455" t="str">
            <v>Judi Online</v>
          </cell>
          <cell r="M2455" t="str">
            <v xml:space="preserve">Kas Kanpus                              </v>
          </cell>
          <cell r="N2455" t="str">
            <v xml:space="preserve">Kas Kanpus                              </v>
          </cell>
          <cell r="O2455" t="str">
            <v xml:space="preserve">KAS KANPUS                              </v>
          </cell>
          <cell r="P2455" t="str">
            <v>Ya</v>
          </cell>
          <cell r="R2455" t="str">
            <v>Done</v>
          </cell>
          <cell r="S2455" t="str">
            <v>Belum TL</v>
          </cell>
          <cell r="T2455" t="str">
            <v>90170665 - Mutiara Ayuningtyas</v>
          </cell>
          <cell r="U2455" t="str">
            <v>"-"</v>
          </cell>
        </row>
        <row r="2456">
          <cell r="A2456">
            <v>46265</v>
          </cell>
          <cell r="B2456" t="str">
            <v xml:space="preserve">ANDI SUHENDI                            </v>
          </cell>
          <cell r="C2456" t="str">
            <v>AERBU98</v>
          </cell>
          <cell r="D2456">
            <v>407701032426500</v>
          </cell>
          <cell r="F2456" t="str">
            <v>Tidak</v>
          </cell>
          <cell r="G2456" t="str">
            <v>Tidak</v>
          </cell>
          <cell r="H2456" t="str">
            <v>Tidak</v>
          </cell>
          <cell r="I2456" t="str">
            <v>Bandar Judol Withdrawal</v>
          </cell>
          <cell r="J2456">
            <v>35</v>
          </cell>
          <cell r="K2456" t="str">
            <v>86,88,87</v>
          </cell>
          <cell r="L2456" t="str">
            <v>Judi Online</v>
          </cell>
          <cell r="M2456" t="str">
            <v xml:space="preserve">Kas Kanpus                              </v>
          </cell>
          <cell r="N2456" t="str">
            <v xml:space="preserve">Kas Kanpus                              </v>
          </cell>
          <cell r="O2456" t="str">
            <v xml:space="preserve">KAS KANPUS                              </v>
          </cell>
          <cell r="P2456" t="str">
            <v>Ya</v>
          </cell>
          <cell r="R2456" t="str">
            <v>Done</v>
          </cell>
          <cell r="S2456" t="str">
            <v>Belum TL</v>
          </cell>
          <cell r="T2456" t="str">
            <v>00394521 - Muhammad Hibbanduta</v>
          </cell>
          <cell r="U2456" t="str">
            <v>"-"</v>
          </cell>
        </row>
        <row r="2457">
          <cell r="A2457">
            <v>46265</v>
          </cell>
          <cell r="B2457" t="str">
            <v xml:space="preserve">ANGGARY ASMARA                          </v>
          </cell>
          <cell r="C2457" t="str">
            <v>AEREJ61</v>
          </cell>
          <cell r="D2457">
            <v>40401083467500</v>
          </cell>
          <cell r="F2457" t="str">
            <v>Tidak</v>
          </cell>
          <cell r="G2457" t="str">
            <v>Tidak</v>
          </cell>
          <cell r="H2457" t="str">
            <v>Tidak</v>
          </cell>
          <cell r="I2457" t="str">
            <v>Bandar Judol Withdrawal</v>
          </cell>
          <cell r="J2457">
            <v>35</v>
          </cell>
          <cell r="K2457" t="str">
            <v>86,88,87</v>
          </cell>
          <cell r="L2457" t="str">
            <v>Judi Online</v>
          </cell>
          <cell r="M2457" t="str">
            <v xml:space="preserve">Kas Kanpus                              </v>
          </cell>
          <cell r="N2457" t="str">
            <v xml:space="preserve">Kas Kanpus                              </v>
          </cell>
          <cell r="O2457" t="str">
            <v xml:space="preserve">KAS KANPUS                              </v>
          </cell>
          <cell r="P2457" t="str">
            <v>Ya</v>
          </cell>
          <cell r="R2457" t="str">
            <v>Done</v>
          </cell>
          <cell r="S2457" t="str">
            <v>Belum TL</v>
          </cell>
          <cell r="T2457" t="str">
            <v>90150130 - Intan Aida Pratiwi</v>
          </cell>
          <cell r="U2457" t="str">
            <v>"-"</v>
          </cell>
        </row>
        <row r="2458">
          <cell r="A2458">
            <v>46265</v>
          </cell>
          <cell r="B2458" t="str">
            <v xml:space="preserve">A RIDWAN                                </v>
          </cell>
          <cell r="C2458" t="str">
            <v>AERPK82</v>
          </cell>
          <cell r="D2458">
            <v>734901013236508</v>
          </cell>
          <cell r="F2458" t="str">
            <v>Tidak</v>
          </cell>
          <cell r="G2458" t="str">
            <v>Tidak</v>
          </cell>
          <cell r="H2458" t="str">
            <v>Tidak</v>
          </cell>
          <cell r="I2458" t="str">
            <v>Bandar Judol Withdrawal</v>
          </cell>
          <cell r="J2458">
            <v>35</v>
          </cell>
          <cell r="K2458" t="str">
            <v>86,88,87</v>
          </cell>
          <cell r="L2458" t="str">
            <v>Judi Online</v>
          </cell>
          <cell r="M2458" t="str">
            <v xml:space="preserve">Kas Kanpus                              </v>
          </cell>
          <cell r="N2458" t="str">
            <v xml:space="preserve">Kas Kanpus                              </v>
          </cell>
          <cell r="O2458" t="str">
            <v xml:space="preserve">KAS KANPUS                              </v>
          </cell>
          <cell r="P2458" t="str">
            <v>Ya</v>
          </cell>
          <cell r="R2458" t="str">
            <v>Done</v>
          </cell>
          <cell r="S2458" t="str">
            <v>Belum TL</v>
          </cell>
          <cell r="T2458" t="str">
            <v>00394521 - Muhammad Hibbanduta</v>
          </cell>
          <cell r="U2458" t="str">
            <v>"-"</v>
          </cell>
        </row>
        <row r="2459">
          <cell r="A2459">
            <v>46265</v>
          </cell>
          <cell r="B2459" t="str">
            <v xml:space="preserve">AURELIUS VINSON TRISTAN                 </v>
          </cell>
          <cell r="C2459" t="str">
            <v>AEOGK03</v>
          </cell>
          <cell r="D2459">
            <v>69401035599500</v>
          </cell>
          <cell r="F2459" t="str">
            <v>Tidak</v>
          </cell>
          <cell r="G2459" t="str">
            <v>Tidak</v>
          </cell>
          <cell r="H2459" t="str">
            <v>Tidak</v>
          </cell>
          <cell r="I2459" t="str">
            <v>Bandar Judol Withdrawal</v>
          </cell>
          <cell r="J2459">
            <v>35</v>
          </cell>
          <cell r="K2459" t="str">
            <v>86,88,87</v>
          </cell>
          <cell r="L2459" t="str">
            <v>Judi Online</v>
          </cell>
          <cell r="M2459" t="str">
            <v xml:space="preserve">Kas Kanpus                              </v>
          </cell>
          <cell r="N2459" t="str">
            <v xml:space="preserve">Kas Kanpus                              </v>
          </cell>
          <cell r="O2459" t="str">
            <v xml:space="preserve">KAS KANPUS                              </v>
          </cell>
          <cell r="P2459" t="str">
            <v>Ya</v>
          </cell>
          <cell r="R2459" t="str">
            <v>Done</v>
          </cell>
          <cell r="S2459" t="str">
            <v>Belum TL</v>
          </cell>
          <cell r="T2459" t="str">
            <v>90170665 - Mutiara Ayuningtyas</v>
          </cell>
          <cell r="U2459" t="str">
            <v>"-"</v>
          </cell>
        </row>
        <row r="2460">
          <cell r="A2460">
            <v>46265</v>
          </cell>
          <cell r="B2460" t="str">
            <v xml:space="preserve">ATIAH                                   </v>
          </cell>
          <cell r="C2460" t="str">
            <v>AEMVE99</v>
          </cell>
          <cell r="D2460">
            <v>8001411561500</v>
          </cell>
          <cell r="F2460" t="str">
            <v>Tidak</v>
          </cell>
          <cell r="G2460" t="str">
            <v>Tidak</v>
          </cell>
          <cell r="H2460" t="str">
            <v>Tidak</v>
          </cell>
          <cell r="I2460" t="str">
            <v>Bandar Judol Withdrawal</v>
          </cell>
          <cell r="J2460">
            <v>35</v>
          </cell>
          <cell r="K2460" t="str">
            <v>86,88,87</v>
          </cell>
          <cell r="L2460" t="str">
            <v>Judi Online</v>
          </cell>
          <cell r="M2460" t="str">
            <v xml:space="preserve">Kas Kanpus                              </v>
          </cell>
          <cell r="N2460" t="str">
            <v xml:space="preserve">Kas Kanpus                              </v>
          </cell>
          <cell r="O2460" t="str">
            <v xml:space="preserve">KAS KANPUS                              </v>
          </cell>
          <cell r="P2460" t="str">
            <v>Ya</v>
          </cell>
          <cell r="R2460" t="str">
            <v>Done</v>
          </cell>
          <cell r="S2460" t="str">
            <v>Belum TL</v>
          </cell>
          <cell r="T2460" t="str">
            <v>90186790 - Muhammad Alfin Farha</v>
          </cell>
          <cell r="U2460" t="str">
            <v>"-"</v>
          </cell>
        </row>
        <row r="2461">
          <cell r="A2461">
            <v>46265</v>
          </cell>
          <cell r="B2461" t="str">
            <v xml:space="preserve">ALI YUDDIN HS                           </v>
          </cell>
          <cell r="C2461" t="str">
            <v>AENBY10</v>
          </cell>
          <cell r="D2461">
            <v>34501053161506</v>
          </cell>
          <cell r="F2461" t="str">
            <v>Tidak</v>
          </cell>
          <cell r="G2461" t="str">
            <v>Tidak</v>
          </cell>
          <cell r="H2461" t="str">
            <v>Tidak</v>
          </cell>
          <cell r="I2461" t="str">
            <v>Bandar Judol Withdrawal</v>
          </cell>
          <cell r="J2461">
            <v>35</v>
          </cell>
          <cell r="K2461" t="str">
            <v>86,88,87</v>
          </cell>
          <cell r="L2461" t="str">
            <v>Judi Online</v>
          </cell>
          <cell r="M2461" t="str">
            <v xml:space="preserve">Kas Kanpus                              </v>
          </cell>
          <cell r="N2461" t="str">
            <v xml:space="preserve">Kas Kanpus                              </v>
          </cell>
          <cell r="O2461" t="str">
            <v xml:space="preserve">KAS KANPUS                              </v>
          </cell>
          <cell r="P2461" t="str">
            <v>Ya</v>
          </cell>
          <cell r="R2461" t="str">
            <v>Done</v>
          </cell>
          <cell r="S2461" t="str">
            <v>Belum TL</v>
          </cell>
          <cell r="T2461" t="str">
            <v>00394521 - Muhammad Hibbanduta</v>
          </cell>
          <cell r="U2461" t="str">
            <v>"-"</v>
          </cell>
        </row>
        <row r="2462">
          <cell r="A2462">
            <v>46265</v>
          </cell>
          <cell r="B2462" t="str">
            <v xml:space="preserve">BUDIONO HALIM                           </v>
          </cell>
          <cell r="C2462" t="str">
            <v>BDZ8289</v>
          </cell>
          <cell r="D2462">
            <v>112201009978506</v>
          </cell>
          <cell r="E2462" t="str">
            <v>SEDANG</v>
          </cell>
          <cell r="F2462" t="str">
            <v>Tidak</v>
          </cell>
          <cell r="G2462" t="str">
            <v>Tidak</v>
          </cell>
          <cell r="H2462" t="str">
            <v>Tidak</v>
          </cell>
          <cell r="I2462" t="str">
            <v>Bandar Judol Withdrawal</v>
          </cell>
          <cell r="J2462">
            <v>50</v>
          </cell>
          <cell r="K2462" t="str">
            <v>86,88,87</v>
          </cell>
          <cell r="L2462" t="str">
            <v>Judi Online</v>
          </cell>
          <cell r="M2462" t="str">
            <v xml:space="preserve">Kas Kanpus                              </v>
          </cell>
          <cell r="N2462" t="str">
            <v xml:space="preserve">Kas Kanpus                              </v>
          </cell>
          <cell r="O2462" t="str">
            <v xml:space="preserve">KAS KANPUS                              </v>
          </cell>
          <cell r="P2462" t="str">
            <v>Ya</v>
          </cell>
          <cell r="R2462" t="str">
            <v>Done</v>
          </cell>
          <cell r="S2462" t="str">
            <v>Belum TL</v>
          </cell>
          <cell r="T2462" t="str">
            <v>00394521 - Muhammad Hibbanduta</v>
          </cell>
          <cell r="U2462" t="str">
            <v>"-"</v>
          </cell>
        </row>
        <row r="2463">
          <cell r="A2463">
            <v>46265</v>
          </cell>
          <cell r="B2463" t="str">
            <v xml:space="preserve">BUDI PURWONO                            </v>
          </cell>
          <cell r="C2463" t="str">
            <v>BI14231</v>
          </cell>
          <cell r="D2463">
            <v>785301000852500</v>
          </cell>
          <cell r="E2463" t="str">
            <v>SEDANG</v>
          </cell>
          <cell r="F2463" t="str">
            <v>Tidak</v>
          </cell>
          <cell r="G2463" t="str">
            <v>Tidak</v>
          </cell>
          <cell r="H2463" t="str">
            <v>Ya</v>
          </cell>
          <cell r="I2463" t="str">
            <v>Bandar Judol Withdrawal</v>
          </cell>
          <cell r="J2463">
            <v>50</v>
          </cell>
          <cell r="K2463" t="str">
            <v>86,88,87</v>
          </cell>
          <cell r="L2463" t="str">
            <v>Judi Online</v>
          </cell>
          <cell r="M2463" t="str">
            <v xml:space="preserve">Kas Kanpus                              </v>
          </cell>
          <cell r="N2463" t="str">
            <v xml:space="preserve">Kas Kanpus                              </v>
          </cell>
          <cell r="O2463" t="str">
            <v xml:space="preserve">KAS KANPUS                              </v>
          </cell>
          <cell r="P2463" t="str">
            <v>Ya</v>
          </cell>
          <cell r="R2463" t="str">
            <v>Done</v>
          </cell>
          <cell r="S2463" t="str">
            <v>Belum TL</v>
          </cell>
          <cell r="T2463" t="str">
            <v>00336949 - Mochammad Al Farabi</v>
          </cell>
          <cell r="U2463" t="str">
            <v>"-"</v>
          </cell>
        </row>
        <row r="2464">
          <cell r="A2464">
            <v>46265</v>
          </cell>
          <cell r="B2464" t="str">
            <v xml:space="preserve">BERKAT CONRADO SAGALA                   </v>
          </cell>
          <cell r="C2464" t="str">
            <v>BHU2387</v>
          </cell>
          <cell r="D2464">
            <v>109101000794564</v>
          </cell>
          <cell r="F2464" t="str">
            <v>Tidak</v>
          </cell>
          <cell r="G2464" t="str">
            <v>Tidak</v>
          </cell>
          <cell r="H2464" t="str">
            <v>Tidak</v>
          </cell>
          <cell r="I2464" t="str">
            <v>Bandar Judol Withdrawal</v>
          </cell>
          <cell r="J2464">
            <v>35</v>
          </cell>
          <cell r="K2464" t="str">
            <v>86,88,87</v>
          </cell>
          <cell r="L2464" t="str">
            <v>Judi Online</v>
          </cell>
          <cell r="M2464" t="str">
            <v xml:space="preserve">Kas Kanpus                              </v>
          </cell>
          <cell r="N2464" t="str">
            <v xml:space="preserve">Kas Kanpus                              </v>
          </cell>
          <cell r="O2464" t="str">
            <v xml:space="preserve">KAS KANPUS                              </v>
          </cell>
          <cell r="P2464" t="str">
            <v>Ya</v>
          </cell>
          <cell r="R2464" t="str">
            <v>Done</v>
          </cell>
          <cell r="S2464" t="str">
            <v>Belum TL</v>
          </cell>
          <cell r="T2464" t="str">
            <v>00394521 - Muhammad Hibbanduta</v>
          </cell>
          <cell r="U2464" t="str">
            <v>"-"</v>
          </cell>
        </row>
        <row r="2465">
          <cell r="A2465">
            <v>46265</v>
          </cell>
          <cell r="B2465" t="str">
            <v xml:space="preserve">BONA ALENTA BR SIMBOLON                 </v>
          </cell>
          <cell r="C2465" t="str">
            <v>BHN2173</v>
          </cell>
          <cell r="D2465">
            <v>6001003974561</v>
          </cell>
          <cell r="E2465" t="str">
            <v>SEDANG</v>
          </cell>
          <cell r="F2465" t="str">
            <v>Tidak</v>
          </cell>
          <cell r="G2465" t="str">
            <v>Tidak</v>
          </cell>
          <cell r="H2465" t="str">
            <v>Tidak</v>
          </cell>
          <cell r="I2465" t="str">
            <v>Bandar Judol Withdrawal</v>
          </cell>
          <cell r="J2465">
            <v>50</v>
          </cell>
          <cell r="K2465" t="str">
            <v>86,88,87</v>
          </cell>
          <cell r="L2465" t="str">
            <v>Judi Online</v>
          </cell>
          <cell r="M2465" t="str">
            <v xml:space="preserve">Kas Kanpus                              </v>
          </cell>
          <cell r="N2465" t="str">
            <v xml:space="preserve">Kas Kanpus                              </v>
          </cell>
          <cell r="O2465" t="str">
            <v xml:space="preserve">KAS KANPUS                              </v>
          </cell>
          <cell r="P2465" t="str">
            <v>Tidak</v>
          </cell>
          <cell r="R2465" t="str">
            <v>Done</v>
          </cell>
          <cell r="S2465" t="str">
            <v>Belum TL</v>
          </cell>
          <cell r="T2465" t="str">
            <v>00394520 - Frida Akbar Rani</v>
          </cell>
          <cell r="U2465" t="str">
            <v>"-"</v>
          </cell>
        </row>
        <row r="2466">
          <cell r="A2466">
            <v>46265</v>
          </cell>
          <cell r="B2466" t="str">
            <v xml:space="preserve">BAMBANG SANTOSO                         </v>
          </cell>
          <cell r="C2466" t="str">
            <v>BF94910</v>
          </cell>
          <cell r="D2466">
            <v>13001004000306</v>
          </cell>
          <cell r="E2466" t="str">
            <v>SEDANG</v>
          </cell>
          <cell r="F2466" t="str">
            <v>Tidak</v>
          </cell>
          <cell r="G2466" t="str">
            <v>Tidak</v>
          </cell>
          <cell r="H2466" t="str">
            <v>Tidak</v>
          </cell>
          <cell r="I2466" t="str">
            <v>Bandar Judol Depo</v>
          </cell>
          <cell r="J2466">
            <v>50</v>
          </cell>
          <cell r="K2466" t="str">
            <v>86,74,87</v>
          </cell>
          <cell r="L2466" t="str">
            <v>Judi Online</v>
          </cell>
          <cell r="M2466" t="str">
            <v xml:space="preserve">Kas Kanpus                              </v>
          </cell>
          <cell r="N2466" t="str">
            <v xml:space="preserve">Kas Kanpus                              </v>
          </cell>
          <cell r="O2466" t="str">
            <v xml:space="preserve">KAS KANPUS                              </v>
          </cell>
          <cell r="P2466" t="str">
            <v>Tidak</v>
          </cell>
          <cell r="R2466" t="str">
            <v>Done</v>
          </cell>
          <cell r="S2466" t="str">
            <v>Belum TL</v>
          </cell>
          <cell r="T2466" t="str">
            <v>00394521 - Muhammad Hibbanduta</v>
          </cell>
          <cell r="U2466" t="str">
            <v>"-"</v>
          </cell>
        </row>
        <row r="2467">
          <cell r="A2467">
            <v>46265</v>
          </cell>
          <cell r="B2467" t="str">
            <v xml:space="preserve">ANGGI MUNANDAR                          </v>
          </cell>
          <cell r="C2467" t="str">
            <v>AYJF551</v>
          </cell>
          <cell r="D2467">
            <v>213601015269501</v>
          </cell>
          <cell r="E2467" t="str">
            <v>SEDANG</v>
          </cell>
          <cell r="F2467" t="str">
            <v>Tidak</v>
          </cell>
          <cell r="G2467" t="str">
            <v>Tidak</v>
          </cell>
          <cell r="H2467" t="str">
            <v>Tidak</v>
          </cell>
          <cell r="I2467" t="str">
            <v>Bandar Judol Withdrawal</v>
          </cell>
          <cell r="J2467">
            <v>50</v>
          </cell>
          <cell r="K2467" t="str">
            <v>86,88,87</v>
          </cell>
          <cell r="L2467" t="str">
            <v>Judi Online</v>
          </cell>
          <cell r="M2467" t="str">
            <v xml:space="preserve">Kas Kanpus                              </v>
          </cell>
          <cell r="N2467" t="str">
            <v xml:space="preserve">Kas Kanpus                              </v>
          </cell>
          <cell r="O2467" t="str">
            <v xml:space="preserve">KAS KANPUS                              </v>
          </cell>
          <cell r="P2467" t="str">
            <v>Ya</v>
          </cell>
          <cell r="R2467" t="str">
            <v>Done</v>
          </cell>
          <cell r="S2467" t="str">
            <v>Belum TL</v>
          </cell>
          <cell r="T2467" t="str">
            <v>90170665 - Mutiara Ayuningtyas</v>
          </cell>
          <cell r="U2467" t="str">
            <v>"-"</v>
          </cell>
        </row>
        <row r="2468">
          <cell r="A2468">
            <v>46265</v>
          </cell>
          <cell r="B2468" t="str">
            <v xml:space="preserve">BOBY PRASETYO                           </v>
          </cell>
          <cell r="C2468" t="str">
            <v>BP19324</v>
          </cell>
          <cell r="D2468">
            <v>699901006621530</v>
          </cell>
          <cell r="E2468" t="str">
            <v>SEDANG</v>
          </cell>
          <cell r="F2468" t="str">
            <v>Tidak</v>
          </cell>
          <cell r="G2468" t="str">
            <v>Tidak</v>
          </cell>
          <cell r="H2468" t="str">
            <v>Tidak</v>
          </cell>
          <cell r="I2468" t="str">
            <v>Bandar Judol Depo</v>
          </cell>
          <cell r="J2468">
            <v>50</v>
          </cell>
          <cell r="K2468" t="str">
            <v>86,74,87</v>
          </cell>
          <cell r="L2468" t="str">
            <v>Judi Online</v>
          </cell>
          <cell r="M2468" t="str">
            <v xml:space="preserve">Kas Kanpus                              </v>
          </cell>
          <cell r="N2468" t="str">
            <v xml:space="preserve">Kas Kanpus                              </v>
          </cell>
          <cell r="O2468" t="str">
            <v xml:space="preserve">KAS KANPUS                              </v>
          </cell>
          <cell r="P2468" t="str">
            <v>Tidak</v>
          </cell>
          <cell r="R2468" t="str">
            <v>Done</v>
          </cell>
          <cell r="S2468" t="str">
            <v>Belum TL</v>
          </cell>
          <cell r="T2468" t="str">
            <v>90186790 - Muhammad Alfin Farha</v>
          </cell>
          <cell r="U2468" t="str">
            <v>"-"</v>
          </cell>
        </row>
        <row r="2469">
          <cell r="A2469">
            <v>46265</v>
          </cell>
          <cell r="B2469" t="str">
            <v xml:space="preserve">BAMBANG                                 </v>
          </cell>
          <cell r="C2469" t="str">
            <v>BR10276</v>
          </cell>
          <cell r="D2469">
            <v>701148137503</v>
          </cell>
          <cell r="E2469" t="str">
            <v>SEDANG</v>
          </cell>
          <cell r="F2469" t="str">
            <v>Tidak</v>
          </cell>
          <cell r="G2469" t="str">
            <v>Tidak</v>
          </cell>
          <cell r="H2469" t="str">
            <v>Tidak</v>
          </cell>
          <cell r="I2469" t="str">
            <v>Bandar Judol Withdrawal</v>
          </cell>
          <cell r="J2469">
            <v>50</v>
          </cell>
          <cell r="K2469" t="str">
            <v>86,88,87</v>
          </cell>
          <cell r="L2469" t="str">
            <v>Judi Online</v>
          </cell>
          <cell r="M2469" t="str">
            <v xml:space="preserve">Kas Kanpus                              </v>
          </cell>
          <cell r="N2469" t="str">
            <v xml:space="preserve">Kas Kanpus                              </v>
          </cell>
          <cell r="O2469" t="str">
            <v xml:space="preserve">KAS KANPUS                              </v>
          </cell>
          <cell r="P2469" t="str">
            <v>Ya</v>
          </cell>
          <cell r="R2469" t="str">
            <v>Done</v>
          </cell>
          <cell r="S2469" t="str">
            <v>Belum TL</v>
          </cell>
          <cell r="T2469" t="str">
            <v>00394520 - Frida Akbar Rani</v>
          </cell>
          <cell r="U2469" t="str">
            <v>"-"</v>
          </cell>
        </row>
        <row r="2470">
          <cell r="A2470">
            <v>46265</v>
          </cell>
          <cell r="B2470" t="str">
            <v xml:space="preserve">BUDI SANTOSO                            </v>
          </cell>
          <cell r="C2470" t="str">
            <v>BQ25795</v>
          </cell>
          <cell r="D2470">
            <v>471601006248506</v>
          </cell>
          <cell r="E2470" t="str">
            <v>SEDANG</v>
          </cell>
          <cell r="F2470" t="str">
            <v>Tidak</v>
          </cell>
          <cell r="G2470" t="str">
            <v>Tidak</v>
          </cell>
          <cell r="H2470" t="str">
            <v>Tidak</v>
          </cell>
          <cell r="I2470" t="str">
            <v>Bandar Judol Depo</v>
          </cell>
          <cell r="J2470">
            <v>50</v>
          </cell>
          <cell r="K2470" t="str">
            <v>86,74,87</v>
          </cell>
          <cell r="L2470" t="str">
            <v>Judi Online</v>
          </cell>
          <cell r="M2470" t="str">
            <v xml:space="preserve">Kas Kanpus                              </v>
          </cell>
          <cell r="N2470" t="str">
            <v xml:space="preserve">Kas Kanpus                              </v>
          </cell>
          <cell r="O2470" t="str">
            <v xml:space="preserve">KAS KANPUS                              </v>
          </cell>
          <cell r="P2470" t="str">
            <v>Ya</v>
          </cell>
          <cell r="R2470" t="str">
            <v>Done</v>
          </cell>
          <cell r="S2470" t="str">
            <v>Belum TL</v>
          </cell>
          <cell r="T2470" t="str">
            <v>90185537 - Moh.Khoerul Fajar Ar</v>
          </cell>
          <cell r="U2470" t="str">
            <v>"-"</v>
          </cell>
        </row>
        <row r="2471">
          <cell r="A2471">
            <v>46265</v>
          </cell>
          <cell r="B2471" t="str">
            <v xml:space="preserve">BAGAS ADE PUTRA                         </v>
          </cell>
          <cell r="C2471" t="str">
            <v>BJH0555</v>
          </cell>
          <cell r="D2471">
            <v>35601094405504</v>
          </cell>
          <cell r="F2471" t="str">
            <v>Tidak</v>
          </cell>
          <cell r="G2471" t="str">
            <v>Tidak</v>
          </cell>
          <cell r="H2471" t="str">
            <v>Tidak</v>
          </cell>
          <cell r="I2471" t="str">
            <v>Bandar Judol Withdrawal</v>
          </cell>
          <cell r="J2471">
            <v>35</v>
          </cell>
          <cell r="K2471" t="str">
            <v>86,88,87</v>
          </cell>
          <cell r="L2471" t="str">
            <v>Judi Online</v>
          </cell>
          <cell r="M2471" t="str">
            <v xml:space="preserve">Kas Kanpus                              </v>
          </cell>
          <cell r="N2471" t="str">
            <v xml:space="preserve">Kas Kanpus                              </v>
          </cell>
          <cell r="O2471" t="str">
            <v xml:space="preserve">KAS KANPUS                              </v>
          </cell>
          <cell r="P2471" t="str">
            <v>Ya</v>
          </cell>
          <cell r="R2471" t="str">
            <v>Done</v>
          </cell>
          <cell r="S2471" t="str">
            <v>Belum TL</v>
          </cell>
          <cell r="T2471" t="str">
            <v>90170665 - Mutiara Ayuningtyas</v>
          </cell>
          <cell r="U2471" t="str">
            <v>"-"</v>
          </cell>
        </row>
        <row r="2472">
          <cell r="A2472">
            <v>46265</v>
          </cell>
          <cell r="B2472" t="str">
            <v xml:space="preserve">BAYU SYAHPUTRA                          </v>
          </cell>
          <cell r="C2472" t="str">
            <v>BJH5104</v>
          </cell>
          <cell r="D2472">
            <v>108301023717504</v>
          </cell>
          <cell r="F2472" t="str">
            <v>Tidak</v>
          </cell>
          <cell r="G2472" t="str">
            <v>Tidak</v>
          </cell>
          <cell r="H2472" t="str">
            <v>Tidak</v>
          </cell>
          <cell r="I2472" t="str">
            <v>Bandar Judol Withdrawal</v>
          </cell>
          <cell r="J2472">
            <v>35</v>
          </cell>
          <cell r="K2472" t="str">
            <v>86,88,87</v>
          </cell>
          <cell r="L2472" t="str">
            <v>Judi Online</v>
          </cell>
          <cell r="M2472" t="str">
            <v xml:space="preserve">Kas Kanpus                              </v>
          </cell>
          <cell r="N2472" t="str">
            <v xml:space="preserve">Kas Kanpus                              </v>
          </cell>
          <cell r="O2472" t="str">
            <v xml:space="preserve">KAS KANPUS                              </v>
          </cell>
          <cell r="P2472" t="str">
            <v>Ya</v>
          </cell>
          <cell r="R2472" t="str">
            <v>Done</v>
          </cell>
          <cell r="S2472" t="str">
            <v>Belum TL</v>
          </cell>
          <cell r="T2472" t="str">
            <v>90185538 - Muhammad Fahikal Auz</v>
          </cell>
          <cell r="U2472" t="str">
            <v>"-"</v>
          </cell>
        </row>
        <row r="2473">
          <cell r="A2473">
            <v>46265</v>
          </cell>
          <cell r="B2473" t="str">
            <v xml:space="preserve">BAYU CIPTA NUGROHO                      </v>
          </cell>
          <cell r="C2473" t="str">
            <v>BJI7768</v>
          </cell>
          <cell r="D2473">
            <v>79801008369506</v>
          </cell>
          <cell r="F2473" t="str">
            <v>Tidak</v>
          </cell>
          <cell r="G2473" t="str">
            <v>Tidak</v>
          </cell>
          <cell r="H2473" t="str">
            <v>Tidak</v>
          </cell>
          <cell r="I2473" t="str">
            <v>Bandar Judol Withdrawal</v>
          </cell>
          <cell r="J2473">
            <v>35</v>
          </cell>
          <cell r="K2473" t="str">
            <v>86,88,87</v>
          </cell>
          <cell r="L2473" t="str">
            <v>Judi Online</v>
          </cell>
          <cell r="M2473" t="str">
            <v xml:space="preserve">Kas Kanpus                              </v>
          </cell>
          <cell r="N2473" t="str">
            <v xml:space="preserve">Kas Kanpus                              </v>
          </cell>
          <cell r="O2473" t="str">
            <v xml:space="preserve">KAS KANPUS                              </v>
          </cell>
          <cell r="P2473" t="str">
            <v>Ya</v>
          </cell>
          <cell r="R2473" t="str">
            <v>Done</v>
          </cell>
          <cell r="S2473" t="str">
            <v>Belum TL</v>
          </cell>
          <cell r="T2473" t="str">
            <v>90185537 - Moh.Khoerul Fajar Ar</v>
          </cell>
          <cell r="U2473" t="str">
            <v>"-"</v>
          </cell>
        </row>
        <row r="2474">
          <cell r="A2474">
            <v>46265</v>
          </cell>
          <cell r="B2474" t="str">
            <v xml:space="preserve">BAIDILLAH                               </v>
          </cell>
          <cell r="C2474" t="str">
            <v>BJL1659</v>
          </cell>
          <cell r="D2474">
            <v>330401015166505</v>
          </cell>
          <cell r="F2474" t="str">
            <v>Tidak</v>
          </cell>
          <cell r="G2474" t="str">
            <v>Tidak</v>
          </cell>
          <cell r="H2474" t="str">
            <v>Tidak</v>
          </cell>
          <cell r="I2474" t="str">
            <v>Bandar Judol Withdrawal</v>
          </cell>
          <cell r="J2474">
            <v>35</v>
          </cell>
          <cell r="K2474" t="str">
            <v>86,88,87</v>
          </cell>
          <cell r="L2474" t="str">
            <v>Judi Online</v>
          </cell>
          <cell r="M2474" t="str">
            <v xml:space="preserve">Kas Kanpus                              </v>
          </cell>
          <cell r="N2474" t="str">
            <v xml:space="preserve">Kas Kanpus                              </v>
          </cell>
          <cell r="O2474" t="str">
            <v xml:space="preserve">KAS KANPUS                              </v>
          </cell>
          <cell r="P2474" t="str">
            <v>Tidak</v>
          </cell>
          <cell r="R2474" t="str">
            <v>Done</v>
          </cell>
          <cell r="S2474" t="str">
            <v>Belum TL</v>
          </cell>
          <cell r="T2474" t="str">
            <v>00394520 - Frida Akbar Rani</v>
          </cell>
          <cell r="U2474" t="str">
            <v>"-"</v>
          </cell>
        </row>
        <row r="2475">
          <cell r="A2475">
            <v>46265</v>
          </cell>
          <cell r="B2475" t="str">
            <v xml:space="preserve">BAYU DYAH HELIYANTI                     </v>
          </cell>
          <cell r="C2475" t="str">
            <v>BJC7124</v>
          </cell>
          <cell r="D2475">
            <v>57101000714561</v>
          </cell>
          <cell r="F2475" t="str">
            <v>Tidak</v>
          </cell>
          <cell r="G2475" t="str">
            <v>Tidak</v>
          </cell>
          <cell r="H2475" t="str">
            <v>Tidak</v>
          </cell>
          <cell r="I2475" t="str">
            <v>Bandar Judol Withdrawal</v>
          </cell>
          <cell r="J2475">
            <v>35</v>
          </cell>
          <cell r="K2475" t="str">
            <v>86,88,87</v>
          </cell>
          <cell r="L2475" t="str">
            <v>Judi Online</v>
          </cell>
          <cell r="M2475" t="str">
            <v xml:space="preserve">Kas Kanpus                              </v>
          </cell>
          <cell r="N2475" t="str">
            <v xml:space="preserve">Kas Kanpus                              </v>
          </cell>
          <cell r="O2475" t="str">
            <v xml:space="preserve">KAS KANPUS                              </v>
          </cell>
          <cell r="P2475" t="str">
            <v>Ya</v>
          </cell>
          <cell r="R2475" t="str">
            <v>Done</v>
          </cell>
          <cell r="S2475" t="str">
            <v>Belum TL</v>
          </cell>
          <cell r="T2475" t="str">
            <v>90150130 - Intan Aida Pratiwi</v>
          </cell>
          <cell r="U2475" t="str">
            <v>"-"</v>
          </cell>
        </row>
        <row r="2476">
          <cell r="A2476">
            <v>46265</v>
          </cell>
          <cell r="B2476" t="str">
            <v xml:space="preserve">BISTON KABAN                            </v>
          </cell>
          <cell r="C2476" t="str">
            <v>BFZ2722</v>
          </cell>
          <cell r="D2476">
            <v>527901016559538</v>
          </cell>
          <cell r="E2476" t="str">
            <v>SEDANG</v>
          </cell>
          <cell r="F2476" t="str">
            <v>Tidak</v>
          </cell>
          <cell r="G2476" t="str">
            <v>Tidak</v>
          </cell>
          <cell r="H2476" t="str">
            <v>Tidak</v>
          </cell>
          <cell r="I2476" t="str">
            <v>Bandar Judol Depo</v>
          </cell>
          <cell r="J2476">
            <v>50</v>
          </cell>
          <cell r="K2476" t="str">
            <v>86,74,87</v>
          </cell>
          <cell r="L2476" t="str">
            <v>Judi Online</v>
          </cell>
          <cell r="M2476" t="str">
            <v xml:space="preserve">Kas Kanpus                              </v>
          </cell>
          <cell r="N2476" t="str">
            <v xml:space="preserve">Kas Kanpus                              </v>
          </cell>
          <cell r="O2476" t="str">
            <v xml:space="preserve">KAS KANPUS                              </v>
          </cell>
          <cell r="P2476" t="str">
            <v>Ya</v>
          </cell>
          <cell r="R2476" t="str">
            <v>Done</v>
          </cell>
          <cell r="S2476" t="str">
            <v>Belum TL</v>
          </cell>
          <cell r="T2476" t="str">
            <v>00394520 - Frida Akbar Rani</v>
          </cell>
          <cell r="U2476" t="str">
            <v>"-"</v>
          </cell>
        </row>
        <row r="2477">
          <cell r="A2477">
            <v>46265</v>
          </cell>
          <cell r="B2477" t="str">
            <v xml:space="preserve">BOY SETIAWAN                            </v>
          </cell>
          <cell r="C2477" t="str">
            <v>BJE2053</v>
          </cell>
          <cell r="D2477">
            <v>108801000830569</v>
          </cell>
          <cell r="F2477" t="str">
            <v>Tidak</v>
          </cell>
          <cell r="G2477" t="str">
            <v>Tidak</v>
          </cell>
          <cell r="H2477" t="str">
            <v>Tidak</v>
          </cell>
          <cell r="I2477" t="str">
            <v>Bandar Judol Withdrawal</v>
          </cell>
          <cell r="J2477">
            <v>35</v>
          </cell>
          <cell r="K2477" t="str">
            <v>86,88,87</v>
          </cell>
          <cell r="L2477" t="str">
            <v>Judi Online</v>
          </cell>
          <cell r="M2477" t="str">
            <v xml:space="preserve">Kas Kanpus                              </v>
          </cell>
          <cell r="N2477" t="str">
            <v xml:space="preserve">Kas Kanpus                              </v>
          </cell>
          <cell r="O2477" t="str">
            <v xml:space="preserve">KAS KANPUS                              </v>
          </cell>
          <cell r="P2477" t="str">
            <v>Ya</v>
          </cell>
          <cell r="R2477" t="str">
            <v>Done</v>
          </cell>
          <cell r="S2477" t="str">
            <v>Belum TL</v>
          </cell>
          <cell r="T2477" t="str">
            <v>90186790 - Muhammad Alfin Farha</v>
          </cell>
          <cell r="U2477" t="str">
            <v>"-"</v>
          </cell>
        </row>
        <row r="2478">
          <cell r="A2478">
            <v>46265</v>
          </cell>
          <cell r="B2478" t="str">
            <v xml:space="preserve">BENNY HUTAHAYAN DAN REKAN               </v>
          </cell>
          <cell r="C2478" t="str">
            <v>BIX3150</v>
          </cell>
          <cell r="D2478">
            <v>33801002235301</v>
          </cell>
          <cell r="F2478" t="str">
            <v>Tidak</v>
          </cell>
          <cell r="G2478" t="str">
            <v>Tidak</v>
          </cell>
          <cell r="H2478" t="str">
            <v>Tidak</v>
          </cell>
          <cell r="I2478" t="str">
            <v>Perpajakan</v>
          </cell>
          <cell r="J2478">
            <v>33</v>
          </cell>
          <cell r="K2478">
            <v>41</v>
          </cell>
          <cell r="L2478" t="str">
            <v>Perpajakan</v>
          </cell>
          <cell r="M2478" t="str">
            <v xml:space="preserve">KC JAKARTA ROXI                         </v>
          </cell>
          <cell r="N2478" t="str">
            <v xml:space="preserve">KC JAKARTA ROXI                         </v>
          </cell>
          <cell r="O2478" t="str">
            <v xml:space="preserve">DKI                                     </v>
          </cell>
          <cell r="P2478" t="str">
            <v>Tidak</v>
          </cell>
          <cell r="R2478" t="str">
            <v>Done</v>
          </cell>
          <cell r="S2478" t="str">
            <v>Belum TL</v>
          </cell>
          <cell r="T2478" t="str">
            <v>90150130 - Intan Aida Pratiwi</v>
          </cell>
          <cell r="U2478" t="str">
            <v>"-"</v>
          </cell>
        </row>
        <row r="2479">
          <cell r="A2479">
            <v>46265</v>
          </cell>
          <cell r="B2479" t="str">
            <v xml:space="preserve">BUSTOMI                                 </v>
          </cell>
          <cell r="C2479" t="str">
            <v>BIV8970</v>
          </cell>
          <cell r="D2479">
            <v>736901039267509</v>
          </cell>
          <cell r="F2479" t="str">
            <v>Tidak</v>
          </cell>
          <cell r="G2479" t="str">
            <v>Tidak</v>
          </cell>
          <cell r="H2479" t="str">
            <v>Tidak</v>
          </cell>
          <cell r="I2479" t="str">
            <v>Bandar Judol Withdrawal</v>
          </cell>
          <cell r="J2479">
            <v>35</v>
          </cell>
          <cell r="K2479" t="str">
            <v>86,88,87</v>
          </cell>
          <cell r="L2479" t="str">
            <v>Judi Online</v>
          </cell>
          <cell r="M2479" t="str">
            <v xml:space="preserve">Kas Kanpus                              </v>
          </cell>
          <cell r="N2479" t="str">
            <v xml:space="preserve">Kas Kanpus                              </v>
          </cell>
          <cell r="O2479" t="str">
            <v xml:space="preserve">KAS KANPUS                              </v>
          </cell>
          <cell r="P2479" t="str">
            <v>Ya</v>
          </cell>
          <cell r="R2479" t="str">
            <v>Done</v>
          </cell>
          <cell r="S2479" t="str">
            <v>Belum TL</v>
          </cell>
          <cell r="T2479" t="str">
            <v>90171841 - Rifqi Aziz</v>
          </cell>
          <cell r="U2479" t="str">
            <v>"-"</v>
          </cell>
        </row>
        <row r="2480">
          <cell r="A2480">
            <v>46265</v>
          </cell>
          <cell r="B2480" t="str">
            <v xml:space="preserve">CGS INTERNATIONAL SEKURITAS INDONESIA   </v>
          </cell>
          <cell r="C2480" t="str">
            <v>CS34858</v>
          </cell>
          <cell r="D2480">
            <v>67101001694306</v>
          </cell>
          <cell r="E2480" t="str">
            <v>SEDANG</v>
          </cell>
          <cell r="F2480" t="str">
            <v>Tidak</v>
          </cell>
          <cell r="G2480" t="str">
            <v>Tidak</v>
          </cell>
          <cell r="H2480" t="str">
            <v>Tidak</v>
          </cell>
          <cell r="I2480" t="str">
            <v>High Transaction Custodian</v>
          </cell>
          <cell r="J2480">
            <v>47</v>
          </cell>
          <cell r="K2480">
            <v>32</v>
          </cell>
          <cell r="L2480" t="str">
            <v>Kustodian</v>
          </cell>
          <cell r="M2480" t="str">
            <v>Kas Kanpus</v>
          </cell>
          <cell r="N2480" t="str">
            <v>Kas Kanpus</v>
          </cell>
          <cell r="O2480" t="str">
            <v>KAS KANPUS</v>
          </cell>
          <cell r="P2480" t="str">
            <v>Tidak</v>
          </cell>
          <cell r="R2480" t="str">
            <v>Done</v>
          </cell>
          <cell r="S2480" t="str">
            <v>Belum TL</v>
          </cell>
          <cell r="T2480" t="str">
            <v>00394520 - Frida Akbar Rani</v>
          </cell>
          <cell r="U2480" t="str">
            <v>"-"</v>
          </cell>
        </row>
        <row r="2481">
          <cell r="A2481">
            <v>46265</v>
          </cell>
          <cell r="B2481" t="str">
            <v xml:space="preserve">CHANDRA MARBUN                          </v>
          </cell>
          <cell r="C2481" t="str">
            <v>CS82881</v>
          </cell>
          <cell r="D2481">
            <v>40401057537507</v>
          </cell>
          <cell r="E2481" t="str">
            <v>SEDANG</v>
          </cell>
          <cell r="F2481" t="str">
            <v>Tidak</v>
          </cell>
          <cell r="G2481" t="str">
            <v>Tidak</v>
          </cell>
          <cell r="H2481" t="str">
            <v>Tidak</v>
          </cell>
          <cell r="I2481" t="str">
            <v>Bandar Judol Depo</v>
          </cell>
          <cell r="J2481">
            <v>50</v>
          </cell>
          <cell r="K2481" t="str">
            <v>86,74,87</v>
          </cell>
          <cell r="L2481" t="str">
            <v>Judi Online</v>
          </cell>
          <cell r="M2481" t="str">
            <v xml:space="preserve">Kas Kanpus                              </v>
          </cell>
          <cell r="N2481" t="str">
            <v xml:space="preserve">Kas Kanpus                              </v>
          </cell>
          <cell r="O2481" t="str">
            <v xml:space="preserve">KAS KANPUS                              </v>
          </cell>
          <cell r="P2481" t="str">
            <v>Ya</v>
          </cell>
          <cell r="R2481" t="str">
            <v>Done</v>
          </cell>
          <cell r="S2481" t="str">
            <v>Belum TL</v>
          </cell>
          <cell r="T2481" t="str">
            <v>00394520 - Frida Akbar Rani</v>
          </cell>
          <cell r="U2481" t="str">
            <v>"-"</v>
          </cell>
        </row>
        <row r="2482">
          <cell r="A2482">
            <v>46265</v>
          </cell>
          <cell r="B2482" t="str">
            <v xml:space="preserve">CV MULTI PESONA MALANG                  </v>
          </cell>
          <cell r="C2482" t="str">
            <v>CS90357</v>
          </cell>
          <cell r="D2482">
            <v>8101010806563</v>
          </cell>
          <cell r="E2482" t="str">
            <v>SEDANG</v>
          </cell>
          <cell r="F2482" t="str">
            <v>Tidak</v>
          </cell>
          <cell r="G2482" t="str">
            <v>Tidak</v>
          </cell>
          <cell r="H2482" t="str">
            <v>Tidak</v>
          </cell>
          <cell r="I2482" t="str">
            <v>Perpajakan</v>
          </cell>
          <cell r="J2482">
            <v>53</v>
          </cell>
          <cell r="K2482">
            <v>41</v>
          </cell>
          <cell r="L2482" t="str">
            <v>Perpajakan</v>
          </cell>
          <cell r="M2482" t="str">
            <v xml:space="preserve">KC Salatiga                             </v>
          </cell>
          <cell r="N2482" t="str">
            <v xml:space="preserve">KC Salatiga                             </v>
          </cell>
          <cell r="O2482" t="str">
            <v xml:space="preserve">Semarang                                </v>
          </cell>
          <cell r="P2482" t="str">
            <v>Tidak</v>
          </cell>
          <cell r="R2482" t="str">
            <v>Done</v>
          </cell>
          <cell r="S2482" t="str">
            <v>Belum TL</v>
          </cell>
          <cell r="T2482" t="str">
            <v>00394521 - Muhammad Hibbanduta</v>
          </cell>
          <cell r="U2482" t="str">
            <v>"-"</v>
          </cell>
        </row>
        <row r="2483">
          <cell r="A2483">
            <v>46265</v>
          </cell>
          <cell r="B2483" t="str">
            <v xml:space="preserve">CANDRA TRI RHOMANA                      </v>
          </cell>
          <cell r="C2483" t="str">
            <v>CR43522</v>
          </cell>
          <cell r="D2483">
            <v>7401041739534</v>
          </cell>
          <cell r="E2483" t="str">
            <v>SEDANG</v>
          </cell>
          <cell r="F2483" t="str">
            <v>Tidak</v>
          </cell>
          <cell r="G2483" t="str">
            <v>Tidak</v>
          </cell>
          <cell r="H2483" t="str">
            <v>Tidak</v>
          </cell>
          <cell r="I2483" t="str">
            <v>Bandar Judol Depo</v>
          </cell>
          <cell r="J2483">
            <v>50</v>
          </cell>
          <cell r="K2483" t="str">
            <v>86,74,87</v>
          </cell>
          <cell r="L2483" t="str">
            <v>Judi Online</v>
          </cell>
          <cell r="M2483" t="str">
            <v xml:space="preserve">Kas Kanpus                              </v>
          </cell>
          <cell r="N2483" t="str">
            <v xml:space="preserve">Kas Kanpus                              </v>
          </cell>
          <cell r="O2483" t="str">
            <v xml:space="preserve">KAS KANPUS                              </v>
          </cell>
          <cell r="P2483" t="str">
            <v>Tidak</v>
          </cell>
          <cell r="R2483" t="str">
            <v>Done</v>
          </cell>
          <cell r="S2483" t="str">
            <v>Belum TL</v>
          </cell>
          <cell r="T2483" t="str">
            <v>90170665 - Mutiara Ayuningtyas</v>
          </cell>
          <cell r="U2483" t="str">
            <v>"-"</v>
          </cell>
        </row>
        <row r="2484">
          <cell r="A2484">
            <v>46265</v>
          </cell>
          <cell r="B2484" t="str">
            <v xml:space="preserve">CINDYTA APRILIYAH AMANATUL ZAROH        </v>
          </cell>
          <cell r="C2484" t="str">
            <v>CO50851</v>
          </cell>
          <cell r="D2484">
            <v>225101000906560</v>
          </cell>
          <cell r="E2484" t="str">
            <v>SEDANG</v>
          </cell>
          <cell r="F2484" t="str">
            <v>Tidak</v>
          </cell>
          <cell r="G2484" t="str">
            <v>Tidak</v>
          </cell>
          <cell r="H2484" t="str">
            <v>Tidak</v>
          </cell>
          <cell r="I2484" t="str">
            <v>Bandar Judol Depo</v>
          </cell>
          <cell r="J2484">
            <v>50</v>
          </cell>
          <cell r="K2484" t="str">
            <v>86,74,87</v>
          </cell>
          <cell r="L2484" t="str">
            <v>Judi Online</v>
          </cell>
          <cell r="M2484" t="str">
            <v xml:space="preserve">Kas Kanpus                              </v>
          </cell>
          <cell r="N2484" t="str">
            <v xml:space="preserve">Kas Kanpus                              </v>
          </cell>
          <cell r="O2484" t="str">
            <v xml:space="preserve">KAS KANPUS                              </v>
          </cell>
          <cell r="P2484" t="str">
            <v>Tidak</v>
          </cell>
          <cell r="R2484" t="str">
            <v>Done</v>
          </cell>
          <cell r="S2484" t="str">
            <v>Belum TL</v>
          </cell>
          <cell r="T2484" t="str">
            <v>90186790 - Muhammad Alfin Farha</v>
          </cell>
          <cell r="U2484" t="str">
            <v>"-"</v>
          </cell>
        </row>
        <row r="2485">
          <cell r="A2485">
            <v>46265</v>
          </cell>
          <cell r="B2485" t="str">
            <v xml:space="preserve">CALVIN WARASETYO WIRATAMA               </v>
          </cell>
          <cell r="C2485" t="str">
            <v>CM41639</v>
          </cell>
          <cell r="D2485">
            <v>34201002903563</v>
          </cell>
          <cell r="E2485" t="str">
            <v>SEDANG</v>
          </cell>
          <cell r="F2485" t="str">
            <v>Tidak</v>
          </cell>
          <cell r="G2485" t="str">
            <v>Tidak</v>
          </cell>
          <cell r="H2485" t="str">
            <v>Tidak</v>
          </cell>
          <cell r="I2485" t="str">
            <v>Bandar Judol Withdrawal</v>
          </cell>
          <cell r="J2485">
            <v>50</v>
          </cell>
          <cell r="K2485" t="str">
            <v>86,88,87</v>
          </cell>
          <cell r="L2485" t="str">
            <v>Judi Online</v>
          </cell>
          <cell r="M2485" t="str">
            <v xml:space="preserve">Kas Kanpus                              </v>
          </cell>
          <cell r="N2485" t="str">
            <v xml:space="preserve">Kas Kanpus                              </v>
          </cell>
          <cell r="O2485" t="str">
            <v xml:space="preserve">KAS KANPUS                              </v>
          </cell>
          <cell r="P2485" t="str">
            <v>Ya</v>
          </cell>
          <cell r="R2485" t="str">
            <v>Done</v>
          </cell>
          <cell r="S2485" t="str">
            <v>Belum TL</v>
          </cell>
          <cell r="T2485" t="str">
            <v>00336949 - Mochammad Al Farabi</v>
          </cell>
          <cell r="U2485" t="str">
            <v>"-"</v>
          </cell>
        </row>
        <row r="2486">
          <cell r="A2486">
            <v>46265</v>
          </cell>
          <cell r="B2486" t="str">
            <v xml:space="preserve">CHRISTI MANGGALA DEWI                   </v>
          </cell>
          <cell r="C2486" t="str">
            <v>CK09862</v>
          </cell>
          <cell r="D2486">
            <v>33601160400509</v>
          </cell>
          <cell r="E2486" t="str">
            <v>SEDANG</v>
          </cell>
          <cell r="F2486" t="str">
            <v>Tidak</v>
          </cell>
          <cell r="G2486" t="str">
            <v>Tidak</v>
          </cell>
          <cell r="H2486" t="str">
            <v>Tidak</v>
          </cell>
          <cell r="I2486" t="str">
            <v>Bandar Judol Withdrawal</v>
          </cell>
          <cell r="J2486">
            <v>50</v>
          </cell>
          <cell r="K2486" t="str">
            <v>86,88,87</v>
          </cell>
          <cell r="L2486" t="str">
            <v>Judi Online</v>
          </cell>
          <cell r="M2486" t="str">
            <v xml:space="preserve">Kas Kanpus                              </v>
          </cell>
          <cell r="N2486" t="str">
            <v xml:space="preserve">Kas Kanpus                              </v>
          </cell>
          <cell r="O2486" t="str">
            <v xml:space="preserve">KAS KANPUS                              </v>
          </cell>
          <cell r="P2486" t="str">
            <v>Ya</v>
          </cell>
          <cell r="R2486" t="str">
            <v>Done</v>
          </cell>
          <cell r="S2486" t="str">
            <v>Belum TL</v>
          </cell>
          <cell r="T2486" t="str">
            <v>90171841 - Rifqi Aziz</v>
          </cell>
          <cell r="U2486" t="str">
            <v>"-"</v>
          </cell>
        </row>
        <row r="2487">
          <cell r="A2487">
            <v>46265</v>
          </cell>
          <cell r="B2487" t="str">
            <v xml:space="preserve">CHERRY FRUIT                            </v>
          </cell>
          <cell r="C2487" t="str">
            <v>CI83176</v>
          </cell>
          <cell r="D2487">
            <v>32001001649308</v>
          </cell>
          <cell r="E2487" t="str">
            <v>SEDANG</v>
          </cell>
          <cell r="F2487" t="str">
            <v>Tidak</v>
          </cell>
          <cell r="G2487" t="str">
            <v>Tidak</v>
          </cell>
          <cell r="H2487" t="str">
            <v>Tidak</v>
          </cell>
          <cell r="I2487" t="str">
            <v>Perpajakan</v>
          </cell>
          <cell r="J2487">
            <v>48</v>
          </cell>
          <cell r="K2487">
            <v>41</v>
          </cell>
          <cell r="L2487" t="str">
            <v>Perpajakan</v>
          </cell>
          <cell r="M2487" t="str">
            <v xml:space="preserve">KC  Jakarta Kelapa Gading               </v>
          </cell>
          <cell r="N2487" t="str">
            <v xml:space="preserve">KC  Jakarta Kelapa Gading               </v>
          </cell>
          <cell r="O2487" t="str">
            <v xml:space="preserve">DKI                                     </v>
          </cell>
          <cell r="P2487" t="str">
            <v>Tidak</v>
          </cell>
          <cell r="R2487" t="str">
            <v>Done</v>
          </cell>
          <cell r="S2487" t="str">
            <v>Belum TL</v>
          </cell>
          <cell r="T2487" t="str">
            <v>00336949 - Mochammad Al Farabi</v>
          </cell>
          <cell r="U2487" t="str">
            <v>"-"</v>
          </cell>
        </row>
        <row r="2488">
          <cell r="A2488">
            <v>46265</v>
          </cell>
          <cell r="B2488" t="str">
            <v xml:space="preserve">CITRA WULAN NUGRAHENINGTYAS             </v>
          </cell>
          <cell r="C2488" t="str">
            <v>CJ25811</v>
          </cell>
          <cell r="D2488">
            <v>302201058027536</v>
          </cell>
          <cell r="E2488" t="str">
            <v>SEDANG</v>
          </cell>
          <cell r="F2488" t="str">
            <v>Tidak</v>
          </cell>
          <cell r="G2488" t="str">
            <v>Tidak</v>
          </cell>
          <cell r="H2488" t="str">
            <v>Tidak</v>
          </cell>
          <cell r="I2488" t="str">
            <v>Narkotika - Area Lapas</v>
          </cell>
          <cell r="J2488">
            <v>48</v>
          </cell>
          <cell r="K2488">
            <v>47</v>
          </cell>
          <cell r="L2488" t="str">
            <v>Narkotika</v>
          </cell>
          <cell r="M2488" t="str">
            <v>UNIT PAKEM SLEMAN</v>
          </cell>
          <cell r="N2488" t="str">
            <v>KC Sleman</v>
          </cell>
          <cell r="O2488" t="str">
            <v>Yogyakarta</v>
          </cell>
          <cell r="P2488" t="str">
            <v>Tidak</v>
          </cell>
          <cell r="R2488" t="str">
            <v>Done</v>
          </cell>
          <cell r="S2488" t="str">
            <v>Belum TL</v>
          </cell>
          <cell r="T2488" t="str">
            <v>00394521 - Muhammad Hibbanduta</v>
          </cell>
          <cell r="U2488" t="str">
            <v>"-"</v>
          </cell>
        </row>
        <row r="2489">
          <cell r="A2489">
            <v>46265</v>
          </cell>
          <cell r="B2489" t="str">
            <v xml:space="preserve">CATHERINE MARSIANE. B                   </v>
          </cell>
          <cell r="C2489" t="str">
            <v>CC75356</v>
          </cell>
          <cell r="D2489">
            <v>34501047895507</v>
          </cell>
          <cell r="E2489" t="str">
            <v>SEDANG</v>
          </cell>
          <cell r="F2489" t="str">
            <v>Tidak</v>
          </cell>
          <cell r="G2489" t="str">
            <v>Tidak</v>
          </cell>
          <cell r="H2489" t="str">
            <v>Tidak</v>
          </cell>
          <cell r="I2489" t="str">
            <v>Bandar Judol Withdrawal</v>
          </cell>
          <cell r="J2489">
            <v>50</v>
          </cell>
          <cell r="K2489" t="str">
            <v>86,88,87</v>
          </cell>
          <cell r="L2489" t="str">
            <v>Judi Online</v>
          </cell>
          <cell r="M2489" t="str">
            <v xml:space="preserve">Kas Kanpus                              </v>
          </cell>
          <cell r="N2489" t="str">
            <v xml:space="preserve">Kas Kanpus                              </v>
          </cell>
          <cell r="O2489" t="str">
            <v xml:space="preserve">KAS KANPUS                              </v>
          </cell>
          <cell r="P2489" t="str">
            <v>Ya</v>
          </cell>
          <cell r="R2489" t="str">
            <v>Done</v>
          </cell>
          <cell r="S2489" t="str">
            <v>Belum TL</v>
          </cell>
          <cell r="T2489" t="str">
            <v>00336949 - Mochammad Al Farabi</v>
          </cell>
          <cell r="U2489" t="str">
            <v>"-"</v>
          </cell>
        </row>
        <row r="2490">
          <cell r="A2490">
            <v>46265</v>
          </cell>
          <cell r="B2490" t="str">
            <v xml:space="preserve">CITRA KARYA JABAR TOL                   </v>
          </cell>
          <cell r="C2490" t="str">
            <v>CC05417</v>
          </cell>
          <cell r="D2490">
            <v>20601007200306</v>
          </cell>
          <cell r="E2490" t="str">
            <v>SEDANG</v>
          </cell>
          <cell r="F2490" t="str">
            <v>Tidak</v>
          </cell>
          <cell r="G2490" t="str">
            <v>Tidak</v>
          </cell>
          <cell r="H2490" t="str">
            <v>Tidak</v>
          </cell>
          <cell r="I2490" t="str">
            <v>Perpajakan</v>
          </cell>
          <cell r="J2490">
            <v>48</v>
          </cell>
          <cell r="K2490">
            <v>41</v>
          </cell>
          <cell r="L2490" t="str">
            <v>Perpajakan</v>
          </cell>
          <cell r="M2490" t="str">
            <v xml:space="preserve">KC SUDIRMAN SEMANGGI                    </v>
          </cell>
          <cell r="N2490" t="str">
            <v xml:space="preserve">KC SUDIRMAN SEMANGGI                    </v>
          </cell>
          <cell r="O2490" t="str">
            <v xml:space="preserve">DKI                                     </v>
          </cell>
          <cell r="P2490" t="str">
            <v>Tidak</v>
          </cell>
          <cell r="R2490" t="str">
            <v>Done</v>
          </cell>
          <cell r="S2490" t="str">
            <v>Belum TL</v>
          </cell>
          <cell r="T2490" t="str">
            <v>90150130 - Intan Aida Pratiwi</v>
          </cell>
          <cell r="U2490" t="str">
            <v>"-"</v>
          </cell>
        </row>
        <row r="2491">
          <cell r="A2491">
            <v>46265</v>
          </cell>
          <cell r="B2491" t="str">
            <v xml:space="preserve">CASNITI BINTI TARMA                     </v>
          </cell>
          <cell r="C2491" t="str">
            <v>CB29982</v>
          </cell>
          <cell r="D2491">
            <v>44501002197560</v>
          </cell>
          <cell r="E2491" t="str">
            <v>TINGGI</v>
          </cell>
          <cell r="F2491" t="str">
            <v>Tidak</v>
          </cell>
          <cell r="G2491" t="str">
            <v>Tidak</v>
          </cell>
          <cell r="H2491" t="str">
            <v>Tidak</v>
          </cell>
          <cell r="I2491" t="str">
            <v>Terorisme - SIPENDAR</v>
          </cell>
          <cell r="J2491">
            <v>186</v>
          </cell>
          <cell r="K2491">
            <v>36</v>
          </cell>
          <cell r="L2491" t="str">
            <v>Terorisme</v>
          </cell>
          <cell r="M2491" t="str">
            <v xml:space="preserve">Kas Kanpus                              </v>
          </cell>
          <cell r="N2491" t="str">
            <v xml:space="preserve">Kas Kanpus                              </v>
          </cell>
          <cell r="O2491" t="str">
            <v xml:space="preserve">KAS KANPUS                              </v>
          </cell>
          <cell r="P2491" t="str">
            <v>Tidak</v>
          </cell>
          <cell r="R2491" t="str">
            <v>Done</v>
          </cell>
          <cell r="S2491" t="str">
            <v>Belum TL</v>
          </cell>
          <cell r="T2491" t="str">
            <v>90150130 - Intan Aida Pratiwi</v>
          </cell>
          <cell r="U2491" t="str">
            <v>"-"</v>
          </cell>
        </row>
        <row r="2492">
          <cell r="A2492">
            <v>46265</v>
          </cell>
          <cell r="B2492" t="str">
            <v xml:space="preserve">DIDIK PRANATA                           </v>
          </cell>
          <cell r="C2492" t="str">
            <v>DFTM462</v>
          </cell>
          <cell r="D2492">
            <v>782801018788534</v>
          </cell>
          <cell r="F2492" t="str">
            <v>Tidak</v>
          </cell>
          <cell r="G2492" t="str">
            <v>Tidak</v>
          </cell>
          <cell r="H2492" t="str">
            <v>Tidak</v>
          </cell>
          <cell r="I2492" t="str">
            <v>Bandar Judol Depo</v>
          </cell>
          <cell r="J2492">
            <v>35</v>
          </cell>
          <cell r="K2492" t="str">
            <v>86,74,87</v>
          </cell>
          <cell r="L2492" t="str">
            <v>Judi Online</v>
          </cell>
          <cell r="M2492" t="str">
            <v xml:space="preserve">Kas Kanpus                              </v>
          </cell>
          <cell r="N2492" t="str">
            <v xml:space="preserve">Kas Kanpus                              </v>
          </cell>
          <cell r="O2492" t="str">
            <v xml:space="preserve">KAS KANPUS                              </v>
          </cell>
          <cell r="P2492" t="str">
            <v>Ya</v>
          </cell>
          <cell r="R2492" t="str">
            <v>Done</v>
          </cell>
          <cell r="S2492" t="str">
            <v>Belum TL</v>
          </cell>
          <cell r="T2492" t="str">
            <v>90170665 - Mutiara Ayuningtyas</v>
          </cell>
          <cell r="U2492" t="str">
            <v>"-"</v>
          </cell>
        </row>
        <row r="2493">
          <cell r="A2493">
            <v>46265</v>
          </cell>
          <cell r="B2493" t="str">
            <v xml:space="preserve">DENI MARYANI                            </v>
          </cell>
          <cell r="C2493" t="str">
            <v>DFTS201</v>
          </cell>
          <cell r="D2493">
            <v>52001015212505</v>
          </cell>
          <cell r="F2493" t="str">
            <v>Tidak</v>
          </cell>
          <cell r="G2493" t="str">
            <v>Tidak</v>
          </cell>
          <cell r="H2493" t="str">
            <v>Tidak</v>
          </cell>
          <cell r="I2493" t="str">
            <v>Bandar Judol Withdrawal</v>
          </cell>
          <cell r="J2493">
            <v>35</v>
          </cell>
          <cell r="K2493" t="str">
            <v>86,88,87</v>
          </cell>
          <cell r="L2493" t="str">
            <v>Judi Online</v>
          </cell>
          <cell r="M2493" t="str">
            <v xml:space="preserve">Kas Kanpus                              </v>
          </cell>
          <cell r="N2493" t="str">
            <v xml:space="preserve">Kas Kanpus                              </v>
          </cell>
          <cell r="O2493" t="str">
            <v xml:space="preserve">KAS KANPUS                              </v>
          </cell>
          <cell r="P2493" t="str">
            <v>Ya</v>
          </cell>
          <cell r="R2493" t="str">
            <v>Done</v>
          </cell>
          <cell r="S2493" t="str">
            <v>Belum TL</v>
          </cell>
          <cell r="T2493" t="str">
            <v>00394521 - Muhammad Hibbanduta</v>
          </cell>
          <cell r="U2493" t="str">
            <v>"-"</v>
          </cell>
        </row>
        <row r="2494">
          <cell r="A2494">
            <v>46265</v>
          </cell>
          <cell r="B2494" t="str">
            <v xml:space="preserve">DEDDY SYAHPUTRA                         </v>
          </cell>
          <cell r="C2494" t="str">
            <v>DFUB687</v>
          </cell>
          <cell r="D2494">
            <v>530401011105501</v>
          </cell>
          <cell r="F2494" t="str">
            <v>Tidak</v>
          </cell>
          <cell r="G2494" t="str">
            <v>Tidak</v>
          </cell>
          <cell r="H2494" t="str">
            <v>Tidak</v>
          </cell>
          <cell r="I2494" t="str">
            <v>Bandar Judol Withdrawal</v>
          </cell>
          <cell r="J2494">
            <v>35</v>
          </cell>
          <cell r="K2494" t="str">
            <v>86,88,87</v>
          </cell>
          <cell r="L2494" t="str">
            <v>Judi Online</v>
          </cell>
          <cell r="M2494" t="str">
            <v xml:space="preserve">Kas Kanpus                              </v>
          </cell>
          <cell r="N2494" t="str">
            <v xml:space="preserve">Kas Kanpus                              </v>
          </cell>
          <cell r="O2494" t="str">
            <v xml:space="preserve">KAS KANPUS                              </v>
          </cell>
          <cell r="P2494" t="str">
            <v>Ya</v>
          </cell>
          <cell r="R2494" t="str">
            <v>Done</v>
          </cell>
          <cell r="S2494" t="str">
            <v>Belum TL</v>
          </cell>
          <cell r="T2494" t="str">
            <v>90186790 - Muhammad Alfin Farha</v>
          </cell>
          <cell r="U2494" t="str">
            <v>"-"</v>
          </cell>
        </row>
        <row r="2495">
          <cell r="A2495">
            <v>46265</v>
          </cell>
          <cell r="B2495" t="str">
            <v xml:space="preserve">DENNY ISMAIL MULYA                      </v>
          </cell>
          <cell r="C2495" t="str">
            <v>DFHM704</v>
          </cell>
          <cell r="D2495">
            <v>116301019381509</v>
          </cell>
          <cell r="F2495" t="str">
            <v>Tidak</v>
          </cell>
          <cell r="G2495" t="str">
            <v>Tidak</v>
          </cell>
          <cell r="H2495" t="str">
            <v>Tidak</v>
          </cell>
          <cell r="I2495" t="str">
            <v>Bandar Judol Depo</v>
          </cell>
          <cell r="J2495">
            <v>35</v>
          </cell>
          <cell r="K2495" t="str">
            <v>86,74,87</v>
          </cell>
          <cell r="L2495" t="str">
            <v>Judi Online</v>
          </cell>
          <cell r="M2495" t="str">
            <v xml:space="preserve">Kas Kanpus                              </v>
          </cell>
          <cell r="N2495" t="str">
            <v xml:space="preserve">Kas Kanpus                              </v>
          </cell>
          <cell r="O2495" t="str">
            <v xml:space="preserve">KAS KANPUS                              </v>
          </cell>
          <cell r="P2495" t="str">
            <v>Ya</v>
          </cell>
          <cell r="R2495" t="str">
            <v>Done</v>
          </cell>
          <cell r="S2495" t="str">
            <v>Belum TL</v>
          </cell>
          <cell r="T2495" t="str">
            <v>90150130 - Intan Aida Pratiwi</v>
          </cell>
          <cell r="U2495" t="str">
            <v>"-"</v>
          </cell>
        </row>
        <row r="2496">
          <cell r="A2496">
            <v>46265</v>
          </cell>
          <cell r="B2496" t="str">
            <v xml:space="preserve">DANI                                    </v>
          </cell>
          <cell r="C2496" t="str">
            <v>DFSA982</v>
          </cell>
          <cell r="D2496">
            <v>804201039977535</v>
          </cell>
          <cell r="F2496" t="str">
            <v>Tidak</v>
          </cell>
          <cell r="G2496" t="str">
            <v>Tidak</v>
          </cell>
          <cell r="H2496" t="str">
            <v>Tidak</v>
          </cell>
          <cell r="I2496" t="str">
            <v>Bandar Judol Withdrawal</v>
          </cell>
          <cell r="J2496">
            <v>35</v>
          </cell>
          <cell r="K2496" t="str">
            <v>86,88,87</v>
          </cell>
          <cell r="L2496" t="str">
            <v>Judi Online</v>
          </cell>
          <cell r="M2496" t="str">
            <v xml:space="preserve">Kas Kanpus                              </v>
          </cell>
          <cell r="N2496" t="str">
            <v xml:space="preserve">Kas Kanpus                              </v>
          </cell>
          <cell r="O2496" t="str">
            <v xml:space="preserve">KAS KANPUS                              </v>
          </cell>
          <cell r="P2496" t="str">
            <v>Ya</v>
          </cell>
          <cell r="R2496" t="str">
            <v>Done</v>
          </cell>
          <cell r="S2496" t="str">
            <v>Belum TL</v>
          </cell>
          <cell r="T2496" t="str">
            <v>90171841 - Rifqi Aziz</v>
          </cell>
          <cell r="U2496" t="str">
            <v>"-"</v>
          </cell>
        </row>
        <row r="2497">
          <cell r="A2497">
            <v>46265</v>
          </cell>
          <cell r="B2497" t="str">
            <v xml:space="preserve">DAFA AZHARI SIMATUPANG                  </v>
          </cell>
          <cell r="C2497" t="str">
            <v>DBTT611</v>
          </cell>
          <cell r="D2497">
            <v>69301025674502</v>
          </cell>
          <cell r="E2497" t="str">
            <v>SEDANG</v>
          </cell>
          <cell r="F2497" t="str">
            <v>Tidak</v>
          </cell>
          <cell r="G2497" t="str">
            <v>Tidak</v>
          </cell>
          <cell r="H2497" t="str">
            <v>Tidak</v>
          </cell>
          <cell r="I2497" t="str">
            <v>Bandar Judol Withdrawal</v>
          </cell>
          <cell r="J2497">
            <v>50</v>
          </cell>
          <cell r="K2497" t="str">
            <v>86,88,87</v>
          </cell>
          <cell r="L2497" t="str">
            <v>Judi Online</v>
          </cell>
          <cell r="M2497" t="str">
            <v xml:space="preserve">Kas Kanpus                              </v>
          </cell>
          <cell r="N2497" t="str">
            <v xml:space="preserve">Kas Kanpus                              </v>
          </cell>
          <cell r="O2497" t="str">
            <v xml:space="preserve">KAS KANPUS                              </v>
          </cell>
          <cell r="P2497" t="str">
            <v>Ya</v>
          </cell>
          <cell r="R2497" t="str">
            <v>Done</v>
          </cell>
          <cell r="S2497" t="str">
            <v>Belum TL</v>
          </cell>
          <cell r="T2497" t="str">
            <v>00336949 - Mochammad Al Farabi</v>
          </cell>
          <cell r="U2497" t="str">
            <v>"-"</v>
          </cell>
        </row>
        <row r="2498">
          <cell r="A2498">
            <v>46265</v>
          </cell>
          <cell r="B2498" t="str">
            <v xml:space="preserve">DEDI                                    </v>
          </cell>
          <cell r="C2498" t="str">
            <v>DFLH846</v>
          </cell>
          <cell r="D2498">
            <v>116901020297501</v>
          </cell>
          <cell r="F2498" t="str">
            <v>Tidak</v>
          </cell>
          <cell r="G2498" t="str">
            <v>Tidak</v>
          </cell>
          <cell r="H2498" t="str">
            <v>Tidak</v>
          </cell>
          <cell r="I2498" t="str">
            <v>Bandar Judol Withdrawal</v>
          </cell>
          <cell r="J2498">
            <v>35</v>
          </cell>
          <cell r="K2498" t="str">
            <v>86,88,87</v>
          </cell>
          <cell r="L2498" t="str">
            <v>Judi Online</v>
          </cell>
          <cell r="M2498" t="str">
            <v xml:space="preserve">Kas Kanpus                              </v>
          </cell>
          <cell r="N2498" t="str">
            <v xml:space="preserve">Kas Kanpus                              </v>
          </cell>
          <cell r="O2498" t="str">
            <v xml:space="preserve">KAS KANPUS                              </v>
          </cell>
          <cell r="P2498" t="str">
            <v>Ya</v>
          </cell>
          <cell r="R2498" t="str">
            <v>Done</v>
          </cell>
          <cell r="S2498" t="str">
            <v>Belum TL</v>
          </cell>
          <cell r="T2498" t="str">
            <v>00394521 - Muhammad Hibbanduta</v>
          </cell>
          <cell r="U2498" t="str">
            <v>"-"</v>
          </cell>
        </row>
        <row r="2499">
          <cell r="A2499">
            <v>46265</v>
          </cell>
          <cell r="B2499" t="str">
            <v xml:space="preserve">DELVIN PRATAMA                          </v>
          </cell>
          <cell r="C2499" t="str">
            <v>DFTD440</v>
          </cell>
          <cell r="D2499">
            <v>34201002912562</v>
          </cell>
          <cell r="F2499" t="str">
            <v>Tidak</v>
          </cell>
          <cell r="G2499" t="str">
            <v>Tidak</v>
          </cell>
          <cell r="H2499" t="str">
            <v>Tidak</v>
          </cell>
          <cell r="I2499" t="str">
            <v>Bandar Judol Withdrawal</v>
          </cell>
          <cell r="J2499">
            <v>35</v>
          </cell>
          <cell r="K2499" t="str">
            <v>86,88,87</v>
          </cell>
          <cell r="L2499" t="str">
            <v>Judi Online</v>
          </cell>
          <cell r="M2499" t="str">
            <v xml:space="preserve">Kas Kanpus                              </v>
          </cell>
          <cell r="N2499" t="str">
            <v xml:space="preserve">Kas Kanpus                              </v>
          </cell>
          <cell r="O2499" t="str">
            <v xml:space="preserve">KAS KANPUS                              </v>
          </cell>
          <cell r="P2499" t="str">
            <v>Ya</v>
          </cell>
          <cell r="R2499" t="str">
            <v>Done</v>
          </cell>
          <cell r="S2499" t="str">
            <v>Belum TL</v>
          </cell>
          <cell r="T2499" t="str">
            <v>90185538 - Muhammad Fahikal Auz</v>
          </cell>
          <cell r="U2499" t="str">
            <v>"-"</v>
          </cell>
        </row>
        <row r="2500">
          <cell r="A2500">
            <v>46265</v>
          </cell>
          <cell r="B2500" t="str">
            <v xml:space="preserve">DANDI RISKI RISVAWAN                    </v>
          </cell>
          <cell r="C2500" t="str">
            <v>DERZ852</v>
          </cell>
          <cell r="D2500">
            <v>44501001911563</v>
          </cell>
          <cell r="E2500" t="str">
            <v>SEDANG</v>
          </cell>
          <cell r="F2500" t="str">
            <v>Tidak</v>
          </cell>
          <cell r="G2500" t="str">
            <v>Tidak</v>
          </cell>
          <cell r="H2500" t="str">
            <v>Tidak</v>
          </cell>
          <cell r="I2500" t="str">
            <v>Bandar Judol Depo</v>
          </cell>
          <cell r="J2500">
            <v>50</v>
          </cell>
          <cell r="K2500" t="str">
            <v>86,74,87</v>
          </cell>
          <cell r="L2500" t="str">
            <v>Judi Online</v>
          </cell>
          <cell r="M2500" t="str">
            <v xml:space="preserve">Kas Kanpus                              </v>
          </cell>
          <cell r="N2500" t="str">
            <v xml:space="preserve">Kas Kanpus                              </v>
          </cell>
          <cell r="O2500" t="str">
            <v xml:space="preserve">KAS KANPUS                              </v>
          </cell>
          <cell r="P2500" t="str">
            <v>Ya</v>
          </cell>
          <cell r="R2500" t="str">
            <v>Done</v>
          </cell>
          <cell r="S2500" t="str">
            <v>Belum TL</v>
          </cell>
          <cell r="T2500" t="str">
            <v>00336949 - Mochammad Al Farabi</v>
          </cell>
          <cell r="U2500" t="str">
            <v>"-"</v>
          </cell>
        </row>
        <row r="2501">
          <cell r="A2501">
            <v>46265</v>
          </cell>
          <cell r="B2501" t="str">
            <v xml:space="preserve">DISTA FITRI OKTAFIA                     </v>
          </cell>
          <cell r="C2501" t="str">
            <v>DESS997</v>
          </cell>
          <cell r="D2501">
            <v>1101029862539</v>
          </cell>
          <cell r="E2501" t="str">
            <v>SEDANG</v>
          </cell>
          <cell r="F2501" t="str">
            <v>Tidak</v>
          </cell>
          <cell r="G2501" t="str">
            <v>Tidak</v>
          </cell>
          <cell r="H2501" t="str">
            <v>Tidak</v>
          </cell>
          <cell r="I2501" t="str">
            <v>Bandar Judol Depo</v>
          </cell>
          <cell r="J2501">
            <v>50</v>
          </cell>
          <cell r="K2501" t="str">
            <v>86,74,87</v>
          </cell>
          <cell r="L2501" t="str">
            <v>Judi Online</v>
          </cell>
          <cell r="M2501" t="str">
            <v xml:space="preserve">Kas Kanpus                              </v>
          </cell>
          <cell r="N2501" t="str">
            <v xml:space="preserve">Kas Kanpus                              </v>
          </cell>
          <cell r="O2501" t="str">
            <v xml:space="preserve">KAS KANPUS                              </v>
          </cell>
          <cell r="P2501" t="str">
            <v>Ya</v>
          </cell>
          <cell r="R2501" t="str">
            <v>Done</v>
          </cell>
          <cell r="S2501" t="str">
            <v>Belum TL</v>
          </cell>
          <cell r="T2501" t="str">
            <v>90186796 - Devito Arya Wiradila</v>
          </cell>
          <cell r="U2501" t="str">
            <v>"-"</v>
          </cell>
        </row>
        <row r="2502">
          <cell r="A2502">
            <v>46265</v>
          </cell>
          <cell r="B2502" t="str">
            <v xml:space="preserve">DIMAS BAYU LEGOWO                       </v>
          </cell>
          <cell r="C2502" t="str">
            <v>DELA334</v>
          </cell>
          <cell r="D2502">
            <v>331001001780500</v>
          </cell>
          <cell r="E2502" t="str">
            <v>TINGGI</v>
          </cell>
          <cell r="F2502" t="str">
            <v>Tidak</v>
          </cell>
          <cell r="G2502" t="str">
            <v>Tidak</v>
          </cell>
          <cell r="H2502" t="str">
            <v>Tidak</v>
          </cell>
          <cell r="I2502" t="str">
            <v>Bandar Judol Withdrawal</v>
          </cell>
          <cell r="J2502">
            <v>65</v>
          </cell>
          <cell r="K2502" t="str">
            <v>86,88,87</v>
          </cell>
          <cell r="L2502" t="str">
            <v>Judi Online</v>
          </cell>
          <cell r="M2502" t="str">
            <v xml:space="preserve">Kas Kanpus                              </v>
          </cell>
          <cell r="N2502" t="str">
            <v xml:space="preserve">Kas Kanpus                              </v>
          </cell>
          <cell r="O2502" t="str">
            <v xml:space="preserve">KAS KANPUS                              </v>
          </cell>
          <cell r="P2502" t="str">
            <v>Ya</v>
          </cell>
          <cell r="R2502" t="str">
            <v>Done</v>
          </cell>
          <cell r="S2502" t="str">
            <v>Belum TL</v>
          </cell>
          <cell r="T2502" t="str">
            <v>90170665 - Mutiara Ayuningtyas</v>
          </cell>
          <cell r="U2502" t="str">
            <v>"-"</v>
          </cell>
        </row>
        <row r="2503">
          <cell r="A2503">
            <v>46265</v>
          </cell>
          <cell r="B2503" t="str">
            <v xml:space="preserve">DANDUNG SATRIO                          </v>
          </cell>
          <cell r="C2503" t="str">
            <v>DELC583</v>
          </cell>
          <cell r="D2503">
            <v>43401002020562</v>
          </cell>
          <cell r="E2503" t="str">
            <v>SEDANG</v>
          </cell>
          <cell r="F2503" t="str">
            <v>Tidak</v>
          </cell>
          <cell r="G2503" t="str">
            <v>Tidak</v>
          </cell>
          <cell r="H2503" t="str">
            <v>Tidak</v>
          </cell>
          <cell r="I2503" t="str">
            <v>Bandar Judol Withdrawal</v>
          </cell>
          <cell r="J2503">
            <v>50</v>
          </cell>
          <cell r="K2503" t="str">
            <v>86,88,87</v>
          </cell>
          <cell r="L2503" t="str">
            <v>Judi Online</v>
          </cell>
          <cell r="M2503" t="str">
            <v xml:space="preserve">Kas Kanpus                              </v>
          </cell>
          <cell r="N2503" t="str">
            <v xml:space="preserve">Kas Kanpus                              </v>
          </cell>
          <cell r="O2503" t="str">
            <v xml:space="preserve">KAS KANPUS                              </v>
          </cell>
          <cell r="P2503" t="str">
            <v>Ya</v>
          </cell>
          <cell r="R2503" t="str">
            <v>Done</v>
          </cell>
          <cell r="S2503" t="str">
            <v>Belum TL</v>
          </cell>
          <cell r="T2503" t="str">
            <v>90186790 - Muhammad Alfin Farha</v>
          </cell>
          <cell r="U2503" t="str">
            <v>"-"</v>
          </cell>
        </row>
        <row r="2504">
          <cell r="A2504">
            <v>46265</v>
          </cell>
          <cell r="B2504" t="str">
            <v xml:space="preserve">DAMAR RAMADHAM                          </v>
          </cell>
          <cell r="C2504" t="str">
            <v>DFGX665</v>
          </cell>
          <cell r="D2504">
            <v>33201003176564</v>
          </cell>
          <cell r="F2504" t="str">
            <v>Tidak</v>
          </cell>
          <cell r="G2504" t="str">
            <v>Tidak</v>
          </cell>
          <cell r="H2504" t="str">
            <v>Tidak</v>
          </cell>
          <cell r="I2504" t="str">
            <v>Bandar Judol Depo</v>
          </cell>
          <cell r="J2504">
            <v>35</v>
          </cell>
          <cell r="K2504" t="str">
            <v>86,74,87</v>
          </cell>
          <cell r="L2504" t="str">
            <v>Judi Online</v>
          </cell>
          <cell r="M2504" t="str">
            <v xml:space="preserve">Kas Kanpus                              </v>
          </cell>
          <cell r="N2504" t="str">
            <v xml:space="preserve">Kas Kanpus                              </v>
          </cell>
          <cell r="O2504" t="str">
            <v xml:space="preserve">KAS KANPUS                              </v>
          </cell>
          <cell r="P2504" t="str">
            <v>Ya</v>
          </cell>
          <cell r="R2504" t="str">
            <v>Done</v>
          </cell>
          <cell r="S2504" t="str">
            <v>Belum TL</v>
          </cell>
          <cell r="T2504" t="str">
            <v>90150130 - Intan Aida Pratiwi</v>
          </cell>
          <cell r="U2504" t="str">
            <v>"-"</v>
          </cell>
        </row>
        <row r="2505">
          <cell r="A2505">
            <v>46265</v>
          </cell>
          <cell r="B2505" t="str">
            <v xml:space="preserve">DODY SYAHPUTRA                          </v>
          </cell>
          <cell r="C2505" t="str">
            <v>DFE3739</v>
          </cell>
          <cell r="D2505">
            <v>15401018229538</v>
          </cell>
          <cell r="E2505" t="str">
            <v>SEDANG</v>
          </cell>
          <cell r="F2505" t="str">
            <v>Tidak</v>
          </cell>
          <cell r="G2505" t="str">
            <v>Tidak</v>
          </cell>
          <cell r="H2505" t="str">
            <v>Tidak</v>
          </cell>
          <cell r="I2505" t="str">
            <v>Bandar Judol Withdrawal</v>
          </cell>
          <cell r="J2505">
            <v>50</v>
          </cell>
          <cell r="K2505" t="str">
            <v>86,88,87</v>
          </cell>
          <cell r="L2505" t="str">
            <v>Judi Online</v>
          </cell>
          <cell r="M2505" t="str">
            <v xml:space="preserve">Kas Kanpus                              </v>
          </cell>
          <cell r="N2505" t="str">
            <v xml:space="preserve">Kas Kanpus                              </v>
          </cell>
          <cell r="O2505" t="str">
            <v xml:space="preserve">KAS KANPUS                              </v>
          </cell>
          <cell r="P2505" t="str">
            <v>Tidak</v>
          </cell>
          <cell r="R2505" t="str">
            <v>Done</v>
          </cell>
          <cell r="S2505" t="str">
            <v>Belum TL</v>
          </cell>
          <cell r="T2505" t="str">
            <v>00336949 - Mochammad Al Farabi</v>
          </cell>
          <cell r="U2505" t="str">
            <v>"-"</v>
          </cell>
        </row>
        <row r="2506">
          <cell r="A2506">
            <v>46265</v>
          </cell>
          <cell r="B2506" t="str">
            <v xml:space="preserve">DESI HANDOKO                            </v>
          </cell>
          <cell r="C2506" t="str">
            <v>DGRK374</v>
          </cell>
          <cell r="D2506">
            <v>530401011315504</v>
          </cell>
          <cell r="F2506" t="str">
            <v>Tidak</v>
          </cell>
          <cell r="G2506" t="str">
            <v>Tidak</v>
          </cell>
          <cell r="H2506" t="str">
            <v>Tidak</v>
          </cell>
          <cell r="I2506" t="str">
            <v>Bandar Judol Withdrawal</v>
          </cell>
          <cell r="J2506">
            <v>35</v>
          </cell>
          <cell r="K2506" t="str">
            <v>86,88,87</v>
          </cell>
          <cell r="L2506" t="str">
            <v>Judi Online</v>
          </cell>
          <cell r="M2506" t="str">
            <v xml:space="preserve">Kas Kanpus                              </v>
          </cell>
          <cell r="N2506" t="str">
            <v xml:space="preserve">Kas Kanpus                              </v>
          </cell>
          <cell r="O2506" t="str">
            <v xml:space="preserve">KAS KANPUS                              </v>
          </cell>
          <cell r="P2506" t="str">
            <v>Ya</v>
          </cell>
          <cell r="R2506" t="str">
            <v>Done</v>
          </cell>
          <cell r="S2506" t="str">
            <v>Belum TL</v>
          </cell>
          <cell r="T2506" t="str">
            <v>90171841 - Rifqi Aziz</v>
          </cell>
          <cell r="U2506" t="str">
            <v>"-"</v>
          </cell>
        </row>
        <row r="2507">
          <cell r="A2507">
            <v>46265</v>
          </cell>
          <cell r="B2507" t="str">
            <v xml:space="preserve">DIKTA OKTAVIANA                         </v>
          </cell>
          <cell r="C2507" t="str">
            <v>DHGL476</v>
          </cell>
          <cell r="D2507">
            <v>88601020919504</v>
          </cell>
          <cell r="F2507" t="str">
            <v>Tidak</v>
          </cell>
          <cell r="G2507" t="str">
            <v>Tidak</v>
          </cell>
          <cell r="H2507" t="str">
            <v>Tidak</v>
          </cell>
          <cell r="I2507" t="str">
            <v>Bandar Judol Withdrawal</v>
          </cell>
          <cell r="J2507">
            <v>35</v>
          </cell>
          <cell r="K2507" t="str">
            <v>86,88,87</v>
          </cell>
          <cell r="L2507" t="str">
            <v>Judi Online</v>
          </cell>
          <cell r="M2507" t="str">
            <v xml:space="preserve">Kas Kanpus                              </v>
          </cell>
          <cell r="N2507" t="str">
            <v xml:space="preserve">Kas Kanpus                              </v>
          </cell>
          <cell r="O2507" t="str">
            <v xml:space="preserve">KAS KANPUS                              </v>
          </cell>
          <cell r="P2507" t="str">
            <v>Ya</v>
          </cell>
          <cell r="R2507" t="str">
            <v>Done</v>
          </cell>
          <cell r="S2507" t="str">
            <v>Belum TL</v>
          </cell>
          <cell r="T2507" t="str">
            <v>90186790 - Muhammad Alfin Farha</v>
          </cell>
          <cell r="U2507" t="str">
            <v>"-"</v>
          </cell>
        </row>
        <row r="2508">
          <cell r="A2508">
            <v>46265</v>
          </cell>
          <cell r="B2508" t="str">
            <v xml:space="preserve">DIMAS MAIS                              </v>
          </cell>
          <cell r="C2508" t="str">
            <v>DGNJ185</v>
          </cell>
          <cell r="D2508">
            <v>34501053416503</v>
          </cell>
          <cell r="F2508" t="str">
            <v>Tidak</v>
          </cell>
          <cell r="G2508" t="str">
            <v>Tidak</v>
          </cell>
          <cell r="H2508" t="str">
            <v>Tidak</v>
          </cell>
          <cell r="I2508" t="str">
            <v>Bandar Judol Withdrawal</v>
          </cell>
          <cell r="J2508">
            <v>35</v>
          </cell>
          <cell r="K2508" t="str">
            <v>86,88,87</v>
          </cell>
          <cell r="L2508" t="str">
            <v>Judi Online</v>
          </cell>
          <cell r="M2508" t="str">
            <v xml:space="preserve">Kas Kanpus                              </v>
          </cell>
          <cell r="N2508" t="str">
            <v xml:space="preserve">Kas Kanpus                              </v>
          </cell>
          <cell r="O2508" t="str">
            <v xml:space="preserve">KAS KANPUS                              </v>
          </cell>
          <cell r="P2508" t="str">
            <v>Ya</v>
          </cell>
          <cell r="R2508" t="str">
            <v>Done</v>
          </cell>
          <cell r="S2508" t="str">
            <v>Belum TL</v>
          </cell>
          <cell r="T2508" t="str">
            <v>90185537 - Moh.Khoerul Fajar Ar</v>
          </cell>
          <cell r="U2508" t="str">
            <v>"-"</v>
          </cell>
        </row>
        <row r="2509">
          <cell r="A2509">
            <v>46265</v>
          </cell>
          <cell r="B2509" t="str">
            <v xml:space="preserve">DINDA AYU KAMILLA                       </v>
          </cell>
          <cell r="C2509" t="str">
            <v>DGKH412</v>
          </cell>
          <cell r="D2509">
            <v>119201003435535</v>
          </cell>
          <cell r="F2509" t="str">
            <v>Tidak</v>
          </cell>
          <cell r="G2509" t="str">
            <v>Tidak</v>
          </cell>
          <cell r="H2509" t="str">
            <v>Tidak</v>
          </cell>
          <cell r="I2509" t="str">
            <v>Bandar Judol Withdrawal</v>
          </cell>
          <cell r="J2509">
            <v>35</v>
          </cell>
          <cell r="K2509" t="str">
            <v>86,88,87</v>
          </cell>
          <cell r="L2509" t="str">
            <v>Judi Online</v>
          </cell>
          <cell r="M2509" t="str">
            <v xml:space="preserve">Kas Kanpus                              </v>
          </cell>
          <cell r="N2509" t="str">
            <v xml:space="preserve">Kas Kanpus                              </v>
          </cell>
          <cell r="O2509" t="str">
            <v xml:space="preserve">KAS KANPUS                              </v>
          </cell>
          <cell r="P2509" t="str">
            <v>Ya</v>
          </cell>
          <cell r="R2509" t="str">
            <v>Done</v>
          </cell>
          <cell r="S2509" t="str">
            <v>Belum TL</v>
          </cell>
          <cell r="T2509" t="str">
            <v>90171841 - Rifqi Aziz</v>
          </cell>
          <cell r="U2509" t="str">
            <v>"-"</v>
          </cell>
        </row>
        <row r="2510">
          <cell r="A2510">
            <v>46265</v>
          </cell>
          <cell r="B2510" t="str">
            <v xml:space="preserve">DANAR DWI JULIANSYAH                    </v>
          </cell>
          <cell r="C2510" t="str">
            <v>DGDV071</v>
          </cell>
          <cell r="D2510">
            <v>334801014477503</v>
          </cell>
          <cell r="F2510" t="str">
            <v>Tidak</v>
          </cell>
          <cell r="G2510" t="str">
            <v>Tidak</v>
          </cell>
          <cell r="H2510" t="str">
            <v>Tidak</v>
          </cell>
          <cell r="I2510" t="str">
            <v>Bandar Judol Withdrawal</v>
          </cell>
          <cell r="J2510">
            <v>35</v>
          </cell>
          <cell r="K2510" t="str">
            <v>86,88,87</v>
          </cell>
          <cell r="L2510" t="str">
            <v>Judi Online</v>
          </cell>
          <cell r="M2510" t="str">
            <v xml:space="preserve">Kas Kanpus                              </v>
          </cell>
          <cell r="N2510" t="str">
            <v xml:space="preserve">Kas Kanpus                              </v>
          </cell>
          <cell r="O2510" t="str">
            <v xml:space="preserve">KAS KANPUS                              </v>
          </cell>
          <cell r="P2510" t="str">
            <v>Ya</v>
          </cell>
          <cell r="R2510" t="str">
            <v>Done</v>
          </cell>
          <cell r="S2510" t="str">
            <v>Belum TL</v>
          </cell>
          <cell r="T2510" t="str">
            <v>90186796 - Devito Arya Wiradila</v>
          </cell>
          <cell r="U2510" t="str">
            <v>"-"</v>
          </cell>
        </row>
        <row r="2511">
          <cell r="A2511">
            <v>46265</v>
          </cell>
          <cell r="B2511" t="str">
            <v xml:space="preserve">DIMAS RAMADANU                          </v>
          </cell>
          <cell r="C2511" t="str">
            <v>DNZ5097</v>
          </cell>
          <cell r="D2511">
            <v>26601028409533</v>
          </cell>
          <cell r="E2511" t="str">
            <v>SEDANG</v>
          </cell>
          <cell r="F2511" t="str">
            <v>Tidak</v>
          </cell>
          <cell r="G2511" t="str">
            <v>Tidak</v>
          </cell>
          <cell r="H2511" t="str">
            <v>Tidak</v>
          </cell>
          <cell r="I2511" t="str">
            <v>Bandar Judol Depo</v>
          </cell>
          <cell r="J2511">
            <v>50</v>
          </cell>
          <cell r="K2511" t="str">
            <v>86,74,87</v>
          </cell>
          <cell r="L2511" t="str">
            <v>Judi Online</v>
          </cell>
          <cell r="M2511" t="str">
            <v xml:space="preserve">Kas Kanpus                              </v>
          </cell>
          <cell r="N2511" t="str">
            <v xml:space="preserve">Kas Kanpus                              </v>
          </cell>
          <cell r="O2511" t="str">
            <v xml:space="preserve">KAS KANPUS                              </v>
          </cell>
          <cell r="P2511" t="str">
            <v>Ya</v>
          </cell>
          <cell r="R2511" t="str">
            <v>Done</v>
          </cell>
          <cell r="S2511" t="str">
            <v>Belum TL</v>
          </cell>
          <cell r="T2511" t="str">
            <v>90186790 - Muhammad Alfin Farha</v>
          </cell>
          <cell r="U2511" t="str">
            <v>"-"</v>
          </cell>
        </row>
        <row r="2512">
          <cell r="A2512">
            <v>46265</v>
          </cell>
          <cell r="B2512" t="str">
            <v xml:space="preserve">DADANG                                  </v>
          </cell>
          <cell r="C2512" t="str">
            <v>DHIY965</v>
          </cell>
          <cell r="D2512">
            <v>324901018960504</v>
          </cell>
          <cell r="F2512" t="str">
            <v>Tidak</v>
          </cell>
          <cell r="G2512" t="str">
            <v>Tidak</v>
          </cell>
          <cell r="H2512" t="str">
            <v>Tidak</v>
          </cell>
          <cell r="I2512" t="str">
            <v>Bandar Judol Withdrawal</v>
          </cell>
          <cell r="J2512">
            <v>35</v>
          </cell>
          <cell r="K2512" t="str">
            <v>86,88,87</v>
          </cell>
          <cell r="L2512" t="str">
            <v>Judi Online</v>
          </cell>
          <cell r="M2512" t="str">
            <v xml:space="preserve">Kas Kanpus                              </v>
          </cell>
          <cell r="N2512" t="str">
            <v xml:space="preserve">Kas Kanpus                              </v>
          </cell>
          <cell r="O2512" t="str">
            <v xml:space="preserve">KAS KANPUS                              </v>
          </cell>
          <cell r="P2512" t="str">
            <v>Ya</v>
          </cell>
          <cell r="R2512" t="str">
            <v>Done</v>
          </cell>
          <cell r="S2512" t="str">
            <v>Belum TL</v>
          </cell>
          <cell r="T2512" t="str">
            <v>00394521 - Muhammad Hibbanduta</v>
          </cell>
          <cell r="U2512" t="str">
            <v>"-"</v>
          </cell>
        </row>
        <row r="2513">
          <cell r="A2513">
            <v>46265</v>
          </cell>
          <cell r="B2513" t="str">
            <v xml:space="preserve">DANIL REZA GULTOM                       </v>
          </cell>
          <cell r="C2513" t="str">
            <v>DHMA831</v>
          </cell>
          <cell r="D2513">
            <v>108801019533502</v>
          </cell>
          <cell r="F2513" t="str">
            <v>Tidak</v>
          </cell>
          <cell r="G2513" t="str">
            <v>Tidak</v>
          </cell>
          <cell r="H2513" t="str">
            <v>Tidak</v>
          </cell>
          <cell r="I2513" t="str">
            <v>Bandar Judol Depo</v>
          </cell>
          <cell r="J2513">
            <v>35</v>
          </cell>
          <cell r="K2513" t="str">
            <v>86,74,87</v>
          </cell>
          <cell r="L2513" t="str">
            <v>Judi Online</v>
          </cell>
          <cell r="M2513" t="str">
            <v xml:space="preserve">Kas Kanpus                              </v>
          </cell>
          <cell r="N2513" t="str">
            <v xml:space="preserve">Kas Kanpus                              </v>
          </cell>
          <cell r="O2513" t="str">
            <v xml:space="preserve">KAS KANPUS                              </v>
          </cell>
          <cell r="P2513" t="str">
            <v>Ya</v>
          </cell>
          <cell r="R2513" t="str">
            <v>Done</v>
          </cell>
          <cell r="S2513" t="str">
            <v>Belum TL</v>
          </cell>
          <cell r="T2513" t="str">
            <v>00336949 - Mochammad Al Farabi</v>
          </cell>
          <cell r="U2513" t="str">
            <v>"-"</v>
          </cell>
        </row>
        <row r="2514">
          <cell r="A2514">
            <v>46265</v>
          </cell>
          <cell r="B2514" t="str">
            <v xml:space="preserve">DILIP KUMAR                             </v>
          </cell>
          <cell r="C2514" t="str">
            <v>DHMC116</v>
          </cell>
          <cell r="D2514">
            <v>1901261806503</v>
          </cell>
          <cell r="F2514" t="str">
            <v>Tidak</v>
          </cell>
          <cell r="G2514" t="str">
            <v>Tidak</v>
          </cell>
          <cell r="H2514" t="str">
            <v>Tidak</v>
          </cell>
          <cell r="I2514" t="str">
            <v>Bandar Judol Withdrawal</v>
          </cell>
          <cell r="J2514">
            <v>35</v>
          </cell>
          <cell r="K2514" t="str">
            <v>86,88,87</v>
          </cell>
          <cell r="L2514" t="str">
            <v>Judi Online</v>
          </cell>
          <cell r="M2514" t="str">
            <v xml:space="preserve">Kas Kanpus                              </v>
          </cell>
          <cell r="N2514" t="str">
            <v xml:space="preserve">Kas Kanpus                              </v>
          </cell>
          <cell r="O2514" t="str">
            <v xml:space="preserve">KAS KANPUS                              </v>
          </cell>
          <cell r="P2514" t="str">
            <v>Ya</v>
          </cell>
          <cell r="R2514" t="str">
            <v>Done</v>
          </cell>
          <cell r="S2514" t="str">
            <v>Belum TL</v>
          </cell>
          <cell r="T2514" t="str">
            <v>90186796 - Devito Arya Wiradila</v>
          </cell>
          <cell r="U2514" t="str">
            <v>"-"</v>
          </cell>
        </row>
        <row r="2515">
          <cell r="A2515">
            <v>46265</v>
          </cell>
          <cell r="B2515" t="str">
            <v xml:space="preserve">DENDY SYAHPUTRA ELLMANDA                </v>
          </cell>
          <cell r="C2515" t="str">
            <v>DHQ4580</v>
          </cell>
          <cell r="D2515">
            <v>17401080808568</v>
          </cell>
          <cell r="E2515" t="str">
            <v>SEDANG</v>
          </cell>
          <cell r="F2515" t="str">
            <v>Tidak</v>
          </cell>
          <cell r="G2515" t="str">
            <v>Tidak</v>
          </cell>
          <cell r="H2515" t="str">
            <v>Tidak</v>
          </cell>
          <cell r="I2515" t="str">
            <v>Bandar Judol Withdrawal</v>
          </cell>
          <cell r="J2515">
            <v>50</v>
          </cell>
          <cell r="K2515" t="str">
            <v>86,88,87</v>
          </cell>
          <cell r="L2515" t="str">
            <v>Judi Online</v>
          </cell>
          <cell r="M2515" t="str">
            <v xml:space="preserve">Kas Kanpus                              </v>
          </cell>
          <cell r="N2515" t="str">
            <v xml:space="preserve">Kas Kanpus                              </v>
          </cell>
          <cell r="O2515" t="str">
            <v xml:space="preserve">KAS KANPUS                              </v>
          </cell>
          <cell r="P2515" t="str">
            <v>Ya</v>
          </cell>
          <cell r="R2515" t="str">
            <v>Done</v>
          </cell>
          <cell r="S2515" t="str">
            <v>Belum TL</v>
          </cell>
          <cell r="T2515" t="str">
            <v>90186790 - Muhammad Alfin Farha</v>
          </cell>
          <cell r="U2515" t="str">
            <v>"-"</v>
          </cell>
        </row>
        <row r="2516">
          <cell r="A2516">
            <v>46265</v>
          </cell>
          <cell r="B2516" t="str">
            <v xml:space="preserve">DAVIONA PUTRI ANDRIANA                  </v>
          </cell>
          <cell r="C2516" t="str">
            <v>DGRZ083</v>
          </cell>
          <cell r="D2516">
            <v>1201004100566</v>
          </cell>
          <cell r="F2516" t="str">
            <v>Tidak</v>
          </cell>
          <cell r="G2516" t="str">
            <v>Tidak</v>
          </cell>
          <cell r="H2516" t="str">
            <v>Tidak</v>
          </cell>
          <cell r="I2516" t="str">
            <v>Bandar Judol Depo</v>
          </cell>
          <cell r="J2516">
            <v>35</v>
          </cell>
          <cell r="K2516" t="str">
            <v>86,74,87</v>
          </cell>
          <cell r="L2516" t="str">
            <v>Judi Online</v>
          </cell>
          <cell r="M2516" t="str">
            <v xml:space="preserve">Kas Kanpus                              </v>
          </cell>
          <cell r="N2516" t="str">
            <v xml:space="preserve">Kas Kanpus                              </v>
          </cell>
          <cell r="O2516" t="str">
            <v xml:space="preserve">KAS KANPUS                              </v>
          </cell>
          <cell r="P2516" t="str">
            <v>Ya</v>
          </cell>
          <cell r="R2516" t="str">
            <v>Done</v>
          </cell>
          <cell r="S2516" t="str">
            <v>Belum TL</v>
          </cell>
          <cell r="T2516" t="str">
            <v>00336949 - Mochammad Al Farabi</v>
          </cell>
          <cell r="U2516" t="str">
            <v>"-"</v>
          </cell>
        </row>
        <row r="2517">
          <cell r="A2517">
            <v>46265</v>
          </cell>
          <cell r="B2517" t="str">
            <v xml:space="preserve">DEWI RATNA SARI HALAWA                  </v>
          </cell>
          <cell r="C2517" t="str">
            <v>DDAM873</v>
          </cell>
          <cell r="D2517">
            <v>15901023547531</v>
          </cell>
          <cell r="E2517" t="str">
            <v>SEDANG</v>
          </cell>
          <cell r="F2517" t="str">
            <v>Tidak</v>
          </cell>
          <cell r="G2517" t="str">
            <v>Tidak</v>
          </cell>
          <cell r="H2517" t="str">
            <v>Tidak</v>
          </cell>
          <cell r="I2517" t="str">
            <v>Bandar Judol Depo</v>
          </cell>
          <cell r="J2517">
            <v>50</v>
          </cell>
          <cell r="K2517" t="str">
            <v>86,74,87</v>
          </cell>
          <cell r="L2517" t="str">
            <v>Judi Online</v>
          </cell>
          <cell r="M2517" t="str">
            <v xml:space="preserve">Kas Kanpus                              </v>
          </cell>
          <cell r="N2517" t="str">
            <v xml:space="preserve">Kas Kanpus                              </v>
          </cell>
          <cell r="O2517" t="str">
            <v xml:space="preserve">KAS KANPUS                              </v>
          </cell>
          <cell r="P2517" t="str">
            <v>Ya</v>
          </cell>
          <cell r="R2517" t="str">
            <v>Done</v>
          </cell>
          <cell r="S2517" t="str">
            <v>Belum TL</v>
          </cell>
          <cell r="T2517" t="str">
            <v>90185538 - Muhammad Fahikal Auz</v>
          </cell>
          <cell r="U2517" t="str">
            <v>"-"</v>
          </cell>
        </row>
        <row r="2518">
          <cell r="A2518">
            <v>46265</v>
          </cell>
          <cell r="B2518" t="str">
            <v xml:space="preserve">DESTYA PRIDA BAYTI                      </v>
          </cell>
          <cell r="C2518" t="str">
            <v>DDDC536</v>
          </cell>
          <cell r="D2518">
            <v>15501002932561</v>
          </cell>
          <cell r="E2518" t="str">
            <v>SEDANG</v>
          </cell>
          <cell r="F2518" t="str">
            <v>Tidak</v>
          </cell>
          <cell r="G2518" t="str">
            <v>Tidak</v>
          </cell>
          <cell r="H2518" t="str">
            <v>Tidak</v>
          </cell>
          <cell r="I2518" t="str">
            <v>Bandar Judol Withdrawal</v>
          </cell>
          <cell r="J2518">
            <v>50</v>
          </cell>
          <cell r="K2518" t="str">
            <v>86,88,87</v>
          </cell>
          <cell r="L2518" t="str">
            <v>Judi Online</v>
          </cell>
          <cell r="M2518" t="str">
            <v xml:space="preserve">Kas Kanpus                              </v>
          </cell>
          <cell r="N2518" t="str">
            <v xml:space="preserve">Kas Kanpus                              </v>
          </cell>
          <cell r="O2518" t="str">
            <v xml:space="preserve">KAS KANPUS                              </v>
          </cell>
          <cell r="P2518" t="str">
            <v>Tidak</v>
          </cell>
          <cell r="R2518" t="str">
            <v>Done</v>
          </cell>
          <cell r="S2518" t="str">
            <v>Belum TL</v>
          </cell>
          <cell r="T2518" t="str">
            <v>00336949 - Mochammad Al Farabi</v>
          </cell>
          <cell r="U2518" t="str">
            <v>"-"</v>
          </cell>
        </row>
        <row r="2519">
          <cell r="A2519">
            <v>46265</v>
          </cell>
          <cell r="B2519" t="str">
            <v xml:space="preserve">DESY MARJUKI                            </v>
          </cell>
          <cell r="C2519" t="str">
            <v>DDHQ252</v>
          </cell>
          <cell r="D2519">
            <v>44101005781532</v>
          </cell>
          <cell r="E2519" t="str">
            <v>SEDANG</v>
          </cell>
          <cell r="F2519" t="str">
            <v>Tidak</v>
          </cell>
          <cell r="G2519" t="str">
            <v>Tidak</v>
          </cell>
          <cell r="H2519" t="str">
            <v>Tidak</v>
          </cell>
          <cell r="I2519" t="str">
            <v>Bandar Judol Withdrawal</v>
          </cell>
          <cell r="J2519">
            <v>50</v>
          </cell>
          <cell r="K2519" t="str">
            <v>86,88,87</v>
          </cell>
          <cell r="L2519" t="str">
            <v>Judi Online</v>
          </cell>
          <cell r="M2519" t="str">
            <v xml:space="preserve">Kas Kanpus                              </v>
          </cell>
          <cell r="N2519" t="str">
            <v xml:space="preserve">Kas Kanpus                              </v>
          </cell>
          <cell r="O2519" t="str">
            <v xml:space="preserve">KAS KANPUS                              </v>
          </cell>
          <cell r="P2519" t="str">
            <v>Ya</v>
          </cell>
          <cell r="R2519" t="str">
            <v>Done</v>
          </cell>
          <cell r="S2519" t="str">
            <v>Belum TL</v>
          </cell>
          <cell r="T2519" t="str">
            <v>90186796 - Devito Arya Wiradila</v>
          </cell>
          <cell r="U2519" t="str">
            <v>"-"</v>
          </cell>
        </row>
        <row r="2520">
          <cell r="A2520">
            <v>46265</v>
          </cell>
          <cell r="B2520" t="str">
            <v xml:space="preserve">DIAN ISNANIYAH                          </v>
          </cell>
          <cell r="C2520" t="str">
            <v>DDLW831</v>
          </cell>
          <cell r="D2520">
            <v>324101028605532</v>
          </cell>
          <cell r="E2520" t="str">
            <v>SEDANG</v>
          </cell>
          <cell r="F2520" t="str">
            <v>Tidak</v>
          </cell>
          <cell r="G2520" t="str">
            <v>Tidak</v>
          </cell>
          <cell r="H2520" t="str">
            <v>Tidak</v>
          </cell>
          <cell r="I2520" t="str">
            <v>Bandar Judol Withdrawal</v>
          </cell>
          <cell r="J2520">
            <v>50</v>
          </cell>
          <cell r="K2520" t="str">
            <v>86,88,87</v>
          </cell>
          <cell r="L2520" t="str">
            <v>Judi Online</v>
          </cell>
          <cell r="M2520" t="str">
            <v xml:space="preserve">Kas Kanpus                              </v>
          </cell>
          <cell r="N2520" t="str">
            <v xml:space="preserve">Kas Kanpus                              </v>
          </cell>
          <cell r="O2520" t="str">
            <v xml:space="preserve">KAS KANPUS                              </v>
          </cell>
          <cell r="P2520" t="str">
            <v>Ya</v>
          </cell>
          <cell r="R2520" t="str">
            <v>Done</v>
          </cell>
          <cell r="S2520" t="str">
            <v>Belum TL</v>
          </cell>
          <cell r="T2520" t="str">
            <v>90186790 - Muhammad Alfin Farha</v>
          </cell>
          <cell r="U2520" t="str">
            <v>"-"</v>
          </cell>
        </row>
        <row r="2521">
          <cell r="A2521">
            <v>46265</v>
          </cell>
          <cell r="B2521" t="str">
            <v xml:space="preserve">DWI OKTAVIANI AHADIYAH                  </v>
          </cell>
          <cell r="C2521" t="str">
            <v>DEBQ158</v>
          </cell>
          <cell r="D2521">
            <v>79801000020564</v>
          </cell>
          <cell r="E2521" t="str">
            <v>SEDANG</v>
          </cell>
          <cell r="F2521" t="str">
            <v>Tidak</v>
          </cell>
          <cell r="G2521" t="str">
            <v>Tidak</v>
          </cell>
          <cell r="H2521" t="str">
            <v>Tidak</v>
          </cell>
          <cell r="I2521" t="str">
            <v>Bandar Judol Withdrawal</v>
          </cell>
          <cell r="J2521">
            <v>50</v>
          </cell>
          <cell r="K2521" t="str">
            <v>86,88,87</v>
          </cell>
          <cell r="L2521" t="str">
            <v>Judi Online</v>
          </cell>
          <cell r="M2521" t="str">
            <v xml:space="preserve">Kas Kanpus                              </v>
          </cell>
          <cell r="N2521" t="str">
            <v xml:space="preserve">Kas Kanpus                              </v>
          </cell>
          <cell r="O2521" t="str">
            <v xml:space="preserve">KAS KANPUS                              </v>
          </cell>
          <cell r="P2521" t="str">
            <v>Ya</v>
          </cell>
          <cell r="R2521" t="str">
            <v>Done</v>
          </cell>
          <cell r="S2521" t="str">
            <v>Belum TL</v>
          </cell>
          <cell r="T2521" t="str">
            <v>00394521 - Muhammad Hibbanduta</v>
          </cell>
          <cell r="U2521" t="str">
            <v>"-"</v>
          </cell>
        </row>
        <row r="2522">
          <cell r="A2522">
            <v>46265</v>
          </cell>
          <cell r="B2522" t="str">
            <v xml:space="preserve">DESSI KHOERUNNISA                       </v>
          </cell>
          <cell r="C2522" t="str">
            <v>DECS040</v>
          </cell>
          <cell r="D2522">
            <v>370001000011567</v>
          </cell>
          <cell r="E2522" t="str">
            <v>SEDANG</v>
          </cell>
          <cell r="F2522" t="str">
            <v>Tidak</v>
          </cell>
          <cell r="G2522" t="str">
            <v>Tidak</v>
          </cell>
          <cell r="H2522" t="str">
            <v>Tidak</v>
          </cell>
          <cell r="I2522" t="str">
            <v>Bandar Judol Withdrawal</v>
          </cell>
          <cell r="J2522">
            <v>50</v>
          </cell>
          <cell r="K2522" t="str">
            <v>86,88,87</v>
          </cell>
          <cell r="L2522" t="str">
            <v>Judi Online</v>
          </cell>
          <cell r="M2522" t="str">
            <v xml:space="preserve">Kas Kanpus                              </v>
          </cell>
          <cell r="N2522" t="str">
            <v xml:space="preserve">Kas Kanpus                              </v>
          </cell>
          <cell r="O2522" t="str">
            <v xml:space="preserve">KAS KANPUS                              </v>
          </cell>
          <cell r="P2522" t="str">
            <v>Tidak</v>
          </cell>
          <cell r="R2522" t="str">
            <v>Done</v>
          </cell>
          <cell r="S2522" t="str">
            <v>Belum TL</v>
          </cell>
          <cell r="T2522" t="str">
            <v>00394520 - Frida Akbar Rani</v>
          </cell>
          <cell r="U2522" t="str">
            <v>"-"</v>
          </cell>
        </row>
        <row r="2523">
          <cell r="A2523">
            <v>46265</v>
          </cell>
          <cell r="B2523" t="str">
            <v xml:space="preserve">DICKY IRAWAN                            </v>
          </cell>
          <cell r="C2523" t="str">
            <v>DEDX230</v>
          </cell>
          <cell r="D2523">
            <v>529401008236508</v>
          </cell>
          <cell r="E2523" t="str">
            <v>SEDANG</v>
          </cell>
          <cell r="F2523" t="str">
            <v>Tidak</v>
          </cell>
          <cell r="G2523" t="str">
            <v>Tidak</v>
          </cell>
          <cell r="H2523" t="str">
            <v>Tidak</v>
          </cell>
          <cell r="I2523" t="str">
            <v>Bandar Judol Withdrawal</v>
          </cell>
          <cell r="J2523">
            <v>50</v>
          </cell>
          <cell r="K2523" t="str">
            <v>86,88,87</v>
          </cell>
          <cell r="L2523" t="str">
            <v>Judi Online</v>
          </cell>
          <cell r="M2523" t="str">
            <v xml:space="preserve">Kas Kanpus                              </v>
          </cell>
          <cell r="N2523" t="str">
            <v xml:space="preserve">Kas Kanpus                              </v>
          </cell>
          <cell r="O2523" t="str">
            <v xml:space="preserve">KAS KANPUS                              </v>
          </cell>
          <cell r="P2523" t="str">
            <v>Ya</v>
          </cell>
          <cell r="R2523" t="str">
            <v>Done</v>
          </cell>
          <cell r="S2523" t="str">
            <v>Belum TL</v>
          </cell>
          <cell r="T2523" t="str">
            <v>00394521 - Muhammad Hibbanduta</v>
          </cell>
          <cell r="U2523" t="str">
            <v>"-"</v>
          </cell>
        </row>
        <row r="2524">
          <cell r="A2524">
            <v>46265</v>
          </cell>
          <cell r="B2524" t="str">
            <v xml:space="preserve">PT DIGITAL RAYA SEMESTA                 </v>
          </cell>
          <cell r="C2524" t="str">
            <v>DDT0643</v>
          </cell>
          <cell r="D2524">
            <v>122301000162304</v>
          </cell>
          <cell r="E2524" t="str">
            <v>SEDANG</v>
          </cell>
          <cell r="F2524" t="str">
            <v>Tidak</v>
          </cell>
          <cell r="G2524" t="str">
            <v>Tidak</v>
          </cell>
          <cell r="H2524" t="str">
            <v>Tidak</v>
          </cell>
          <cell r="I2524" t="str">
            <v>Narkotika - Area Lapas</v>
          </cell>
          <cell r="J2524">
            <v>50</v>
          </cell>
          <cell r="K2524">
            <v>46</v>
          </cell>
          <cell r="L2524" t="str">
            <v>Narkotika</v>
          </cell>
          <cell r="M2524" t="str">
            <v>KC JAKARTA MEGA KUNINGAN</v>
          </cell>
          <cell r="N2524" t="str">
            <v>KC JAKARTA MEGA KUNINGAN</v>
          </cell>
          <cell r="O2524" t="str">
            <v>DKI2</v>
          </cell>
          <cell r="P2524" t="str">
            <v>Tidak</v>
          </cell>
          <cell r="R2524" t="str">
            <v>Done</v>
          </cell>
          <cell r="S2524" t="str">
            <v>Belum TL</v>
          </cell>
          <cell r="T2524" t="str">
            <v>90150130 - Intan Aida Pratiwi</v>
          </cell>
          <cell r="U2524" t="str">
            <v>"-"</v>
          </cell>
        </row>
        <row r="2525">
          <cell r="A2525">
            <v>46265</v>
          </cell>
          <cell r="B2525" t="str">
            <v xml:space="preserve">DIANA LIDYA ANGGRAINI                   </v>
          </cell>
          <cell r="C2525" t="str">
            <v>DDYT119</v>
          </cell>
          <cell r="D2525">
            <v>209201000979563</v>
          </cell>
          <cell r="E2525" t="str">
            <v>TINGGI</v>
          </cell>
          <cell r="F2525" t="str">
            <v>Tidak</v>
          </cell>
          <cell r="G2525" t="str">
            <v>Tidak</v>
          </cell>
          <cell r="H2525" t="str">
            <v>Tidak</v>
          </cell>
          <cell r="I2525" t="str">
            <v>Bandar Judol Depo</v>
          </cell>
          <cell r="J2525">
            <v>65</v>
          </cell>
          <cell r="K2525" t="str">
            <v>86,74,87</v>
          </cell>
          <cell r="L2525" t="str">
            <v>Judi Online</v>
          </cell>
          <cell r="M2525" t="str">
            <v xml:space="preserve">Kas Kanpus                              </v>
          </cell>
          <cell r="N2525" t="str">
            <v xml:space="preserve">Kas Kanpus                              </v>
          </cell>
          <cell r="O2525" t="str">
            <v xml:space="preserve">KAS KANPUS                              </v>
          </cell>
          <cell r="P2525" t="str">
            <v>Ya</v>
          </cell>
          <cell r="R2525" t="str">
            <v>Done</v>
          </cell>
          <cell r="S2525" t="str">
            <v>Belum TL</v>
          </cell>
          <cell r="T2525" t="str">
            <v>90186796 - Devito Arya Wiradila</v>
          </cell>
          <cell r="U2525" t="str">
            <v>"-"</v>
          </cell>
        </row>
        <row r="2526">
          <cell r="A2526">
            <v>46265</v>
          </cell>
          <cell r="B2526" t="str">
            <v xml:space="preserve">CUT LAILA NAZWA ISKANDAR                </v>
          </cell>
          <cell r="C2526" t="str">
            <v>CX69728</v>
          </cell>
          <cell r="D2526">
            <v>5301174878508</v>
          </cell>
          <cell r="F2526" t="str">
            <v>Tidak</v>
          </cell>
          <cell r="G2526" t="str">
            <v>Tidak</v>
          </cell>
          <cell r="H2526" t="str">
            <v>Tidak</v>
          </cell>
          <cell r="I2526" t="str">
            <v>Bandar Judol Withdrawal</v>
          </cell>
          <cell r="J2526">
            <v>35</v>
          </cell>
          <cell r="K2526" t="str">
            <v>86,88,87</v>
          </cell>
          <cell r="L2526" t="str">
            <v>Judi Online</v>
          </cell>
          <cell r="M2526" t="str">
            <v xml:space="preserve">Kas Kanpus                              </v>
          </cell>
          <cell r="N2526" t="str">
            <v xml:space="preserve">Kas Kanpus                              </v>
          </cell>
          <cell r="O2526" t="str">
            <v xml:space="preserve">KAS KANPUS                              </v>
          </cell>
          <cell r="P2526" t="str">
            <v>Ya</v>
          </cell>
          <cell r="R2526" t="str">
            <v>Done</v>
          </cell>
          <cell r="S2526" t="str">
            <v>Belum TL</v>
          </cell>
          <cell r="T2526" t="str">
            <v>90186790 - Muhammad Alfin Farha</v>
          </cell>
          <cell r="U2526" t="str">
            <v>"-"</v>
          </cell>
        </row>
        <row r="2527">
          <cell r="A2527">
            <v>46265</v>
          </cell>
          <cell r="B2527" t="str">
            <v xml:space="preserve">DINNA ROSSYANA S                        </v>
          </cell>
          <cell r="C2527" t="str">
            <v>DBCL161</v>
          </cell>
          <cell r="D2527">
            <v>33501015337530</v>
          </cell>
          <cell r="E2527" t="str">
            <v>SEDANG</v>
          </cell>
          <cell r="F2527" t="str">
            <v>Tidak</v>
          </cell>
          <cell r="G2527" t="str">
            <v>Tidak</v>
          </cell>
          <cell r="H2527" t="str">
            <v>Tidak</v>
          </cell>
          <cell r="I2527" t="str">
            <v>Bandar Judol Withdrawal</v>
          </cell>
          <cell r="J2527">
            <v>50</v>
          </cell>
          <cell r="K2527" t="str">
            <v>86,88,87</v>
          </cell>
          <cell r="L2527" t="str">
            <v>Judi Online</v>
          </cell>
          <cell r="M2527" t="str">
            <v xml:space="preserve">Kas Kanpus                              </v>
          </cell>
          <cell r="N2527" t="str">
            <v xml:space="preserve">Kas Kanpus                              </v>
          </cell>
          <cell r="O2527" t="str">
            <v xml:space="preserve">KAS KANPUS                              </v>
          </cell>
          <cell r="P2527" t="str">
            <v>Ya</v>
          </cell>
          <cell r="R2527" t="str">
            <v>Done</v>
          </cell>
          <cell r="S2527" t="str">
            <v>Belum TL</v>
          </cell>
          <cell r="T2527" t="str">
            <v>90186796 - Devito Arya Wiradila</v>
          </cell>
          <cell r="U2527" t="str">
            <v>"-"</v>
          </cell>
        </row>
        <row r="2528">
          <cell r="A2528">
            <v>46265</v>
          </cell>
          <cell r="B2528" t="str">
            <v xml:space="preserve">DIAN KURNIASIH                          </v>
          </cell>
          <cell r="C2528" t="str">
            <v>DBRD560</v>
          </cell>
          <cell r="D2528">
            <v>33801067566501</v>
          </cell>
          <cell r="E2528" t="str">
            <v>SEDANG</v>
          </cell>
          <cell r="F2528" t="str">
            <v>Tidak</v>
          </cell>
          <cell r="G2528" t="str">
            <v>Tidak</v>
          </cell>
          <cell r="H2528" t="str">
            <v>Tidak</v>
          </cell>
          <cell r="I2528" t="str">
            <v>Bandar Judol Withdrawal</v>
          </cell>
          <cell r="J2528">
            <v>50</v>
          </cell>
          <cell r="K2528" t="str">
            <v>86,88,87</v>
          </cell>
          <cell r="L2528" t="str">
            <v>Judi Online</v>
          </cell>
          <cell r="M2528" t="str">
            <v xml:space="preserve">Kas Kanpus                              </v>
          </cell>
          <cell r="N2528" t="str">
            <v xml:space="preserve">Kas Kanpus                              </v>
          </cell>
          <cell r="O2528" t="str">
            <v xml:space="preserve">KAS KANPUS                              </v>
          </cell>
          <cell r="P2528" t="str">
            <v>Ya</v>
          </cell>
          <cell r="R2528" t="str">
            <v>Done</v>
          </cell>
          <cell r="S2528" t="str">
            <v>Belum TL</v>
          </cell>
          <cell r="T2528" t="str">
            <v>90150130 - Intan Aida Pratiwi</v>
          </cell>
          <cell r="U2528" t="str">
            <v>"-"</v>
          </cell>
        </row>
        <row r="2529">
          <cell r="A2529">
            <v>46265</v>
          </cell>
          <cell r="B2529" t="str">
            <v xml:space="preserve">CANTIKA IRSAD                           </v>
          </cell>
          <cell r="C2529" t="str">
            <v>CX48484</v>
          </cell>
          <cell r="D2529">
            <v>58801037081508</v>
          </cell>
          <cell r="F2529" t="str">
            <v>Tidak</v>
          </cell>
          <cell r="G2529" t="str">
            <v>Tidak</v>
          </cell>
          <cell r="H2529" t="str">
            <v>Tidak</v>
          </cell>
          <cell r="I2529" t="str">
            <v>Bandar Judol Withdrawal</v>
          </cell>
          <cell r="J2529">
            <v>35</v>
          </cell>
          <cell r="K2529" t="str">
            <v>86,88,87</v>
          </cell>
          <cell r="L2529" t="str">
            <v>Judi Online</v>
          </cell>
          <cell r="M2529" t="str">
            <v xml:space="preserve">Kas Kanpus                              </v>
          </cell>
          <cell r="N2529" t="str">
            <v xml:space="preserve">Kas Kanpus                              </v>
          </cell>
          <cell r="O2529" t="str">
            <v xml:space="preserve">KAS KANPUS                              </v>
          </cell>
          <cell r="P2529" t="str">
            <v>Ya</v>
          </cell>
          <cell r="R2529" t="str">
            <v>Done</v>
          </cell>
          <cell r="S2529" t="str">
            <v>Belum TL</v>
          </cell>
          <cell r="T2529" t="str">
            <v>00336949 - Mochammad Al Farabi</v>
          </cell>
          <cell r="U2529" t="str">
            <v>"-"</v>
          </cell>
        </row>
        <row r="2530">
          <cell r="A2530">
            <v>46265</v>
          </cell>
          <cell r="B2530" t="str">
            <v xml:space="preserve">CIPTANING ISMI YASA                     </v>
          </cell>
          <cell r="C2530" t="str">
            <v>CX53232</v>
          </cell>
          <cell r="D2530">
            <v>185201004479502</v>
          </cell>
          <cell r="F2530" t="str">
            <v>Tidak</v>
          </cell>
          <cell r="G2530" t="str">
            <v>Tidak</v>
          </cell>
          <cell r="H2530" t="str">
            <v>Tidak</v>
          </cell>
          <cell r="I2530" t="str">
            <v>Bandar Judol Withdrawal</v>
          </cell>
          <cell r="J2530">
            <v>35</v>
          </cell>
          <cell r="K2530" t="str">
            <v>86,88,87</v>
          </cell>
          <cell r="L2530" t="str">
            <v>Judi Online</v>
          </cell>
          <cell r="M2530" t="str">
            <v xml:space="preserve">Kas Kanpus                              </v>
          </cell>
          <cell r="N2530" t="str">
            <v xml:space="preserve">Kas Kanpus                              </v>
          </cell>
          <cell r="O2530" t="str">
            <v xml:space="preserve">KAS KANPUS                              </v>
          </cell>
          <cell r="P2530" t="str">
            <v>Ya</v>
          </cell>
          <cell r="R2530" t="str">
            <v>Done</v>
          </cell>
          <cell r="S2530" t="str">
            <v>Belum TL</v>
          </cell>
          <cell r="T2530" t="str">
            <v>00394520 - Frida Akbar Rani</v>
          </cell>
          <cell r="U2530" t="str">
            <v>"-"</v>
          </cell>
        </row>
        <row r="2531">
          <cell r="A2531">
            <v>46265</v>
          </cell>
          <cell r="B2531" t="str">
            <v xml:space="preserve">CV JAYA ELANG SALATIGA                  </v>
          </cell>
          <cell r="C2531" t="str">
            <v>CZ10112</v>
          </cell>
          <cell r="D2531">
            <v>8101010118562</v>
          </cell>
          <cell r="F2531" t="str">
            <v>Tidak</v>
          </cell>
          <cell r="G2531" t="str">
            <v>Tidak</v>
          </cell>
          <cell r="H2531" t="str">
            <v>Tidak</v>
          </cell>
          <cell r="I2531" t="str">
            <v>Perpajakan</v>
          </cell>
          <cell r="J2531">
            <v>33</v>
          </cell>
          <cell r="K2531">
            <v>41</v>
          </cell>
          <cell r="L2531" t="str">
            <v>Perpajakan</v>
          </cell>
          <cell r="M2531" t="str">
            <v xml:space="preserve">KC Salatiga                             </v>
          </cell>
          <cell r="N2531" t="str">
            <v xml:space="preserve">KC Salatiga                             </v>
          </cell>
          <cell r="O2531" t="str">
            <v xml:space="preserve">Semarang                                </v>
          </cell>
          <cell r="P2531" t="str">
            <v>Tidak</v>
          </cell>
          <cell r="R2531" t="str">
            <v>Done</v>
          </cell>
          <cell r="S2531" t="str">
            <v>Belum TL</v>
          </cell>
          <cell r="T2531" t="str">
            <v>00394521 - Muhammad Hibbanduta</v>
          </cell>
          <cell r="U2531" t="str">
            <v>"-"</v>
          </cell>
        </row>
        <row r="2532">
          <cell r="A2532">
            <v>46265</v>
          </cell>
          <cell r="B2532" t="str">
            <v xml:space="preserve">CV JAYA ELANG PEKALONGAN                </v>
          </cell>
          <cell r="C2532" t="str">
            <v>CZ10126</v>
          </cell>
          <cell r="D2532">
            <v>8101011505568</v>
          </cell>
          <cell r="F2532" t="str">
            <v>Tidak</v>
          </cell>
          <cell r="G2532" t="str">
            <v>Tidak</v>
          </cell>
          <cell r="H2532" t="str">
            <v>Tidak</v>
          </cell>
          <cell r="I2532" t="str">
            <v>Perpajakan</v>
          </cell>
          <cell r="J2532">
            <v>36</v>
          </cell>
          <cell r="K2532">
            <v>41</v>
          </cell>
          <cell r="L2532" t="str">
            <v>Perpajakan</v>
          </cell>
          <cell r="M2532" t="str">
            <v xml:space="preserve">KC Salatiga                             </v>
          </cell>
          <cell r="N2532" t="str">
            <v xml:space="preserve">KC Salatiga                             </v>
          </cell>
          <cell r="O2532" t="str">
            <v xml:space="preserve">Semarang                                </v>
          </cell>
          <cell r="P2532" t="str">
            <v>Tidak</v>
          </cell>
          <cell r="R2532" t="str">
            <v>Done</v>
          </cell>
          <cell r="S2532" t="str">
            <v>Belum TL</v>
          </cell>
          <cell r="T2532" t="str">
            <v>90170665 - Mutiara Ayuningtyas</v>
          </cell>
          <cell r="U2532" t="str">
            <v>"-"</v>
          </cell>
        </row>
        <row r="2533">
          <cell r="A2533">
            <v>46265</v>
          </cell>
          <cell r="B2533" t="str">
            <v xml:space="preserve">CV GELORA ABADI PEKALONGAN              </v>
          </cell>
          <cell r="C2533" t="str">
            <v>CZ10142</v>
          </cell>
          <cell r="D2533">
            <v>8101011506564</v>
          </cell>
          <cell r="F2533" t="str">
            <v>Tidak</v>
          </cell>
          <cell r="G2533" t="str">
            <v>Tidak</v>
          </cell>
          <cell r="H2533" t="str">
            <v>Tidak</v>
          </cell>
          <cell r="I2533" t="str">
            <v>Perpajakan</v>
          </cell>
          <cell r="J2533">
            <v>33</v>
          </cell>
          <cell r="K2533">
            <v>41</v>
          </cell>
          <cell r="L2533" t="str">
            <v>Perpajakan</v>
          </cell>
          <cell r="M2533" t="str">
            <v xml:space="preserve">KC Salatiga                             </v>
          </cell>
          <cell r="N2533" t="str">
            <v xml:space="preserve">KC Salatiga                             </v>
          </cell>
          <cell r="O2533" t="str">
            <v xml:space="preserve">Semarang                                </v>
          </cell>
          <cell r="P2533" t="str">
            <v>Tidak</v>
          </cell>
          <cell r="R2533" t="str">
            <v>Done</v>
          </cell>
          <cell r="S2533" t="str">
            <v>Belum TL</v>
          </cell>
          <cell r="T2533" t="str">
            <v>90171841 - Rifqi Aziz</v>
          </cell>
          <cell r="U2533" t="str">
            <v>"-"</v>
          </cell>
        </row>
        <row r="2534">
          <cell r="A2534">
            <v>46265</v>
          </cell>
          <cell r="B2534" t="str">
            <v xml:space="preserve">CV GELORA BINTANG PEKALONGAN            </v>
          </cell>
          <cell r="C2534" t="str">
            <v>CZ10193</v>
          </cell>
          <cell r="D2534">
            <v>8101011507560</v>
          </cell>
          <cell r="F2534" t="str">
            <v>Tidak</v>
          </cell>
          <cell r="G2534" t="str">
            <v>Tidak</v>
          </cell>
          <cell r="H2534" t="str">
            <v>Tidak</v>
          </cell>
          <cell r="I2534" t="str">
            <v>Perpajakan</v>
          </cell>
          <cell r="J2534">
            <v>33</v>
          </cell>
          <cell r="K2534">
            <v>41</v>
          </cell>
          <cell r="L2534" t="str">
            <v>Perpajakan</v>
          </cell>
          <cell r="M2534" t="str">
            <v xml:space="preserve">KC Salatiga                             </v>
          </cell>
          <cell r="N2534" t="str">
            <v xml:space="preserve">KC Salatiga                             </v>
          </cell>
          <cell r="O2534" t="str">
            <v xml:space="preserve">Semarang                                </v>
          </cell>
          <cell r="P2534" t="str">
            <v>Tidak</v>
          </cell>
          <cell r="R2534" t="str">
            <v>Done</v>
          </cell>
          <cell r="S2534" t="str">
            <v>Belum TL</v>
          </cell>
          <cell r="T2534" t="str">
            <v>90150130 - Intan Aida Pratiwi</v>
          </cell>
          <cell r="U2534" t="str">
            <v>"-"</v>
          </cell>
        </row>
        <row r="2535">
          <cell r="A2535">
            <v>46265</v>
          </cell>
          <cell r="B2535" t="str">
            <v xml:space="preserve">CV GELORA CAHAYA PEKALONGAN             </v>
          </cell>
          <cell r="C2535" t="str">
            <v>CZ10208</v>
          </cell>
          <cell r="D2535">
            <v>8101011508566</v>
          </cell>
          <cell r="F2535" t="str">
            <v>Tidak</v>
          </cell>
          <cell r="G2535" t="str">
            <v>Tidak</v>
          </cell>
          <cell r="H2535" t="str">
            <v>Tidak</v>
          </cell>
          <cell r="I2535" t="str">
            <v>Perpajakan</v>
          </cell>
          <cell r="J2535">
            <v>33</v>
          </cell>
          <cell r="K2535">
            <v>41</v>
          </cell>
          <cell r="L2535" t="str">
            <v>Perpajakan</v>
          </cell>
          <cell r="M2535" t="str">
            <v xml:space="preserve">KC Salatiga                             </v>
          </cell>
          <cell r="N2535" t="str">
            <v xml:space="preserve">KC Salatiga                             </v>
          </cell>
          <cell r="O2535" t="str">
            <v xml:space="preserve">Semarang                                </v>
          </cell>
          <cell r="P2535" t="str">
            <v>Tidak</v>
          </cell>
          <cell r="R2535" t="str">
            <v>Done</v>
          </cell>
          <cell r="S2535" t="str">
            <v>Belum TL</v>
          </cell>
          <cell r="T2535" t="str">
            <v>90170665 - Mutiara Ayuningtyas</v>
          </cell>
          <cell r="U2535" t="str">
            <v>"-"</v>
          </cell>
        </row>
        <row r="2536">
          <cell r="A2536">
            <v>46265</v>
          </cell>
          <cell r="B2536" t="str">
            <v xml:space="preserve">CV KENCANA CAKRA PEKALONGAN             </v>
          </cell>
          <cell r="C2536" t="str">
            <v>CZ10215</v>
          </cell>
          <cell r="D2536">
            <v>8101011509562</v>
          </cell>
          <cell r="F2536" t="str">
            <v>Tidak</v>
          </cell>
          <cell r="G2536" t="str">
            <v>Tidak</v>
          </cell>
          <cell r="H2536" t="str">
            <v>Tidak</v>
          </cell>
          <cell r="I2536" t="str">
            <v>Perpajakan</v>
          </cell>
          <cell r="J2536">
            <v>33</v>
          </cell>
          <cell r="K2536">
            <v>41</v>
          </cell>
          <cell r="L2536" t="str">
            <v>Perpajakan</v>
          </cell>
          <cell r="M2536" t="str">
            <v xml:space="preserve">KC Salatiga                             </v>
          </cell>
          <cell r="N2536" t="str">
            <v xml:space="preserve">KC Salatiga                             </v>
          </cell>
          <cell r="O2536" t="str">
            <v xml:space="preserve">Semarang                                </v>
          </cell>
          <cell r="P2536" t="str">
            <v>Tidak</v>
          </cell>
          <cell r="R2536" t="str">
            <v>Done</v>
          </cell>
          <cell r="S2536" t="str">
            <v>Belum TL</v>
          </cell>
          <cell r="T2536" t="str">
            <v>90171841 - Rifqi Aziz</v>
          </cell>
          <cell r="U2536" t="str">
            <v>"-"</v>
          </cell>
        </row>
        <row r="2537">
          <cell r="A2537">
            <v>46265</v>
          </cell>
          <cell r="B2537" t="str">
            <v xml:space="preserve">CHOLIL                                  </v>
          </cell>
          <cell r="C2537" t="str">
            <v>CX37218</v>
          </cell>
          <cell r="D2537">
            <v>113201020066505</v>
          </cell>
          <cell r="F2537" t="str">
            <v>Tidak</v>
          </cell>
          <cell r="G2537" t="str">
            <v>Tidak</v>
          </cell>
          <cell r="H2537" t="str">
            <v>Tidak</v>
          </cell>
          <cell r="I2537" t="str">
            <v>Bandar Judol Withdrawal</v>
          </cell>
          <cell r="J2537">
            <v>35</v>
          </cell>
          <cell r="K2537" t="str">
            <v>86,88,87</v>
          </cell>
          <cell r="L2537" t="str">
            <v>Judi Online</v>
          </cell>
          <cell r="M2537" t="str">
            <v xml:space="preserve">Kas Kanpus                              </v>
          </cell>
          <cell r="N2537" t="str">
            <v xml:space="preserve">Kas Kanpus                              </v>
          </cell>
          <cell r="O2537" t="str">
            <v xml:space="preserve">KAS KANPUS                              </v>
          </cell>
          <cell r="P2537" t="str">
            <v>Ya</v>
          </cell>
          <cell r="R2537" t="str">
            <v>Done</v>
          </cell>
          <cell r="S2537" t="str">
            <v>Belum TL</v>
          </cell>
          <cell r="T2537" t="str">
            <v>90171841 - Rifqi Aziz</v>
          </cell>
          <cell r="U2537" t="str">
            <v>"-"</v>
          </cell>
        </row>
        <row r="2538">
          <cell r="A2538">
            <v>46248</v>
          </cell>
          <cell r="B2538" t="str">
            <v>PT REASURANSI NUSANTARA MAKMUR IDR</v>
          </cell>
          <cell r="C2538" t="str">
            <v>CUSTCIS2000023</v>
          </cell>
          <cell r="D2538" t="str">
            <v>REANUSMAK IDR</v>
          </cell>
          <cell r="F2538" t="str">
            <v>Tidak</v>
          </cell>
          <cell r="G2538" t="str">
            <v>Tidak</v>
          </cell>
          <cell r="I2538" t="str">
            <v>Free Of Payment Kustodian</v>
          </cell>
          <cell r="J2538">
            <v>31</v>
          </cell>
          <cell r="K2538" t="str">
            <v>109 - TRANSFER ASET</v>
          </cell>
          <cell r="L2538" t="str">
            <v>Kustodian</v>
          </cell>
          <cell r="M2538" t="str">
            <v xml:space="preserve">Kas Kanpus                              </v>
          </cell>
          <cell r="N2538" t="str">
            <v xml:space="preserve">Kas Kanpus                              </v>
          </cell>
          <cell r="O2538" t="str">
            <v xml:space="preserve">KAS KANPUS                              </v>
          </cell>
          <cell r="P2538" t="str">
            <v>Tidak</v>
          </cell>
          <cell r="R2538" t="str">
            <v>Done</v>
          </cell>
          <cell r="S2538" t="str">
            <v>Belum TL</v>
          </cell>
          <cell r="T2538" t="str">
            <v>90170665 - Mutiara Ayuningtyas</v>
          </cell>
          <cell r="U2538" t="str">
            <v>"-"</v>
          </cell>
        </row>
        <row r="2539">
          <cell r="A2539">
            <v>46265</v>
          </cell>
          <cell r="B2539" t="str">
            <v xml:space="preserve">CANDRA WIJAYA KUSUMA                    </v>
          </cell>
          <cell r="C2539" t="str">
            <v>CU73308</v>
          </cell>
          <cell r="D2539">
            <v>1201003755562</v>
          </cell>
          <cell r="F2539" t="str">
            <v>Tidak</v>
          </cell>
          <cell r="G2539" t="str">
            <v>Tidak</v>
          </cell>
          <cell r="H2539" t="str">
            <v>Tidak</v>
          </cell>
          <cell r="I2539" t="str">
            <v>Bandar Judol Depo</v>
          </cell>
          <cell r="J2539">
            <v>35</v>
          </cell>
          <cell r="K2539" t="str">
            <v>86,74,87</v>
          </cell>
          <cell r="L2539" t="str">
            <v>Judi Online</v>
          </cell>
          <cell r="M2539" t="str">
            <v xml:space="preserve">Kas Kanpus                              </v>
          </cell>
          <cell r="N2539" t="str">
            <v xml:space="preserve">Kas Kanpus                              </v>
          </cell>
          <cell r="O2539" t="str">
            <v xml:space="preserve">KAS KANPUS                              </v>
          </cell>
          <cell r="P2539" t="str">
            <v>Ya</v>
          </cell>
          <cell r="R2539" t="str">
            <v>Done</v>
          </cell>
          <cell r="S2539" t="str">
            <v>Belum TL</v>
          </cell>
          <cell r="T2539" t="str">
            <v>90150130 - Intan Aida Pratiwi</v>
          </cell>
          <cell r="U2539" t="str">
            <v>"-"</v>
          </cell>
        </row>
        <row r="2540">
          <cell r="A2540">
            <v>46252</v>
          </cell>
          <cell r="B2540" t="str">
            <v>PT BANK RAKYAT INDONESIA (PERSERO) TBK -</v>
          </cell>
          <cell r="C2540" t="str">
            <v>CUSTC290000093</v>
          </cell>
          <cell r="D2540" t="str">
            <v>BRI-TRY-GFI</v>
          </cell>
          <cell r="F2540" t="str">
            <v>Tidak</v>
          </cell>
          <cell r="G2540" t="str">
            <v>Tidak</v>
          </cell>
          <cell r="I2540" t="str">
            <v>Free Of Payment Kustodian</v>
          </cell>
          <cell r="J2540">
            <v>31</v>
          </cell>
          <cell r="K2540" t="str">
            <v>109 - REPO</v>
          </cell>
          <cell r="L2540" t="str">
            <v>Kustodian</v>
          </cell>
          <cell r="M2540" t="str">
            <v xml:space="preserve">Kas Kanpus                              </v>
          </cell>
          <cell r="N2540" t="str">
            <v xml:space="preserve">Kas Kanpus                              </v>
          </cell>
          <cell r="O2540" t="str">
            <v xml:space="preserve">KAS KANPUS                              </v>
          </cell>
          <cell r="P2540" t="str">
            <v>Tidak</v>
          </cell>
          <cell r="R2540" t="str">
            <v>Done</v>
          </cell>
          <cell r="S2540" t="str">
            <v>Belum TL</v>
          </cell>
          <cell r="T2540" t="str">
            <v>00394521 - Muhammad Hibbanduta</v>
          </cell>
          <cell r="U2540" t="str">
            <v>"-"</v>
          </cell>
        </row>
        <row r="2541">
          <cell r="A2541">
            <v>46265</v>
          </cell>
          <cell r="B2541" t="str">
            <v xml:space="preserve">CAESHA SATRIANDARU                      </v>
          </cell>
          <cell r="C2541" t="str">
            <v>CV85226</v>
          </cell>
          <cell r="D2541">
            <v>43901043317508</v>
          </cell>
          <cell r="F2541" t="str">
            <v>Tidak</v>
          </cell>
          <cell r="G2541" t="str">
            <v>Tidak</v>
          </cell>
          <cell r="H2541" t="str">
            <v>Tidak</v>
          </cell>
          <cell r="I2541" t="str">
            <v>Bandar Judol Withdrawal</v>
          </cell>
          <cell r="J2541">
            <v>35</v>
          </cell>
          <cell r="K2541" t="str">
            <v>86,88,87</v>
          </cell>
          <cell r="L2541" t="str">
            <v>Judi Online</v>
          </cell>
          <cell r="M2541" t="str">
            <v xml:space="preserve">Kas Kanpus                              </v>
          </cell>
          <cell r="N2541" t="str">
            <v xml:space="preserve">Kas Kanpus                              </v>
          </cell>
          <cell r="O2541" t="str">
            <v xml:space="preserve">KAS KANPUS                              </v>
          </cell>
          <cell r="P2541" t="str">
            <v>Ya</v>
          </cell>
          <cell r="R2541" t="str">
            <v>Done</v>
          </cell>
          <cell r="S2541" t="str">
            <v>Belum TL</v>
          </cell>
          <cell r="T2541" t="str">
            <v>90185537 - Moh.Khoerul Fajar Ar</v>
          </cell>
          <cell r="U2541" t="str">
            <v>"-"</v>
          </cell>
        </row>
        <row r="2542">
          <cell r="A2542">
            <v>46265</v>
          </cell>
          <cell r="B2542" t="str">
            <v xml:space="preserve">CV AGUNG SEJAHTERA CIANJUR              </v>
          </cell>
          <cell r="C2542" t="str">
            <v>CW99462</v>
          </cell>
          <cell r="D2542">
            <v>8101011302562</v>
          </cell>
          <cell r="F2542" t="str">
            <v>Tidak</v>
          </cell>
          <cell r="G2542" t="str">
            <v>Tidak</v>
          </cell>
          <cell r="H2542" t="str">
            <v>Tidak</v>
          </cell>
          <cell r="I2542" t="str">
            <v>Perpajakan</v>
          </cell>
          <cell r="J2542">
            <v>33</v>
          </cell>
          <cell r="K2542">
            <v>41</v>
          </cell>
          <cell r="L2542" t="str">
            <v>Perpajakan</v>
          </cell>
          <cell r="M2542" t="str">
            <v xml:space="preserve">KC Salatiga                             </v>
          </cell>
          <cell r="N2542" t="str">
            <v xml:space="preserve">KC Salatiga                             </v>
          </cell>
          <cell r="O2542" t="str">
            <v xml:space="preserve">Semarang                                </v>
          </cell>
          <cell r="P2542" t="str">
            <v>Tidak</v>
          </cell>
          <cell r="R2542" t="str">
            <v>Done</v>
          </cell>
          <cell r="S2542" t="str">
            <v>Belum TL</v>
          </cell>
          <cell r="T2542" t="str">
            <v>90185538 - Muhammad Fahikal Auz</v>
          </cell>
          <cell r="U2542" t="str">
            <v>"-"</v>
          </cell>
        </row>
        <row r="2543">
          <cell r="A2543">
            <v>46265</v>
          </cell>
          <cell r="B2543" t="str">
            <v xml:space="preserve">KOKO ADI SYAHPUTRA                      </v>
          </cell>
          <cell r="C2543" t="str">
            <v>KPG3076</v>
          </cell>
          <cell r="D2543">
            <v>11301003665565</v>
          </cell>
          <cell r="E2543" t="str">
            <v>SEDANG</v>
          </cell>
          <cell r="F2543" t="str">
            <v>Tidak</v>
          </cell>
          <cell r="G2543" t="str">
            <v>Tidak</v>
          </cell>
          <cell r="H2543" t="str">
            <v>Tidak</v>
          </cell>
          <cell r="I2543" t="str">
            <v>Bandar Judol Depo</v>
          </cell>
          <cell r="J2543">
            <v>50</v>
          </cell>
          <cell r="K2543" t="str">
            <v>86,74,87</v>
          </cell>
          <cell r="L2543" t="str">
            <v>Judi Online</v>
          </cell>
          <cell r="M2543" t="str">
            <v xml:space="preserve">Kas Kanpus                              </v>
          </cell>
          <cell r="N2543" t="str">
            <v xml:space="preserve">Kas Kanpus                              </v>
          </cell>
          <cell r="O2543" t="str">
            <v xml:space="preserve">KAS KANPUS                              </v>
          </cell>
          <cell r="P2543" t="str">
            <v>Ya</v>
          </cell>
          <cell r="R2543" t="str">
            <v>Done</v>
          </cell>
          <cell r="S2543" t="str">
            <v>Belum TL</v>
          </cell>
          <cell r="T2543" t="str">
            <v>00336949 - Mochammad Al Farabi</v>
          </cell>
          <cell r="U2543" t="str">
            <v>"-"</v>
          </cell>
        </row>
        <row r="2544">
          <cell r="A2544">
            <v>46265</v>
          </cell>
          <cell r="B2544" t="str">
            <v xml:space="preserve">KICUA                                   </v>
          </cell>
          <cell r="C2544" t="str">
            <v>KRB0275</v>
          </cell>
          <cell r="D2544">
            <v>424801013153537</v>
          </cell>
          <cell r="E2544" t="str">
            <v>SEDANG</v>
          </cell>
          <cell r="F2544" t="str">
            <v>Tidak</v>
          </cell>
          <cell r="G2544" t="str">
            <v>Tidak</v>
          </cell>
          <cell r="H2544" t="str">
            <v>Tidak</v>
          </cell>
          <cell r="I2544" t="str">
            <v>Bandar Judol Withdrawal</v>
          </cell>
          <cell r="J2544">
            <v>50</v>
          </cell>
          <cell r="K2544" t="str">
            <v>86,88,87</v>
          </cell>
          <cell r="L2544" t="str">
            <v>Judi Online</v>
          </cell>
          <cell r="M2544" t="str">
            <v xml:space="preserve">Kas Kanpus                              </v>
          </cell>
          <cell r="N2544" t="str">
            <v xml:space="preserve">Kas Kanpus                              </v>
          </cell>
          <cell r="O2544" t="str">
            <v xml:space="preserve">KAS KANPUS                              </v>
          </cell>
          <cell r="P2544" t="str">
            <v>Tidak</v>
          </cell>
          <cell r="R2544" t="str">
            <v>Done</v>
          </cell>
          <cell r="S2544" t="str">
            <v>Belum TL</v>
          </cell>
          <cell r="T2544" t="str">
            <v>90186790 - Muhammad Alfin Farha</v>
          </cell>
          <cell r="U2544" t="str">
            <v>"-"</v>
          </cell>
        </row>
        <row r="2545">
          <cell r="A2545">
            <v>46265</v>
          </cell>
          <cell r="B2545" t="str">
            <v xml:space="preserve">KARSIMIN                                </v>
          </cell>
          <cell r="C2545" t="str">
            <v>KI31937</v>
          </cell>
          <cell r="D2545">
            <v>376601019254502</v>
          </cell>
          <cell r="E2545" t="str">
            <v>TINGGI</v>
          </cell>
          <cell r="F2545" t="str">
            <v>Ya</v>
          </cell>
          <cell r="G2545" t="str">
            <v>Tidak</v>
          </cell>
          <cell r="H2545" t="str">
            <v>Tidak</v>
          </cell>
          <cell r="I2545" t="str">
            <v>Terorisme - SIPENDAR</v>
          </cell>
          <cell r="J2545">
            <v>185</v>
          </cell>
          <cell r="K2545">
            <v>36</v>
          </cell>
          <cell r="L2545" t="str">
            <v>Terorisme</v>
          </cell>
          <cell r="M2545" t="str">
            <v xml:space="preserve">Kas Kanpus                              </v>
          </cell>
          <cell r="N2545" t="str">
            <v xml:space="preserve">Kas Kanpus                              </v>
          </cell>
          <cell r="O2545" t="str">
            <v xml:space="preserve">KAS KANPUS                              </v>
          </cell>
          <cell r="P2545" t="str">
            <v>Tidak</v>
          </cell>
          <cell r="R2545" t="str">
            <v>Done</v>
          </cell>
          <cell r="S2545" t="str">
            <v>Belum TL</v>
          </cell>
          <cell r="T2545" t="str">
            <v>00394520 - Frida Akbar Rani</v>
          </cell>
          <cell r="U2545" t="str">
            <v>"-"</v>
          </cell>
        </row>
        <row r="2546">
          <cell r="A2546">
            <v>46265</v>
          </cell>
          <cell r="B2546" t="str">
            <v xml:space="preserve">KIRANA AYU WANDIRA                      </v>
          </cell>
          <cell r="C2546" t="str">
            <v>KHJ4534</v>
          </cell>
          <cell r="D2546">
            <v>106301062144500</v>
          </cell>
          <cell r="E2546" t="str">
            <v>SEDANG</v>
          </cell>
          <cell r="F2546" t="str">
            <v>Tidak</v>
          </cell>
          <cell r="G2546" t="str">
            <v>Tidak</v>
          </cell>
          <cell r="H2546" t="str">
            <v>Tidak</v>
          </cell>
          <cell r="I2546" t="str">
            <v>Bandar Judol Withdrawal</v>
          </cell>
          <cell r="J2546">
            <v>50</v>
          </cell>
          <cell r="K2546" t="str">
            <v>86,88,87</v>
          </cell>
          <cell r="L2546" t="str">
            <v>Judi Online</v>
          </cell>
          <cell r="M2546" t="str">
            <v xml:space="preserve">Kas Kanpus                              </v>
          </cell>
          <cell r="N2546" t="str">
            <v xml:space="preserve">Kas Kanpus                              </v>
          </cell>
          <cell r="O2546" t="str">
            <v xml:space="preserve">KAS KANPUS                              </v>
          </cell>
          <cell r="P2546" t="str">
            <v>Ya</v>
          </cell>
          <cell r="R2546" t="str">
            <v>Done</v>
          </cell>
          <cell r="S2546" t="str">
            <v>Belum TL</v>
          </cell>
          <cell r="T2546" t="str">
            <v>90171841 - Rifqi Aziz</v>
          </cell>
          <cell r="U2546" t="str">
            <v>"-"</v>
          </cell>
        </row>
        <row r="2547">
          <cell r="A2547">
            <v>46265</v>
          </cell>
          <cell r="B2547" t="str">
            <v xml:space="preserve">KESIH                                   </v>
          </cell>
          <cell r="C2547" t="str">
            <v>KAVX177</v>
          </cell>
          <cell r="D2547">
            <v>762001020302504</v>
          </cell>
          <cell r="F2547" t="str">
            <v>Tidak</v>
          </cell>
          <cell r="G2547" t="str">
            <v>Tidak</v>
          </cell>
          <cell r="H2547" t="str">
            <v>Tidak</v>
          </cell>
          <cell r="I2547" t="str">
            <v>Bandar Judol Depo</v>
          </cell>
          <cell r="J2547">
            <v>35</v>
          </cell>
          <cell r="K2547" t="str">
            <v>86,74,87</v>
          </cell>
          <cell r="L2547" t="str">
            <v>Judi Online</v>
          </cell>
          <cell r="M2547" t="str">
            <v xml:space="preserve">Kas Kanpus                              </v>
          </cell>
          <cell r="N2547" t="str">
            <v xml:space="preserve">Kas Kanpus                              </v>
          </cell>
          <cell r="O2547" t="str">
            <v xml:space="preserve">KAS KANPUS                              </v>
          </cell>
          <cell r="P2547" t="str">
            <v>Ya</v>
          </cell>
          <cell r="R2547" t="str">
            <v>Done</v>
          </cell>
          <cell r="S2547" t="str">
            <v>Belum TL</v>
          </cell>
          <cell r="T2547" t="str">
            <v>90170665 - Mutiara Ayuningtyas</v>
          </cell>
          <cell r="U2547" t="str">
            <v>"-"</v>
          </cell>
        </row>
        <row r="2548">
          <cell r="A2548">
            <v>46265</v>
          </cell>
          <cell r="B2548" t="str">
            <v xml:space="preserve">KASEH                                   </v>
          </cell>
          <cell r="C2548" t="str">
            <v>KBAE812</v>
          </cell>
          <cell r="D2548">
            <v>526101005374500</v>
          </cell>
          <cell r="F2548" t="str">
            <v>Tidak</v>
          </cell>
          <cell r="G2548" t="str">
            <v>Tidak</v>
          </cell>
          <cell r="H2548" t="str">
            <v>Tidak</v>
          </cell>
          <cell r="I2548" t="str">
            <v>Bandar Judol Depo</v>
          </cell>
          <cell r="J2548">
            <v>35</v>
          </cell>
          <cell r="K2548" t="str">
            <v>86,74,87</v>
          </cell>
          <cell r="L2548" t="str">
            <v>Judi Online</v>
          </cell>
          <cell r="M2548" t="str">
            <v xml:space="preserve">Kas Kanpus                              </v>
          </cell>
          <cell r="N2548" t="str">
            <v xml:space="preserve">Kas Kanpus                              </v>
          </cell>
          <cell r="O2548" t="str">
            <v xml:space="preserve">KAS KANPUS                              </v>
          </cell>
          <cell r="P2548" t="str">
            <v>Ya</v>
          </cell>
          <cell r="R2548" t="str">
            <v>Done</v>
          </cell>
          <cell r="S2548" t="str">
            <v>Belum TL</v>
          </cell>
          <cell r="T2548" t="str">
            <v>90171841 - Rifqi Aziz</v>
          </cell>
          <cell r="U2548" t="str">
            <v>"-"</v>
          </cell>
        </row>
        <row r="2549">
          <cell r="A2549">
            <v>46265</v>
          </cell>
          <cell r="B2549" t="str">
            <v xml:space="preserve">KHAIRUL ANWAR                           </v>
          </cell>
          <cell r="C2549" t="str">
            <v>KBAK044</v>
          </cell>
          <cell r="D2549">
            <v>109101046455500</v>
          </cell>
          <cell r="F2549" t="str">
            <v>Tidak</v>
          </cell>
          <cell r="G2549" t="str">
            <v>Tidak</v>
          </cell>
          <cell r="H2549" t="str">
            <v>Tidak</v>
          </cell>
          <cell r="I2549" t="str">
            <v>Bandar Judol Withdrawal</v>
          </cell>
          <cell r="J2549">
            <v>35</v>
          </cell>
          <cell r="K2549" t="str">
            <v>86,88,87</v>
          </cell>
          <cell r="L2549" t="str">
            <v>Judi Online</v>
          </cell>
          <cell r="M2549" t="str">
            <v xml:space="preserve">Kas Kanpus                              </v>
          </cell>
          <cell r="N2549" t="str">
            <v xml:space="preserve">Kas Kanpus                              </v>
          </cell>
          <cell r="O2549" t="str">
            <v xml:space="preserve">KAS KANPUS                              </v>
          </cell>
          <cell r="P2549" t="str">
            <v>Ya</v>
          </cell>
          <cell r="R2549" t="str">
            <v>Done</v>
          </cell>
          <cell r="S2549" t="str">
            <v>Belum TL</v>
          </cell>
          <cell r="T2549" t="str">
            <v>90185537 - Moh.Khoerul Fajar Ar</v>
          </cell>
          <cell r="U2549" t="str">
            <v>"-"</v>
          </cell>
        </row>
        <row r="2550">
          <cell r="A2550">
            <v>46265</v>
          </cell>
          <cell r="B2550" t="str">
            <v xml:space="preserve">KURNIA MAHARANI                         </v>
          </cell>
          <cell r="C2550" t="str">
            <v>KANO650</v>
          </cell>
          <cell r="D2550">
            <v>96601012868509</v>
          </cell>
          <cell r="F2550" t="str">
            <v>Tidak</v>
          </cell>
          <cell r="G2550" t="str">
            <v>Tidak</v>
          </cell>
          <cell r="H2550" t="str">
            <v>Tidak</v>
          </cell>
          <cell r="I2550" t="str">
            <v>Bandar Judol Withdrawal</v>
          </cell>
          <cell r="J2550">
            <v>35</v>
          </cell>
          <cell r="K2550" t="str">
            <v>86,88,87</v>
          </cell>
          <cell r="L2550" t="str">
            <v>Judi Online</v>
          </cell>
          <cell r="M2550" t="str">
            <v xml:space="preserve">Kas Kanpus                              </v>
          </cell>
          <cell r="N2550" t="str">
            <v xml:space="preserve">Kas Kanpus                              </v>
          </cell>
          <cell r="O2550" t="str">
            <v xml:space="preserve">KAS KANPUS                              </v>
          </cell>
          <cell r="P2550" t="str">
            <v>Ya</v>
          </cell>
          <cell r="R2550" t="str">
            <v>Done</v>
          </cell>
          <cell r="S2550" t="str">
            <v>Belum TL</v>
          </cell>
          <cell r="T2550" t="str">
            <v>00394521 - Muhammad Hibbanduta</v>
          </cell>
          <cell r="U2550" t="str">
            <v>"-"</v>
          </cell>
        </row>
        <row r="2551">
          <cell r="A2551">
            <v>46265</v>
          </cell>
          <cell r="B2551" t="str">
            <v xml:space="preserve">LILIS BERASA                            </v>
          </cell>
          <cell r="C2551" t="str">
            <v>LBM6350</v>
          </cell>
          <cell r="D2551">
            <v>16101003248564</v>
          </cell>
          <cell r="E2551" t="str">
            <v>TINGGI</v>
          </cell>
          <cell r="F2551" t="str">
            <v>Tidak</v>
          </cell>
          <cell r="G2551" t="str">
            <v>Tidak</v>
          </cell>
          <cell r="H2551" t="str">
            <v>Tidak</v>
          </cell>
          <cell r="I2551" t="str">
            <v>Bandar Judol Depo</v>
          </cell>
          <cell r="J2551">
            <v>65</v>
          </cell>
          <cell r="K2551" t="str">
            <v>86,74,87</v>
          </cell>
          <cell r="L2551" t="str">
            <v>Judi Online</v>
          </cell>
          <cell r="M2551" t="str">
            <v xml:space="preserve">Kas Kanpus                              </v>
          </cell>
          <cell r="N2551" t="str">
            <v xml:space="preserve">Kas Kanpus                              </v>
          </cell>
          <cell r="O2551" t="str">
            <v xml:space="preserve">KAS KANPUS                              </v>
          </cell>
          <cell r="P2551" t="str">
            <v>Tidak</v>
          </cell>
          <cell r="R2551" t="str">
            <v>Done</v>
          </cell>
          <cell r="S2551" t="str">
            <v>Belum TL</v>
          </cell>
          <cell r="T2551" t="str">
            <v>90185538 - Muhammad Fahikal Auz</v>
          </cell>
          <cell r="U2551" t="str">
            <v>"-"</v>
          </cell>
        </row>
        <row r="2552">
          <cell r="A2552">
            <v>46265</v>
          </cell>
          <cell r="B2552" t="str">
            <v xml:space="preserve">LELA LITA ANGGRAENI                     </v>
          </cell>
          <cell r="C2552" t="str">
            <v>LBA9488</v>
          </cell>
          <cell r="D2552">
            <v>225101000909568</v>
          </cell>
          <cell r="E2552" t="str">
            <v>SEDANG</v>
          </cell>
          <cell r="F2552" t="str">
            <v>Tidak</v>
          </cell>
          <cell r="G2552" t="str">
            <v>Tidak</v>
          </cell>
          <cell r="H2552" t="str">
            <v>Tidak</v>
          </cell>
          <cell r="I2552" t="str">
            <v>Bandar Judol Depo</v>
          </cell>
          <cell r="J2552">
            <v>50</v>
          </cell>
          <cell r="K2552" t="str">
            <v>86,74,87</v>
          </cell>
          <cell r="L2552" t="str">
            <v>Judi Online</v>
          </cell>
          <cell r="M2552" t="str">
            <v xml:space="preserve">Kas Kanpus                              </v>
          </cell>
          <cell r="N2552" t="str">
            <v xml:space="preserve">Kas Kanpus                              </v>
          </cell>
          <cell r="O2552" t="str">
            <v xml:space="preserve">KAS KANPUS                              </v>
          </cell>
          <cell r="P2552" t="str">
            <v>Tidak</v>
          </cell>
          <cell r="R2552" t="str">
            <v>Done</v>
          </cell>
          <cell r="S2552" t="str">
            <v>Belum TL</v>
          </cell>
          <cell r="T2552" t="str">
            <v>00336949 - Mochammad Al Farabi</v>
          </cell>
          <cell r="U2552" t="str">
            <v>"-"</v>
          </cell>
        </row>
        <row r="2553">
          <cell r="A2553">
            <v>46265</v>
          </cell>
          <cell r="B2553" t="str">
            <v xml:space="preserve">LISKA MULYANI                           </v>
          </cell>
          <cell r="C2553" t="str">
            <v>LBH4802</v>
          </cell>
          <cell r="D2553">
            <v>1201030356533</v>
          </cell>
          <cell r="E2553" t="str">
            <v>SEDANG</v>
          </cell>
          <cell r="F2553" t="str">
            <v>Tidak</v>
          </cell>
          <cell r="G2553" t="str">
            <v>Tidak</v>
          </cell>
          <cell r="H2553" t="str">
            <v>Tidak</v>
          </cell>
          <cell r="I2553" t="str">
            <v>Bandar Judol Withdrawal</v>
          </cell>
          <cell r="J2553">
            <v>50</v>
          </cell>
          <cell r="K2553" t="str">
            <v>86,88,87</v>
          </cell>
          <cell r="L2553" t="str">
            <v>Judi Online</v>
          </cell>
          <cell r="M2553" t="str">
            <v xml:space="preserve">Kas Kanpus                              </v>
          </cell>
          <cell r="N2553" t="str">
            <v xml:space="preserve">Kas Kanpus                              </v>
          </cell>
          <cell r="O2553" t="str">
            <v xml:space="preserve">KAS KANPUS                              </v>
          </cell>
          <cell r="P2553" t="str">
            <v>Ya</v>
          </cell>
          <cell r="R2553" t="str">
            <v>Done</v>
          </cell>
          <cell r="S2553" t="str">
            <v>Belum TL</v>
          </cell>
          <cell r="T2553" t="str">
            <v>90171841 - Rifqi Aziz</v>
          </cell>
          <cell r="U2553" t="str">
            <v>"-"</v>
          </cell>
        </row>
        <row r="2554">
          <cell r="A2554">
            <v>46265</v>
          </cell>
          <cell r="B2554" t="str">
            <v xml:space="preserve">KAKU PASPAMPRES                         </v>
          </cell>
          <cell r="C2554" t="str">
            <v>KZU9829</v>
          </cell>
          <cell r="D2554">
            <v>1801003127569</v>
          </cell>
          <cell r="F2554" t="str">
            <v>Tidak</v>
          </cell>
          <cell r="G2554" t="str">
            <v>Tidak</v>
          </cell>
          <cell r="H2554" t="str">
            <v>Tidak</v>
          </cell>
          <cell r="I2554" t="str">
            <v>Perpajakan</v>
          </cell>
          <cell r="J2554">
            <v>33</v>
          </cell>
          <cell r="K2554">
            <v>41</v>
          </cell>
          <cell r="L2554" t="str">
            <v>Perpajakan</v>
          </cell>
          <cell r="M2554" t="str">
            <v xml:space="preserve">KC Jakarta Tanah Abang                  </v>
          </cell>
          <cell r="N2554" t="str">
            <v xml:space="preserve">KC Jakarta Tanah Abang                  </v>
          </cell>
          <cell r="O2554" t="str">
            <v xml:space="preserve">DKI                                     </v>
          </cell>
          <cell r="P2554" t="str">
            <v>Tidak</v>
          </cell>
          <cell r="R2554" t="str">
            <v>Done</v>
          </cell>
          <cell r="S2554" t="str">
            <v>Belum TL</v>
          </cell>
          <cell r="T2554" t="str">
            <v>00336949 - Mochammad Al Farabi</v>
          </cell>
          <cell r="U2554" t="str">
            <v>"-"</v>
          </cell>
        </row>
        <row r="2555">
          <cell r="A2555">
            <v>46265</v>
          </cell>
          <cell r="B2555" t="str">
            <v xml:space="preserve">KENNIE ALVIAN                           </v>
          </cell>
          <cell r="C2555" t="str">
            <v>KXT8391</v>
          </cell>
          <cell r="D2555">
            <v>33201002745564</v>
          </cell>
          <cell r="E2555" t="str">
            <v>SEDANG</v>
          </cell>
          <cell r="F2555" t="str">
            <v>Tidak</v>
          </cell>
          <cell r="G2555" t="str">
            <v>Tidak</v>
          </cell>
          <cell r="H2555" t="str">
            <v>Tidak</v>
          </cell>
          <cell r="I2555" t="str">
            <v>Bandar Judol Withdrawal</v>
          </cell>
          <cell r="J2555">
            <v>50</v>
          </cell>
          <cell r="K2555" t="str">
            <v>86,88,87</v>
          </cell>
          <cell r="L2555" t="str">
            <v>Judi Online</v>
          </cell>
          <cell r="M2555" t="str">
            <v xml:space="preserve">Kas Kanpus                              </v>
          </cell>
          <cell r="N2555" t="str">
            <v xml:space="preserve">Kas Kanpus                              </v>
          </cell>
          <cell r="O2555" t="str">
            <v xml:space="preserve">KAS KANPUS                              </v>
          </cell>
          <cell r="P2555" t="str">
            <v>Ya</v>
          </cell>
          <cell r="R2555" t="str">
            <v>Done</v>
          </cell>
          <cell r="S2555" t="str">
            <v>Belum TL</v>
          </cell>
          <cell r="T2555" t="str">
            <v>90171841 - Rifqi Aziz</v>
          </cell>
          <cell r="U2555" t="str">
            <v>"-"</v>
          </cell>
        </row>
        <row r="2556">
          <cell r="A2556">
            <v>46265</v>
          </cell>
          <cell r="B2556" t="str">
            <v xml:space="preserve">KAMALUDIN SAPUTRA                       </v>
          </cell>
          <cell r="C2556" t="str">
            <v>KXU5525</v>
          </cell>
          <cell r="D2556">
            <v>605701037668537</v>
          </cell>
          <cell r="E2556" t="str">
            <v>SEDANG</v>
          </cell>
          <cell r="F2556" t="str">
            <v>Tidak</v>
          </cell>
          <cell r="G2556" t="str">
            <v>Tidak</v>
          </cell>
          <cell r="H2556" t="str">
            <v>Tidak</v>
          </cell>
          <cell r="I2556" t="str">
            <v>Bandar Judol Withdrawal</v>
          </cell>
          <cell r="J2556">
            <v>50</v>
          </cell>
          <cell r="K2556" t="str">
            <v>86,88,87</v>
          </cell>
          <cell r="L2556" t="str">
            <v>Judi Online</v>
          </cell>
          <cell r="M2556" t="str">
            <v xml:space="preserve">Kas Kanpus                              </v>
          </cell>
          <cell r="N2556" t="str">
            <v xml:space="preserve">Kas Kanpus                              </v>
          </cell>
          <cell r="O2556" t="str">
            <v xml:space="preserve">KAS KANPUS                              </v>
          </cell>
          <cell r="P2556" t="str">
            <v>Ya</v>
          </cell>
          <cell r="R2556" t="str">
            <v>Done</v>
          </cell>
          <cell r="S2556" t="str">
            <v>Belum TL</v>
          </cell>
          <cell r="T2556" t="str">
            <v>00336949 - Mochammad Al Farabi</v>
          </cell>
          <cell r="U2556" t="str">
            <v>"-"</v>
          </cell>
        </row>
        <row r="2557">
          <cell r="A2557">
            <v>46265</v>
          </cell>
          <cell r="B2557" t="str">
            <v xml:space="preserve">KRISTIAN SIHAR MANULLANG                </v>
          </cell>
          <cell r="C2557" t="str">
            <v>KVP8409</v>
          </cell>
          <cell r="D2557">
            <v>0</v>
          </cell>
          <cell r="E2557" t="str">
            <v>TINGGI</v>
          </cell>
          <cell r="F2557" t="str">
            <v>Tidak</v>
          </cell>
          <cell r="G2557" t="str">
            <v>Tidak</v>
          </cell>
          <cell r="H2557" t="str">
            <v>Tidak</v>
          </cell>
          <cell r="I2557" t="str">
            <v>Private or Priority Customer Investment</v>
          </cell>
          <cell r="J2557">
            <v>78</v>
          </cell>
          <cell r="K2557">
            <v>93</v>
          </cell>
          <cell r="L2557" t="str">
            <v>Pasar Modal</v>
          </cell>
          <cell r="M2557" t="str">
            <v xml:space="preserve">KC Jakarta Gatot Subroto                </v>
          </cell>
          <cell r="N2557" t="str">
            <v xml:space="preserve">KC Jakarta Gatot Subroto                </v>
          </cell>
          <cell r="O2557" t="str">
            <v xml:space="preserve">DKI2                                    </v>
          </cell>
          <cell r="P2557" t="str">
            <v>Tidak</v>
          </cell>
          <cell r="R2557" t="str">
            <v>Done</v>
          </cell>
          <cell r="S2557" t="str">
            <v>Belum TL</v>
          </cell>
          <cell r="T2557" t="str">
            <v>90170665 - Mutiara Ayuningtyas</v>
          </cell>
          <cell r="U2557" t="str">
            <v>"-"</v>
          </cell>
        </row>
        <row r="2558">
          <cell r="A2558">
            <v>46265</v>
          </cell>
          <cell r="B2558" t="str">
            <v xml:space="preserve">MUAZD MUBAROK                           </v>
          </cell>
          <cell r="C2558" t="str">
            <v>MAHBC59</v>
          </cell>
          <cell r="D2558">
            <v>222101000688561</v>
          </cell>
          <cell r="E2558" t="str">
            <v>SEDANG</v>
          </cell>
          <cell r="F2558" t="str">
            <v>Tidak</v>
          </cell>
          <cell r="G2558" t="str">
            <v>Tidak</v>
          </cell>
          <cell r="H2558" t="str">
            <v>Tidak</v>
          </cell>
          <cell r="I2558" t="str">
            <v>Bandar Judol Withdrawal</v>
          </cell>
          <cell r="J2558">
            <v>50</v>
          </cell>
          <cell r="K2558" t="str">
            <v>86,88,87</v>
          </cell>
          <cell r="L2558" t="str">
            <v>Judi Online</v>
          </cell>
          <cell r="M2558" t="str">
            <v xml:space="preserve">Kas Kanpus                              </v>
          </cell>
          <cell r="N2558" t="str">
            <v xml:space="preserve">Kas Kanpus                              </v>
          </cell>
          <cell r="O2558" t="str">
            <v xml:space="preserve">KAS KANPUS                              </v>
          </cell>
          <cell r="P2558" t="str">
            <v>Ya</v>
          </cell>
          <cell r="R2558" t="str">
            <v>Done</v>
          </cell>
          <cell r="S2558" t="str">
            <v>Belum TL</v>
          </cell>
          <cell r="T2558" t="str">
            <v>00336949 - Mochammad Al Farabi</v>
          </cell>
          <cell r="U2558" t="str">
            <v>"-"</v>
          </cell>
        </row>
        <row r="2559">
          <cell r="A2559">
            <v>46265</v>
          </cell>
          <cell r="B2559" t="str">
            <v xml:space="preserve">M HELZHA AKBAR, S.H.                    </v>
          </cell>
          <cell r="C2559" t="str">
            <v>MAIE305</v>
          </cell>
          <cell r="D2559">
            <v>65801000637565</v>
          </cell>
          <cell r="E2559" t="str">
            <v>SEDANG</v>
          </cell>
          <cell r="F2559" t="str">
            <v>Tidak</v>
          </cell>
          <cell r="G2559" t="str">
            <v>Tidak</v>
          </cell>
          <cell r="H2559" t="str">
            <v>Tidak</v>
          </cell>
          <cell r="I2559" t="str">
            <v>Bandar Judol Withdrawal</v>
          </cell>
          <cell r="J2559">
            <v>50</v>
          </cell>
          <cell r="K2559" t="str">
            <v>86,88,87</v>
          </cell>
          <cell r="L2559" t="str">
            <v>Judi Online</v>
          </cell>
          <cell r="M2559" t="str">
            <v xml:space="preserve">Kas Kanpus                              </v>
          </cell>
          <cell r="N2559" t="str">
            <v xml:space="preserve">Kas Kanpus                              </v>
          </cell>
          <cell r="O2559" t="str">
            <v xml:space="preserve">KAS KANPUS                              </v>
          </cell>
          <cell r="P2559" t="str">
            <v>Ya</v>
          </cell>
          <cell r="R2559" t="str">
            <v>Done</v>
          </cell>
          <cell r="S2559" t="str">
            <v>Belum TL</v>
          </cell>
          <cell r="T2559" t="str">
            <v>90185538 - Muhammad Fahikal Auz</v>
          </cell>
          <cell r="U2559" t="str">
            <v>"-"</v>
          </cell>
        </row>
        <row r="2560">
          <cell r="A2560">
            <v>46265</v>
          </cell>
          <cell r="B2560" t="str">
            <v xml:space="preserve">MUHAMAD RAFLI                           </v>
          </cell>
          <cell r="C2560" t="str">
            <v>MAKJR83</v>
          </cell>
          <cell r="D2560">
            <v>112901008007538</v>
          </cell>
          <cell r="E2560" t="str">
            <v>SEDANG</v>
          </cell>
          <cell r="F2560" t="str">
            <v>Tidak</v>
          </cell>
          <cell r="G2560" t="str">
            <v>Tidak</v>
          </cell>
          <cell r="H2560" t="str">
            <v>Ya</v>
          </cell>
          <cell r="I2560" t="str">
            <v>Bandar Judol Withdrawal</v>
          </cell>
          <cell r="J2560">
            <v>50</v>
          </cell>
          <cell r="K2560" t="str">
            <v>86,88,87</v>
          </cell>
          <cell r="L2560" t="str">
            <v>Judi Online</v>
          </cell>
          <cell r="M2560" t="str">
            <v xml:space="preserve">Kas Kanpus                              </v>
          </cell>
          <cell r="N2560" t="str">
            <v xml:space="preserve">Kas Kanpus                              </v>
          </cell>
          <cell r="O2560" t="str">
            <v xml:space="preserve">KAS KANPUS                              </v>
          </cell>
          <cell r="P2560" t="str">
            <v>Ya</v>
          </cell>
          <cell r="R2560" t="str">
            <v>Done</v>
          </cell>
          <cell r="S2560" t="str">
            <v>Belum TL</v>
          </cell>
          <cell r="T2560" t="str">
            <v>90185538 - Muhammad Fahikal Auz</v>
          </cell>
          <cell r="U2560" t="str">
            <v>"-"</v>
          </cell>
        </row>
        <row r="2561">
          <cell r="A2561">
            <v>46265</v>
          </cell>
          <cell r="B2561" t="str">
            <v xml:space="preserve">M MARDI ANTONI                          </v>
          </cell>
          <cell r="C2561" t="str">
            <v>MAMSK09</v>
          </cell>
          <cell r="D2561">
            <v>35801087575502</v>
          </cell>
          <cell r="E2561" t="str">
            <v>SEDANG</v>
          </cell>
          <cell r="F2561" t="str">
            <v>Tidak</v>
          </cell>
          <cell r="G2561" t="str">
            <v>Tidak</v>
          </cell>
          <cell r="H2561" t="str">
            <v>Tidak</v>
          </cell>
          <cell r="I2561" t="str">
            <v>Bandar Judol Withdrawal</v>
          </cell>
          <cell r="J2561">
            <v>50</v>
          </cell>
          <cell r="K2561" t="str">
            <v>86,88,87</v>
          </cell>
          <cell r="L2561" t="str">
            <v>Judi Online</v>
          </cell>
          <cell r="M2561" t="str">
            <v xml:space="preserve">Kas Kanpus                              </v>
          </cell>
          <cell r="N2561" t="str">
            <v xml:space="preserve">Kas Kanpus                              </v>
          </cell>
          <cell r="O2561" t="str">
            <v xml:space="preserve">KAS KANPUS                              </v>
          </cell>
          <cell r="P2561" t="str">
            <v>Ya</v>
          </cell>
          <cell r="R2561" t="str">
            <v>Done</v>
          </cell>
          <cell r="S2561" t="str">
            <v>Belum TL</v>
          </cell>
          <cell r="T2561" t="str">
            <v>00336949 - Mochammad Al Farabi</v>
          </cell>
          <cell r="U2561" t="str">
            <v>"-"</v>
          </cell>
        </row>
        <row r="2562">
          <cell r="A2562">
            <v>46265</v>
          </cell>
          <cell r="B2562" t="str">
            <v xml:space="preserve">MAMAN SUHERMAN                          </v>
          </cell>
          <cell r="C2562" t="str">
            <v>MARRC77</v>
          </cell>
          <cell r="D2562">
            <v>37701007903533</v>
          </cell>
          <cell r="E2562" t="str">
            <v>SEDANG</v>
          </cell>
          <cell r="F2562" t="str">
            <v>Tidak</v>
          </cell>
          <cell r="G2562" t="str">
            <v>Tidak</v>
          </cell>
          <cell r="H2562" t="str">
            <v>Tidak</v>
          </cell>
          <cell r="I2562" t="str">
            <v>Bandar Judol Withdrawal</v>
          </cell>
          <cell r="J2562">
            <v>50</v>
          </cell>
          <cell r="K2562" t="str">
            <v>86,88,87</v>
          </cell>
          <cell r="L2562" t="str">
            <v>Judi Online</v>
          </cell>
          <cell r="M2562" t="str">
            <v xml:space="preserve">Kas Kanpus                              </v>
          </cell>
          <cell r="N2562" t="str">
            <v xml:space="preserve">Kas Kanpus                              </v>
          </cell>
          <cell r="O2562" t="str">
            <v xml:space="preserve">KAS KANPUS                              </v>
          </cell>
          <cell r="P2562" t="str">
            <v>Ya</v>
          </cell>
          <cell r="R2562" t="str">
            <v>Done</v>
          </cell>
          <cell r="S2562" t="str">
            <v>Belum TL</v>
          </cell>
          <cell r="T2562" t="str">
            <v>90171841 - Rifqi Aziz</v>
          </cell>
          <cell r="U2562" t="str">
            <v>"-"</v>
          </cell>
        </row>
        <row r="2563">
          <cell r="A2563">
            <v>46265</v>
          </cell>
          <cell r="B2563" t="str">
            <v xml:space="preserve">M FADILAH RAMADHAN                      </v>
          </cell>
          <cell r="C2563" t="str">
            <v>MASJK47</v>
          </cell>
          <cell r="D2563">
            <v>1201281785501</v>
          </cell>
          <cell r="E2563" t="str">
            <v>SEDANG</v>
          </cell>
          <cell r="F2563" t="str">
            <v>Tidak</v>
          </cell>
          <cell r="G2563" t="str">
            <v>Tidak</v>
          </cell>
          <cell r="H2563" t="str">
            <v>Tidak</v>
          </cell>
          <cell r="I2563" t="str">
            <v>Bandar Judol Withdrawal</v>
          </cell>
          <cell r="J2563">
            <v>50</v>
          </cell>
          <cell r="K2563" t="str">
            <v>86,88,87</v>
          </cell>
          <cell r="L2563" t="str">
            <v>Judi Online</v>
          </cell>
          <cell r="M2563" t="str">
            <v xml:space="preserve">Kas Kanpus                              </v>
          </cell>
          <cell r="N2563" t="str">
            <v xml:space="preserve">Kas Kanpus                              </v>
          </cell>
          <cell r="O2563" t="str">
            <v xml:space="preserve">KAS KANPUS                              </v>
          </cell>
          <cell r="P2563" t="str">
            <v>Ya</v>
          </cell>
          <cell r="R2563" t="str">
            <v>Done</v>
          </cell>
          <cell r="S2563" t="str">
            <v>Belum TL</v>
          </cell>
          <cell r="T2563" t="str">
            <v>90185538 - Muhammad Fahikal Auz</v>
          </cell>
          <cell r="U2563" t="str">
            <v>"-"</v>
          </cell>
        </row>
        <row r="2564">
          <cell r="A2564">
            <v>46265</v>
          </cell>
          <cell r="B2564" t="str">
            <v xml:space="preserve">MUHAMMAD ADRIAN NURRACHMAN              </v>
          </cell>
          <cell r="C2564" t="str">
            <v>MAOJT41</v>
          </cell>
          <cell r="D2564">
            <v>42001015006532</v>
          </cell>
          <cell r="E2564" t="str">
            <v>SEDANG</v>
          </cell>
          <cell r="F2564" t="str">
            <v>Tidak</v>
          </cell>
          <cell r="G2564" t="str">
            <v>Tidak</v>
          </cell>
          <cell r="H2564" t="str">
            <v>Tidak</v>
          </cell>
          <cell r="I2564" t="str">
            <v>Bandar Judol Withdrawal</v>
          </cell>
          <cell r="J2564">
            <v>50</v>
          </cell>
          <cell r="K2564" t="str">
            <v>86,88,87</v>
          </cell>
          <cell r="L2564" t="str">
            <v>Judi Online</v>
          </cell>
          <cell r="M2564" t="str">
            <v xml:space="preserve">Kas Kanpus                              </v>
          </cell>
          <cell r="N2564" t="str">
            <v xml:space="preserve">Kas Kanpus                              </v>
          </cell>
          <cell r="O2564" t="str">
            <v xml:space="preserve">KAS KANPUS                              </v>
          </cell>
          <cell r="P2564" t="str">
            <v>Ya</v>
          </cell>
          <cell r="R2564" t="str">
            <v>Done</v>
          </cell>
          <cell r="S2564" t="str">
            <v>Belum TL</v>
          </cell>
          <cell r="T2564" t="str">
            <v>90170665 - Mutiara Ayuningtyas</v>
          </cell>
          <cell r="U2564" t="str">
            <v>"-"</v>
          </cell>
        </row>
        <row r="2565">
          <cell r="A2565">
            <v>46265</v>
          </cell>
          <cell r="B2565" t="str">
            <v xml:space="preserve">MUHAMAD SOPIAN                          </v>
          </cell>
          <cell r="C2565" t="str">
            <v>MAOXJ21</v>
          </cell>
          <cell r="D2565">
            <v>80401011276501</v>
          </cell>
          <cell r="E2565" t="str">
            <v>SEDANG</v>
          </cell>
          <cell r="F2565" t="str">
            <v>Tidak</v>
          </cell>
          <cell r="G2565" t="str">
            <v>Tidak</v>
          </cell>
          <cell r="H2565" t="str">
            <v>Tidak</v>
          </cell>
          <cell r="I2565" t="str">
            <v>Bandar Judol Depo</v>
          </cell>
          <cell r="J2565">
            <v>50</v>
          </cell>
          <cell r="K2565" t="str">
            <v>86,74,87</v>
          </cell>
          <cell r="L2565" t="str">
            <v>Judi Online</v>
          </cell>
          <cell r="M2565" t="str">
            <v xml:space="preserve">Kas Kanpus                              </v>
          </cell>
          <cell r="N2565" t="str">
            <v xml:space="preserve">Kas Kanpus                              </v>
          </cell>
          <cell r="O2565" t="str">
            <v xml:space="preserve">KAS KANPUS                              </v>
          </cell>
          <cell r="P2565" t="str">
            <v>Ya</v>
          </cell>
          <cell r="R2565" t="str">
            <v>Done</v>
          </cell>
          <cell r="S2565" t="str">
            <v>Belum TL</v>
          </cell>
          <cell r="T2565" t="str">
            <v>90171841 - Rifqi Aziz</v>
          </cell>
          <cell r="U2565" t="str">
            <v>"-"</v>
          </cell>
        </row>
        <row r="2566">
          <cell r="A2566">
            <v>46265</v>
          </cell>
          <cell r="B2566" t="str">
            <v xml:space="preserve">MOCHAMMAD SHAN SHAN                     </v>
          </cell>
          <cell r="C2566" t="str">
            <v>MBEFF77</v>
          </cell>
          <cell r="D2566">
            <v>417301021165503</v>
          </cell>
          <cell r="E2566" t="str">
            <v>SEDANG</v>
          </cell>
          <cell r="F2566" t="str">
            <v>Tidak</v>
          </cell>
          <cell r="G2566" t="str">
            <v>Tidak</v>
          </cell>
          <cell r="H2566" t="str">
            <v>Tidak</v>
          </cell>
          <cell r="I2566" t="str">
            <v>Bandar Judol Withdrawal</v>
          </cell>
          <cell r="J2566">
            <v>50</v>
          </cell>
          <cell r="K2566" t="str">
            <v>86,88,87</v>
          </cell>
          <cell r="L2566" t="str">
            <v>Judi Online</v>
          </cell>
          <cell r="M2566" t="str">
            <v xml:space="preserve">Kas Kanpus                              </v>
          </cell>
          <cell r="N2566" t="str">
            <v xml:space="preserve">Kas Kanpus                              </v>
          </cell>
          <cell r="O2566" t="str">
            <v xml:space="preserve">KAS KANPUS                              </v>
          </cell>
          <cell r="P2566" t="str">
            <v>Ya</v>
          </cell>
          <cell r="R2566" t="str">
            <v>Done</v>
          </cell>
          <cell r="S2566" t="str">
            <v>Belum TL</v>
          </cell>
          <cell r="T2566" t="str">
            <v>00336949 - Mochammad Al Farabi</v>
          </cell>
          <cell r="U2566" t="str">
            <v>"-"</v>
          </cell>
        </row>
        <row r="2567">
          <cell r="A2567">
            <v>46265</v>
          </cell>
          <cell r="B2567" t="str">
            <v xml:space="preserve">MAJU TERUS JAYA                         </v>
          </cell>
          <cell r="C2567" t="str">
            <v>MAVVG72</v>
          </cell>
          <cell r="D2567">
            <v>35601002010301</v>
          </cell>
          <cell r="E2567" t="str">
            <v>TINGGI</v>
          </cell>
          <cell r="F2567" t="str">
            <v>Tidak</v>
          </cell>
          <cell r="G2567" t="str">
            <v>Tidak</v>
          </cell>
          <cell r="H2567" t="str">
            <v>Tidak</v>
          </cell>
          <cell r="I2567" t="str">
            <v>Perpajakan</v>
          </cell>
          <cell r="J2567">
            <v>65</v>
          </cell>
          <cell r="K2567">
            <v>1.33</v>
          </cell>
          <cell r="L2567" t="str">
            <v>Perpajakan</v>
          </cell>
          <cell r="M2567" t="str">
            <v xml:space="preserve">KC JAKARTA KEMAYORAN                    </v>
          </cell>
          <cell r="N2567" t="str">
            <v xml:space="preserve">KC JAKARTA KEMAYORAN                    </v>
          </cell>
          <cell r="O2567" t="str">
            <v xml:space="preserve">DKI                                     </v>
          </cell>
          <cell r="P2567" t="str">
            <v>Tidak</v>
          </cell>
          <cell r="R2567" t="str">
            <v>Done</v>
          </cell>
          <cell r="S2567" t="str">
            <v>Belum TL</v>
          </cell>
          <cell r="T2567" t="str">
            <v>90186790 - Muhammad Alfin Farha</v>
          </cell>
          <cell r="U2567" t="str">
            <v>"-"</v>
          </cell>
        </row>
        <row r="2568">
          <cell r="A2568">
            <v>46265</v>
          </cell>
          <cell r="B2568" t="str">
            <v xml:space="preserve">MUHAMMAD NUR LAMBA                      </v>
          </cell>
          <cell r="C2568" t="str">
            <v>MBHHY34</v>
          </cell>
          <cell r="D2568">
            <v>43401001430560</v>
          </cell>
          <cell r="E2568" t="str">
            <v>SEDANG</v>
          </cell>
          <cell r="F2568" t="str">
            <v>Tidak</v>
          </cell>
          <cell r="G2568" t="str">
            <v>Tidak</v>
          </cell>
          <cell r="H2568" t="str">
            <v>Tidak</v>
          </cell>
          <cell r="I2568" t="str">
            <v>Bandar Judol Withdrawal</v>
          </cell>
          <cell r="J2568">
            <v>50</v>
          </cell>
          <cell r="K2568" t="str">
            <v>86,88,87</v>
          </cell>
          <cell r="L2568" t="str">
            <v>Judi Online</v>
          </cell>
          <cell r="M2568" t="str">
            <v xml:space="preserve">Kas Kanpus                              </v>
          </cell>
          <cell r="N2568" t="str">
            <v xml:space="preserve">Kas Kanpus                              </v>
          </cell>
          <cell r="O2568" t="str">
            <v xml:space="preserve">KAS KANPUS                              </v>
          </cell>
          <cell r="P2568" t="str">
            <v>Ya</v>
          </cell>
          <cell r="R2568" t="str">
            <v>Done</v>
          </cell>
          <cell r="S2568" t="str">
            <v>Belum TL</v>
          </cell>
          <cell r="T2568" t="str">
            <v>90185538 - Muhammad Fahikal Auz</v>
          </cell>
          <cell r="U2568" t="str">
            <v>"-"</v>
          </cell>
        </row>
        <row r="2569">
          <cell r="A2569">
            <v>46265</v>
          </cell>
          <cell r="B2569" t="str">
            <v xml:space="preserve">MUHAMAD TAMAMI                          </v>
          </cell>
          <cell r="C2569" t="str">
            <v>MBTJF72</v>
          </cell>
          <cell r="D2569">
            <v>43801010223532</v>
          </cell>
          <cell r="E2569" t="str">
            <v>SEDANG</v>
          </cell>
          <cell r="F2569" t="str">
            <v>Tidak</v>
          </cell>
          <cell r="G2569" t="str">
            <v>Tidak</v>
          </cell>
          <cell r="H2569" t="str">
            <v>Tidak</v>
          </cell>
          <cell r="I2569" t="str">
            <v>Bandar Judol Withdrawal</v>
          </cell>
          <cell r="J2569">
            <v>50</v>
          </cell>
          <cell r="K2569" t="str">
            <v>86,88,87</v>
          </cell>
          <cell r="L2569" t="str">
            <v>Judi Online</v>
          </cell>
          <cell r="M2569" t="str">
            <v xml:space="preserve">Kas Kanpus                              </v>
          </cell>
          <cell r="N2569" t="str">
            <v xml:space="preserve">Kas Kanpus                              </v>
          </cell>
          <cell r="O2569" t="str">
            <v xml:space="preserve">KAS KANPUS                              </v>
          </cell>
          <cell r="P2569" t="str">
            <v>Ya</v>
          </cell>
          <cell r="R2569" t="str">
            <v>Done</v>
          </cell>
          <cell r="S2569" t="str">
            <v>Belum TL</v>
          </cell>
          <cell r="T2569" t="str">
            <v>00394521 - Muhammad Hibbanduta</v>
          </cell>
          <cell r="U2569" t="str">
            <v>"-"</v>
          </cell>
        </row>
        <row r="2570">
          <cell r="A2570">
            <v>46265</v>
          </cell>
          <cell r="B2570" t="str">
            <v xml:space="preserve">MUHAMMAD DIKA HARDIYANSYAH              </v>
          </cell>
          <cell r="C2570" t="str">
            <v>MCBSA49</v>
          </cell>
          <cell r="D2570">
            <v>2301139665501</v>
          </cell>
          <cell r="E2570" t="str">
            <v>SEDANG</v>
          </cell>
          <cell r="F2570" t="str">
            <v>Tidak</v>
          </cell>
          <cell r="G2570" t="str">
            <v>Tidak</v>
          </cell>
          <cell r="H2570" t="str">
            <v>Tidak</v>
          </cell>
          <cell r="I2570" t="str">
            <v>Bandar Judol Withdrawal</v>
          </cell>
          <cell r="J2570">
            <v>50</v>
          </cell>
          <cell r="K2570" t="str">
            <v>86,88,87</v>
          </cell>
          <cell r="L2570" t="str">
            <v>Judi Online</v>
          </cell>
          <cell r="M2570" t="str">
            <v xml:space="preserve">Kas Kanpus                              </v>
          </cell>
          <cell r="N2570" t="str">
            <v xml:space="preserve">Kas Kanpus                              </v>
          </cell>
          <cell r="O2570" t="str">
            <v xml:space="preserve">KAS KANPUS                              </v>
          </cell>
          <cell r="P2570" t="str">
            <v>Ya</v>
          </cell>
          <cell r="R2570" t="str">
            <v>Done</v>
          </cell>
          <cell r="S2570" t="str">
            <v>Belum TL</v>
          </cell>
          <cell r="T2570" t="str">
            <v>90186790 - Muhammad Alfin Farha</v>
          </cell>
          <cell r="U2570" t="str">
            <v>"-"</v>
          </cell>
        </row>
        <row r="2571">
          <cell r="A2571">
            <v>46265</v>
          </cell>
          <cell r="B2571" t="str">
            <v xml:space="preserve">M FACHROZI                              </v>
          </cell>
          <cell r="C2571" t="str">
            <v>MCEJO80</v>
          </cell>
          <cell r="D2571">
            <v>808901000018568</v>
          </cell>
          <cell r="E2571" t="str">
            <v>SEDANG</v>
          </cell>
          <cell r="F2571" t="str">
            <v>Tidak</v>
          </cell>
          <cell r="G2571" t="str">
            <v>Tidak</v>
          </cell>
          <cell r="H2571" t="str">
            <v>Tidak</v>
          </cell>
          <cell r="I2571" t="str">
            <v>Narkotika - Area Lapas</v>
          </cell>
          <cell r="J2571">
            <v>50</v>
          </cell>
          <cell r="K2571">
            <v>46</v>
          </cell>
          <cell r="L2571" t="str">
            <v>Narkotika</v>
          </cell>
          <cell r="M2571" t="str">
            <v>UNIT PALAPA TUANKU TAMBUSAI</v>
          </cell>
          <cell r="N2571" t="str">
            <v>KC Pekanbaru Tuanku Tambusai</v>
          </cell>
          <cell r="O2571" t="str">
            <v>KANWIL PEKANBARU</v>
          </cell>
          <cell r="P2571" t="str">
            <v>Tidak</v>
          </cell>
          <cell r="R2571" t="str">
            <v>Done</v>
          </cell>
          <cell r="S2571" t="str">
            <v>Belum TL</v>
          </cell>
          <cell r="T2571" t="str">
            <v>90186796 - Devito Arya Wiradila</v>
          </cell>
          <cell r="U2571" t="str">
            <v>"-"</v>
          </cell>
        </row>
        <row r="2572">
          <cell r="A2572">
            <v>46265</v>
          </cell>
          <cell r="B2572" t="str">
            <v xml:space="preserve">MUHAMMAD HAIQAL FIQRI ANWAR             </v>
          </cell>
          <cell r="C2572" t="str">
            <v>MBGGO43</v>
          </cell>
          <cell r="D2572">
            <v>721101025052535</v>
          </cell>
          <cell r="E2572" t="str">
            <v>SEDANG</v>
          </cell>
          <cell r="F2572" t="str">
            <v>Tidak</v>
          </cell>
          <cell r="G2572" t="str">
            <v>Tidak</v>
          </cell>
          <cell r="H2572" t="str">
            <v>Tidak</v>
          </cell>
          <cell r="I2572" t="str">
            <v>Bandar Judol Withdrawal</v>
          </cell>
          <cell r="J2572">
            <v>50</v>
          </cell>
          <cell r="K2572" t="str">
            <v>86,88,87</v>
          </cell>
          <cell r="L2572" t="str">
            <v>Judi Online</v>
          </cell>
          <cell r="M2572" t="str">
            <v xml:space="preserve">Kas Kanpus                              </v>
          </cell>
          <cell r="N2572" t="str">
            <v xml:space="preserve">Kas Kanpus                              </v>
          </cell>
          <cell r="O2572" t="str">
            <v xml:space="preserve">KAS KANPUS                              </v>
          </cell>
          <cell r="P2572" t="str">
            <v>Ya</v>
          </cell>
          <cell r="R2572" t="str">
            <v>Done</v>
          </cell>
          <cell r="S2572" t="str">
            <v>Belum TL</v>
          </cell>
          <cell r="T2572" t="str">
            <v>90185538 - Muhammad Fahikal Auz</v>
          </cell>
          <cell r="U2572" t="str">
            <v>"-"</v>
          </cell>
        </row>
        <row r="2573">
          <cell r="A2573">
            <v>46265</v>
          </cell>
          <cell r="B2573" t="str">
            <v xml:space="preserve">MELISA                                  </v>
          </cell>
          <cell r="C2573" t="str">
            <v>MBGRR49</v>
          </cell>
          <cell r="D2573">
            <v>225101000910569</v>
          </cell>
          <cell r="E2573" t="str">
            <v>SEDANG</v>
          </cell>
          <cell r="F2573" t="str">
            <v>Tidak</v>
          </cell>
          <cell r="G2573" t="str">
            <v>Tidak</v>
          </cell>
          <cell r="H2573" t="str">
            <v>Tidak</v>
          </cell>
          <cell r="I2573" t="str">
            <v>Bandar Judol Depo</v>
          </cell>
          <cell r="J2573">
            <v>50</v>
          </cell>
          <cell r="K2573" t="str">
            <v>86,74,87</v>
          </cell>
          <cell r="L2573" t="str">
            <v>Judi Online</v>
          </cell>
          <cell r="M2573" t="str">
            <v xml:space="preserve">Kas Kanpus                              </v>
          </cell>
          <cell r="N2573" t="str">
            <v xml:space="preserve">Kas Kanpus                              </v>
          </cell>
          <cell r="O2573" t="str">
            <v xml:space="preserve">KAS KANPUS                              </v>
          </cell>
          <cell r="P2573" t="str">
            <v>Tidak</v>
          </cell>
          <cell r="R2573" t="str">
            <v>Done</v>
          </cell>
          <cell r="S2573" t="str">
            <v>Belum TL</v>
          </cell>
          <cell r="T2573" t="str">
            <v>00394521 - Muhammad Hibbanduta</v>
          </cell>
          <cell r="U2573" t="str">
            <v>"-"</v>
          </cell>
        </row>
        <row r="2574">
          <cell r="A2574">
            <v>46265</v>
          </cell>
          <cell r="B2574" t="str">
            <v xml:space="preserve">MOHAMAD DANI                            </v>
          </cell>
          <cell r="C2574" t="str">
            <v>MBWAD95</v>
          </cell>
          <cell r="D2574">
            <v>1701004608564</v>
          </cell>
          <cell r="E2574" t="str">
            <v>SEDANG</v>
          </cell>
          <cell r="F2574" t="str">
            <v>Tidak</v>
          </cell>
          <cell r="G2574" t="str">
            <v>Tidak</v>
          </cell>
          <cell r="H2574" t="str">
            <v>Tidak</v>
          </cell>
          <cell r="I2574" t="str">
            <v>Bandar Judol Depo</v>
          </cell>
          <cell r="J2574">
            <v>50</v>
          </cell>
          <cell r="K2574" t="str">
            <v>86,74,87</v>
          </cell>
          <cell r="L2574" t="str">
            <v>Judi Online</v>
          </cell>
          <cell r="M2574" t="str">
            <v xml:space="preserve">Kas Kanpus                              </v>
          </cell>
          <cell r="N2574" t="str">
            <v xml:space="preserve">Kas Kanpus                              </v>
          </cell>
          <cell r="O2574" t="str">
            <v xml:space="preserve">KAS KANPUS                              </v>
          </cell>
          <cell r="P2574" t="str">
            <v>Ya</v>
          </cell>
          <cell r="R2574" t="str">
            <v>Done</v>
          </cell>
          <cell r="S2574" t="str">
            <v>Belum TL</v>
          </cell>
          <cell r="T2574" t="str">
            <v>00394521 - Muhammad Hibbanduta</v>
          </cell>
          <cell r="U2574" t="str">
            <v>"-"</v>
          </cell>
        </row>
        <row r="2575">
          <cell r="A2575">
            <v>46265</v>
          </cell>
          <cell r="B2575" t="str">
            <v xml:space="preserve">MUHAMAD MIFTAHUL FAJRI                  </v>
          </cell>
          <cell r="C2575" t="str">
            <v>MBWNN84</v>
          </cell>
          <cell r="D2575">
            <v>112901008998535</v>
          </cell>
          <cell r="E2575" t="str">
            <v>SEDANG</v>
          </cell>
          <cell r="F2575" t="str">
            <v>Tidak</v>
          </cell>
          <cell r="G2575" t="str">
            <v>Tidak</v>
          </cell>
          <cell r="H2575" t="str">
            <v>Tidak</v>
          </cell>
          <cell r="I2575" t="str">
            <v>Bandar Judol Withdrawal</v>
          </cell>
          <cell r="J2575">
            <v>50</v>
          </cell>
          <cell r="K2575" t="str">
            <v>86,88,87</v>
          </cell>
          <cell r="L2575" t="str">
            <v>Judi Online</v>
          </cell>
          <cell r="M2575" t="str">
            <v xml:space="preserve">Kas Kanpus                              </v>
          </cell>
          <cell r="N2575" t="str">
            <v xml:space="preserve">Kas Kanpus                              </v>
          </cell>
          <cell r="O2575" t="str">
            <v xml:space="preserve">KAS KANPUS                              </v>
          </cell>
          <cell r="P2575" t="str">
            <v>Ya</v>
          </cell>
          <cell r="R2575" t="str">
            <v>Done</v>
          </cell>
          <cell r="S2575" t="str">
            <v>Belum TL</v>
          </cell>
          <cell r="T2575" t="str">
            <v>90185538 - Muhammad Fahikal Auz</v>
          </cell>
          <cell r="U2575" t="str">
            <v>"-"</v>
          </cell>
        </row>
        <row r="2576">
          <cell r="A2576">
            <v>46265</v>
          </cell>
          <cell r="B2576" t="str">
            <v xml:space="preserve">LUKMAN NUR HAKIM                        </v>
          </cell>
          <cell r="C2576" t="str">
            <v>LKO5252</v>
          </cell>
          <cell r="D2576">
            <v>203801014130505</v>
          </cell>
          <cell r="F2576" t="str">
            <v>Tidak</v>
          </cell>
          <cell r="G2576" t="str">
            <v>Tidak</v>
          </cell>
          <cell r="H2576" t="str">
            <v>Tidak</v>
          </cell>
          <cell r="I2576" t="str">
            <v>Bandar Judol Depo</v>
          </cell>
          <cell r="J2576">
            <v>35</v>
          </cell>
          <cell r="K2576" t="str">
            <v>86,74,87</v>
          </cell>
          <cell r="L2576" t="str">
            <v>Judi Online</v>
          </cell>
          <cell r="M2576" t="str">
            <v xml:space="preserve">Kas Kanpus                              </v>
          </cell>
          <cell r="N2576" t="str">
            <v xml:space="preserve">Kas Kanpus                              </v>
          </cell>
          <cell r="O2576" t="str">
            <v xml:space="preserve">KAS KANPUS                              </v>
          </cell>
          <cell r="P2576" t="str">
            <v>Ya</v>
          </cell>
          <cell r="R2576" t="str">
            <v>Done</v>
          </cell>
          <cell r="S2576" t="str">
            <v>Belum TL</v>
          </cell>
          <cell r="T2576" t="str">
            <v>90186790 - Muhammad Alfin Farha</v>
          </cell>
          <cell r="U2576" t="str">
            <v>"-"</v>
          </cell>
        </row>
        <row r="2577">
          <cell r="A2577">
            <v>46265</v>
          </cell>
          <cell r="B2577" t="str">
            <v xml:space="preserve">LUBNA NAMIROH RAKHMADHANI               </v>
          </cell>
          <cell r="C2577" t="str">
            <v>LKQ3455</v>
          </cell>
          <cell r="D2577">
            <v>86301005398505</v>
          </cell>
          <cell r="F2577" t="str">
            <v>Tidak</v>
          </cell>
          <cell r="G2577" t="str">
            <v>Tidak</v>
          </cell>
          <cell r="H2577" t="str">
            <v>Tidak</v>
          </cell>
          <cell r="I2577" t="str">
            <v>Bandar Judol Withdrawal</v>
          </cell>
          <cell r="J2577">
            <v>35</v>
          </cell>
          <cell r="K2577" t="str">
            <v>86,88,87</v>
          </cell>
          <cell r="L2577" t="str">
            <v>Judi Online</v>
          </cell>
          <cell r="M2577" t="str">
            <v xml:space="preserve">Kas Kanpus                              </v>
          </cell>
          <cell r="N2577" t="str">
            <v xml:space="preserve">Kas Kanpus                              </v>
          </cell>
          <cell r="O2577" t="str">
            <v xml:space="preserve">KAS KANPUS                              </v>
          </cell>
          <cell r="P2577" t="str">
            <v>Ya</v>
          </cell>
          <cell r="R2577" t="str">
            <v>Done</v>
          </cell>
          <cell r="S2577" t="str">
            <v>Belum TL</v>
          </cell>
          <cell r="T2577" t="str">
            <v>90186790 - Muhammad Alfin Farha</v>
          </cell>
          <cell r="U2577" t="str">
            <v>"-"</v>
          </cell>
        </row>
        <row r="2578">
          <cell r="A2578">
            <v>46265</v>
          </cell>
          <cell r="B2578" t="str">
            <v xml:space="preserve">MUHAMMAD ZUFRI LIANDO LUBIS             </v>
          </cell>
          <cell r="C2578" t="str">
            <v>MAFPS30</v>
          </cell>
          <cell r="D2578">
            <v>5301148201505</v>
          </cell>
          <cell r="E2578" t="str">
            <v>SEDANG</v>
          </cell>
          <cell r="F2578" t="str">
            <v>Tidak</v>
          </cell>
          <cell r="G2578" t="str">
            <v>Tidak</v>
          </cell>
          <cell r="H2578" t="str">
            <v>Tidak</v>
          </cell>
          <cell r="I2578" t="str">
            <v>Bandar Judol Withdrawal</v>
          </cell>
          <cell r="J2578">
            <v>50</v>
          </cell>
          <cell r="K2578" t="str">
            <v>86,88,87</v>
          </cell>
          <cell r="L2578" t="str">
            <v>Judi Online</v>
          </cell>
          <cell r="M2578" t="str">
            <v xml:space="preserve">Kas Kanpus                              </v>
          </cell>
          <cell r="N2578" t="str">
            <v xml:space="preserve">Kas Kanpus                              </v>
          </cell>
          <cell r="O2578" t="str">
            <v xml:space="preserve">KAS KANPUS                              </v>
          </cell>
          <cell r="P2578" t="str">
            <v>Ya</v>
          </cell>
          <cell r="R2578" t="str">
            <v>Done</v>
          </cell>
          <cell r="S2578" t="str">
            <v>Belum TL</v>
          </cell>
          <cell r="T2578" t="str">
            <v>90150130 - Intan Aida Pratiwi</v>
          </cell>
          <cell r="U2578" t="str">
            <v>"-"</v>
          </cell>
        </row>
        <row r="2579">
          <cell r="A2579">
            <v>46265</v>
          </cell>
          <cell r="B2579" t="str">
            <v xml:space="preserve">LINDAWATI                               </v>
          </cell>
          <cell r="C2579" t="str">
            <v>LKI0136</v>
          </cell>
          <cell r="D2579">
            <v>78001003633507</v>
          </cell>
          <cell r="F2579" t="str">
            <v>Tidak</v>
          </cell>
          <cell r="G2579" t="str">
            <v>Tidak</v>
          </cell>
          <cell r="H2579" t="str">
            <v>Tidak</v>
          </cell>
          <cell r="I2579" t="str">
            <v>Bandar Judol Withdrawal</v>
          </cell>
          <cell r="J2579">
            <v>35</v>
          </cell>
          <cell r="K2579" t="str">
            <v>86,88,87</v>
          </cell>
          <cell r="L2579" t="str">
            <v>Judi Online</v>
          </cell>
          <cell r="M2579" t="str">
            <v xml:space="preserve">Kas Kanpus                              </v>
          </cell>
          <cell r="N2579" t="str">
            <v xml:space="preserve">Kas Kanpus                              </v>
          </cell>
          <cell r="O2579" t="str">
            <v xml:space="preserve">KAS KANPUS                              </v>
          </cell>
          <cell r="P2579" t="str">
            <v>Ya</v>
          </cell>
          <cell r="R2579" t="str">
            <v>Done</v>
          </cell>
          <cell r="S2579" t="str">
            <v>Belum TL</v>
          </cell>
          <cell r="T2579" t="str">
            <v>90185538 - Muhammad Fahikal Auz</v>
          </cell>
          <cell r="U2579" t="str">
            <v>"-"</v>
          </cell>
        </row>
        <row r="2580">
          <cell r="A2580">
            <v>46265</v>
          </cell>
          <cell r="B2580" t="str">
            <v xml:space="preserve">MUNAWATI                                </v>
          </cell>
          <cell r="C2580" t="str">
            <v>MADQM95</v>
          </cell>
          <cell r="D2580">
            <v>112901000986568</v>
          </cell>
          <cell r="E2580" t="str">
            <v>SEDANG</v>
          </cell>
          <cell r="F2580" t="str">
            <v>Tidak</v>
          </cell>
          <cell r="G2580" t="str">
            <v>Tidak</v>
          </cell>
          <cell r="H2580" t="str">
            <v>Tidak</v>
          </cell>
          <cell r="I2580" t="str">
            <v>Bandar Judol Depo</v>
          </cell>
          <cell r="J2580">
            <v>50</v>
          </cell>
          <cell r="K2580" t="str">
            <v>86,74,87</v>
          </cell>
          <cell r="L2580" t="str">
            <v>Judi Online</v>
          </cell>
          <cell r="M2580" t="str">
            <v xml:space="preserve">Kas Kanpus                              </v>
          </cell>
          <cell r="N2580" t="str">
            <v xml:space="preserve">Kas Kanpus                              </v>
          </cell>
          <cell r="O2580" t="str">
            <v xml:space="preserve">KAS KANPUS                              </v>
          </cell>
          <cell r="P2580" t="str">
            <v>Ya</v>
          </cell>
          <cell r="R2580" t="str">
            <v>Done</v>
          </cell>
          <cell r="S2580" t="str">
            <v>Belum TL</v>
          </cell>
          <cell r="T2580" t="str">
            <v>90150130 - Intan Aida Pratiwi</v>
          </cell>
          <cell r="U2580" t="str">
            <v>"-"</v>
          </cell>
        </row>
        <row r="2581">
          <cell r="A2581">
            <v>46265</v>
          </cell>
          <cell r="B2581" t="str">
            <v xml:space="preserve">LENY EFFENDI                            </v>
          </cell>
          <cell r="C2581" t="str">
            <v>LKV4138</v>
          </cell>
          <cell r="D2581">
            <v>34501055330509</v>
          </cell>
          <cell r="F2581" t="str">
            <v>Tidak</v>
          </cell>
          <cell r="G2581" t="str">
            <v>Tidak</v>
          </cell>
          <cell r="H2581" t="str">
            <v>Tidak</v>
          </cell>
          <cell r="I2581" t="str">
            <v>Bandar Judol Depo</v>
          </cell>
          <cell r="J2581">
            <v>35</v>
          </cell>
          <cell r="K2581" t="str">
            <v>86,74,87</v>
          </cell>
          <cell r="L2581" t="str">
            <v>Judi Online</v>
          </cell>
          <cell r="M2581" t="str">
            <v xml:space="preserve">Kas Kanpus                              </v>
          </cell>
          <cell r="N2581" t="str">
            <v xml:space="preserve">Kas Kanpus                              </v>
          </cell>
          <cell r="O2581" t="str">
            <v xml:space="preserve">KAS KANPUS                              </v>
          </cell>
          <cell r="P2581" t="str">
            <v>Ya</v>
          </cell>
          <cell r="R2581" t="str">
            <v>Done</v>
          </cell>
          <cell r="S2581" t="str">
            <v>Belum TL</v>
          </cell>
          <cell r="T2581" t="str">
            <v>00394520 - Frida Akbar Rani</v>
          </cell>
          <cell r="U2581" t="str">
            <v>"-"</v>
          </cell>
        </row>
        <row r="2582">
          <cell r="A2582">
            <v>46265</v>
          </cell>
          <cell r="B2582" t="str">
            <v xml:space="preserve">MULYANA                                 </v>
          </cell>
          <cell r="C2582" t="str">
            <v>MABZF22</v>
          </cell>
          <cell r="D2582">
            <v>112801111546508</v>
          </cell>
          <cell r="E2582" t="str">
            <v>TINGGI</v>
          </cell>
          <cell r="F2582" t="str">
            <v>Tidak</v>
          </cell>
          <cell r="G2582" t="str">
            <v>Tidak</v>
          </cell>
          <cell r="H2582" t="str">
            <v>Tidak</v>
          </cell>
          <cell r="I2582" t="str">
            <v>Bandar Judol Withdrawal</v>
          </cell>
          <cell r="J2582">
            <v>65</v>
          </cell>
          <cell r="K2582" t="str">
            <v>86,88,87</v>
          </cell>
          <cell r="L2582" t="str">
            <v>Judi Online</v>
          </cell>
          <cell r="M2582" t="str">
            <v xml:space="preserve">Kas Kanpus                              </v>
          </cell>
          <cell r="N2582" t="str">
            <v xml:space="preserve">Kas Kanpus                              </v>
          </cell>
          <cell r="O2582" t="str">
            <v xml:space="preserve">KAS KANPUS                              </v>
          </cell>
          <cell r="P2582" t="str">
            <v>Ya</v>
          </cell>
          <cell r="R2582" t="str">
            <v>Done</v>
          </cell>
          <cell r="S2582" t="str">
            <v>Belum TL</v>
          </cell>
          <cell r="T2582" t="str">
            <v>90150130 - Intan Aida Pratiwi</v>
          </cell>
          <cell r="U2582" t="str">
            <v>"-"</v>
          </cell>
        </row>
        <row r="2583">
          <cell r="A2583">
            <v>46265</v>
          </cell>
          <cell r="B2583" t="str">
            <v xml:space="preserve">LNDRA HARIANSYAH                        </v>
          </cell>
          <cell r="C2583" t="str">
            <v>LKD3573</v>
          </cell>
          <cell r="D2583">
            <v>536101047068537</v>
          </cell>
          <cell r="F2583" t="str">
            <v>Tidak</v>
          </cell>
          <cell r="G2583" t="str">
            <v>Tidak</v>
          </cell>
          <cell r="H2583" t="str">
            <v>Tidak</v>
          </cell>
          <cell r="I2583" t="str">
            <v>Bandar Judol Withdrawal</v>
          </cell>
          <cell r="J2583">
            <v>35</v>
          </cell>
          <cell r="K2583" t="str">
            <v>86,88,87</v>
          </cell>
          <cell r="L2583" t="str">
            <v>Judi Online</v>
          </cell>
          <cell r="M2583" t="str">
            <v xml:space="preserve">Kas Kanpus                              </v>
          </cell>
          <cell r="N2583" t="str">
            <v xml:space="preserve">Kas Kanpus                              </v>
          </cell>
          <cell r="O2583" t="str">
            <v xml:space="preserve">KAS KANPUS                              </v>
          </cell>
          <cell r="P2583" t="str">
            <v>Ya</v>
          </cell>
          <cell r="R2583" t="str">
            <v>Done</v>
          </cell>
          <cell r="S2583" t="str">
            <v>Belum TL</v>
          </cell>
          <cell r="T2583" t="str">
            <v>00394520 - Frida Akbar Rani</v>
          </cell>
          <cell r="U2583" t="str">
            <v>"-"</v>
          </cell>
        </row>
        <row r="2584">
          <cell r="A2584">
            <v>46265</v>
          </cell>
          <cell r="B2584" t="str">
            <v xml:space="preserve">LOUIS OWEN WIJAYA                       </v>
          </cell>
          <cell r="C2584" t="str">
            <v>LKJ5339</v>
          </cell>
          <cell r="D2584">
            <v>762701004804500</v>
          </cell>
          <cell r="F2584" t="str">
            <v>Tidak</v>
          </cell>
          <cell r="G2584" t="str">
            <v>Tidak</v>
          </cell>
          <cell r="H2584" t="str">
            <v>Tidak</v>
          </cell>
          <cell r="I2584" t="str">
            <v>Bandar Judol Withdrawal</v>
          </cell>
          <cell r="J2584">
            <v>35</v>
          </cell>
          <cell r="K2584" t="str">
            <v>86,88,87</v>
          </cell>
          <cell r="L2584" t="str">
            <v>Judi Online</v>
          </cell>
          <cell r="M2584" t="str">
            <v xml:space="preserve">Kas Kanpus                              </v>
          </cell>
          <cell r="N2584" t="str">
            <v xml:space="preserve">Kas Kanpus                              </v>
          </cell>
          <cell r="O2584" t="str">
            <v xml:space="preserve">KAS KANPUS                              </v>
          </cell>
          <cell r="P2584" t="str">
            <v>Tidak</v>
          </cell>
          <cell r="R2584" t="str">
            <v>Done</v>
          </cell>
          <cell r="S2584" t="str">
            <v>Belum TL</v>
          </cell>
          <cell r="T2584" t="str">
            <v>90186790 - Muhammad Alfin Farha</v>
          </cell>
          <cell r="U2584" t="str">
            <v>"-"</v>
          </cell>
        </row>
        <row r="2585">
          <cell r="A2585">
            <v>46265</v>
          </cell>
          <cell r="B2585" t="str">
            <v xml:space="preserve">LADISLAUS ANDRITYAMIN AKAU BATLJOL      </v>
          </cell>
          <cell r="C2585" t="str">
            <v>LJN2280</v>
          </cell>
          <cell r="D2585">
            <v>111401059045502</v>
          </cell>
          <cell r="F2585" t="str">
            <v>Tidak</v>
          </cell>
          <cell r="G2585" t="str">
            <v>Tidak</v>
          </cell>
          <cell r="H2585" t="str">
            <v>Tidak</v>
          </cell>
          <cell r="I2585" t="str">
            <v>Narkotika - Area Lapas</v>
          </cell>
          <cell r="J2585">
            <v>43</v>
          </cell>
          <cell r="K2585">
            <v>48</v>
          </cell>
          <cell r="L2585" t="str">
            <v>Narkotika</v>
          </cell>
          <cell r="M2585" t="str">
            <v>KC Tobelo</v>
          </cell>
          <cell r="N2585" t="str">
            <v>KC Tobelo</v>
          </cell>
          <cell r="O2585" t="str">
            <v>Manado</v>
          </cell>
          <cell r="P2585" t="str">
            <v>Ya</v>
          </cell>
          <cell r="R2585" t="str">
            <v>Done</v>
          </cell>
          <cell r="S2585" t="str">
            <v>Belum TL</v>
          </cell>
          <cell r="T2585" t="str">
            <v>90186790 - Muhammad Alfin Farha</v>
          </cell>
          <cell r="U2585" t="str">
            <v>"-"</v>
          </cell>
        </row>
        <row r="2586">
          <cell r="A2586">
            <v>46265</v>
          </cell>
          <cell r="B2586" t="str">
            <v xml:space="preserve">LISA AULIA                              </v>
          </cell>
          <cell r="C2586" t="str">
            <v>LJ69360</v>
          </cell>
          <cell r="D2586">
            <v>23801039779530</v>
          </cell>
          <cell r="E2586" t="str">
            <v>SEDANG</v>
          </cell>
          <cell r="F2586" t="str">
            <v>Tidak</v>
          </cell>
          <cell r="G2586" t="str">
            <v>Tidak</v>
          </cell>
          <cell r="H2586" t="str">
            <v>Tidak</v>
          </cell>
          <cell r="I2586" t="str">
            <v>Bandar Judol Withdrawal</v>
          </cell>
          <cell r="J2586">
            <v>50</v>
          </cell>
          <cell r="K2586" t="str">
            <v>86,88,87</v>
          </cell>
          <cell r="L2586" t="str">
            <v>Judi Online</v>
          </cell>
          <cell r="M2586" t="str">
            <v xml:space="preserve">Kas Kanpus                              </v>
          </cell>
          <cell r="N2586" t="str">
            <v xml:space="preserve">Kas Kanpus                              </v>
          </cell>
          <cell r="O2586" t="str">
            <v xml:space="preserve">KAS KANPUS                              </v>
          </cell>
          <cell r="P2586" t="str">
            <v>Ya</v>
          </cell>
          <cell r="R2586" t="str">
            <v>Done</v>
          </cell>
          <cell r="S2586" t="str">
            <v>Belum TL</v>
          </cell>
          <cell r="T2586" t="str">
            <v>90186796 - Devito Arya Wiradila</v>
          </cell>
          <cell r="U2586" t="str">
            <v>"-"</v>
          </cell>
        </row>
        <row r="2587">
          <cell r="A2587">
            <v>46265</v>
          </cell>
          <cell r="B2587" t="str">
            <v xml:space="preserve">LINDA RISKI WULANDARI                   </v>
          </cell>
          <cell r="C2587" t="str">
            <v>LJ70752</v>
          </cell>
          <cell r="D2587">
            <v>225101000917561</v>
          </cell>
          <cell r="E2587" t="str">
            <v>SEDANG</v>
          </cell>
          <cell r="F2587" t="str">
            <v>Tidak</v>
          </cell>
          <cell r="G2587" t="str">
            <v>Tidak</v>
          </cell>
          <cell r="H2587" t="str">
            <v>Tidak</v>
          </cell>
          <cell r="I2587" t="str">
            <v>Bandar Judol Depo</v>
          </cell>
          <cell r="J2587">
            <v>50</v>
          </cell>
          <cell r="K2587" t="str">
            <v>86,74,87</v>
          </cell>
          <cell r="L2587" t="str">
            <v>Judi Online</v>
          </cell>
          <cell r="M2587" t="str">
            <v xml:space="preserve">Kas Kanpus                              </v>
          </cell>
          <cell r="N2587" t="str">
            <v xml:space="preserve">Kas Kanpus                              </v>
          </cell>
          <cell r="O2587" t="str">
            <v xml:space="preserve">KAS KANPUS                              </v>
          </cell>
          <cell r="P2587" t="str">
            <v>Tidak</v>
          </cell>
          <cell r="R2587" t="str">
            <v>Done</v>
          </cell>
          <cell r="S2587" t="str">
            <v>Belum TL</v>
          </cell>
          <cell r="T2587" t="str">
            <v>00336949 - Mochammad Al Farabi</v>
          </cell>
          <cell r="U2587" t="str">
            <v>"-"</v>
          </cell>
        </row>
        <row r="2588">
          <cell r="A2588">
            <v>46265</v>
          </cell>
          <cell r="B2588" t="str">
            <v xml:space="preserve">LUTHFI FADHLURRAHMAN                    </v>
          </cell>
          <cell r="C2588" t="str">
            <v>LIV1497</v>
          </cell>
          <cell r="D2588">
            <v>501208793500</v>
          </cell>
          <cell r="E2588" t="str">
            <v>SEDANG</v>
          </cell>
          <cell r="F2588" t="str">
            <v>Tidak</v>
          </cell>
          <cell r="G2588" t="str">
            <v>Tidak</v>
          </cell>
          <cell r="H2588" t="str">
            <v>Tidak</v>
          </cell>
          <cell r="I2588" t="str">
            <v>Bandar Judol Withdrawal</v>
          </cell>
          <cell r="J2588">
            <v>50</v>
          </cell>
          <cell r="K2588" t="str">
            <v>86,88,87</v>
          </cell>
          <cell r="L2588" t="str">
            <v>Judi Online</v>
          </cell>
          <cell r="M2588" t="str">
            <v xml:space="preserve">Kas Kanpus                              </v>
          </cell>
          <cell r="N2588" t="str">
            <v xml:space="preserve">Kas Kanpus                              </v>
          </cell>
          <cell r="O2588" t="str">
            <v xml:space="preserve">KAS KANPUS                              </v>
          </cell>
          <cell r="P2588" t="str">
            <v>Ya</v>
          </cell>
          <cell r="R2588" t="str">
            <v>Done</v>
          </cell>
          <cell r="S2588" t="str">
            <v>Belum TL</v>
          </cell>
          <cell r="T2588" t="str">
            <v>00336949 - Mochammad Al Farabi</v>
          </cell>
          <cell r="U2588" t="str">
            <v>"-"</v>
          </cell>
        </row>
        <row r="2589">
          <cell r="A2589">
            <v>46265</v>
          </cell>
          <cell r="B2589" t="str">
            <v xml:space="preserve">LAILA                                   </v>
          </cell>
          <cell r="C2589" t="str">
            <v>LIY9266</v>
          </cell>
          <cell r="D2589">
            <v>112701071433508</v>
          </cell>
          <cell r="E2589" t="str">
            <v>SEDANG</v>
          </cell>
          <cell r="F2589" t="str">
            <v>Tidak</v>
          </cell>
          <cell r="G2589" t="str">
            <v>Tidak</v>
          </cell>
          <cell r="H2589" t="str">
            <v>Tidak</v>
          </cell>
          <cell r="I2589" t="str">
            <v>Bandar Judol Withdrawal</v>
          </cell>
          <cell r="J2589">
            <v>50</v>
          </cell>
          <cell r="K2589" t="str">
            <v>86,88,87</v>
          </cell>
          <cell r="L2589" t="str">
            <v>Judi Online</v>
          </cell>
          <cell r="M2589" t="str">
            <v xml:space="preserve">Kas Kanpus                              </v>
          </cell>
          <cell r="N2589" t="str">
            <v xml:space="preserve">Kas Kanpus                              </v>
          </cell>
          <cell r="O2589" t="str">
            <v xml:space="preserve">KAS KANPUS                              </v>
          </cell>
          <cell r="P2589" t="str">
            <v>Ya</v>
          </cell>
          <cell r="R2589" t="str">
            <v>Done</v>
          </cell>
          <cell r="S2589" t="str">
            <v>Belum TL</v>
          </cell>
          <cell r="T2589" t="str">
            <v>90186790 - Muhammad Alfin Farha</v>
          </cell>
          <cell r="U2589" t="str">
            <v>"-"</v>
          </cell>
        </row>
        <row r="2590">
          <cell r="A2590">
            <v>46265</v>
          </cell>
          <cell r="B2590" t="str">
            <v xml:space="preserve">LUSI INDAH SARI                         </v>
          </cell>
          <cell r="C2590" t="str">
            <v>LIF8229</v>
          </cell>
          <cell r="D2590">
            <v>406901035916533</v>
          </cell>
          <cell r="E2590" t="str">
            <v>SEDANG</v>
          </cell>
          <cell r="F2590" t="str">
            <v>Tidak</v>
          </cell>
          <cell r="G2590" t="str">
            <v>Tidak</v>
          </cell>
          <cell r="H2590" t="str">
            <v>Tidak</v>
          </cell>
          <cell r="I2590" t="str">
            <v>Bandar Judol Withdrawal</v>
          </cell>
          <cell r="J2590">
            <v>50</v>
          </cell>
          <cell r="K2590" t="str">
            <v>86,88,87</v>
          </cell>
          <cell r="L2590" t="str">
            <v>Judi Online</v>
          </cell>
          <cell r="M2590" t="str">
            <v xml:space="preserve">Kas Kanpus                              </v>
          </cell>
          <cell r="N2590" t="str">
            <v xml:space="preserve">Kas Kanpus                              </v>
          </cell>
          <cell r="O2590" t="str">
            <v xml:space="preserve">KAS KANPUS                              </v>
          </cell>
          <cell r="P2590" t="str">
            <v>Ya</v>
          </cell>
          <cell r="R2590" t="str">
            <v>Done</v>
          </cell>
          <cell r="S2590" t="str">
            <v>Belum TL</v>
          </cell>
          <cell r="T2590" t="str">
            <v>00394521 - Muhammad Hibbanduta</v>
          </cell>
          <cell r="U2590" t="str">
            <v>"-"</v>
          </cell>
        </row>
        <row r="2591">
          <cell r="A2591">
            <v>46265</v>
          </cell>
          <cell r="B2591" t="str">
            <v xml:space="preserve">LEO WIJAYA                              </v>
          </cell>
          <cell r="C2591" t="str">
            <v>LHW8373</v>
          </cell>
          <cell r="D2591">
            <v>208901016707501</v>
          </cell>
          <cell r="E2591" t="str">
            <v>SEDANG</v>
          </cell>
          <cell r="F2591" t="str">
            <v>Tidak</v>
          </cell>
          <cell r="G2591" t="str">
            <v>Tidak</v>
          </cell>
          <cell r="H2591" t="str">
            <v>Tidak</v>
          </cell>
          <cell r="I2591" t="str">
            <v>Bandar Judol Withdrawal</v>
          </cell>
          <cell r="J2591">
            <v>50</v>
          </cell>
          <cell r="K2591" t="str">
            <v>86,88,87</v>
          </cell>
          <cell r="L2591" t="str">
            <v>Judi Online</v>
          </cell>
          <cell r="M2591" t="str">
            <v xml:space="preserve">Kas Kanpus                              </v>
          </cell>
          <cell r="N2591" t="str">
            <v xml:space="preserve">Kas Kanpus                              </v>
          </cell>
          <cell r="O2591" t="str">
            <v xml:space="preserve">KAS KANPUS                              </v>
          </cell>
          <cell r="P2591" t="str">
            <v>Ya</v>
          </cell>
          <cell r="R2591" t="str">
            <v>Done</v>
          </cell>
          <cell r="S2591" t="str">
            <v>Belum TL</v>
          </cell>
          <cell r="T2591" t="str">
            <v>00394521 - Muhammad Hibbanduta</v>
          </cell>
          <cell r="U2591" t="str">
            <v>"-"</v>
          </cell>
        </row>
        <row r="2592">
          <cell r="A2592">
            <v>46265</v>
          </cell>
          <cell r="B2592" t="str">
            <v xml:space="preserve">JUMILAN                                 </v>
          </cell>
          <cell r="C2592" t="str">
            <v>JPF8348</v>
          </cell>
          <cell r="D2592">
            <v>525601011759509</v>
          </cell>
          <cell r="F2592" t="str">
            <v>Tidak</v>
          </cell>
          <cell r="G2592" t="str">
            <v>Tidak</v>
          </cell>
          <cell r="H2592" t="str">
            <v>Tidak</v>
          </cell>
          <cell r="I2592" t="str">
            <v>Bandar Judol Withdrawal</v>
          </cell>
          <cell r="J2592">
            <v>35</v>
          </cell>
          <cell r="K2592" t="str">
            <v>86,88,87</v>
          </cell>
          <cell r="L2592" t="str">
            <v>Judi Online</v>
          </cell>
          <cell r="M2592" t="str">
            <v xml:space="preserve">Kas Kanpus                              </v>
          </cell>
          <cell r="N2592" t="str">
            <v xml:space="preserve">Kas Kanpus                              </v>
          </cell>
          <cell r="O2592" t="str">
            <v xml:space="preserve">KAS KANPUS                              </v>
          </cell>
          <cell r="P2592" t="str">
            <v>Ya</v>
          </cell>
          <cell r="R2592" t="str">
            <v>Done</v>
          </cell>
          <cell r="S2592" t="str">
            <v>Belum TL</v>
          </cell>
          <cell r="T2592" t="str">
            <v>90185538 - Muhammad Fahikal Auz</v>
          </cell>
          <cell r="U2592" t="str">
            <v>"-"</v>
          </cell>
        </row>
        <row r="2593">
          <cell r="A2593">
            <v>46265</v>
          </cell>
          <cell r="B2593" t="str">
            <v xml:space="preserve">KARTO                                   </v>
          </cell>
          <cell r="C2593" t="str">
            <v>KAHE765</v>
          </cell>
          <cell r="D2593">
            <v>118401030137501</v>
          </cell>
          <cell r="F2593" t="str">
            <v>Tidak</v>
          </cell>
          <cell r="G2593" t="str">
            <v>Tidak</v>
          </cell>
          <cell r="H2593" t="str">
            <v>Tidak</v>
          </cell>
          <cell r="I2593" t="str">
            <v>Bandar Judol Withdrawal</v>
          </cell>
          <cell r="J2593">
            <v>35</v>
          </cell>
          <cell r="K2593" t="str">
            <v>86,88,87</v>
          </cell>
          <cell r="L2593" t="str">
            <v>Judi Online</v>
          </cell>
          <cell r="M2593" t="str">
            <v xml:space="preserve">Kas Kanpus                              </v>
          </cell>
          <cell r="N2593" t="str">
            <v xml:space="preserve">Kas Kanpus                              </v>
          </cell>
          <cell r="O2593" t="str">
            <v xml:space="preserve">KAS KANPUS                              </v>
          </cell>
          <cell r="P2593" t="str">
            <v>Ya</v>
          </cell>
          <cell r="R2593" t="str">
            <v>Done</v>
          </cell>
          <cell r="S2593" t="str">
            <v>Belum TL</v>
          </cell>
          <cell r="T2593" t="str">
            <v>00394521 - Muhammad Hibbanduta</v>
          </cell>
          <cell r="U2593" t="str">
            <v>"-"</v>
          </cell>
        </row>
        <row r="2594">
          <cell r="A2594">
            <v>46265</v>
          </cell>
          <cell r="B2594" t="str">
            <v xml:space="preserve">KURNIAWAN                               </v>
          </cell>
          <cell r="C2594" t="str">
            <v>KAJE688</v>
          </cell>
          <cell r="D2594">
            <v>118401030559509</v>
          </cell>
          <cell r="F2594" t="str">
            <v>Tidak</v>
          </cell>
          <cell r="G2594" t="str">
            <v>Tidak</v>
          </cell>
          <cell r="H2594" t="str">
            <v>Tidak</v>
          </cell>
          <cell r="I2594" t="str">
            <v>Bandar Judol Withdrawal</v>
          </cell>
          <cell r="J2594">
            <v>35</v>
          </cell>
          <cell r="K2594" t="str">
            <v>86,88,87</v>
          </cell>
          <cell r="L2594" t="str">
            <v>Judi Online</v>
          </cell>
          <cell r="M2594" t="str">
            <v xml:space="preserve">Kas Kanpus                              </v>
          </cell>
          <cell r="N2594" t="str">
            <v xml:space="preserve">Kas Kanpus                              </v>
          </cell>
          <cell r="O2594" t="str">
            <v xml:space="preserve">KAS KANPUS                              </v>
          </cell>
          <cell r="P2594" t="str">
            <v>Ya</v>
          </cell>
          <cell r="R2594" t="str">
            <v>Done</v>
          </cell>
          <cell r="S2594" t="str">
            <v>Belum TL</v>
          </cell>
          <cell r="T2594" t="str">
            <v>90186790 - Muhammad Alfin Farha</v>
          </cell>
          <cell r="U2594" t="str">
            <v>"-"</v>
          </cell>
        </row>
        <row r="2595">
          <cell r="A2595">
            <v>46265</v>
          </cell>
          <cell r="B2595" t="str">
            <v xml:space="preserve">JAJULI                                  </v>
          </cell>
          <cell r="C2595" t="str">
            <v>JPC9453</v>
          </cell>
          <cell r="D2595">
            <v>50901005967568</v>
          </cell>
          <cell r="F2595" t="str">
            <v>Tidak</v>
          </cell>
          <cell r="G2595" t="str">
            <v>Tidak</v>
          </cell>
          <cell r="H2595" t="str">
            <v>Tidak</v>
          </cell>
          <cell r="I2595" t="str">
            <v>Bandar Judol Withdrawal</v>
          </cell>
          <cell r="J2595">
            <v>35</v>
          </cell>
          <cell r="K2595" t="str">
            <v>86,88,87</v>
          </cell>
          <cell r="L2595" t="str">
            <v>Judi Online</v>
          </cell>
          <cell r="M2595" t="str">
            <v xml:space="preserve">Kas Kanpus                              </v>
          </cell>
          <cell r="N2595" t="str">
            <v xml:space="preserve">Kas Kanpus                              </v>
          </cell>
          <cell r="O2595" t="str">
            <v xml:space="preserve">KAS KANPUS                              </v>
          </cell>
          <cell r="P2595" t="str">
            <v>Ya</v>
          </cell>
          <cell r="R2595" t="str">
            <v>Done</v>
          </cell>
          <cell r="S2595" t="str">
            <v>Belum TL</v>
          </cell>
          <cell r="T2595" t="str">
            <v>90186796 - Devito Arya Wiradila</v>
          </cell>
          <cell r="U2595" t="str">
            <v>"-"</v>
          </cell>
        </row>
        <row r="2596">
          <cell r="A2596">
            <v>46265</v>
          </cell>
          <cell r="B2596" t="str">
            <v xml:space="preserve">JULIA                                   </v>
          </cell>
          <cell r="C2596" t="str">
            <v>JNZ8291</v>
          </cell>
          <cell r="D2596">
            <v>50901005563568</v>
          </cell>
          <cell r="F2596" t="str">
            <v>Tidak</v>
          </cell>
          <cell r="G2596" t="str">
            <v>Tidak</v>
          </cell>
          <cell r="H2596" t="str">
            <v>Tidak</v>
          </cell>
          <cell r="I2596" t="str">
            <v>Bandar Judol Withdrawal</v>
          </cell>
          <cell r="J2596">
            <v>35</v>
          </cell>
          <cell r="K2596" t="str">
            <v>86,88,87</v>
          </cell>
          <cell r="L2596" t="str">
            <v>Judi Online</v>
          </cell>
          <cell r="M2596" t="str">
            <v xml:space="preserve">Kas Kanpus                              </v>
          </cell>
          <cell r="N2596" t="str">
            <v xml:space="preserve">Kas Kanpus                              </v>
          </cell>
          <cell r="O2596" t="str">
            <v xml:space="preserve">KAS KANPUS                              </v>
          </cell>
          <cell r="P2596" t="str">
            <v>Tidak</v>
          </cell>
          <cell r="R2596" t="str">
            <v>Done</v>
          </cell>
          <cell r="S2596" t="str">
            <v>Belum TL</v>
          </cell>
          <cell r="T2596" t="str">
            <v>00394521 - Muhammad Hibbanduta</v>
          </cell>
          <cell r="U2596" t="str">
            <v>"-"</v>
          </cell>
        </row>
        <row r="2597">
          <cell r="A2597">
            <v>46265</v>
          </cell>
          <cell r="B2597" t="str">
            <v xml:space="preserve">JEFRI WAHYUDI                           </v>
          </cell>
          <cell r="C2597" t="str">
            <v>JNR6544</v>
          </cell>
          <cell r="D2597">
            <v>529401051299539</v>
          </cell>
          <cell r="F2597" t="str">
            <v>Tidak</v>
          </cell>
          <cell r="G2597" t="str">
            <v>Tidak</v>
          </cell>
          <cell r="H2597" t="str">
            <v>Tidak</v>
          </cell>
          <cell r="I2597" t="str">
            <v>Bandar Judol Withdrawal</v>
          </cell>
          <cell r="J2597">
            <v>35</v>
          </cell>
          <cell r="K2597" t="str">
            <v>86,88,87</v>
          </cell>
          <cell r="L2597" t="str">
            <v>Judi Online</v>
          </cell>
          <cell r="M2597" t="str">
            <v xml:space="preserve">Kas Kanpus                              </v>
          </cell>
          <cell r="N2597" t="str">
            <v xml:space="preserve">Kas Kanpus                              </v>
          </cell>
          <cell r="O2597" t="str">
            <v xml:space="preserve">KAS KANPUS                              </v>
          </cell>
          <cell r="P2597" t="str">
            <v>Ya</v>
          </cell>
          <cell r="R2597" t="str">
            <v>Done</v>
          </cell>
          <cell r="S2597" t="str">
            <v>Belum TL</v>
          </cell>
          <cell r="T2597" t="str">
            <v>90185537 - Moh.Khoerul Fajar Ar</v>
          </cell>
          <cell r="U2597" t="str">
            <v>"-"</v>
          </cell>
        </row>
        <row r="2598">
          <cell r="A2598">
            <v>46265</v>
          </cell>
          <cell r="B2598" t="str">
            <v xml:space="preserve">JUWITA FEBRIYANTI                       </v>
          </cell>
          <cell r="C2598" t="str">
            <v>JNT0875</v>
          </cell>
          <cell r="D2598">
            <v>148401008856507</v>
          </cell>
          <cell r="F2598" t="str">
            <v>Tidak</v>
          </cell>
          <cell r="G2598" t="str">
            <v>Tidak</v>
          </cell>
          <cell r="H2598" t="str">
            <v>Tidak</v>
          </cell>
          <cell r="I2598" t="str">
            <v>Bandar Judol Withdrawal</v>
          </cell>
          <cell r="J2598">
            <v>35</v>
          </cell>
          <cell r="K2598" t="str">
            <v>86,88,87</v>
          </cell>
          <cell r="L2598" t="str">
            <v>Judi Online</v>
          </cell>
          <cell r="M2598" t="str">
            <v xml:space="preserve">Kas Kanpus                              </v>
          </cell>
          <cell r="N2598" t="str">
            <v xml:space="preserve">Kas Kanpus                              </v>
          </cell>
          <cell r="O2598" t="str">
            <v xml:space="preserve">KAS KANPUS                              </v>
          </cell>
          <cell r="P2598" t="str">
            <v>Ya</v>
          </cell>
          <cell r="R2598" t="str">
            <v>Done</v>
          </cell>
          <cell r="S2598" t="str">
            <v>Belum TL</v>
          </cell>
          <cell r="T2598" t="str">
            <v>90150130 - Intan Aida Pratiwi</v>
          </cell>
          <cell r="U2598" t="str">
            <v>"-"</v>
          </cell>
        </row>
        <row r="2599">
          <cell r="A2599">
            <v>46265</v>
          </cell>
          <cell r="B2599" t="str">
            <v xml:space="preserve">JAINI                                   </v>
          </cell>
          <cell r="C2599" t="str">
            <v>JOR2981</v>
          </cell>
          <cell r="D2599">
            <v>330801007169507</v>
          </cell>
          <cell r="F2599" t="str">
            <v>Tidak</v>
          </cell>
          <cell r="G2599" t="str">
            <v>Tidak</v>
          </cell>
          <cell r="H2599" t="str">
            <v>Tidak</v>
          </cell>
          <cell r="I2599" t="str">
            <v>Bandar Judol Withdrawal</v>
          </cell>
          <cell r="J2599">
            <v>35</v>
          </cell>
          <cell r="K2599" t="str">
            <v>86,88,87</v>
          </cell>
          <cell r="L2599" t="str">
            <v>Judi Online</v>
          </cell>
          <cell r="M2599" t="str">
            <v xml:space="preserve">Kas Kanpus                              </v>
          </cell>
          <cell r="N2599" t="str">
            <v xml:space="preserve">Kas Kanpus                              </v>
          </cell>
          <cell r="O2599" t="str">
            <v xml:space="preserve">KAS KANPUS                              </v>
          </cell>
          <cell r="P2599" t="str">
            <v>Ya</v>
          </cell>
          <cell r="R2599" t="str">
            <v>Done</v>
          </cell>
          <cell r="S2599" t="str">
            <v>Belum TL</v>
          </cell>
          <cell r="T2599" t="str">
            <v>90186790 - Muhammad Alfin Farha</v>
          </cell>
          <cell r="U2599" t="str">
            <v>"-"</v>
          </cell>
        </row>
        <row r="2600">
          <cell r="A2600">
            <v>46265</v>
          </cell>
          <cell r="B2600" t="str">
            <v xml:space="preserve">JANUAR RIZKI ADI                        </v>
          </cell>
          <cell r="C2600" t="str">
            <v>JOR8563</v>
          </cell>
          <cell r="D2600">
            <v>303801010866509</v>
          </cell>
          <cell r="F2600" t="str">
            <v>Tidak</v>
          </cell>
          <cell r="G2600" t="str">
            <v>Tidak</v>
          </cell>
          <cell r="H2600" t="str">
            <v>Tidak</v>
          </cell>
          <cell r="I2600" t="str">
            <v>Bandar Judol Withdrawal</v>
          </cell>
          <cell r="J2600">
            <v>35</v>
          </cell>
          <cell r="K2600" t="str">
            <v>86,88,87</v>
          </cell>
          <cell r="L2600" t="str">
            <v>Judi Online</v>
          </cell>
          <cell r="M2600" t="str">
            <v xml:space="preserve">Kas Kanpus                              </v>
          </cell>
          <cell r="N2600" t="str">
            <v xml:space="preserve">Kas Kanpus                              </v>
          </cell>
          <cell r="O2600" t="str">
            <v xml:space="preserve">KAS KANPUS                              </v>
          </cell>
          <cell r="P2600" t="str">
            <v>Tidak</v>
          </cell>
          <cell r="R2600" t="str">
            <v>Done</v>
          </cell>
          <cell r="S2600" t="str">
            <v>Belum TL</v>
          </cell>
          <cell r="T2600" t="str">
            <v>90186790 - Muhammad Alfin Farha</v>
          </cell>
          <cell r="U2600" t="str">
            <v>"-"</v>
          </cell>
        </row>
        <row r="2601">
          <cell r="A2601">
            <v>46265</v>
          </cell>
          <cell r="B2601" t="str">
            <v xml:space="preserve">JUNAIDI                                 </v>
          </cell>
          <cell r="C2601" t="str">
            <v>JOS2759</v>
          </cell>
          <cell r="D2601">
            <v>331101027939539</v>
          </cell>
          <cell r="F2601" t="str">
            <v>Tidak</v>
          </cell>
          <cell r="G2601" t="str">
            <v>Tidak</v>
          </cell>
          <cell r="H2601" t="str">
            <v>Tidak</v>
          </cell>
          <cell r="I2601" t="str">
            <v>Bandar Judol Withdrawal</v>
          </cell>
          <cell r="J2601">
            <v>35</v>
          </cell>
          <cell r="K2601" t="str">
            <v>86,88,87</v>
          </cell>
          <cell r="L2601" t="str">
            <v>Judi Online</v>
          </cell>
          <cell r="M2601" t="str">
            <v xml:space="preserve">Kas Kanpus                              </v>
          </cell>
          <cell r="N2601" t="str">
            <v xml:space="preserve">Kas Kanpus                              </v>
          </cell>
          <cell r="O2601" t="str">
            <v xml:space="preserve">KAS KANPUS                              </v>
          </cell>
          <cell r="P2601" t="str">
            <v>Ya</v>
          </cell>
          <cell r="R2601" t="str">
            <v>Done</v>
          </cell>
          <cell r="S2601" t="str">
            <v>Belum TL</v>
          </cell>
          <cell r="T2601" t="str">
            <v>90170665 - Mutiara Ayuningtyas</v>
          </cell>
          <cell r="U2601" t="str">
            <v>"-"</v>
          </cell>
        </row>
        <row r="2602">
          <cell r="A2602">
            <v>46265</v>
          </cell>
          <cell r="B2602" t="str">
            <v xml:space="preserve">JULIAN AGUSTINUS                        </v>
          </cell>
          <cell r="C2602" t="str">
            <v>JOS6287</v>
          </cell>
          <cell r="D2602">
            <v>12201180591505</v>
          </cell>
          <cell r="F2602" t="str">
            <v>Tidak</v>
          </cell>
          <cell r="G2602" t="str">
            <v>Tidak</v>
          </cell>
          <cell r="H2602" t="str">
            <v>Tidak</v>
          </cell>
          <cell r="I2602" t="str">
            <v>Bandar Judol Withdrawal</v>
          </cell>
          <cell r="J2602">
            <v>35</v>
          </cell>
          <cell r="K2602" t="str">
            <v>86,88,87</v>
          </cell>
          <cell r="L2602" t="str">
            <v>Judi Online</v>
          </cell>
          <cell r="M2602" t="str">
            <v xml:space="preserve">Kas Kanpus                              </v>
          </cell>
          <cell r="N2602" t="str">
            <v xml:space="preserve">Kas Kanpus                              </v>
          </cell>
          <cell r="O2602" t="str">
            <v xml:space="preserve">KAS KANPUS                              </v>
          </cell>
          <cell r="P2602" t="str">
            <v>Ya</v>
          </cell>
          <cell r="R2602" t="str">
            <v>Done</v>
          </cell>
          <cell r="S2602" t="str">
            <v>Belum TL</v>
          </cell>
          <cell r="T2602" t="str">
            <v>90170665 - Mutiara Ayuningtyas</v>
          </cell>
          <cell r="U2602" t="str">
            <v>"-"</v>
          </cell>
        </row>
        <row r="2603">
          <cell r="A2603">
            <v>46265</v>
          </cell>
          <cell r="B2603" t="str">
            <v xml:space="preserve">JUNAEDI                                 </v>
          </cell>
          <cell r="C2603" t="str">
            <v>JOI7306</v>
          </cell>
          <cell r="D2603">
            <v>224901001169568</v>
          </cell>
          <cell r="F2603" t="str">
            <v>Tidak</v>
          </cell>
          <cell r="G2603" t="str">
            <v>Tidak</v>
          </cell>
          <cell r="H2603" t="str">
            <v>Tidak</v>
          </cell>
          <cell r="I2603" t="str">
            <v>Bandar Judol Depo</v>
          </cell>
          <cell r="J2603">
            <v>35</v>
          </cell>
          <cell r="K2603" t="str">
            <v>86,74,87</v>
          </cell>
          <cell r="L2603" t="str">
            <v>Judi Online</v>
          </cell>
          <cell r="M2603" t="str">
            <v xml:space="preserve">Kas Kanpus                              </v>
          </cell>
          <cell r="N2603" t="str">
            <v xml:space="preserve">Kas Kanpus                              </v>
          </cell>
          <cell r="O2603" t="str">
            <v xml:space="preserve">KAS KANPUS                              </v>
          </cell>
          <cell r="P2603" t="str">
            <v>Ya</v>
          </cell>
          <cell r="R2603" t="str">
            <v>Done</v>
          </cell>
          <cell r="S2603" t="str">
            <v>Belum TL</v>
          </cell>
          <cell r="T2603" t="str">
            <v>00336949 - Mochammad Al Farabi</v>
          </cell>
          <cell r="U2603" t="str">
            <v>"-"</v>
          </cell>
        </row>
        <row r="2604">
          <cell r="A2604">
            <v>46265</v>
          </cell>
          <cell r="B2604" t="str">
            <v xml:space="preserve">IBRAHIM SENDERI                         </v>
          </cell>
          <cell r="C2604" t="str">
            <v>II20425</v>
          </cell>
          <cell r="D2604">
            <v>503901004495538</v>
          </cell>
          <cell r="E2604" t="str">
            <v>TINGGI</v>
          </cell>
          <cell r="F2604" t="str">
            <v>Ya</v>
          </cell>
          <cell r="G2604" t="str">
            <v>Tidak</v>
          </cell>
          <cell r="H2604" t="str">
            <v>Tidak</v>
          </cell>
          <cell r="I2604" t="str">
            <v>Terorisme - SIPENDAR</v>
          </cell>
          <cell r="J2604">
            <v>184</v>
          </cell>
          <cell r="K2604">
            <v>36</v>
          </cell>
          <cell r="L2604" t="str">
            <v>Terorisme</v>
          </cell>
          <cell r="M2604" t="str">
            <v xml:space="preserve">Kas Kanpus                              </v>
          </cell>
          <cell r="N2604" t="str">
            <v xml:space="preserve">Kas Kanpus                              </v>
          </cell>
          <cell r="O2604" t="str">
            <v xml:space="preserve">KAS KANPUS                              </v>
          </cell>
          <cell r="P2604" t="str">
            <v>Tidak</v>
          </cell>
          <cell r="R2604" t="str">
            <v>Done</v>
          </cell>
          <cell r="S2604" t="str">
            <v>Belum TL</v>
          </cell>
          <cell r="T2604" t="str">
            <v>90150130 - Intan Aida Pratiwi</v>
          </cell>
          <cell r="U2604" t="str">
            <v>"-"</v>
          </cell>
        </row>
        <row r="2605">
          <cell r="A2605">
            <v>46265</v>
          </cell>
          <cell r="B2605" t="str">
            <v xml:space="preserve">IRFAN WAHYUDI                           </v>
          </cell>
          <cell r="C2605" t="str">
            <v>IXM7951</v>
          </cell>
          <cell r="D2605">
            <v>81701014796505</v>
          </cell>
          <cell r="E2605" t="str">
            <v>SEDANG</v>
          </cell>
          <cell r="F2605" t="str">
            <v>Tidak</v>
          </cell>
          <cell r="G2605" t="str">
            <v>Tidak</v>
          </cell>
          <cell r="H2605" t="str">
            <v>Tidak</v>
          </cell>
          <cell r="I2605" t="str">
            <v>Bandar Judol Withdrawal</v>
          </cell>
          <cell r="J2605">
            <v>50</v>
          </cell>
          <cell r="K2605" t="str">
            <v>86,88,87</v>
          </cell>
          <cell r="L2605" t="str">
            <v>Judi Online</v>
          </cell>
          <cell r="M2605" t="str">
            <v xml:space="preserve">Kas Kanpus                              </v>
          </cell>
          <cell r="N2605" t="str">
            <v xml:space="preserve">Kas Kanpus                              </v>
          </cell>
          <cell r="O2605" t="str">
            <v xml:space="preserve">KAS KANPUS                              </v>
          </cell>
          <cell r="P2605" t="str">
            <v>Ya</v>
          </cell>
          <cell r="R2605" t="str">
            <v>Done</v>
          </cell>
          <cell r="S2605" t="str">
            <v>Belum TL</v>
          </cell>
          <cell r="T2605" t="str">
            <v>00394521 - Muhammad Hibbanduta</v>
          </cell>
          <cell r="U2605" t="str">
            <v>"-"</v>
          </cell>
        </row>
        <row r="2606">
          <cell r="A2606">
            <v>46265</v>
          </cell>
          <cell r="B2606" t="str">
            <v xml:space="preserve">JOHN TABO                               </v>
          </cell>
          <cell r="C2606" t="str">
            <v>J217725</v>
          </cell>
          <cell r="D2606">
            <v>5326599000010800</v>
          </cell>
          <cell r="E2606" t="str">
            <v>TINGGI</v>
          </cell>
          <cell r="F2606" t="str">
            <v>Tidak</v>
          </cell>
          <cell r="G2606" t="str">
            <v>Tidak</v>
          </cell>
          <cell r="H2606" t="str">
            <v>Tidak</v>
          </cell>
          <cell r="I2606" t="str">
            <v>Private or Priority Customer Investment</v>
          </cell>
          <cell r="J2606">
            <v>83</v>
          </cell>
          <cell r="K2606">
            <v>93</v>
          </cell>
          <cell r="L2606" t="str">
            <v>Pasar Modal</v>
          </cell>
          <cell r="M2606" t="str">
            <v xml:space="preserve">KC Jayapura                             </v>
          </cell>
          <cell r="N2606" t="str">
            <v xml:space="preserve">KC Jayapura                             </v>
          </cell>
          <cell r="O2606" t="str">
            <v xml:space="preserve">KANWIL JAYAPURA                         </v>
          </cell>
          <cell r="P2606" t="str">
            <v>Tidak</v>
          </cell>
          <cell r="R2606" t="str">
            <v>Done</v>
          </cell>
          <cell r="S2606" t="str">
            <v>Belum TL</v>
          </cell>
          <cell r="T2606" t="str">
            <v>90150130 - Intan Aida Pratiwi</v>
          </cell>
          <cell r="U2606" t="str">
            <v>"-"</v>
          </cell>
        </row>
        <row r="2607">
          <cell r="A2607">
            <v>46265</v>
          </cell>
          <cell r="B2607" t="str">
            <v xml:space="preserve">JUL CITRO PERUNTUNGAN SIHOMBING         </v>
          </cell>
          <cell r="C2607" t="str">
            <v>JDR8184</v>
          </cell>
          <cell r="D2607">
            <v>216801014688505</v>
          </cell>
          <cell r="E2607" t="str">
            <v>SEDANG</v>
          </cell>
          <cell r="F2607" t="str">
            <v>Tidak</v>
          </cell>
          <cell r="G2607" t="str">
            <v>Tidak</v>
          </cell>
          <cell r="H2607" t="str">
            <v>Tidak</v>
          </cell>
          <cell r="I2607" t="str">
            <v>Bandar Judol Depo</v>
          </cell>
          <cell r="J2607">
            <v>50</v>
          </cell>
          <cell r="K2607" t="str">
            <v>86,74,87</v>
          </cell>
          <cell r="L2607" t="str">
            <v>Judi Online</v>
          </cell>
          <cell r="M2607" t="str">
            <v xml:space="preserve">Kas Kanpus                              </v>
          </cell>
          <cell r="N2607" t="str">
            <v xml:space="preserve">Kas Kanpus                              </v>
          </cell>
          <cell r="O2607" t="str">
            <v xml:space="preserve">KAS KANPUS                              </v>
          </cell>
          <cell r="P2607" t="str">
            <v>Tidak</v>
          </cell>
          <cell r="R2607" t="str">
            <v>Done</v>
          </cell>
          <cell r="S2607" t="str">
            <v>Belum TL</v>
          </cell>
          <cell r="T2607" t="str">
            <v>00394521 - Muhammad Hibbanduta</v>
          </cell>
          <cell r="U2607" t="str">
            <v>"-"</v>
          </cell>
        </row>
        <row r="2608">
          <cell r="A2608">
            <v>46265</v>
          </cell>
          <cell r="B2608" t="str">
            <v xml:space="preserve">JULI AFIA                               </v>
          </cell>
          <cell r="C2608" t="str">
            <v>JKF0932</v>
          </cell>
          <cell r="D2608">
            <v>108501020148500</v>
          </cell>
          <cell r="E2608" t="str">
            <v>SEDANG</v>
          </cell>
          <cell r="F2608" t="str">
            <v>Tidak</v>
          </cell>
          <cell r="G2608" t="str">
            <v>Tidak</v>
          </cell>
          <cell r="H2608" t="str">
            <v>Ya</v>
          </cell>
          <cell r="I2608" t="str">
            <v>Bandar Judol Withdrawal</v>
          </cell>
          <cell r="J2608">
            <v>50</v>
          </cell>
          <cell r="K2608" t="str">
            <v>86,88,87</v>
          </cell>
          <cell r="L2608" t="str">
            <v>Judi Online</v>
          </cell>
          <cell r="M2608" t="str">
            <v xml:space="preserve">Kas Kanpus                              </v>
          </cell>
          <cell r="N2608" t="str">
            <v xml:space="preserve">Kas Kanpus                              </v>
          </cell>
          <cell r="O2608" t="str">
            <v xml:space="preserve">KAS KANPUS                              </v>
          </cell>
          <cell r="P2608" t="str">
            <v>Ya</v>
          </cell>
          <cell r="R2608" t="str">
            <v>Done</v>
          </cell>
          <cell r="S2608" t="str">
            <v>Belum TL</v>
          </cell>
          <cell r="T2608" t="str">
            <v>90150130 - Intan Aida Pratiwi</v>
          </cell>
          <cell r="U2608" t="str">
            <v>"-"</v>
          </cell>
        </row>
        <row r="2609">
          <cell r="A2609">
            <v>46265</v>
          </cell>
          <cell r="B2609" t="str">
            <v xml:space="preserve">JURIAH                                  </v>
          </cell>
          <cell r="C2609" t="str">
            <v>JKF9662</v>
          </cell>
          <cell r="D2609">
            <v>37901057313508</v>
          </cell>
          <cell r="E2609" t="str">
            <v>SEDANG</v>
          </cell>
          <cell r="F2609" t="str">
            <v>Tidak</v>
          </cell>
          <cell r="G2609" t="str">
            <v>Tidak</v>
          </cell>
          <cell r="H2609" t="str">
            <v>Tidak</v>
          </cell>
          <cell r="I2609" t="str">
            <v>Bandar Judol Withdrawal</v>
          </cell>
          <cell r="J2609">
            <v>50</v>
          </cell>
          <cell r="K2609" t="str">
            <v>86,88,87</v>
          </cell>
          <cell r="L2609" t="str">
            <v>Judi Online</v>
          </cell>
          <cell r="M2609" t="str">
            <v xml:space="preserve">Kas Kanpus                              </v>
          </cell>
          <cell r="N2609" t="str">
            <v xml:space="preserve">Kas Kanpus                              </v>
          </cell>
          <cell r="O2609" t="str">
            <v xml:space="preserve">KAS KANPUS                              </v>
          </cell>
          <cell r="P2609" t="str">
            <v>Ya</v>
          </cell>
          <cell r="R2609" t="str">
            <v>Done</v>
          </cell>
          <cell r="S2609" t="str">
            <v>Belum TL</v>
          </cell>
          <cell r="T2609" t="str">
            <v>00336949 - Mochammad Al Farabi</v>
          </cell>
          <cell r="U2609" t="str">
            <v>"-"</v>
          </cell>
        </row>
        <row r="2610">
          <cell r="A2610">
            <v>46265</v>
          </cell>
          <cell r="B2610" t="str">
            <v xml:space="preserve">JUHERI                                  </v>
          </cell>
          <cell r="C2610" t="str">
            <v>JJT3758</v>
          </cell>
          <cell r="D2610">
            <v>386801079768539</v>
          </cell>
          <cell r="E2610" t="str">
            <v>SEDANG</v>
          </cell>
          <cell r="F2610" t="str">
            <v>Tidak</v>
          </cell>
          <cell r="G2610" t="str">
            <v>Tidak</v>
          </cell>
          <cell r="H2610" t="str">
            <v>Ya</v>
          </cell>
          <cell r="I2610" t="str">
            <v>Bandar Judol Withdrawal</v>
          </cell>
          <cell r="J2610">
            <v>50</v>
          </cell>
          <cell r="K2610" t="str">
            <v>86,88,87</v>
          </cell>
          <cell r="L2610" t="str">
            <v>Judi Online</v>
          </cell>
          <cell r="M2610" t="str">
            <v xml:space="preserve">Kas Kanpus                              </v>
          </cell>
          <cell r="N2610" t="str">
            <v xml:space="preserve">Kas Kanpus                              </v>
          </cell>
          <cell r="O2610" t="str">
            <v xml:space="preserve">KAS KANPUS                              </v>
          </cell>
          <cell r="P2610" t="str">
            <v>Ya</v>
          </cell>
          <cell r="R2610" t="str">
            <v>Done</v>
          </cell>
          <cell r="S2610" t="str">
            <v>Belum TL</v>
          </cell>
          <cell r="T2610" t="str">
            <v>00394521 - Muhammad Hibbanduta</v>
          </cell>
          <cell r="U2610" t="str">
            <v>"-"</v>
          </cell>
        </row>
        <row r="2611">
          <cell r="A2611">
            <v>46265</v>
          </cell>
          <cell r="B2611" t="str">
            <v xml:space="preserve">JUHENDI                                 </v>
          </cell>
          <cell r="C2611" t="str">
            <v>JJV1214</v>
          </cell>
          <cell r="D2611">
            <v>6301102748500</v>
          </cell>
          <cell r="E2611" t="str">
            <v>SEDANG</v>
          </cell>
          <cell r="F2611" t="str">
            <v>Tidak</v>
          </cell>
          <cell r="G2611" t="str">
            <v>Tidak</v>
          </cell>
          <cell r="H2611" t="str">
            <v>Tidak</v>
          </cell>
          <cell r="I2611" t="str">
            <v>Bandar Judol Withdrawal</v>
          </cell>
          <cell r="J2611">
            <v>50</v>
          </cell>
          <cell r="K2611" t="str">
            <v>86,88,87</v>
          </cell>
          <cell r="L2611" t="str">
            <v>Judi Online</v>
          </cell>
          <cell r="M2611" t="str">
            <v xml:space="preserve">Kas Kanpus                              </v>
          </cell>
          <cell r="N2611" t="str">
            <v xml:space="preserve">Kas Kanpus                              </v>
          </cell>
          <cell r="O2611" t="str">
            <v xml:space="preserve">KAS KANPUS                              </v>
          </cell>
          <cell r="P2611" t="str">
            <v>Tidak</v>
          </cell>
          <cell r="R2611" t="str">
            <v>Done</v>
          </cell>
          <cell r="S2611" t="str">
            <v>Belum TL</v>
          </cell>
          <cell r="T2611" t="str">
            <v>90186796 - Devito Arya Wiradila</v>
          </cell>
          <cell r="U2611" t="str">
            <v>"-"</v>
          </cell>
        </row>
        <row r="2612">
          <cell r="A2612">
            <v>46265</v>
          </cell>
          <cell r="B2612" t="str">
            <v xml:space="preserve">IDA AYU WIDYASARI                       </v>
          </cell>
          <cell r="C2612" t="str">
            <v>IAGT776</v>
          </cell>
          <cell r="D2612">
            <v>334401073717538</v>
          </cell>
          <cell r="E2612" t="str">
            <v>SEDANG</v>
          </cell>
          <cell r="F2612" t="str">
            <v>Tidak</v>
          </cell>
          <cell r="G2612" t="str">
            <v>Tidak</v>
          </cell>
          <cell r="H2612" t="str">
            <v>Tidak</v>
          </cell>
          <cell r="I2612" t="str">
            <v>Bandar Judol Withdrawal</v>
          </cell>
          <cell r="J2612">
            <v>50</v>
          </cell>
          <cell r="K2612" t="str">
            <v>86,88,87</v>
          </cell>
          <cell r="L2612" t="str">
            <v>Judi Online</v>
          </cell>
          <cell r="M2612" t="str">
            <v xml:space="preserve">Kas Kanpus                              </v>
          </cell>
          <cell r="N2612" t="str">
            <v xml:space="preserve">Kas Kanpus                              </v>
          </cell>
          <cell r="O2612" t="str">
            <v xml:space="preserve">KAS KANPUS                              </v>
          </cell>
          <cell r="P2612" t="str">
            <v>Ya</v>
          </cell>
          <cell r="R2612" t="str">
            <v>Done</v>
          </cell>
          <cell r="S2612" t="str">
            <v>Belum TL</v>
          </cell>
          <cell r="T2612" t="str">
            <v>90150130 - Intan Aida Pratiwi</v>
          </cell>
          <cell r="U2612" t="str">
            <v>"-"</v>
          </cell>
        </row>
        <row r="2613">
          <cell r="A2613">
            <v>46265</v>
          </cell>
          <cell r="B2613" t="str">
            <v xml:space="preserve">IVAN ANURAGA                            </v>
          </cell>
          <cell r="C2613" t="str">
            <v>IBLE391</v>
          </cell>
          <cell r="D2613">
            <v>714701004001506</v>
          </cell>
          <cell r="F2613" t="str">
            <v>Tidak</v>
          </cell>
          <cell r="G2613" t="str">
            <v>Tidak</v>
          </cell>
          <cell r="H2613" t="str">
            <v>Tidak</v>
          </cell>
          <cell r="I2613" t="str">
            <v>Bandar Judol Withdrawal</v>
          </cell>
          <cell r="J2613">
            <v>35</v>
          </cell>
          <cell r="K2613" t="str">
            <v>86,88,87</v>
          </cell>
          <cell r="L2613" t="str">
            <v>Judi Online</v>
          </cell>
          <cell r="M2613" t="str">
            <v xml:space="preserve">Kas Kanpus                              </v>
          </cell>
          <cell r="N2613" t="str">
            <v xml:space="preserve">Kas Kanpus                              </v>
          </cell>
          <cell r="O2613" t="str">
            <v xml:space="preserve">KAS KANPUS                              </v>
          </cell>
          <cell r="P2613" t="str">
            <v>Tidak</v>
          </cell>
          <cell r="R2613" t="str">
            <v>Done</v>
          </cell>
          <cell r="S2613" t="str">
            <v>Belum TL</v>
          </cell>
          <cell r="T2613" t="str">
            <v>90150130 - Intan Aida Pratiwi</v>
          </cell>
          <cell r="U2613" t="str">
            <v>"-"</v>
          </cell>
        </row>
        <row r="2614">
          <cell r="A2614">
            <v>46265</v>
          </cell>
          <cell r="B2614" t="str">
            <v xml:space="preserve">IBRAHIM                                 </v>
          </cell>
          <cell r="C2614" t="str">
            <v>IBJI829</v>
          </cell>
          <cell r="D2614">
            <v>334501057127539</v>
          </cell>
          <cell r="F2614" t="str">
            <v>Tidak</v>
          </cell>
          <cell r="G2614" t="str">
            <v>Tidak</v>
          </cell>
          <cell r="H2614" t="str">
            <v>Tidak</v>
          </cell>
          <cell r="I2614" t="str">
            <v>Bandar Judol Withdrawal</v>
          </cell>
          <cell r="J2614">
            <v>35</v>
          </cell>
          <cell r="K2614" t="str">
            <v>86,88,87</v>
          </cell>
          <cell r="L2614" t="str">
            <v>Judi Online</v>
          </cell>
          <cell r="M2614" t="str">
            <v xml:space="preserve">Kas Kanpus                              </v>
          </cell>
          <cell r="N2614" t="str">
            <v xml:space="preserve">Kas Kanpus                              </v>
          </cell>
          <cell r="O2614" t="str">
            <v xml:space="preserve">KAS KANPUS                              </v>
          </cell>
          <cell r="P2614" t="str">
            <v>Ya</v>
          </cell>
          <cell r="R2614" t="str">
            <v>Done</v>
          </cell>
          <cell r="S2614" t="str">
            <v>Belum TL</v>
          </cell>
          <cell r="T2614" t="str">
            <v>90185537 - Moh.Khoerul Fajar Ar</v>
          </cell>
          <cell r="U2614" t="str">
            <v>"-"</v>
          </cell>
        </row>
        <row r="2615">
          <cell r="A2615">
            <v>46265</v>
          </cell>
          <cell r="B2615" t="str">
            <v xml:space="preserve">INDRA SYAH PUTRA                        </v>
          </cell>
          <cell r="C2615" t="str">
            <v>ICOV101</v>
          </cell>
          <cell r="D2615">
            <v>41801027765503</v>
          </cell>
          <cell r="F2615" t="str">
            <v>Tidak</v>
          </cell>
          <cell r="G2615" t="str">
            <v>Tidak</v>
          </cell>
          <cell r="H2615" t="str">
            <v>Tidak</v>
          </cell>
          <cell r="I2615" t="str">
            <v>Bandar Judol Withdrawal</v>
          </cell>
          <cell r="J2615">
            <v>35</v>
          </cell>
          <cell r="K2615" t="str">
            <v>86,88,87</v>
          </cell>
          <cell r="L2615" t="str">
            <v>Judi Online</v>
          </cell>
          <cell r="M2615" t="str">
            <v xml:space="preserve">Kas Kanpus                              </v>
          </cell>
          <cell r="N2615" t="str">
            <v xml:space="preserve">Kas Kanpus                              </v>
          </cell>
          <cell r="O2615" t="str">
            <v xml:space="preserve">KAS KANPUS                              </v>
          </cell>
          <cell r="P2615" t="str">
            <v>Ya</v>
          </cell>
          <cell r="R2615" t="str">
            <v>Done</v>
          </cell>
          <cell r="S2615" t="str">
            <v>Belum TL</v>
          </cell>
          <cell r="T2615" t="str">
            <v>90186790 - Muhammad Alfin Farha</v>
          </cell>
          <cell r="U2615" t="str">
            <v>"-"</v>
          </cell>
        </row>
        <row r="2616">
          <cell r="A2616">
            <v>46265</v>
          </cell>
          <cell r="B2616" t="str">
            <v xml:space="preserve">IMANUEL SIJABAT                         </v>
          </cell>
          <cell r="C2616" t="str">
            <v>ICPB518</v>
          </cell>
          <cell r="D2616">
            <v>41501044761504</v>
          </cell>
          <cell r="F2616" t="str">
            <v>Tidak</v>
          </cell>
          <cell r="G2616" t="str">
            <v>Tidak</v>
          </cell>
          <cell r="H2616" t="str">
            <v>Tidak</v>
          </cell>
          <cell r="I2616" t="str">
            <v>Bandar Judol Withdrawal</v>
          </cell>
          <cell r="J2616">
            <v>35</v>
          </cell>
          <cell r="K2616" t="str">
            <v>86,88,87</v>
          </cell>
          <cell r="L2616" t="str">
            <v>Judi Online</v>
          </cell>
          <cell r="M2616" t="str">
            <v xml:space="preserve">Kas Kanpus                              </v>
          </cell>
          <cell r="N2616" t="str">
            <v xml:space="preserve">Kas Kanpus                              </v>
          </cell>
          <cell r="O2616" t="str">
            <v xml:space="preserve">KAS KANPUS                              </v>
          </cell>
          <cell r="P2616" t="str">
            <v>Ya</v>
          </cell>
          <cell r="R2616" t="str">
            <v>Done</v>
          </cell>
          <cell r="S2616" t="str">
            <v>Belum TL</v>
          </cell>
          <cell r="T2616" t="str">
            <v>00336949 - Mochammad Al Farabi</v>
          </cell>
          <cell r="U2616" t="str">
            <v>"-"</v>
          </cell>
        </row>
        <row r="2617">
          <cell r="A2617">
            <v>46265</v>
          </cell>
          <cell r="B2617" t="str">
            <v xml:space="preserve">INDAH PUSPITASARI                       </v>
          </cell>
          <cell r="C2617" t="str">
            <v>ICQB665</v>
          </cell>
          <cell r="D2617">
            <v>59501058715505</v>
          </cell>
          <cell r="F2617" t="str">
            <v>Tidak</v>
          </cell>
          <cell r="G2617" t="str">
            <v>Tidak</v>
          </cell>
          <cell r="H2617" t="str">
            <v>Tidak</v>
          </cell>
          <cell r="I2617" t="str">
            <v>Bandar Judol Withdrawal</v>
          </cell>
          <cell r="J2617">
            <v>35</v>
          </cell>
          <cell r="K2617" t="str">
            <v>86,88,87</v>
          </cell>
          <cell r="L2617" t="str">
            <v>Judi Online</v>
          </cell>
          <cell r="M2617" t="str">
            <v xml:space="preserve">Kas Kanpus                              </v>
          </cell>
          <cell r="N2617" t="str">
            <v xml:space="preserve">Kas Kanpus                              </v>
          </cell>
          <cell r="O2617" t="str">
            <v xml:space="preserve">KAS KANPUS                              </v>
          </cell>
          <cell r="P2617" t="str">
            <v>Ya</v>
          </cell>
          <cell r="R2617" t="str">
            <v>Done</v>
          </cell>
          <cell r="S2617" t="str">
            <v>Belum TL</v>
          </cell>
          <cell r="T2617" t="str">
            <v>00394521 - Muhammad Hibbanduta</v>
          </cell>
          <cell r="U2617" t="str">
            <v>"-"</v>
          </cell>
        </row>
        <row r="2618">
          <cell r="A2618">
            <v>46265</v>
          </cell>
          <cell r="B2618" t="str">
            <v xml:space="preserve">INDRA GUNAWAN                           </v>
          </cell>
          <cell r="C2618" t="str">
            <v>ICAY856</v>
          </cell>
          <cell r="D2618">
            <v>40401020620533</v>
          </cell>
          <cell r="F2618" t="str">
            <v>Tidak</v>
          </cell>
          <cell r="G2618" t="str">
            <v>Tidak</v>
          </cell>
          <cell r="H2618" t="str">
            <v>Tidak</v>
          </cell>
          <cell r="I2618" t="str">
            <v>Bandar Judol Withdrawal</v>
          </cell>
          <cell r="J2618">
            <v>35</v>
          </cell>
          <cell r="K2618" t="str">
            <v>86,88,87</v>
          </cell>
          <cell r="L2618" t="str">
            <v>Judi Online</v>
          </cell>
          <cell r="M2618" t="str">
            <v xml:space="preserve">Kas Kanpus                              </v>
          </cell>
          <cell r="N2618" t="str">
            <v xml:space="preserve">Kas Kanpus                              </v>
          </cell>
          <cell r="O2618" t="str">
            <v xml:space="preserve">KAS KANPUS                              </v>
          </cell>
          <cell r="P2618" t="str">
            <v>Ya</v>
          </cell>
          <cell r="R2618" t="str">
            <v>Done</v>
          </cell>
          <cell r="S2618" t="str">
            <v>Belum TL</v>
          </cell>
          <cell r="T2618" t="str">
            <v>90185538 - Muhammad Fahikal Auz</v>
          </cell>
          <cell r="U2618" t="str">
            <v>"-"</v>
          </cell>
        </row>
        <row r="2619">
          <cell r="A2619">
            <v>46265</v>
          </cell>
          <cell r="B2619" t="str">
            <v xml:space="preserve">IQBAL AFRILDO                           </v>
          </cell>
          <cell r="C2619" t="str">
            <v>ICNK752</v>
          </cell>
          <cell r="D2619">
            <v>532101023906507</v>
          </cell>
          <cell r="F2619" t="str">
            <v>Tidak</v>
          </cell>
          <cell r="G2619" t="str">
            <v>Tidak</v>
          </cell>
          <cell r="H2619" t="str">
            <v>Tidak</v>
          </cell>
          <cell r="I2619" t="str">
            <v>Bandar Judol Withdrawal</v>
          </cell>
          <cell r="J2619">
            <v>35</v>
          </cell>
          <cell r="K2619" t="str">
            <v>86,88,87</v>
          </cell>
          <cell r="L2619" t="str">
            <v>Judi Online</v>
          </cell>
          <cell r="M2619" t="str">
            <v xml:space="preserve">Kas Kanpus                              </v>
          </cell>
          <cell r="N2619" t="str">
            <v xml:space="preserve">Kas Kanpus                              </v>
          </cell>
          <cell r="O2619" t="str">
            <v xml:space="preserve">KAS KANPUS                              </v>
          </cell>
          <cell r="P2619" t="str">
            <v>Ya</v>
          </cell>
          <cell r="R2619" t="str">
            <v>Done</v>
          </cell>
          <cell r="S2619" t="str">
            <v>Belum TL</v>
          </cell>
          <cell r="T2619" t="str">
            <v>90150130 - Intan Aida Pratiwi</v>
          </cell>
          <cell r="U2619" t="str">
            <v>"-"</v>
          </cell>
        </row>
        <row r="2620">
          <cell r="A2620">
            <v>46265</v>
          </cell>
          <cell r="B2620" t="str">
            <v xml:space="preserve">IQBAL MAULUDIN FIRDAUS                  </v>
          </cell>
          <cell r="C2620" t="str">
            <v>IBZJ050</v>
          </cell>
          <cell r="D2620">
            <v>118101055274506</v>
          </cell>
          <cell r="F2620" t="str">
            <v>Tidak</v>
          </cell>
          <cell r="G2620" t="str">
            <v>Tidak</v>
          </cell>
          <cell r="H2620" t="str">
            <v>Tidak</v>
          </cell>
          <cell r="I2620" t="str">
            <v>Bandar Judol Withdrawal</v>
          </cell>
          <cell r="J2620">
            <v>35</v>
          </cell>
          <cell r="K2620" t="str">
            <v>86,88,87</v>
          </cell>
          <cell r="L2620" t="str">
            <v>Judi Online</v>
          </cell>
          <cell r="M2620" t="str">
            <v xml:space="preserve">Kas Kanpus                              </v>
          </cell>
          <cell r="N2620" t="str">
            <v xml:space="preserve">Kas Kanpus                              </v>
          </cell>
          <cell r="O2620" t="str">
            <v xml:space="preserve">KAS KANPUS                              </v>
          </cell>
          <cell r="P2620" t="str">
            <v>Ya</v>
          </cell>
          <cell r="R2620" t="str">
            <v>Done</v>
          </cell>
          <cell r="S2620" t="str">
            <v>Belum TL</v>
          </cell>
          <cell r="T2620" t="str">
            <v>00394520 - Frida Akbar Rani</v>
          </cell>
          <cell r="U2620" t="str">
            <v>"-"</v>
          </cell>
        </row>
        <row r="2621">
          <cell r="A2621">
            <v>46265</v>
          </cell>
          <cell r="B2621" t="str">
            <v xml:space="preserve">ILKHAM RAMDHANI HIDAYAT                 </v>
          </cell>
          <cell r="C2621" t="str">
            <v>IBQH698</v>
          </cell>
          <cell r="D2621">
            <v>784701027176530</v>
          </cell>
          <cell r="F2621" t="str">
            <v>Tidak</v>
          </cell>
          <cell r="G2621" t="str">
            <v>Tidak</v>
          </cell>
          <cell r="H2621" t="str">
            <v>Tidak</v>
          </cell>
          <cell r="I2621" t="str">
            <v>Bandar Judol Withdrawal</v>
          </cell>
          <cell r="J2621">
            <v>35</v>
          </cell>
          <cell r="K2621" t="str">
            <v>86,88,87</v>
          </cell>
          <cell r="L2621" t="str">
            <v>Judi Online</v>
          </cell>
          <cell r="M2621" t="str">
            <v xml:space="preserve">Kas Kanpus                              </v>
          </cell>
          <cell r="N2621" t="str">
            <v xml:space="preserve">Kas Kanpus                              </v>
          </cell>
          <cell r="O2621" t="str">
            <v xml:space="preserve">KAS KANPUS                              </v>
          </cell>
          <cell r="P2621" t="str">
            <v>Ya</v>
          </cell>
          <cell r="R2621" t="str">
            <v>Done</v>
          </cell>
          <cell r="S2621" t="str">
            <v>Belum TL</v>
          </cell>
          <cell r="T2621" t="str">
            <v>00336949 - Mochammad Al Farabi</v>
          </cell>
          <cell r="U2621" t="str">
            <v>"-"</v>
          </cell>
        </row>
        <row r="2622">
          <cell r="A2622">
            <v>46265</v>
          </cell>
          <cell r="B2622" t="str">
            <v xml:space="preserve">ISKANDAR                                </v>
          </cell>
          <cell r="C2622" t="str">
            <v>IBZL674</v>
          </cell>
          <cell r="D2622">
            <v>324801006205508</v>
          </cell>
          <cell r="F2622" t="str">
            <v>Tidak</v>
          </cell>
          <cell r="G2622" t="str">
            <v>Tidak</v>
          </cell>
          <cell r="H2622" t="str">
            <v>Tidak</v>
          </cell>
          <cell r="I2622" t="str">
            <v>Bandar Judol Withdrawal</v>
          </cell>
          <cell r="J2622">
            <v>35</v>
          </cell>
          <cell r="K2622" t="str">
            <v>86,88,87</v>
          </cell>
          <cell r="L2622" t="str">
            <v>Judi Online</v>
          </cell>
          <cell r="M2622" t="str">
            <v xml:space="preserve">Kas Kanpus                              </v>
          </cell>
          <cell r="N2622" t="str">
            <v xml:space="preserve">Kas Kanpus                              </v>
          </cell>
          <cell r="O2622" t="str">
            <v xml:space="preserve">KAS KANPUS                              </v>
          </cell>
          <cell r="P2622" t="str">
            <v>Ya</v>
          </cell>
          <cell r="R2622" t="str">
            <v>Done</v>
          </cell>
          <cell r="S2622" t="str">
            <v>Belum TL</v>
          </cell>
          <cell r="T2622" t="str">
            <v>90150130 - Intan Aida Pratiwi</v>
          </cell>
          <cell r="U2622" t="str">
            <v>"-"</v>
          </cell>
        </row>
        <row r="2623">
          <cell r="A2623">
            <v>46265</v>
          </cell>
          <cell r="B2623" t="str">
            <v xml:space="preserve">INDAH NUANSA PERTIWI                    </v>
          </cell>
          <cell r="C2623" t="str">
            <v>IWJ9380</v>
          </cell>
          <cell r="D2623">
            <v>33801001976302</v>
          </cell>
          <cell r="E2623" t="str">
            <v>SEDANG</v>
          </cell>
          <cell r="F2623" t="str">
            <v>Tidak</v>
          </cell>
          <cell r="G2623" t="str">
            <v>Tidak</v>
          </cell>
          <cell r="H2623" t="str">
            <v>Tidak</v>
          </cell>
          <cell r="I2623" t="str">
            <v>Perpajakan</v>
          </cell>
          <cell r="J2623">
            <v>48</v>
          </cell>
          <cell r="K2623">
            <v>41</v>
          </cell>
          <cell r="L2623" t="str">
            <v>Perpajakan</v>
          </cell>
          <cell r="M2623" t="str">
            <v xml:space="preserve">KC JAKARTA ROXI                         </v>
          </cell>
          <cell r="N2623" t="str">
            <v xml:space="preserve">KC JAKARTA ROXI                         </v>
          </cell>
          <cell r="O2623" t="str">
            <v xml:space="preserve">DKI                                     </v>
          </cell>
          <cell r="P2623" t="str">
            <v>Tidak</v>
          </cell>
          <cell r="R2623" t="str">
            <v>Done</v>
          </cell>
          <cell r="S2623" t="str">
            <v>Belum TL</v>
          </cell>
          <cell r="T2623" t="str">
            <v>00336949 - Mochammad Al Farabi</v>
          </cell>
          <cell r="U2623" t="str">
            <v>"-"</v>
          </cell>
        </row>
        <row r="2624">
          <cell r="A2624">
            <v>46265</v>
          </cell>
          <cell r="B2624" t="str">
            <v xml:space="preserve">IBNU ARIFIN                             </v>
          </cell>
          <cell r="C2624" t="str">
            <v>ITJ7488</v>
          </cell>
          <cell r="D2624">
            <v>34501054045509</v>
          </cell>
          <cell r="E2624" t="str">
            <v>RENDAH</v>
          </cell>
          <cell r="F2624" t="str">
            <v>Tidak</v>
          </cell>
          <cell r="G2624" t="str">
            <v>Tidak</v>
          </cell>
          <cell r="H2624" t="str">
            <v>Tidak</v>
          </cell>
          <cell r="I2624" t="str">
            <v>Bandar Judol Withdrawal</v>
          </cell>
          <cell r="J2624">
            <v>35</v>
          </cell>
          <cell r="K2624" t="str">
            <v>86,88,87</v>
          </cell>
          <cell r="L2624" t="str">
            <v>Judi Online</v>
          </cell>
          <cell r="M2624" t="str">
            <v xml:space="preserve">Kas Kanpus                              </v>
          </cell>
          <cell r="N2624" t="str">
            <v xml:space="preserve">Kas Kanpus                              </v>
          </cell>
          <cell r="O2624" t="str">
            <v xml:space="preserve">KAS KANPUS                              </v>
          </cell>
          <cell r="P2624" t="str">
            <v>Ya</v>
          </cell>
          <cell r="R2624" t="str">
            <v>Done</v>
          </cell>
          <cell r="S2624" t="str">
            <v>Belum TL</v>
          </cell>
          <cell r="T2624" t="str">
            <v>90171841 - Rifqi Aziz</v>
          </cell>
          <cell r="U2624" t="str">
            <v>"-"</v>
          </cell>
        </row>
        <row r="2625">
          <cell r="A2625">
            <v>46265</v>
          </cell>
          <cell r="B2625" t="str">
            <v xml:space="preserve">ISTIQOMAH                               </v>
          </cell>
          <cell r="C2625" t="str">
            <v>ISS9142</v>
          </cell>
          <cell r="D2625">
            <v>365101037721532</v>
          </cell>
          <cell r="E2625" t="str">
            <v>SEDANG</v>
          </cell>
          <cell r="F2625" t="str">
            <v>Tidak</v>
          </cell>
          <cell r="G2625" t="str">
            <v>Tidak</v>
          </cell>
          <cell r="H2625" t="str">
            <v>Tidak</v>
          </cell>
          <cell r="I2625" t="str">
            <v>Bandar Judol Depo</v>
          </cell>
          <cell r="J2625">
            <v>50</v>
          </cell>
          <cell r="K2625" t="str">
            <v>86,74,87</v>
          </cell>
          <cell r="L2625" t="str">
            <v>Judi Online</v>
          </cell>
          <cell r="M2625" t="str">
            <v xml:space="preserve">Kas Kanpus                              </v>
          </cell>
          <cell r="N2625" t="str">
            <v xml:space="preserve">Kas Kanpus                              </v>
          </cell>
          <cell r="O2625" t="str">
            <v xml:space="preserve">KAS KANPUS                              </v>
          </cell>
          <cell r="P2625" t="str">
            <v>Tidak</v>
          </cell>
          <cell r="R2625" t="str">
            <v>Done</v>
          </cell>
          <cell r="S2625" t="str">
            <v>Belum TL</v>
          </cell>
          <cell r="T2625" t="str">
            <v>90171841 - Rifqi Aziz</v>
          </cell>
          <cell r="U2625" t="str">
            <v>"-"</v>
          </cell>
        </row>
        <row r="2626">
          <cell r="A2626">
            <v>46265</v>
          </cell>
          <cell r="B2626" t="str">
            <v xml:space="preserve">INDRA PRATAMA                           </v>
          </cell>
          <cell r="C2626" t="str">
            <v>IPX2517</v>
          </cell>
          <cell r="D2626">
            <v>66901001820566</v>
          </cell>
          <cell r="E2626" t="str">
            <v>SEDANG</v>
          </cell>
          <cell r="F2626" t="str">
            <v>Tidak</v>
          </cell>
          <cell r="G2626" t="str">
            <v>Tidak</v>
          </cell>
          <cell r="H2626" t="str">
            <v>Tidak</v>
          </cell>
          <cell r="I2626" t="str">
            <v>Bandar Judol Depo</v>
          </cell>
          <cell r="J2626">
            <v>50</v>
          </cell>
          <cell r="K2626" t="str">
            <v>86,74,87</v>
          </cell>
          <cell r="L2626" t="str">
            <v>Judi Online</v>
          </cell>
          <cell r="M2626" t="str">
            <v xml:space="preserve">Kas Kanpus                              </v>
          </cell>
          <cell r="N2626" t="str">
            <v xml:space="preserve">Kas Kanpus                              </v>
          </cell>
          <cell r="O2626" t="str">
            <v xml:space="preserve">KAS KANPUS                              </v>
          </cell>
          <cell r="P2626" t="str">
            <v>Ya</v>
          </cell>
          <cell r="R2626" t="str">
            <v>Done</v>
          </cell>
          <cell r="S2626" t="str">
            <v>Belum TL</v>
          </cell>
          <cell r="T2626" t="str">
            <v>00394520 - Frida Akbar Rani</v>
          </cell>
          <cell r="U2626" t="str">
            <v>"-"</v>
          </cell>
        </row>
        <row r="2627">
          <cell r="A2627">
            <v>46265</v>
          </cell>
          <cell r="B2627" t="str">
            <v xml:space="preserve">IVAN BUAH                               </v>
          </cell>
          <cell r="C2627" t="str">
            <v>IOT5728</v>
          </cell>
          <cell r="D2627">
            <v>32001001621300</v>
          </cell>
          <cell r="E2627" t="str">
            <v>SEDANG</v>
          </cell>
          <cell r="F2627" t="str">
            <v>Tidak</v>
          </cell>
          <cell r="G2627" t="str">
            <v>Tidak</v>
          </cell>
          <cell r="H2627" t="str">
            <v>Tidak</v>
          </cell>
          <cell r="I2627" t="str">
            <v>Perpajakan</v>
          </cell>
          <cell r="J2627">
            <v>48</v>
          </cell>
          <cell r="K2627">
            <v>41</v>
          </cell>
          <cell r="L2627" t="str">
            <v>Perpajakan</v>
          </cell>
          <cell r="M2627" t="str">
            <v xml:space="preserve">KC  Jakarta Kelapa Gading               </v>
          </cell>
          <cell r="N2627" t="str">
            <v xml:space="preserve">KC  Jakarta Kelapa Gading               </v>
          </cell>
          <cell r="O2627" t="str">
            <v xml:space="preserve">DKI                                     </v>
          </cell>
          <cell r="P2627" t="str">
            <v>Tidak</v>
          </cell>
          <cell r="R2627" t="str">
            <v>Done</v>
          </cell>
          <cell r="S2627" t="str">
            <v>Belum TL</v>
          </cell>
          <cell r="T2627" t="str">
            <v>90150130 - Intan Aida Pratiwi</v>
          </cell>
          <cell r="U2627" t="str">
            <v>"-"</v>
          </cell>
        </row>
        <row r="2628">
          <cell r="A2628">
            <v>46265</v>
          </cell>
          <cell r="B2628" t="str">
            <v xml:space="preserve">INDAH YUSMASARI                         </v>
          </cell>
          <cell r="C2628" t="str">
            <v>ILD7974</v>
          </cell>
          <cell r="D2628">
            <v>5301005943565</v>
          </cell>
          <cell r="E2628" t="str">
            <v>SEDANG</v>
          </cell>
          <cell r="F2628" t="str">
            <v>Tidak</v>
          </cell>
          <cell r="G2628" t="str">
            <v>Tidak</v>
          </cell>
          <cell r="H2628" t="str">
            <v>Tidak</v>
          </cell>
          <cell r="I2628" t="str">
            <v>Bandar Judol Withdrawal</v>
          </cell>
          <cell r="J2628">
            <v>50</v>
          </cell>
          <cell r="K2628" t="str">
            <v>86,88,87</v>
          </cell>
          <cell r="L2628" t="str">
            <v>Judi Online</v>
          </cell>
          <cell r="M2628" t="str">
            <v xml:space="preserve">Kas Kanpus                              </v>
          </cell>
          <cell r="N2628" t="str">
            <v xml:space="preserve">Kas Kanpus                              </v>
          </cell>
          <cell r="O2628" t="str">
            <v xml:space="preserve">KAS KANPUS                              </v>
          </cell>
          <cell r="P2628" t="str">
            <v>Ya</v>
          </cell>
          <cell r="R2628" t="str">
            <v>Done</v>
          </cell>
          <cell r="S2628" t="str">
            <v>Belum TL</v>
          </cell>
          <cell r="T2628" t="str">
            <v>90150130 - Intan Aida Pratiwi</v>
          </cell>
          <cell r="U2628" t="str">
            <v>"-"</v>
          </cell>
        </row>
        <row r="2629">
          <cell r="A2629">
            <v>46265</v>
          </cell>
          <cell r="B2629" t="str">
            <v xml:space="preserve">I MADE TULUS                            </v>
          </cell>
          <cell r="C2629" t="str">
            <v>IJP9716</v>
          </cell>
          <cell r="D2629">
            <v>476101011852531</v>
          </cell>
          <cell r="E2629" t="str">
            <v>SEDANG</v>
          </cell>
          <cell r="F2629" t="str">
            <v>Tidak</v>
          </cell>
          <cell r="G2629" t="str">
            <v>Tidak</v>
          </cell>
          <cell r="H2629" t="str">
            <v>Tidak</v>
          </cell>
          <cell r="I2629" t="str">
            <v>Pencurian Rekening</v>
          </cell>
          <cell r="J2629">
            <v>46</v>
          </cell>
          <cell r="K2629">
            <v>59</v>
          </cell>
          <cell r="L2629" t="str">
            <v>Perbankan</v>
          </cell>
          <cell r="M2629" t="str">
            <v xml:space="preserve">UNIT BUSUNGBIU SINGARAJA                </v>
          </cell>
          <cell r="N2629" t="str">
            <v xml:space="preserve">KC Singaraja                            </v>
          </cell>
          <cell r="O2629" t="str">
            <v xml:space="preserve">Denpasar                                </v>
          </cell>
          <cell r="P2629" t="str">
            <v>Tidak</v>
          </cell>
          <cell r="R2629" t="str">
            <v>Done</v>
          </cell>
          <cell r="S2629" t="str">
            <v>Belum TL</v>
          </cell>
          <cell r="T2629" t="str">
            <v>90186796 - Devito Arya Wiradila</v>
          </cell>
          <cell r="U2629" t="str">
            <v>"-"</v>
          </cell>
        </row>
        <row r="2630">
          <cell r="A2630">
            <v>46265</v>
          </cell>
          <cell r="B2630" t="str">
            <v xml:space="preserve">HOLMES LUMBANTOBING                     </v>
          </cell>
          <cell r="C2630" t="str">
            <v>HRU0114</v>
          </cell>
          <cell r="D2630">
            <v>108401006480536</v>
          </cell>
          <cell r="E2630" t="str">
            <v>SEDANG</v>
          </cell>
          <cell r="F2630" t="str">
            <v>Tidak</v>
          </cell>
          <cell r="G2630" t="str">
            <v>Tidak</v>
          </cell>
          <cell r="H2630" t="str">
            <v>Tidak</v>
          </cell>
          <cell r="I2630" t="str">
            <v>Bandar Judol Withdrawal</v>
          </cell>
          <cell r="J2630">
            <v>50</v>
          </cell>
          <cell r="K2630" t="str">
            <v>86,88,87</v>
          </cell>
          <cell r="L2630" t="str">
            <v>Judi Online</v>
          </cell>
          <cell r="M2630" t="str">
            <v xml:space="preserve">Kas Kanpus                              </v>
          </cell>
          <cell r="N2630" t="str">
            <v xml:space="preserve">Kas Kanpus                              </v>
          </cell>
          <cell r="O2630" t="str">
            <v xml:space="preserve">KAS KANPUS                              </v>
          </cell>
          <cell r="P2630" t="str">
            <v>Ya</v>
          </cell>
          <cell r="R2630" t="str">
            <v>Done</v>
          </cell>
          <cell r="S2630" t="str">
            <v>Belum TL</v>
          </cell>
          <cell r="T2630" t="str">
            <v>90171841 - Rifqi Aziz</v>
          </cell>
          <cell r="U2630" t="str">
            <v>"-"</v>
          </cell>
        </row>
        <row r="2631">
          <cell r="A2631">
            <v>46265</v>
          </cell>
          <cell r="B2631" t="str">
            <v xml:space="preserve">HENNI FADILAH                           </v>
          </cell>
          <cell r="C2631" t="str">
            <v>HRY9784</v>
          </cell>
          <cell r="D2631">
            <v>26601125259504</v>
          </cell>
          <cell r="E2631" t="str">
            <v>SEDANG</v>
          </cell>
          <cell r="F2631" t="str">
            <v>Tidak</v>
          </cell>
          <cell r="G2631" t="str">
            <v>Tidak</v>
          </cell>
          <cell r="H2631" t="str">
            <v>Tidak</v>
          </cell>
          <cell r="I2631" t="str">
            <v>Bandar Judol Withdrawal</v>
          </cell>
          <cell r="J2631">
            <v>50</v>
          </cell>
          <cell r="K2631" t="str">
            <v>86,88,87</v>
          </cell>
          <cell r="L2631" t="str">
            <v>Judi Online</v>
          </cell>
          <cell r="M2631" t="str">
            <v xml:space="preserve">Kas Kanpus                              </v>
          </cell>
          <cell r="N2631" t="str">
            <v xml:space="preserve">Kas Kanpus                              </v>
          </cell>
          <cell r="O2631" t="str">
            <v xml:space="preserve">KAS KANPUS                              </v>
          </cell>
          <cell r="P2631" t="str">
            <v>Ya</v>
          </cell>
          <cell r="R2631" t="str">
            <v>Done</v>
          </cell>
          <cell r="S2631" t="str">
            <v>Belum TL</v>
          </cell>
          <cell r="T2631" t="str">
            <v>90171841 - Rifqi Aziz</v>
          </cell>
          <cell r="U2631" t="str">
            <v>"-"</v>
          </cell>
        </row>
        <row r="2632">
          <cell r="A2632">
            <v>46265</v>
          </cell>
          <cell r="B2632" t="str">
            <v xml:space="preserve">HENDRA SUSANTO                          </v>
          </cell>
          <cell r="C2632" t="str">
            <v>HON0615</v>
          </cell>
          <cell r="D2632">
            <v>78701013804502</v>
          </cell>
          <cell r="E2632" t="str">
            <v>SEDANG</v>
          </cell>
          <cell r="F2632" t="str">
            <v>Tidak</v>
          </cell>
          <cell r="G2632" t="str">
            <v>Tidak</v>
          </cell>
          <cell r="H2632" t="str">
            <v>Tidak</v>
          </cell>
          <cell r="I2632" t="str">
            <v>Bandar Judol Withdrawal</v>
          </cell>
          <cell r="J2632">
            <v>50</v>
          </cell>
          <cell r="K2632" t="str">
            <v>86,88,87</v>
          </cell>
          <cell r="L2632" t="str">
            <v>Judi Online</v>
          </cell>
          <cell r="M2632" t="str">
            <v xml:space="preserve">Kas Kanpus                              </v>
          </cell>
          <cell r="N2632" t="str">
            <v xml:space="preserve">Kas Kanpus                              </v>
          </cell>
          <cell r="O2632" t="str">
            <v xml:space="preserve">KAS KANPUS                              </v>
          </cell>
          <cell r="P2632" t="str">
            <v>Ya</v>
          </cell>
          <cell r="R2632" t="str">
            <v>Done</v>
          </cell>
          <cell r="S2632" t="str">
            <v>Belum TL</v>
          </cell>
          <cell r="T2632" t="str">
            <v>90186790 - Muhammad Alfin Farha</v>
          </cell>
          <cell r="U2632" t="str">
            <v>"-"</v>
          </cell>
        </row>
        <row r="2633">
          <cell r="A2633">
            <v>46265</v>
          </cell>
          <cell r="B2633" t="str">
            <v xml:space="preserve">HAMDANI                                 </v>
          </cell>
          <cell r="C2633" t="str">
            <v>HYN5002</v>
          </cell>
          <cell r="D2633">
            <v>5301007828567</v>
          </cell>
          <cell r="E2633" t="str">
            <v>SEDANG</v>
          </cell>
          <cell r="F2633" t="str">
            <v>Tidak</v>
          </cell>
          <cell r="G2633" t="str">
            <v>Tidak</v>
          </cell>
          <cell r="H2633" t="str">
            <v>Tidak</v>
          </cell>
          <cell r="I2633" t="str">
            <v>Bandar Judol Withdrawal</v>
          </cell>
          <cell r="J2633">
            <v>50</v>
          </cell>
          <cell r="K2633" t="str">
            <v>86,88,87</v>
          </cell>
          <cell r="L2633" t="str">
            <v>Judi Online</v>
          </cell>
          <cell r="M2633" t="str">
            <v xml:space="preserve">Kas Kanpus                              </v>
          </cell>
          <cell r="N2633" t="str">
            <v xml:space="preserve">Kas Kanpus                              </v>
          </cell>
          <cell r="O2633" t="str">
            <v xml:space="preserve">KAS KANPUS                              </v>
          </cell>
          <cell r="P2633" t="str">
            <v>Ya</v>
          </cell>
          <cell r="R2633" t="str">
            <v>Done</v>
          </cell>
          <cell r="S2633" t="str">
            <v>Belum TL</v>
          </cell>
          <cell r="T2633" t="str">
            <v>90185537 - Moh.Khoerul Fajar Ar</v>
          </cell>
          <cell r="U2633" t="str">
            <v>"-"</v>
          </cell>
        </row>
        <row r="2634">
          <cell r="A2634">
            <v>46265</v>
          </cell>
          <cell r="B2634" t="str">
            <v xml:space="preserve">HENDRIK RAHARDIAN ALFONSO               </v>
          </cell>
          <cell r="C2634" t="str">
            <v>HYP8755</v>
          </cell>
          <cell r="D2634">
            <v>55601038630507</v>
          </cell>
          <cell r="E2634" t="str">
            <v>SEDANG</v>
          </cell>
          <cell r="F2634" t="str">
            <v>Tidak</v>
          </cell>
          <cell r="G2634" t="str">
            <v>Tidak</v>
          </cell>
          <cell r="H2634" t="str">
            <v>Tidak</v>
          </cell>
          <cell r="I2634" t="str">
            <v>Bandar Judol Withdrawal</v>
          </cell>
          <cell r="J2634">
            <v>50</v>
          </cell>
          <cell r="K2634" t="str">
            <v>86,88,87</v>
          </cell>
          <cell r="L2634" t="str">
            <v>Judi Online</v>
          </cell>
          <cell r="M2634" t="str">
            <v xml:space="preserve">Kas Kanpus                              </v>
          </cell>
          <cell r="N2634" t="str">
            <v xml:space="preserve">Kas Kanpus                              </v>
          </cell>
          <cell r="O2634" t="str">
            <v xml:space="preserve">KAS KANPUS                              </v>
          </cell>
          <cell r="P2634" t="str">
            <v>Ya</v>
          </cell>
          <cell r="R2634" t="str">
            <v>Done</v>
          </cell>
          <cell r="S2634" t="str">
            <v>Belum TL</v>
          </cell>
          <cell r="T2634" t="str">
            <v>90150130 - Intan Aida Pratiwi</v>
          </cell>
          <cell r="U2634" t="str">
            <v>"-"</v>
          </cell>
        </row>
        <row r="2635">
          <cell r="A2635">
            <v>46265</v>
          </cell>
          <cell r="B2635" t="str">
            <v xml:space="preserve">HESTI AFRIYANTI                         </v>
          </cell>
          <cell r="C2635" t="str">
            <v>HYK3812</v>
          </cell>
          <cell r="D2635">
            <v>26601124910505</v>
          </cell>
          <cell r="E2635" t="str">
            <v>SEDANG</v>
          </cell>
          <cell r="F2635" t="str">
            <v>Tidak</v>
          </cell>
          <cell r="G2635" t="str">
            <v>Tidak</v>
          </cell>
          <cell r="H2635" t="str">
            <v>Tidak</v>
          </cell>
          <cell r="I2635" t="str">
            <v>Bandar Judol Withdrawal</v>
          </cell>
          <cell r="J2635">
            <v>50</v>
          </cell>
          <cell r="K2635" t="str">
            <v>86,88,87</v>
          </cell>
          <cell r="L2635" t="str">
            <v>Judi Online</v>
          </cell>
          <cell r="M2635" t="str">
            <v xml:space="preserve">Kas Kanpus                              </v>
          </cell>
          <cell r="N2635" t="str">
            <v xml:space="preserve">Kas Kanpus                              </v>
          </cell>
          <cell r="O2635" t="str">
            <v xml:space="preserve">KAS KANPUS                              </v>
          </cell>
          <cell r="P2635" t="str">
            <v>Ya</v>
          </cell>
          <cell r="R2635" t="str">
            <v>Done</v>
          </cell>
          <cell r="S2635" t="str">
            <v>Belum TL</v>
          </cell>
          <cell r="T2635" t="str">
            <v>00394521 - Muhammad Hibbanduta</v>
          </cell>
          <cell r="U2635" t="str">
            <v>"-"</v>
          </cell>
        </row>
        <row r="2636">
          <cell r="A2636">
            <v>46265</v>
          </cell>
          <cell r="B2636" t="str">
            <v xml:space="preserve">HP OPBM DIVRE NTB (HPM-OPBM DIVRE NTB)  </v>
          </cell>
          <cell r="C2636" t="str">
            <v>HLG9297</v>
          </cell>
          <cell r="D2636">
            <v>5201002301304</v>
          </cell>
          <cell r="E2636" t="str">
            <v>SEDANG</v>
          </cell>
          <cell r="F2636" t="str">
            <v>Tidak</v>
          </cell>
          <cell r="G2636" t="str">
            <v>Tidak</v>
          </cell>
          <cell r="H2636" t="str">
            <v>Tidak</v>
          </cell>
          <cell r="I2636" t="str">
            <v>Narkotika - Area Lapas</v>
          </cell>
          <cell r="J2636">
            <v>50</v>
          </cell>
          <cell r="K2636">
            <v>46</v>
          </cell>
          <cell r="L2636" t="str">
            <v>Narkotika</v>
          </cell>
          <cell r="M2636" t="str">
            <v>KC Mataram</v>
          </cell>
          <cell r="N2636" t="str">
            <v>KC Mataram</v>
          </cell>
          <cell r="O2636" t="str">
            <v>Denpasar</v>
          </cell>
          <cell r="P2636" t="str">
            <v>Tidak</v>
          </cell>
          <cell r="R2636" t="str">
            <v>Done</v>
          </cell>
          <cell r="S2636" t="str">
            <v>Belum TL</v>
          </cell>
          <cell r="T2636" t="str">
            <v>00394521 - Muhammad Hibbanduta</v>
          </cell>
          <cell r="U2636" t="str">
            <v>"-"</v>
          </cell>
        </row>
        <row r="2637">
          <cell r="A2637">
            <v>46265</v>
          </cell>
          <cell r="B2637" t="str">
            <v xml:space="preserve">HARDI YUDA                              </v>
          </cell>
          <cell r="C2637" t="str">
            <v>HXO7606</v>
          </cell>
          <cell r="D2637">
            <v>23801037816530</v>
          </cell>
          <cell r="E2637" t="str">
            <v>SEDANG</v>
          </cell>
          <cell r="F2637" t="str">
            <v>Tidak</v>
          </cell>
          <cell r="G2637" t="str">
            <v>Tidak</v>
          </cell>
          <cell r="H2637" t="str">
            <v>Tidak</v>
          </cell>
          <cell r="I2637" t="str">
            <v>Bandar Judol Depo</v>
          </cell>
          <cell r="J2637">
            <v>50</v>
          </cell>
          <cell r="K2637" t="str">
            <v>86,74,87</v>
          </cell>
          <cell r="L2637" t="str">
            <v>Judi Online</v>
          </cell>
          <cell r="M2637" t="str">
            <v xml:space="preserve">Kas Kanpus                              </v>
          </cell>
          <cell r="N2637" t="str">
            <v xml:space="preserve">Kas Kanpus                              </v>
          </cell>
          <cell r="O2637" t="str">
            <v xml:space="preserve">KAS KANPUS                              </v>
          </cell>
          <cell r="P2637" t="str">
            <v>Ya</v>
          </cell>
          <cell r="R2637" t="str">
            <v>Done</v>
          </cell>
          <cell r="S2637" t="str">
            <v>Belum TL</v>
          </cell>
          <cell r="T2637" t="str">
            <v>00394520 - Frida Akbar Rani</v>
          </cell>
          <cell r="U2637" t="str">
            <v>"-"</v>
          </cell>
        </row>
        <row r="2638">
          <cell r="A2638">
            <v>46265</v>
          </cell>
          <cell r="B2638" t="str">
            <v xml:space="preserve">HAJRAWATI                               </v>
          </cell>
          <cell r="C2638" t="str">
            <v>HWD1359</v>
          </cell>
          <cell r="D2638">
            <v>202501036392502</v>
          </cell>
          <cell r="E2638" t="str">
            <v>SEDANG</v>
          </cell>
          <cell r="F2638" t="str">
            <v>Tidak</v>
          </cell>
          <cell r="G2638" t="str">
            <v>Tidak</v>
          </cell>
          <cell r="H2638" t="str">
            <v>Ya</v>
          </cell>
          <cell r="I2638" t="str">
            <v>Bandar Judol Depo</v>
          </cell>
          <cell r="J2638">
            <v>50</v>
          </cell>
          <cell r="K2638" t="str">
            <v>86,74,87</v>
          </cell>
          <cell r="L2638" t="str">
            <v>Judi Online</v>
          </cell>
          <cell r="M2638" t="str">
            <v xml:space="preserve">Kas Kanpus                              </v>
          </cell>
          <cell r="N2638" t="str">
            <v xml:space="preserve">Kas Kanpus                              </v>
          </cell>
          <cell r="O2638" t="str">
            <v xml:space="preserve">KAS KANPUS                              </v>
          </cell>
          <cell r="P2638" t="str">
            <v>Tidak</v>
          </cell>
          <cell r="R2638" t="str">
            <v>Done</v>
          </cell>
          <cell r="S2638" t="str">
            <v>Belum TL</v>
          </cell>
          <cell r="T2638" t="str">
            <v>90171841 - Rifqi Aziz</v>
          </cell>
          <cell r="U2638" t="str">
            <v>"-"</v>
          </cell>
        </row>
        <row r="2639">
          <cell r="A2639">
            <v>46265</v>
          </cell>
          <cell r="B2639" t="str">
            <v xml:space="preserve">HARIANSYAH LUBIS                        </v>
          </cell>
          <cell r="C2639" t="str">
            <v>HBRX323</v>
          </cell>
          <cell r="D2639">
            <v>56001069046500</v>
          </cell>
          <cell r="F2639" t="str">
            <v>Tidak</v>
          </cell>
          <cell r="G2639" t="str">
            <v>Tidak</v>
          </cell>
          <cell r="H2639" t="str">
            <v>Tidak</v>
          </cell>
          <cell r="I2639" t="str">
            <v>Bandar Judol Withdrawal</v>
          </cell>
          <cell r="J2639">
            <v>35</v>
          </cell>
          <cell r="K2639" t="str">
            <v>86,88,87</v>
          </cell>
          <cell r="L2639" t="str">
            <v>Judi Online</v>
          </cell>
          <cell r="M2639" t="str">
            <v xml:space="preserve">Kas Kanpus                              </v>
          </cell>
          <cell r="N2639" t="str">
            <v xml:space="preserve">Kas Kanpus                              </v>
          </cell>
          <cell r="O2639" t="str">
            <v xml:space="preserve">KAS KANPUS                              </v>
          </cell>
          <cell r="P2639" t="str">
            <v>Ya</v>
          </cell>
          <cell r="R2639" t="str">
            <v>Done</v>
          </cell>
          <cell r="S2639" t="str">
            <v>Belum TL</v>
          </cell>
          <cell r="T2639" t="str">
            <v>90186790 - Muhammad Alfin Farha</v>
          </cell>
          <cell r="U2639" t="str">
            <v>"-"</v>
          </cell>
        </row>
        <row r="2640">
          <cell r="A2640">
            <v>46265</v>
          </cell>
          <cell r="B2640" t="str">
            <v xml:space="preserve">HENDRI SAPUTRA                          </v>
          </cell>
          <cell r="C2640" t="str">
            <v>HJD4832</v>
          </cell>
          <cell r="D2640">
            <v>26801002424561</v>
          </cell>
          <cell r="E2640" t="str">
            <v>SEDANG</v>
          </cell>
          <cell r="F2640" t="str">
            <v>Tidak</v>
          </cell>
          <cell r="G2640" t="str">
            <v>Tidak</v>
          </cell>
          <cell r="H2640" t="str">
            <v>Tidak</v>
          </cell>
          <cell r="I2640" t="str">
            <v>Bandar Judol Depo</v>
          </cell>
          <cell r="J2640">
            <v>50</v>
          </cell>
          <cell r="K2640" t="str">
            <v>86,74,87</v>
          </cell>
          <cell r="L2640" t="str">
            <v>Judi Online</v>
          </cell>
          <cell r="M2640" t="str">
            <v xml:space="preserve">Kas Kanpus                              </v>
          </cell>
          <cell r="N2640" t="str">
            <v xml:space="preserve">Kas Kanpus                              </v>
          </cell>
          <cell r="O2640" t="str">
            <v xml:space="preserve">KAS KANPUS                              </v>
          </cell>
          <cell r="P2640" t="str">
            <v>Ya</v>
          </cell>
          <cell r="R2640" t="str">
            <v>Done</v>
          </cell>
          <cell r="S2640" t="str">
            <v>Belum TL</v>
          </cell>
          <cell r="T2640" t="str">
            <v>90150130 - Intan Aida Pratiwi</v>
          </cell>
          <cell r="U2640" t="str">
            <v>"-"</v>
          </cell>
        </row>
        <row r="2641">
          <cell r="A2641">
            <v>46265</v>
          </cell>
          <cell r="B2641" t="str">
            <v xml:space="preserve">HENI PUSPITA SARI                       </v>
          </cell>
          <cell r="C2641" t="str">
            <v>HGD2196</v>
          </cell>
          <cell r="D2641">
            <v>450901017049532</v>
          </cell>
          <cell r="E2641" t="str">
            <v>SEDANG</v>
          </cell>
          <cell r="F2641" t="str">
            <v>Tidak</v>
          </cell>
          <cell r="G2641" t="str">
            <v>Tidak</v>
          </cell>
          <cell r="H2641" t="str">
            <v>Tidak</v>
          </cell>
          <cell r="I2641" t="str">
            <v>Bandar Judol Depo</v>
          </cell>
          <cell r="J2641">
            <v>50</v>
          </cell>
          <cell r="K2641" t="str">
            <v>86,74,87</v>
          </cell>
          <cell r="L2641" t="str">
            <v>Judi Online</v>
          </cell>
          <cell r="M2641" t="str">
            <v xml:space="preserve">Kas Kanpus                              </v>
          </cell>
          <cell r="N2641" t="str">
            <v xml:space="preserve">Kas Kanpus                              </v>
          </cell>
          <cell r="O2641" t="str">
            <v xml:space="preserve">KAS KANPUS                              </v>
          </cell>
          <cell r="P2641" t="str">
            <v>Tidak</v>
          </cell>
          <cell r="R2641" t="str">
            <v>Done</v>
          </cell>
          <cell r="S2641" t="str">
            <v>Belum TL</v>
          </cell>
          <cell r="T2641" t="str">
            <v>90171841 - Rifqi Aziz</v>
          </cell>
          <cell r="U2641" t="str">
            <v>"-"</v>
          </cell>
        </row>
        <row r="2642">
          <cell r="A2642">
            <v>46265</v>
          </cell>
          <cell r="B2642" t="str">
            <v xml:space="preserve">HERI GUNAWAN                            </v>
          </cell>
          <cell r="C2642" t="str">
            <v>HCDU028</v>
          </cell>
          <cell r="D2642">
            <v>59501059583503</v>
          </cell>
          <cell r="F2642" t="str">
            <v>Tidak</v>
          </cell>
          <cell r="G2642" t="str">
            <v>Tidak</v>
          </cell>
          <cell r="H2642" t="str">
            <v>Tidak</v>
          </cell>
          <cell r="I2642" t="str">
            <v>Bandar Judol Withdrawal</v>
          </cell>
          <cell r="J2642">
            <v>35</v>
          </cell>
          <cell r="K2642" t="str">
            <v>86,88,87</v>
          </cell>
          <cell r="L2642" t="str">
            <v>Judi Online</v>
          </cell>
          <cell r="M2642" t="str">
            <v xml:space="preserve">Kas Kanpus                              </v>
          </cell>
          <cell r="N2642" t="str">
            <v xml:space="preserve">Kas Kanpus                              </v>
          </cell>
          <cell r="O2642" t="str">
            <v xml:space="preserve">KAS KANPUS                              </v>
          </cell>
          <cell r="P2642" t="str">
            <v>Ya</v>
          </cell>
          <cell r="R2642" t="str">
            <v>Done</v>
          </cell>
          <cell r="S2642" t="str">
            <v>Belum TL</v>
          </cell>
          <cell r="T2642" t="str">
            <v>90171841 - Rifqi Aziz</v>
          </cell>
          <cell r="U2642" t="str">
            <v>"-"</v>
          </cell>
        </row>
        <row r="2643">
          <cell r="A2643">
            <v>46265</v>
          </cell>
          <cell r="B2643" t="str">
            <v xml:space="preserve">HERI HERIYANTO                          </v>
          </cell>
          <cell r="C2643" t="str">
            <v>HCBC668</v>
          </cell>
          <cell r="D2643">
            <v>141801042074502</v>
          </cell>
          <cell r="F2643" t="str">
            <v>Tidak</v>
          </cell>
          <cell r="G2643" t="str">
            <v>Tidak</v>
          </cell>
          <cell r="H2643" t="str">
            <v>Tidak</v>
          </cell>
          <cell r="I2643" t="str">
            <v>Bandar Judol Withdrawal</v>
          </cell>
          <cell r="J2643">
            <v>35</v>
          </cell>
          <cell r="K2643" t="str">
            <v>86,88,87</v>
          </cell>
          <cell r="L2643" t="str">
            <v>Judi Online</v>
          </cell>
          <cell r="M2643" t="str">
            <v xml:space="preserve">Kas Kanpus                              </v>
          </cell>
          <cell r="N2643" t="str">
            <v xml:space="preserve">Kas Kanpus                              </v>
          </cell>
          <cell r="O2643" t="str">
            <v xml:space="preserve">KAS KANPUS                              </v>
          </cell>
          <cell r="P2643" t="str">
            <v>Ya</v>
          </cell>
          <cell r="R2643" t="str">
            <v>Done</v>
          </cell>
          <cell r="S2643" t="str">
            <v>Belum TL</v>
          </cell>
          <cell r="T2643" t="str">
            <v>00394521 - Muhammad Hibbanduta</v>
          </cell>
          <cell r="U2643" t="str">
            <v>"-"</v>
          </cell>
        </row>
        <row r="2644">
          <cell r="A2644">
            <v>46265</v>
          </cell>
          <cell r="B2644" t="str">
            <v xml:space="preserve">HABIB NST                               </v>
          </cell>
          <cell r="C2644" t="str">
            <v>HCBX995</v>
          </cell>
          <cell r="D2644">
            <v>33601161353501</v>
          </cell>
          <cell r="F2644" t="str">
            <v>Tidak</v>
          </cell>
          <cell r="G2644" t="str">
            <v>Tidak</v>
          </cell>
          <cell r="H2644" t="str">
            <v>Tidak</v>
          </cell>
          <cell r="I2644" t="str">
            <v>Bandar Judol Depo</v>
          </cell>
          <cell r="J2644">
            <v>35</v>
          </cell>
          <cell r="K2644" t="str">
            <v>86,74,87</v>
          </cell>
          <cell r="L2644" t="str">
            <v>Judi Online</v>
          </cell>
          <cell r="M2644" t="str">
            <v xml:space="preserve">Kas Kanpus                              </v>
          </cell>
          <cell r="N2644" t="str">
            <v xml:space="preserve">Kas Kanpus                              </v>
          </cell>
          <cell r="O2644" t="str">
            <v xml:space="preserve">KAS KANPUS                              </v>
          </cell>
          <cell r="P2644" t="str">
            <v>Ya</v>
          </cell>
          <cell r="R2644" t="str">
            <v>Done</v>
          </cell>
          <cell r="S2644" t="str">
            <v>Belum TL</v>
          </cell>
          <cell r="T2644" t="str">
            <v>00336949 - Mochammad Al Farabi</v>
          </cell>
          <cell r="U2644" t="str">
            <v>"-"</v>
          </cell>
        </row>
        <row r="2645">
          <cell r="A2645">
            <v>46265</v>
          </cell>
          <cell r="B2645" t="str">
            <v xml:space="preserve">HARDIANTI                               </v>
          </cell>
          <cell r="C2645" t="str">
            <v>HDI1399</v>
          </cell>
          <cell r="D2645">
            <v>5301160010508</v>
          </cell>
          <cell r="E2645" t="str">
            <v>SEDANG</v>
          </cell>
          <cell r="F2645" t="str">
            <v>Tidak</v>
          </cell>
          <cell r="G2645" t="str">
            <v>Tidak</v>
          </cell>
          <cell r="H2645" t="str">
            <v>Tidak</v>
          </cell>
          <cell r="I2645" t="str">
            <v>Bandar Judol Withdrawal</v>
          </cell>
          <cell r="J2645">
            <v>50</v>
          </cell>
          <cell r="K2645" t="str">
            <v>86,88,87</v>
          </cell>
          <cell r="L2645" t="str">
            <v>Judi Online</v>
          </cell>
          <cell r="M2645" t="str">
            <v xml:space="preserve">Kas Kanpus                              </v>
          </cell>
          <cell r="N2645" t="str">
            <v xml:space="preserve">Kas Kanpus                              </v>
          </cell>
          <cell r="O2645" t="str">
            <v xml:space="preserve">KAS KANPUS                              </v>
          </cell>
          <cell r="P2645" t="str">
            <v>Ya</v>
          </cell>
          <cell r="R2645" t="str">
            <v>Done</v>
          </cell>
          <cell r="S2645" t="str">
            <v>Belum TL</v>
          </cell>
          <cell r="T2645" t="str">
            <v>90186790 - Muhammad Alfin Farha</v>
          </cell>
          <cell r="U2645" t="str">
            <v>"-"</v>
          </cell>
        </row>
        <row r="2646">
          <cell r="A2646">
            <v>46265</v>
          </cell>
          <cell r="B2646" t="str">
            <v xml:space="preserve">HERIANTO SEMBIRING                      </v>
          </cell>
          <cell r="C2646" t="str">
            <v>HCAR287</v>
          </cell>
          <cell r="D2646">
            <v>23801097951508</v>
          </cell>
          <cell r="F2646" t="str">
            <v>Tidak</v>
          </cell>
          <cell r="G2646" t="str">
            <v>Tidak</v>
          </cell>
          <cell r="H2646" t="str">
            <v>Tidak</v>
          </cell>
          <cell r="I2646" t="str">
            <v>Bandar Judol Withdrawal</v>
          </cell>
          <cell r="J2646">
            <v>35</v>
          </cell>
          <cell r="K2646" t="str">
            <v>86,88,87</v>
          </cell>
          <cell r="L2646" t="str">
            <v>Judi Online</v>
          </cell>
          <cell r="M2646" t="str">
            <v xml:space="preserve">Kas Kanpus                              </v>
          </cell>
          <cell r="N2646" t="str">
            <v xml:space="preserve">Kas Kanpus                              </v>
          </cell>
          <cell r="O2646" t="str">
            <v xml:space="preserve">KAS KANPUS                              </v>
          </cell>
          <cell r="P2646" t="str">
            <v>Ya</v>
          </cell>
          <cell r="R2646" t="str">
            <v>Done</v>
          </cell>
          <cell r="S2646" t="str">
            <v>Belum TL</v>
          </cell>
          <cell r="T2646" t="str">
            <v>00394520 - Frida Akbar Rani</v>
          </cell>
          <cell r="U2646" t="str">
            <v>"-"</v>
          </cell>
        </row>
        <row r="2647">
          <cell r="A2647">
            <v>46265</v>
          </cell>
          <cell r="B2647" t="str">
            <v xml:space="preserve">HARIANSYAH                              </v>
          </cell>
          <cell r="C2647" t="str">
            <v>HBUZ283</v>
          </cell>
          <cell r="D2647">
            <v>109101045087508</v>
          </cell>
          <cell r="F2647" t="str">
            <v>Tidak</v>
          </cell>
          <cell r="G2647" t="str">
            <v>Tidak</v>
          </cell>
          <cell r="H2647" t="str">
            <v>Tidak</v>
          </cell>
          <cell r="I2647" t="str">
            <v>Bandar Judol Withdrawal</v>
          </cell>
          <cell r="J2647">
            <v>35</v>
          </cell>
          <cell r="K2647" t="str">
            <v>86,88,87</v>
          </cell>
          <cell r="L2647" t="str">
            <v>Judi Online</v>
          </cell>
          <cell r="M2647" t="str">
            <v xml:space="preserve">Kas Kanpus                              </v>
          </cell>
          <cell r="N2647" t="str">
            <v xml:space="preserve">Kas Kanpus                              </v>
          </cell>
          <cell r="O2647" t="str">
            <v xml:space="preserve">KAS KANPUS                              </v>
          </cell>
          <cell r="P2647" t="str">
            <v>Ya</v>
          </cell>
          <cell r="R2647" t="str">
            <v>Done</v>
          </cell>
          <cell r="S2647" t="str">
            <v>Belum TL</v>
          </cell>
          <cell r="T2647" t="str">
            <v>90186796 - Devito Arya Wiradila</v>
          </cell>
          <cell r="U2647" t="str">
            <v>"-"</v>
          </cell>
        </row>
        <row r="2648">
          <cell r="A2648">
            <v>46265</v>
          </cell>
          <cell r="B2648" t="str">
            <v xml:space="preserve">HAFRIZAL                                </v>
          </cell>
          <cell r="C2648" t="str">
            <v>HBVE631</v>
          </cell>
          <cell r="D2648">
            <v>530301004460500</v>
          </cell>
          <cell r="F2648" t="str">
            <v>Tidak</v>
          </cell>
          <cell r="G2648" t="str">
            <v>Tidak</v>
          </cell>
          <cell r="H2648" t="str">
            <v>Tidak</v>
          </cell>
          <cell r="I2648" t="str">
            <v>Bandar Judol Withdrawal</v>
          </cell>
          <cell r="J2648">
            <v>35</v>
          </cell>
          <cell r="K2648" t="str">
            <v>86,88,87</v>
          </cell>
          <cell r="L2648" t="str">
            <v>Judi Online</v>
          </cell>
          <cell r="M2648" t="str">
            <v xml:space="preserve">Kas Kanpus                              </v>
          </cell>
          <cell r="N2648" t="str">
            <v xml:space="preserve">Kas Kanpus                              </v>
          </cell>
          <cell r="O2648" t="str">
            <v xml:space="preserve">KAS KANPUS                              </v>
          </cell>
          <cell r="P2648" t="str">
            <v>Ya</v>
          </cell>
          <cell r="R2648" t="str">
            <v>Done</v>
          </cell>
          <cell r="S2648" t="str">
            <v>Belum TL</v>
          </cell>
          <cell r="T2648" t="str">
            <v>90185537 - Moh.Khoerul Fajar Ar</v>
          </cell>
          <cell r="U2648" t="str">
            <v>"-"</v>
          </cell>
        </row>
        <row r="2649">
          <cell r="A2649">
            <v>46265</v>
          </cell>
          <cell r="B2649" t="str">
            <v xml:space="preserve">HANI MARNI                              </v>
          </cell>
          <cell r="C2649" t="str">
            <v>HAZU646</v>
          </cell>
          <cell r="D2649">
            <v>53301008734537</v>
          </cell>
          <cell r="F2649" t="str">
            <v>Tidak</v>
          </cell>
          <cell r="G2649" t="str">
            <v>Tidak</v>
          </cell>
          <cell r="H2649" t="str">
            <v>Tidak</v>
          </cell>
          <cell r="I2649" t="str">
            <v>Bandar Judol Withdrawal</v>
          </cell>
          <cell r="J2649">
            <v>35</v>
          </cell>
          <cell r="K2649" t="str">
            <v>86,88,87</v>
          </cell>
          <cell r="L2649" t="str">
            <v>Judi Online</v>
          </cell>
          <cell r="M2649" t="str">
            <v xml:space="preserve">Kas Kanpus                              </v>
          </cell>
          <cell r="N2649" t="str">
            <v xml:space="preserve">Kas Kanpus                              </v>
          </cell>
          <cell r="O2649" t="str">
            <v xml:space="preserve">KAS KANPUS                              </v>
          </cell>
          <cell r="P2649" t="str">
            <v>Ya</v>
          </cell>
          <cell r="R2649" t="str">
            <v>Done</v>
          </cell>
          <cell r="S2649" t="str">
            <v>Belum TL</v>
          </cell>
          <cell r="T2649" t="str">
            <v>90150130 - Intan Aida Pratiwi</v>
          </cell>
          <cell r="U2649" t="str">
            <v>"-"</v>
          </cell>
        </row>
        <row r="2650">
          <cell r="A2650">
            <v>46265</v>
          </cell>
          <cell r="B2650" t="str">
            <v xml:space="preserve">HADIN                                   </v>
          </cell>
          <cell r="C2650" t="str">
            <v>HBNA504</v>
          </cell>
          <cell r="D2650">
            <v>353001010843509</v>
          </cell>
          <cell r="F2650" t="str">
            <v>Tidak</v>
          </cell>
          <cell r="G2650" t="str">
            <v>Tidak</v>
          </cell>
          <cell r="H2650" t="str">
            <v>Tidak</v>
          </cell>
          <cell r="I2650" t="str">
            <v>Bandar Judol Withdrawal</v>
          </cell>
          <cell r="J2650">
            <v>35</v>
          </cell>
          <cell r="K2650" t="str">
            <v>86,88,87</v>
          </cell>
          <cell r="L2650" t="str">
            <v>Judi Online</v>
          </cell>
          <cell r="M2650" t="str">
            <v xml:space="preserve">Kas Kanpus                              </v>
          </cell>
          <cell r="N2650" t="str">
            <v xml:space="preserve">Kas Kanpus                              </v>
          </cell>
          <cell r="O2650" t="str">
            <v xml:space="preserve">KAS KANPUS                              </v>
          </cell>
          <cell r="P2650" t="str">
            <v>Ya</v>
          </cell>
          <cell r="R2650" t="str">
            <v>Done</v>
          </cell>
          <cell r="S2650" t="str">
            <v>Belum TL</v>
          </cell>
          <cell r="T2650" t="str">
            <v>00394520 - Frida Akbar Rani</v>
          </cell>
          <cell r="U2650" t="str">
            <v>"-"</v>
          </cell>
        </row>
        <row r="2651">
          <cell r="A2651">
            <v>46265</v>
          </cell>
          <cell r="B2651" t="str">
            <v xml:space="preserve">HARI ANWAR                              </v>
          </cell>
          <cell r="C2651" t="str">
            <v>HBJM842</v>
          </cell>
          <cell r="D2651">
            <v>86801007610505</v>
          </cell>
          <cell r="F2651" t="str">
            <v>Tidak</v>
          </cell>
          <cell r="G2651" t="str">
            <v>Tidak</v>
          </cell>
          <cell r="H2651" t="str">
            <v>Tidak</v>
          </cell>
          <cell r="I2651" t="str">
            <v>Bandar Judol Withdrawal</v>
          </cell>
          <cell r="J2651">
            <v>35</v>
          </cell>
          <cell r="K2651" t="str">
            <v>86,88,87</v>
          </cell>
          <cell r="L2651" t="str">
            <v>Judi Online</v>
          </cell>
          <cell r="M2651" t="str">
            <v xml:space="preserve">Kas Kanpus                              </v>
          </cell>
          <cell r="N2651" t="str">
            <v xml:space="preserve">Kas Kanpus                              </v>
          </cell>
          <cell r="O2651" t="str">
            <v xml:space="preserve">KAS KANPUS                              </v>
          </cell>
          <cell r="P2651" t="str">
            <v>Ya</v>
          </cell>
          <cell r="R2651" t="str">
            <v>Done</v>
          </cell>
          <cell r="S2651" t="str">
            <v>Belum TL</v>
          </cell>
          <cell r="T2651" t="str">
            <v>90171841 - Rifqi Aziz</v>
          </cell>
          <cell r="U2651" t="str">
            <v>"-"</v>
          </cell>
        </row>
        <row r="2652">
          <cell r="A2652">
            <v>46265</v>
          </cell>
          <cell r="B2652" t="str">
            <v xml:space="preserve">HALI AKBAR HUDIYONO                     </v>
          </cell>
          <cell r="C2652" t="str">
            <v>HBLV045</v>
          </cell>
          <cell r="D2652">
            <v>332201004987500</v>
          </cell>
          <cell r="F2652" t="str">
            <v>Tidak</v>
          </cell>
          <cell r="G2652" t="str">
            <v>Tidak</v>
          </cell>
          <cell r="H2652" t="str">
            <v>Tidak</v>
          </cell>
          <cell r="I2652" t="str">
            <v>Bandar Judol Withdrawal</v>
          </cell>
          <cell r="J2652">
            <v>35</v>
          </cell>
          <cell r="K2652" t="str">
            <v>86,88,87</v>
          </cell>
          <cell r="L2652" t="str">
            <v>Judi Online</v>
          </cell>
          <cell r="M2652" t="str">
            <v xml:space="preserve">Kas Kanpus                              </v>
          </cell>
          <cell r="N2652" t="str">
            <v xml:space="preserve">Kas Kanpus                              </v>
          </cell>
          <cell r="O2652" t="str">
            <v xml:space="preserve">KAS KANPUS                              </v>
          </cell>
          <cell r="P2652" t="str">
            <v>Ya</v>
          </cell>
          <cell r="R2652" t="str">
            <v>Done</v>
          </cell>
          <cell r="S2652" t="str">
            <v>Belum TL</v>
          </cell>
          <cell r="T2652" t="str">
            <v>90186796 - Devito Arya Wiradila</v>
          </cell>
          <cell r="U2652" t="str">
            <v>"-"</v>
          </cell>
        </row>
        <row r="2653">
          <cell r="A2653">
            <v>46265</v>
          </cell>
          <cell r="B2653" t="str">
            <v xml:space="preserve">GONDOSARI HARTA NUSANTARA               </v>
          </cell>
          <cell r="C2653" t="str">
            <v>GN06499</v>
          </cell>
          <cell r="D2653">
            <v>3801002924566</v>
          </cell>
          <cell r="E2653" t="str">
            <v>TINGGI</v>
          </cell>
          <cell r="F2653" t="str">
            <v>Tidak</v>
          </cell>
          <cell r="G2653" t="str">
            <v>Tidak</v>
          </cell>
          <cell r="H2653" t="str">
            <v>Tidak</v>
          </cell>
          <cell r="I2653" t="str">
            <v>Perpajakan</v>
          </cell>
          <cell r="J2653">
            <v>63</v>
          </cell>
          <cell r="K2653">
            <v>41</v>
          </cell>
          <cell r="L2653" t="str">
            <v>Perpajakan</v>
          </cell>
          <cell r="M2653" t="str">
            <v xml:space="preserve">KC Kudus                                </v>
          </cell>
          <cell r="N2653" t="str">
            <v xml:space="preserve">KC Kudus                                </v>
          </cell>
          <cell r="O2653" t="str">
            <v xml:space="preserve">Semarang                                </v>
          </cell>
          <cell r="P2653" t="str">
            <v>Tidak</v>
          </cell>
          <cell r="R2653" t="str">
            <v>Done</v>
          </cell>
          <cell r="S2653" t="str">
            <v>Belum TL</v>
          </cell>
          <cell r="T2653" t="str">
            <v>90170665 - Mutiara Ayuningtyas</v>
          </cell>
          <cell r="U2653" t="str">
            <v>"-"</v>
          </cell>
        </row>
        <row r="2654">
          <cell r="A2654">
            <v>46265</v>
          </cell>
          <cell r="B2654" t="str">
            <v xml:space="preserve">GAYA SASTRA INDAH                       </v>
          </cell>
          <cell r="C2654" t="str">
            <v>GO88861</v>
          </cell>
          <cell r="D2654">
            <v>1801004745302</v>
          </cell>
          <cell r="E2654" t="str">
            <v>TINGGI</v>
          </cell>
          <cell r="F2654" t="str">
            <v>Tidak</v>
          </cell>
          <cell r="G2654" t="str">
            <v>Tidak</v>
          </cell>
          <cell r="H2654" t="str">
            <v>Tidak</v>
          </cell>
          <cell r="I2654" t="str">
            <v>Perpajakan</v>
          </cell>
          <cell r="J2654">
            <v>63</v>
          </cell>
          <cell r="K2654">
            <v>41</v>
          </cell>
          <cell r="L2654" t="str">
            <v>Perpajakan</v>
          </cell>
          <cell r="M2654" t="str">
            <v xml:space="preserve">KC Jakarta Tanah Abang                  </v>
          </cell>
          <cell r="N2654" t="str">
            <v xml:space="preserve">KC Jakarta Tanah Abang                  </v>
          </cell>
          <cell r="O2654" t="str">
            <v xml:space="preserve">DKI                                     </v>
          </cell>
          <cell r="P2654" t="str">
            <v>Tidak</v>
          </cell>
          <cell r="R2654" t="str">
            <v>Done</v>
          </cell>
          <cell r="S2654" t="str">
            <v>Belum TL</v>
          </cell>
          <cell r="T2654" t="str">
            <v>90171841 - Rifqi Aziz</v>
          </cell>
          <cell r="U2654" t="str">
            <v>"-"</v>
          </cell>
        </row>
        <row r="2655">
          <cell r="A2655">
            <v>46265</v>
          </cell>
          <cell r="B2655" t="str">
            <v xml:space="preserve">GADUNG SITEPU                           </v>
          </cell>
          <cell r="C2655" t="str">
            <v>GT97376</v>
          </cell>
          <cell r="D2655">
            <v>782801019039530</v>
          </cell>
          <cell r="F2655" t="str">
            <v>Tidak</v>
          </cell>
          <cell r="G2655" t="str">
            <v>Tidak</v>
          </cell>
          <cell r="H2655" t="str">
            <v>Tidak</v>
          </cell>
          <cell r="I2655" t="str">
            <v>Bandar Judol Withdrawal</v>
          </cell>
          <cell r="J2655">
            <v>35</v>
          </cell>
          <cell r="K2655" t="str">
            <v>86,88,87</v>
          </cell>
          <cell r="L2655" t="str">
            <v>Judi Online</v>
          </cell>
          <cell r="M2655" t="str">
            <v xml:space="preserve">Kas Kanpus                              </v>
          </cell>
          <cell r="N2655" t="str">
            <v xml:space="preserve">Kas Kanpus                              </v>
          </cell>
          <cell r="O2655" t="str">
            <v xml:space="preserve">KAS KANPUS                              </v>
          </cell>
          <cell r="P2655" t="str">
            <v>Ya</v>
          </cell>
          <cell r="R2655" t="str">
            <v>Done</v>
          </cell>
          <cell r="S2655" t="str">
            <v>Belum TL</v>
          </cell>
          <cell r="T2655" t="str">
            <v>90185538 - Muhammad Fahikal Auz</v>
          </cell>
          <cell r="U2655" t="str">
            <v>"-"</v>
          </cell>
        </row>
        <row r="2656">
          <cell r="A2656">
            <v>46265</v>
          </cell>
          <cell r="B2656" t="str">
            <v xml:space="preserve">GALEH ADE HAMZYAH                       </v>
          </cell>
          <cell r="C2656" t="str">
            <v>GU11673</v>
          </cell>
          <cell r="D2656">
            <v>713001007984508</v>
          </cell>
          <cell r="F2656" t="str">
            <v>Tidak</v>
          </cell>
          <cell r="G2656" t="str">
            <v>Tidak</v>
          </cell>
          <cell r="H2656" t="str">
            <v>Tidak</v>
          </cell>
          <cell r="I2656" t="str">
            <v>Bandar Judol Withdrawal</v>
          </cell>
          <cell r="J2656">
            <v>35</v>
          </cell>
          <cell r="K2656" t="str">
            <v>86,88,87</v>
          </cell>
          <cell r="L2656" t="str">
            <v>Judi Online</v>
          </cell>
          <cell r="M2656" t="str">
            <v xml:space="preserve">Kas Kanpus                              </v>
          </cell>
          <cell r="N2656" t="str">
            <v xml:space="preserve">Kas Kanpus                              </v>
          </cell>
          <cell r="O2656" t="str">
            <v xml:space="preserve">KAS KANPUS                              </v>
          </cell>
          <cell r="P2656" t="str">
            <v>Ya</v>
          </cell>
          <cell r="R2656" t="str">
            <v>Done</v>
          </cell>
          <cell r="S2656" t="str">
            <v>Belum TL</v>
          </cell>
          <cell r="T2656" t="str">
            <v>00394521 - Muhammad Hibbanduta</v>
          </cell>
          <cell r="U2656" t="str">
            <v>"-"</v>
          </cell>
        </row>
        <row r="2657">
          <cell r="A2657">
            <v>46265</v>
          </cell>
          <cell r="B2657" t="str">
            <v xml:space="preserve">GRIYA PRATAMA SOLUSI                    </v>
          </cell>
          <cell r="C2657" t="str">
            <v>GN97422</v>
          </cell>
          <cell r="D2657">
            <v>34001003658309</v>
          </cell>
          <cell r="E2657" t="str">
            <v>SEDANG</v>
          </cell>
          <cell r="F2657" t="str">
            <v>Tidak</v>
          </cell>
          <cell r="G2657" t="str">
            <v>Tidak</v>
          </cell>
          <cell r="H2657" t="str">
            <v>Tidak</v>
          </cell>
          <cell r="I2657" t="str">
            <v>Perpajakan</v>
          </cell>
          <cell r="J2657">
            <v>48</v>
          </cell>
          <cell r="K2657">
            <v>41</v>
          </cell>
          <cell r="L2657" t="str">
            <v>Perpajakan</v>
          </cell>
          <cell r="M2657" t="str">
            <v xml:space="preserve">KC JAKARTA OTISTA                       </v>
          </cell>
          <cell r="N2657" t="str">
            <v xml:space="preserve">KC JAKARTA OTISTA                       </v>
          </cell>
          <cell r="O2657" t="str">
            <v xml:space="preserve">DKI                                     </v>
          </cell>
          <cell r="P2657" t="str">
            <v>Tidak</v>
          </cell>
          <cell r="R2657" t="str">
            <v>Done</v>
          </cell>
          <cell r="S2657" t="str">
            <v>Belum TL</v>
          </cell>
          <cell r="T2657" t="str">
            <v>90185537 - Moh.Khoerul Fajar Ar</v>
          </cell>
          <cell r="U2657" t="str">
            <v>"-"</v>
          </cell>
        </row>
        <row r="2658">
          <cell r="A2658">
            <v>46265</v>
          </cell>
          <cell r="B2658" t="str">
            <v xml:space="preserve">GADING GOVERKOBEAN HATUMENA             </v>
          </cell>
          <cell r="C2658" t="str">
            <v>GN99610</v>
          </cell>
          <cell r="D2658">
            <v>94101004935502</v>
          </cell>
          <cell r="E2658" t="str">
            <v>SEDANG</v>
          </cell>
          <cell r="F2658" t="str">
            <v>Tidak</v>
          </cell>
          <cell r="G2658" t="str">
            <v>Tidak</v>
          </cell>
          <cell r="H2658" t="str">
            <v>Tidak</v>
          </cell>
          <cell r="I2658" t="str">
            <v>Bandar Judol Withdrawal</v>
          </cell>
          <cell r="J2658">
            <v>50</v>
          </cell>
          <cell r="K2658" t="str">
            <v>86,88,87</v>
          </cell>
          <cell r="L2658" t="str">
            <v>Judi Online</v>
          </cell>
          <cell r="M2658" t="str">
            <v xml:space="preserve">Kas Kanpus                              </v>
          </cell>
          <cell r="N2658" t="str">
            <v xml:space="preserve">Kas Kanpus                              </v>
          </cell>
          <cell r="O2658" t="str">
            <v xml:space="preserve">KAS KANPUS                              </v>
          </cell>
          <cell r="P2658" t="str">
            <v>Ya</v>
          </cell>
          <cell r="R2658" t="str">
            <v>Done</v>
          </cell>
          <cell r="S2658" t="str">
            <v>Belum TL</v>
          </cell>
          <cell r="T2658" t="str">
            <v>90186796 - Devito Arya Wiradila</v>
          </cell>
          <cell r="U2658" t="str">
            <v>"-"</v>
          </cell>
        </row>
        <row r="2659">
          <cell r="A2659">
            <v>46265</v>
          </cell>
          <cell r="B2659" t="str">
            <v xml:space="preserve">GITHA SUSILO                            </v>
          </cell>
          <cell r="C2659" t="str">
            <v>GO54451</v>
          </cell>
          <cell r="D2659">
            <v>41701001078306</v>
          </cell>
          <cell r="E2659" t="str">
            <v>RENDAH</v>
          </cell>
          <cell r="F2659" t="str">
            <v>Tidak</v>
          </cell>
          <cell r="G2659" t="str">
            <v>Tidak</v>
          </cell>
          <cell r="H2659" t="str">
            <v>Tidak</v>
          </cell>
          <cell r="I2659" t="str">
            <v>High Transaction Custodian</v>
          </cell>
          <cell r="J2659">
            <v>41</v>
          </cell>
          <cell r="K2659">
            <v>32</v>
          </cell>
          <cell r="L2659" t="str">
            <v>Kustodian</v>
          </cell>
          <cell r="M2659" t="str">
            <v>Kas Kanpus</v>
          </cell>
          <cell r="N2659" t="str">
            <v>Kas Kanpus</v>
          </cell>
          <cell r="O2659" t="str">
            <v>KAS KANPUS</v>
          </cell>
          <cell r="P2659" t="str">
            <v>Tidak</v>
          </cell>
          <cell r="R2659" t="str">
            <v>Done</v>
          </cell>
          <cell r="S2659" t="str">
            <v>Belum TL</v>
          </cell>
          <cell r="T2659" t="str">
            <v>00394521 - Muhammad Hibbanduta</v>
          </cell>
          <cell r="U2659" t="str">
            <v>"-"</v>
          </cell>
        </row>
        <row r="2660">
          <cell r="A2660">
            <v>46265</v>
          </cell>
          <cell r="B2660" t="str">
            <v xml:space="preserve">GUNADHI DHARMAWAN LESMANA               </v>
          </cell>
          <cell r="C2660" t="str">
            <v>GO54468</v>
          </cell>
          <cell r="D2660">
            <v>41701001079302</v>
          </cell>
          <cell r="E2660" t="str">
            <v>SEDANG</v>
          </cell>
          <cell r="F2660" t="str">
            <v>Tidak</v>
          </cell>
          <cell r="G2660" t="str">
            <v>Tidak</v>
          </cell>
          <cell r="H2660" t="str">
            <v>Tidak</v>
          </cell>
          <cell r="I2660" t="str">
            <v>High Transaction Custodian</v>
          </cell>
          <cell r="J2660">
            <v>46</v>
          </cell>
          <cell r="K2660">
            <v>32</v>
          </cell>
          <cell r="L2660" t="str">
            <v>Kustodian</v>
          </cell>
          <cell r="M2660" t="str">
            <v>Kas Kanpus</v>
          </cell>
          <cell r="N2660" t="str">
            <v>Kas Kanpus</v>
          </cell>
          <cell r="O2660" t="str">
            <v>KAS KANPUS</v>
          </cell>
          <cell r="P2660" t="str">
            <v>Tidak</v>
          </cell>
          <cell r="R2660" t="str">
            <v>Done</v>
          </cell>
          <cell r="S2660" t="str">
            <v>Belum TL</v>
          </cell>
          <cell r="T2660" t="str">
            <v>90186790 - Muhammad Alfin Farha</v>
          </cell>
          <cell r="U2660" t="str">
            <v>"-"</v>
          </cell>
        </row>
        <row r="2661">
          <cell r="A2661">
            <v>46265</v>
          </cell>
          <cell r="B2661" t="str">
            <v xml:space="preserve">HENDRA YANI                             </v>
          </cell>
          <cell r="C2661" t="str">
            <v>HASV951</v>
          </cell>
          <cell r="D2661">
            <v>526001002657507</v>
          </cell>
          <cell r="F2661" t="str">
            <v>Tidak</v>
          </cell>
          <cell r="G2661" t="str">
            <v>Tidak</v>
          </cell>
          <cell r="H2661" t="str">
            <v>Tidak</v>
          </cell>
          <cell r="I2661" t="str">
            <v>Bandar Judol Withdrawal</v>
          </cell>
          <cell r="J2661">
            <v>35</v>
          </cell>
          <cell r="K2661" t="str">
            <v>86,88,87</v>
          </cell>
          <cell r="L2661" t="str">
            <v>Judi Online</v>
          </cell>
          <cell r="M2661" t="str">
            <v xml:space="preserve">Kas Kanpus                              </v>
          </cell>
          <cell r="N2661" t="str">
            <v xml:space="preserve">Kas Kanpus                              </v>
          </cell>
          <cell r="O2661" t="str">
            <v xml:space="preserve">KAS KANPUS                              </v>
          </cell>
          <cell r="P2661" t="str">
            <v>Ya</v>
          </cell>
          <cell r="R2661" t="str">
            <v>Done</v>
          </cell>
          <cell r="S2661" t="str">
            <v>Belum TL</v>
          </cell>
          <cell r="T2661" t="str">
            <v>90150130 - Intan Aida Pratiwi</v>
          </cell>
          <cell r="U2661" t="str">
            <v>"-"</v>
          </cell>
        </row>
        <row r="2662">
          <cell r="A2662">
            <v>46265</v>
          </cell>
          <cell r="B2662" t="str">
            <v xml:space="preserve">HOLIL                                   </v>
          </cell>
          <cell r="C2662" t="str">
            <v>HAYW113</v>
          </cell>
          <cell r="D2662">
            <v>112901036859501</v>
          </cell>
          <cell r="F2662" t="str">
            <v>Tidak</v>
          </cell>
          <cell r="G2662" t="str">
            <v>Tidak</v>
          </cell>
          <cell r="H2662" t="str">
            <v>Tidak</v>
          </cell>
          <cell r="I2662" t="str">
            <v>Bandar Judol Withdrawal</v>
          </cell>
          <cell r="J2662">
            <v>35</v>
          </cell>
          <cell r="K2662" t="str">
            <v>86,88,87</v>
          </cell>
          <cell r="L2662" t="str">
            <v>Judi Online</v>
          </cell>
          <cell r="M2662" t="str">
            <v xml:space="preserve">Kas Kanpus                              </v>
          </cell>
          <cell r="N2662" t="str">
            <v xml:space="preserve">Kas Kanpus                              </v>
          </cell>
          <cell r="O2662" t="str">
            <v xml:space="preserve">KAS KANPUS                              </v>
          </cell>
          <cell r="P2662" t="str">
            <v>Ya</v>
          </cell>
          <cell r="R2662" t="str">
            <v>Done</v>
          </cell>
          <cell r="S2662" t="str">
            <v>Belum TL</v>
          </cell>
          <cell r="T2662" t="str">
            <v>00394520 - Frida Akbar Rani</v>
          </cell>
          <cell r="U2662" t="str">
            <v>"-"</v>
          </cell>
        </row>
        <row r="2663">
          <cell r="A2663">
            <v>46265</v>
          </cell>
          <cell r="B2663" t="str">
            <v xml:space="preserve">HEXSA MUTIARA MENTARI                   </v>
          </cell>
          <cell r="C2663" t="str">
            <v>HAXI567</v>
          </cell>
          <cell r="D2663">
            <v>33601004070563</v>
          </cell>
          <cell r="F2663" t="str">
            <v>Tidak</v>
          </cell>
          <cell r="G2663" t="str">
            <v>Tidak</v>
          </cell>
          <cell r="H2663" t="str">
            <v>Tidak</v>
          </cell>
          <cell r="I2663" t="str">
            <v>Bandar Judol Withdrawal</v>
          </cell>
          <cell r="J2663">
            <v>35</v>
          </cell>
          <cell r="K2663" t="str">
            <v>86,88,87</v>
          </cell>
          <cell r="L2663" t="str">
            <v>Judi Online</v>
          </cell>
          <cell r="M2663" t="str">
            <v xml:space="preserve">Kas Kanpus                              </v>
          </cell>
          <cell r="N2663" t="str">
            <v xml:space="preserve">Kas Kanpus                              </v>
          </cell>
          <cell r="O2663" t="str">
            <v xml:space="preserve">KAS KANPUS                              </v>
          </cell>
          <cell r="P2663" t="str">
            <v>Ya</v>
          </cell>
          <cell r="R2663" t="str">
            <v>Done</v>
          </cell>
          <cell r="S2663" t="str">
            <v>Belum TL</v>
          </cell>
          <cell r="T2663" t="str">
            <v>90171841 - Rifqi Aziz</v>
          </cell>
          <cell r="U2663" t="str">
            <v>"-"</v>
          </cell>
        </row>
        <row r="2664">
          <cell r="A2664">
            <v>46265</v>
          </cell>
          <cell r="B2664" t="str">
            <v xml:space="preserve">HARTILA SAKINA PUTRI                    </v>
          </cell>
          <cell r="C2664" t="str">
            <v>HAOS682</v>
          </cell>
          <cell r="D2664">
            <v>65801006244530</v>
          </cell>
          <cell r="E2664" t="str">
            <v>SEDANG</v>
          </cell>
          <cell r="F2664" t="str">
            <v>Tidak</v>
          </cell>
          <cell r="G2664" t="str">
            <v>Tidak</v>
          </cell>
          <cell r="H2664" t="str">
            <v>Tidak</v>
          </cell>
          <cell r="I2664" t="str">
            <v>Bandar Judol Withdrawal</v>
          </cell>
          <cell r="J2664">
            <v>50</v>
          </cell>
          <cell r="K2664" t="str">
            <v>86,88,87</v>
          </cell>
          <cell r="L2664" t="str">
            <v>Judi Online</v>
          </cell>
          <cell r="M2664" t="str">
            <v xml:space="preserve">Kas Kanpus                              </v>
          </cell>
          <cell r="N2664" t="str">
            <v xml:space="preserve">Kas Kanpus                              </v>
          </cell>
          <cell r="O2664" t="str">
            <v xml:space="preserve">KAS KANPUS                              </v>
          </cell>
          <cell r="P2664" t="str">
            <v>Ya</v>
          </cell>
          <cell r="R2664" t="str">
            <v>Done</v>
          </cell>
          <cell r="S2664" t="str">
            <v>Belum TL</v>
          </cell>
          <cell r="T2664" t="str">
            <v>00336949 - Mochammad Al Farabi</v>
          </cell>
          <cell r="U2664" t="str">
            <v>"-"</v>
          </cell>
        </row>
        <row r="2665">
          <cell r="A2665">
            <v>46265</v>
          </cell>
          <cell r="B2665" t="str">
            <v xml:space="preserve">HAMIM TABIAN ABDULLAH                   </v>
          </cell>
          <cell r="C2665" t="str">
            <v>HAFP431</v>
          </cell>
          <cell r="D2665">
            <v>12001289975501</v>
          </cell>
          <cell r="E2665" t="str">
            <v>SEDANG</v>
          </cell>
          <cell r="F2665" t="str">
            <v>Tidak</v>
          </cell>
          <cell r="G2665" t="str">
            <v>Tidak</v>
          </cell>
          <cell r="H2665" t="str">
            <v>Tidak</v>
          </cell>
          <cell r="I2665" t="str">
            <v>Bandar Judol Withdrawal</v>
          </cell>
          <cell r="J2665">
            <v>50</v>
          </cell>
          <cell r="K2665" t="str">
            <v>86,88,87</v>
          </cell>
          <cell r="L2665" t="str">
            <v>Judi Online</v>
          </cell>
          <cell r="M2665" t="str">
            <v xml:space="preserve">Kas Kanpus                              </v>
          </cell>
          <cell r="N2665" t="str">
            <v xml:space="preserve">Kas Kanpus                              </v>
          </cell>
          <cell r="O2665" t="str">
            <v xml:space="preserve">KAS KANPUS                              </v>
          </cell>
          <cell r="P2665" t="str">
            <v>Ya</v>
          </cell>
          <cell r="R2665" t="str">
            <v>Done</v>
          </cell>
          <cell r="S2665" t="str">
            <v>Belum TL</v>
          </cell>
          <cell r="T2665" t="str">
            <v>90185537 - Moh.Khoerul Fajar Ar</v>
          </cell>
          <cell r="U2665" t="str">
            <v>"-"</v>
          </cell>
        </row>
        <row r="2666">
          <cell r="A2666">
            <v>46265</v>
          </cell>
          <cell r="B2666" t="str">
            <v xml:space="preserve">HARTONO WIJAYA ANGGREK                  </v>
          </cell>
          <cell r="C2666" t="str">
            <v>HADX739</v>
          </cell>
          <cell r="D2666">
            <v>66401014666503</v>
          </cell>
          <cell r="E2666" t="str">
            <v>SEDANG</v>
          </cell>
          <cell r="F2666" t="str">
            <v>Tidak</v>
          </cell>
          <cell r="G2666" t="str">
            <v>Tidak</v>
          </cell>
          <cell r="H2666" t="str">
            <v>Tidak</v>
          </cell>
          <cell r="I2666" t="str">
            <v>Bandar Judol Depo</v>
          </cell>
          <cell r="J2666">
            <v>50</v>
          </cell>
          <cell r="K2666" t="str">
            <v>86,74,87</v>
          </cell>
          <cell r="L2666" t="str">
            <v>Judi Online</v>
          </cell>
          <cell r="M2666" t="str">
            <v xml:space="preserve">Kas Kanpus                              </v>
          </cell>
          <cell r="N2666" t="str">
            <v xml:space="preserve">Kas Kanpus                              </v>
          </cell>
          <cell r="O2666" t="str">
            <v xml:space="preserve">KAS KANPUS                              </v>
          </cell>
          <cell r="P2666" t="str">
            <v>Ya</v>
          </cell>
          <cell r="R2666" t="str">
            <v>Done</v>
          </cell>
          <cell r="S2666" t="str">
            <v>Belum TL</v>
          </cell>
          <cell r="T2666" t="str">
            <v>00336949 - Mochammad Al Farabi</v>
          </cell>
          <cell r="U2666" t="str">
            <v>"-"</v>
          </cell>
        </row>
        <row r="2667">
          <cell r="A2667">
            <v>46265</v>
          </cell>
          <cell r="B2667" t="str">
            <v xml:space="preserve">FITRI HERMANSYAH                        </v>
          </cell>
          <cell r="C2667" t="str">
            <v>FRG6067</v>
          </cell>
          <cell r="D2667">
            <v>150301000063566</v>
          </cell>
          <cell r="F2667" t="str">
            <v>Tidak</v>
          </cell>
          <cell r="G2667" t="str">
            <v>Tidak</v>
          </cell>
          <cell r="H2667" t="str">
            <v>Tidak</v>
          </cell>
          <cell r="I2667" t="str">
            <v>Bandar Judol Withdrawal</v>
          </cell>
          <cell r="J2667">
            <v>35</v>
          </cell>
          <cell r="K2667" t="str">
            <v>86,88,87</v>
          </cell>
          <cell r="L2667" t="str">
            <v>Judi Online</v>
          </cell>
          <cell r="M2667" t="str">
            <v xml:space="preserve">Kas Kanpus                              </v>
          </cell>
          <cell r="N2667" t="str">
            <v xml:space="preserve">Kas Kanpus                              </v>
          </cell>
          <cell r="O2667" t="str">
            <v xml:space="preserve">KAS KANPUS                              </v>
          </cell>
          <cell r="P2667" t="str">
            <v>Ya</v>
          </cell>
          <cell r="R2667" t="str">
            <v>Done</v>
          </cell>
          <cell r="S2667" t="str">
            <v>Belum TL</v>
          </cell>
          <cell r="T2667" t="str">
            <v>00394521 - Muhammad Hibbanduta</v>
          </cell>
          <cell r="U2667" t="str">
            <v>"-"</v>
          </cell>
        </row>
        <row r="2668">
          <cell r="A2668">
            <v>46265</v>
          </cell>
          <cell r="B2668" t="str">
            <v xml:space="preserve">FADHEL IBENAGIE                         </v>
          </cell>
          <cell r="C2668" t="str">
            <v>FTC3308</v>
          </cell>
          <cell r="D2668">
            <v>1201312088505</v>
          </cell>
          <cell r="F2668" t="str">
            <v>Tidak</v>
          </cell>
          <cell r="G2668" t="str">
            <v>Tidak</v>
          </cell>
          <cell r="H2668" t="str">
            <v>Tidak</v>
          </cell>
          <cell r="I2668" t="str">
            <v>Bandar Judol Withdrawal</v>
          </cell>
          <cell r="J2668">
            <v>35</v>
          </cell>
          <cell r="K2668" t="str">
            <v>86,88,87</v>
          </cell>
          <cell r="L2668" t="str">
            <v>Judi Online</v>
          </cell>
          <cell r="M2668" t="str">
            <v xml:space="preserve">Kas Kanpus                              </v>
          </cell>
          <cell r="N2668" t="str">
            <v xml:space="preserve">Kas Kanpus                              </v>
          </cell>
          <cell r="O2668" t="str">
            <v xml:space="preserve">KAS KANPUS                              </v>
          </cell>
          <cell r="P2668" t="str">
            <v>Ya</v>
          </cell>
          <cell r="R2668" t="str">
            <v>Done</v>
          </cell>
          <cell r="S2668" t="str">
            <v>Belum TL</v>
          </cell>
          <cell r="T2668" t="str">
            <v>90186796 - Devito Arya Wiradila</v>
          </cell>
          <cell r="U2668" t="str">
            <v>"-"</v>
          </cell>
        </row>
        <row r="2669">
          <cell r="A2669">
            <v>46265</v>
          </cell>
          <cell r="B2669" t="str">
            <v xml:space="preserve">FAISAL RAMADHAN                         </v>
          </cell>
          <cell r="C2669" t="str">
            <v>FSP5569</v>
          </cell>
          <cell r="D2669">
            <v>530101025291504</v>
          </cell>
          <cell r="F2669" t="str">
            <v>Tidak</v>
          </cell>
          <cell r="G2669" t="str">
            <v>Tidak</v>
          </cell>
          <cell r="H2669" t="str">
            <v>Tidak</v>
          </cell>
          <cell r="I2669" t="str">
            <v>Bandar Judol Depo</v>
          </cell>
          <cell r="J2669">
            <v>35</v>
          </cell>
          <cell r="K2669" t="str">
            <v>86,74,87</v>
          </cell>
          <cell r="L2669" t="str">
            <v>Judi Online</v>
          </cell>
          <cell r="M2669" t="str">
            <v xml:space="preserve">Kas Kanpus                              </v>
          </cell>
          <cell r="N2669" t="str">
            <v xml:space="preserve">Kas Kanpus                              </v>
          </cell>
          <cell r="O2669" t="str">
            <v xml:space="preserve">KAS KANPUS                              </v>
          </cell>
          <cell r="P2669" t="str">
            <v>Ya</v>
          </cell>
          <cell r="R2669" t="str">
            <v>Done</v>
          </cell>
          <cell r="S2669" t="str">
            <v>Belum TL</v>
          </cell>
          <cell r="T2669" t="str">
            <v>00394520 - Frida Akbar Rani</v>
          </cell>
          <cell r="U2669" t="str">
            <v>"-"</v>
          </cell>
        </row>
        <row r="2670">
          <cell r="A2670">
            <v>46265</v>
          </cell>
          <cell r="B2670" t="str">
            <v xml:space="preserve">FERI SUSANTO                            </v>
          </cell>
          <cell r="C2670" t="str">
            <v>FRO3731</v>
          </cell>
          <cell r="D2670">
            <v>217701021385503</v>
          </cell>
          <cell r="F2670" t="str">
            <v>Tidak</v>
          </cell>
          <cell r="G2670" t="str">
            <v>Tidak</v>
          </cell>
          <cell r="H2670" t="str">
            <v>Tidak</v>
          </cell>
          <cell r="I2670" t="str">
            <v>Bandar Judol Withdrawal</v>
          </cell>
          <cell r="J2670">
            <v>35</v>
          </cell>
          <cell r="K2670" t="str">
            <v>86,88,87</v>
          </cell>
          <cell r="L2670" t="str">
            <v>Judi Online</v>
          </cell>
          <cell r="M2670" t="str">
            <v xml:space="preserve">Kas Kanpus                              </v>
          </cell>
          <cell r="N2670" t="str">
            <v xml:space="preserve">Kas Kanpus                              </v>
          </cell>
          <cell r="O2670" t="str">
            <v xml:space="preserve">KAS KANPUS                              </v>
          </cell>
          <cell r="P2670" t="str">
            <v>Ya</v>
          </cell>
          <cell r="R2670" t="str">
            <v>Done</v>
          </cell>
          <cell r="S2670" t="str">
            <v>Belum TL</v>
          </cell>
          <cell r="T2670" t="str">
            <v>90186790 - Muhammad Alfin Farha</v>
          </cell>
          <cell r="U2670" t="str">
            <v>"-"</v>
          </cell>
        </row>
        <row r="2671">
          <cell r="A2671">
            <v>46265</v>
          </cell>
          <cell r="B2671" t="str">
            <v xml:space="preserve">FITRIANI                                </v>
          </cell>
          <cell r="C2671" t="str">
            <v>FRP1005</v>
          </cell>
          <cell r="D2671">
            <v>334801014635509</v>
          </cell>
          <cell r="F2671" t="str">
            <v>Tidak</v>
          </cell>
          <cell r="G2671" t="str">
            <v>Tidak</v>
          </cell>
          <cell r="H2671" t="str">
            <v>Tidak</v>
          </cell>
          <cell r="I2671" t="str">
            <v>Bandar Judol Depo</v>
          </cell>
          <cell r="J2671">
            <v>35</v>
          </cell>
          <cell r="K2671" t="str">
            <v>86,74,87</v>
          </cell>
          <cell r="L2671" t="str">
            <v>Judi Online</v>
          </cell>
          <cell r="M2671" t="str">
            <v xml:space="preserve">Kas Kanpus                              </v>
          </cell>
          <cell r="N2671" t="str">
            <v xml:space="preserve">Kas Kanpus                              </v>
          </cell>
          <cell r="O2671" t="str">
            <v xml:space="preserve">KAS KANPUS                              </v>
          </cell>
          <cell r="P2671" t="str">
            <v>Ya</v>
          </cell>
          <cell r="R2671" t="str">
            <v>Done</v>
          </cell>
          <cell r="S2671" t="str">
            <v>Belum TL</v>
          </cell>
          <cell r="T2671" t="str">
            <v>00336949 - Mochammad Al Farabi</v>
          </cell>
          <cell r="U2671" t="str">
            <v>"-"</v>
          </cell>
        </row>
        <row r="2672">
          <cell r="A2672">
            <v>46265</v>
          </cell>
          <cell r="B2672" t="str">
            <v xml:space="preserve">FAISAL                                  </v>
          </cell>
          <cell r="C2672" t="str">
            <v>FRP1424</v>
          </cell>
          <cell r="D2672">
            <v>100101001237568</v>
          </cell>
          <cell r="F2672" t="str">
            <v>Tidak</v>
          </cell>
          <cell r="G2672" t="str">
            <v>Tidak</v>
          </cell>
          <cell r="H2672" t="str">
            <v>Tidak</v>
          </cell>
          <cell r="I2672" t="str">
            <v>Bandar Judol Depo</v>
          </cell>
          <cell r="J2672">
            <v>35</v>
          </cell>
          <cell r="K2672" t="str">
            <v>86,74,87</v>
          </cell>
          <cell r="L2672" t="str">
            <v>Judi Online</v>
          </cell>
          <cell r="M2672" t="str">
            <v xml:space="preserve">Kas Kanpus                              </v>
          </cell>
          <cell r="N2672" t="str">
            <v xml:space="preserve">Kas Kanpus                              </v>
          </cell>
          <cell r="O2672" t="str">
            <v xml:space="preserve">KAS KANPUS                              </v>
          </cell>
          <cell r="P2672" t="str">
            <v>Ya</v>
          </cell>
          <cell r="R2672" t="str">
            <v>Done</v>
          </cell>
          <cell r="S2672" t="str">
            <v>Belum TL</v>
          </cell>
          <cell r="T2672" t="str">
            <v>00394521 - Muhammad Hibbanduta</v>
          </cell>
          <cell r="U2672" t="str">
            <v>"-"</v>
          </cell>
        </row>
        <row r="2673">
          <cell r="A2673">
            <v>46265</v>
          </cell>
          <cell r="B2673" t="str">
            <v xml:space="preserve">FITRA FITRIYANSYAH                      </v>
          </cell>
          <cell r="C2673" t="str">
            <v>FRT0256</v>
          </cell>
          <cell r="D2673">
            <v>82201006098500</v>
          </cell>
          <cell r="F2673" t="str">
            <v>Tidak</v>
          </cell>
          <cell r="G2673" t="str">
            <v>Tidak</v>
          </cell>
          <cell r="H2673" t="str">
            <v>Tidak</v>
          </cell>
          <cell r="I2673" t="str">
            <v>Bandar Judol Withdrawal</v>
          </cell>
          <cell r="J2673">
            <v>35</v>
          </cell>
          <cell r="K2673" t="str">
            <v>86,88,87</v>
          </cell>
          <cell r="L2673" t="str">
            <v>Judi Online</v>
          </cell>
          <cell r="M2673" t="str">
            <v xml:space="preserve">Kas Kanpus                              </v>
          </cell>
          <cell r="N2673" t="str">
            <v xml:space="preserve">Kas Kanpus                              </v>
          </cell>
          <cell r="O2673" t="str">
            <v xml:space="preserve">KAS KANPUS                              </v>
          </cell>
          <cell r="P2673" t="str">
            <v>Tidak</v>
          </cell>
          <cell r="R2673" t="str">
            <v>Done</v>
          </cell>
          <cell r="S2673" t="str">
            <v>Belum TL</v>
          </cell>
          <cell r="T2673" t="str">
            <v>90185537 - Moh.Khoerul Fajar Ar</v>
          </cell>
          <cell r="U2673" t="str">
            <v>"-"</v>
          </cell>
        </row>
        <row r="2674">
          <cell r="A2674">
            <v>46265</v>
          </cell>
          <cell r="B2674" t="str">
            <v xml:space="preserve">FARREL JULIAN HARTONO                   </v>
          </cell>
          <cell r="C2674" t="str">
            <v>FRF7474</v>
          </cell>
          <cell r="D2674">
            <v>204501012837500</v>
          </cell>
          <cell r="F2674" t="str">
            <v>Tidak</v>
          </cell>
          <cell r="G2674" t="str">
            <v>Tidak</v>
          </cell>
          <cell r="H2674" t="str">
            <v>Tidak</v>
          </cell>
          <cell r="I2674" t="str">
            <v>Bandar Judol Withdrawal</v>
          </cell>
          <cell r="J2674">
            <v>35</v>
          </cell>
          <cell r="K2674" t="str">
            <v>86,88,87</v>
          </cell>
          <cell r="L2674" t="str">
            <v>Judi Online</v>
          </cell>
          <cell r="M2674" t="str">
            <v xml:space="preserve">Kas Kanpus                              </v>
          </cell>
          <cell r="N2674" t="str">
            <v xml:space="preserve">Kas Kanpus                              </v>
          </cell>
          <cell r="O2674" t="str">
            <v xml:space="preserve">KAS KANPUS                              </v>
          </cell>
          <cell r="P2674" t="str">
            <v>Ya</v>
          </cell>
          <cell r="R2674" t="str">
            <v>Done</v>
          </cell>
          <cell r="S2674" t="str">
            <v>Belum TL</v>
          </cell>
          <cell r="T2674" t="str">
            <v>90185537 - Moh.Khoerul Fajar Ar</v>
          </cell>
          <cell r="U2674" t="str">
            <v>"-"</v>
          </cell>
        </row>
        <row r="2675">
          <cell r="A2675">
            <v>46265</v>
          </cell>
          <cell r="B2675" t="str">
            <v xml:space="preserve">FACHRUL ROZI                            </v>
          </cell>
          <cell r="C2675" t="str">
            <v>FQT1450</v>
          </cell>
          <cell r="D2675">
            <v>63501047795504</v>
          </cell>
          <cell r="F2675" t="str">
            <v>Tidak</v>
          </cell>
          <cell r="G2675" t="str">
            <v>Tidak</v>
          </cell>
          <cell r="H2675" t="str">
            <v>Tidak</v>
          </cell>
          <cell r="I2675" t="str">
            <v>Bandar Judol Withdrawal</v>
          </cell>
          <cell r="J2675">
            <v>35</v>
          </cell>
          <cell r="K2675" t="str">
            <v>86,88,87</v>
          </cell>
          <cell r="L2675" t="str">
            <v>Judi Online</v>
          </cell>
          <cell r="M2675" t="str">
            <v xml:space="preserve">Kas Kanpus                              </v>
          </cell>
          <cell r="N2675" t="str">
            <v xml:space="preserve">Kas Kanpus                              </v>
          </cell>
          <cell r="O2675" t="str">
            <v xml:space="preserve">KAS KANPUS                              </v>
          </cell>
          <cell r="P2675" t="str">
            <v>Ya</v>
          </cell>
          <cell r="R2675" t="str">
            <v>Done</v>
          </cell>
          <cell r="S2675" t="str">
            <v>Belum TL</v>
          </cell>
          <cell r="T2675" t="str">
            <v>90186796 - Devito Arya Wiradila</v>
          </cell>
          <cell r="U2675" t="str">
            <v>"-"</v>
          </cell>
        </row>
        <row r="2676">
          <cell r="A2676">
            <v>46265</v>
          </cell>
          <cell r="B2676" t="str">
            <v xml:space="preserve">FHENGKI                                 </v>
          </cell>
          <cell r="C2676" t="str">
            <v>FRD4862</v>
          </cell>
          <cell r="D2676">
            <v>574601005373508</v>
          </cell>
          <cell r="F2676" t="str">
            <v>Tidak</v>
          </cell>
          <cell r="G2676" t="str">
            <v>Tidak</v>
          </cell>
          <cell r="H2676" t="str">
            <v>Tidak</v>
          </cell>
          <cell r="I2676" t="str">
            <v>Bandar Judol Depo</v>
          </cell>
          <cell r="J2676">
            <v>35</v>
          </cell>
          <cell r="K2676" t="str">
            <v>86,74,87</v>
          </cell>
          <cell r="L2676" t="str">
            <v>Judi Online</v>
          </cell>
          <cell r="M2676" t="str">
            <v xml:space="preserve">Kas Kanpus                              </v>
          </cell>
          <cell r="N2676" t="str">
            <v xml:space="preserve">Kas Kanpus                              </v>
          </cell>
          <cell r="O2676" t="str">
            <v xml:space="preserve">KAS KANPUS                              </v>
          </cell>
          <cell r="P2676" t="str">
            <v>Ya</v>
          </cell>
          <cell r="R2676" t="str">
            <v>Done</v>
          </cell>
          <cell r="S2676" t="str">
            <v>Belum TL</v>
          </cell>
          <cell r="T2676" t="str">
            <v>90185537 - Moh.Khoerul Fajar Ar</v>
          </cell>
          <cell r="U2676" t="str">
            <v>"-"</v>
          </cell>
        </row>
        <row r="2677">
          <cell r="A2677">
            <v>46265</v>
          </cell>
          <cell r="B2677" t="str">
            <v xml:space="preserve">FHATIR RAMDANI                          </v>
          </cell>
          <cell r="C2677" t="str">
            <v>FQJ0957</v>
          </cell>
          <cell r="D2677">
            <v>95901014306502</v>
          </cell>
          <cell r="F2677" t="str">
            <v>Tidak</v>
          </cell>
          <cell r="G2677" t="str">
            <v>Tidak</v>
          </cell>
          <cell r="H2677" t="str">
            <v>Tidak</v>
          </cell>
          <cell r="I2677" t="str">
            <v>Bandar Judol Withdrawal</v>
          </cell>
          <cell r="J2677">
            <v>35</v>
          </cell>
          <cell r="K2677" t="str">
            <v>86,88,87</v>
          </cell>
          <cell r="L2677" t="str">
            <v>Judi Online</v>
          </cell>
          <cell r="M2677" t="str">
            <v xml:space="preserve">Kas Kanpus                              </v>
          </cell>
          <cell r="N2677" t="str">
            <v xml:space="preserve">Kas Kanpus                              </v>
          </cell>
          <cell r="O2677" t="str">
            <v xml:space="preserve">KAS KANPUS                              </v>
          </cell>
          <cell r="P2677" t="str">
            <v>Ya</v>
          </cell>
          <cell r="R2677" t="str">
            <v>Done</v>
          </cell>
          <cell r="S2677" t="str">
            <v>Belum TL</v>
          </cell>
          <cell r="T2677" t="str">
            <v>90186790 - Muhammad Alfin Farha</v>
          </cell>
          <cell r="U2677" t="str">
            <v>"-"</v>
          </cell>
        </row>
        <row r="2678">
          <cell r="A2678">
            <v>46265</v>
          </cell>
          <cell r="B2678" t="str">
            <v xml:space="preserve">FELLIPE VELLIRIAN HARYANTO              </v>
          </cell>
          <cell r="C2678" t="str">
            <v>FQD3973</v>
          </cell>
          <cell r="D2678">
            <v>1901002985560</v>
          </cell>
          <cell r="F2678" t="str">
            <v>Tidak</v>
          </cell>
          <cell r="G2678" t="str">
            <v>Tidak</v>
          </cell>
          <cell r="H2678" t="str">
            <v>Tidak</v>
          </cell>
          <cell r="I2678" t="str">
            <v>Bandar Judol Depo</v>
          </cell>
          <cell r="J2678">
            <v>35</v>
          </cell>
          <cell r="K2678" t="str">
            <v>86,74,87</v>
          </cell>
          <cell r="L2678" t="str">
            <v>Judi Online</v>
          </cell>
          <cell r="M2678" t="str">
            <v xml:space="preserve">Kas Kanpus                              </v>
          </cell>
          <cell r="N2678" t="str">
            <v xml:space="preserve">Kas Kanpus                              </v>
          </cell>
          <cell r="O2678" t="str">
            <v xml:space="preserve">KAS KANPUS                              </v>
          </cell>
          <cell r="P2678" t="str">
            <v>Ya</v>
          </cell>
          <cell r="R2678" t="str">
            <v>Done</v>
          </cell>
          <cell r="S2678" t="str">
            <v>Belum TL</v>
          </cell>
          <cell r="T2678" t="str">
            <v>90185538 - Muhammad Fahikal Auz</v>
          </cell>
          <cell r="U2678" t="str">
            <v>"-"</v>
          </cell>
        </row>
        <row r="2679">
          <cell r="A2679">
            <v>46265</v>
          </cell>
          <cell r="B2679" t="str">
            <v xml:space="preserve">FEBRI KRISTIAN MARULI SILABAN           </v>
          </cell>
          <cell r="C2679" t="str">
            <v>FGT1721</v>
          </cell>
          <cell r="D2679">
            <v>537201020803539</v>
          </cell>
          <cell r="E2679" t="str">
            <v>SEDANG</v>
          </cell>
          <cell r="F2679" t="str">
            <v>Ya</v>
          </cell>
          <cell r="G2679" t="str">
            <v>Tidak</v>
          </cell>
          <cell r="H2679" t="str">
            <v>Tidak</v>
          </cell>
          <cell r="I2679" t="str">
            <v>Bandar Judol Depo</v>
          </cell>
          <cell r="J2679">
            <v>50</v>
          </cell>
          <cell r="K2679" t="str">
            <v>86,74,87</v>
          </cell>
          <cell r="L2679" t="str">
            <v>Judi Online</v>
          </cell>
          <cell r="M2679" t="str">
            <v xml:space="preserve">Kas Kanpus                              </v>
          </cell>
          <cell r="N2679" t="str">
            <v xml:space="preserve">Kas Kanpus                              </v>
          </cell>
          <cell r="O2679" t="str">
            <v xml:space="preserve">KAS KANPUS                              </v>
          </cell>
          <cell r="P2679" t="str">
            <v>Tidak</v>
          </cell>
          <cell r="R2679" t="str">
            <v>Done</v>
          </cell>
          <cell r="S2679" t="str">
            <v>Belum TL</v>
          </cell>
          <cell r="T2679" t="str">
            <v>90185537 - Moh.Khoerul Fajar Ar</v>
          </cell>
          <cell r="U2679" t="str">
            <v>"-"</v>
          </cell>
        </row>
        <row r="2680">
          <cell r="A2680">
            <v>46265</v>
          </cell>
          <cell r="B2680" t="str">
            <v xml:space="preserve">ERWAN                                   </v>
          </cell>
          <cell r="C2680" t="str">
            <v>ECK6039</v>
          </cell>
          <cell r="D2680">
            <v>17001128307501</v>
          </cell>
          <cell r="E2680" t="str">
            <v>SEDANG</v>
          </cell>
          <cell r="F2680" t="str">
            <v>Tidak</v>
          </cell>
          <cell r="G2680" t="str">
            <v>Tidak</v>
          </cell>
          <cell r="H2680" t="str">
            <v>Tidak</v>
          </cell>
          <cell r="I2680" t="str">
            <v>Bandar Judol Withdrawal</v>
          </cell>
          <cell r="J2680">
            <v>50</v>
          </cell>
          <cell r="K2680" t="str">
            <v>86,88,87</v>
          </cell>
          <cell r="L2680" t="str">
            <v>Judi Online</v>
          </cell>
          <cell r="M2680" t="str">
            <v xml:space="preserve">Kas Kanpus                              </v>
          </cell>
          <cell r="N2680" t="str">
            <v xml:space="preserve">Kas Kanpus                              </v>
          </cell>
          <cell r="O2680" t="str">
            <v xml:space="preserve">KAS KANPUS                              </v>
          </cell>
          <cell r="P2680" t="str">
            <v>Tidak</v>
          </cell>
          <cell r="R2680" t="str">
            <v>Done</v>
          </cell>
          <cell r="S2680" t="str">
            <v>Belum TL</v>
          </cell>
          <cell r="T2680" t="str">
            <v>90186790 - Muhammad Alfin Farha</v>
          </cell>
          <cell r="U2680" t="str">
            <v>"-"</v>
          </cell>
        </row>
        <row r="2681">
          <cell r="A2681">
            <v>46265</v>
          </cell>
          <cell r="B2681" t="str">
            <v xml:space="preserve">EDI SUSIYANTO                           </v>
          </cell>
          <cell r="C2681" t="str">
            <v>EDQ9800</v>
          </cell>
          <cell r="D2681">
            <v>472301005439503</v>
          </cell>
          <cell r="E2681" t="str">
            <v>SEDANG</v>
          </cell>
          <cell r="F2681" t="str">
            <v>Tidak</v>
          </cell>
          <cell r="G2681" t="str">
            <v>Tidak</v>
          </cell>
          <cell r="H2681" t="str">
            <v>Tidak</v>
          </cell>
          <cell r="I2681" t="str">
            <v>Bandar Judol Withdrawal</v>
          </cell>
          <cell r="J2681">
            <v>50</v>
          </cell>
          <cell r="K2681" t="str">
            <v>86,88,87</v>
          </cell>
          <cell r="L2681" t="str">
            <v>Judi Online</v>
          </cell>
          <cell r="M2681" t="str">
            <v xml:space="preserve">Kas Kanpus                              </v>
          </cell>
          <cell r="N2681" t="str">
            <v xml:space="preserve">Kas Kanpus                              </v>
          </cell>
          <cell r="O2681" t="str">
            <v xml:space="preserve">KAS KANPUS                              </v>
          </cell>
          <cell r="P2681" t="str">
            <v>Ya</v>
          </cell>
          <cell r="R2681" t="str">
            <v>Done</v>
          </cell>
          <cell r="S2681" t="str">
            <v>Belum TL</v>
          </cell>
          <cell r="T2681" t="str">
            <v>00394520 - Frida Akbar Rani</v>
          </cell>
          <cell r="U2681" t="str">
            <v>"-"</v>
          </cell>
        </row>
        <row r="2682">
          <cell r="A2682">
            <v>46265</v>
          </cell>
          <cell r="B2682" t="str">
            <v xml:space="preserve">EKO CAHYO SAPUTRO                       </v>
          </cell>
          <cell r="C2682" t="str">
            <v>EAY9464</v>
          </cell>
          <cell r="D2682">
            <v>644901000592500</v>
          </cell>
          <cell r="E2682" t="str">
            <v>SEDANG</v>
          </cell>
          <cell r="F2682" t="str">
            <v>Tidak</v>
          </cell>
          <cell r="G2682" t="str">
            <v>Tidak</v>
          </cell>
          <cell r="H2682" t="str">
            <v>Tidak</v>
          </cell>
          <cell r="I2682" t="str">
            <v>Perikanan dan Kelautan</v>
          </cell>
          <cell r="J2682">
            <v>48</v>
          </cell>
          <cell r="K2682">
            <v>98</v>
          </cell>
          <cell r="L2682" t="str">
            <v>Perikanan dan Kelautan</v>
          </cell>
          <cell r="M2682" t="str">
            <v xml:space="preserve">UNIT TEGUHAN NGAWI                      </v>
          </cell>
          <cell r="N2682" t="str">
            <v xml:space="preserve">KC Ngawi                                </v>
          </cell>
          <cell r="O2682" t="str">
            <v xml:space="preserve">KANWIL MALANG                           </v>
          </cell>
          <cell r="P2682" t="str">
            <v>Ya</v>
          </cell>
          <cell r="R2682" t="str">
            <v>Done</v>
          </cell>
          <cell r="S2682" t="str">
            <v>Belum TL</v>
          </cell>
          <cell r="T2682" t="str">
            <v>00394520 - Frida Akbar Rani</v>
          </cell>
          <cell r="U2682" t="str">
            <v>"-"</v>
          </cell>
        </row>
        <row r="2683">
          <cell r="A2683">
            <v>46265</v>
          </cell>
          <cell r="B2683" t="str">
            <v xml:space="preserve">DOSHI ZAHRI HINDARYANI                  </v>
          </cell>
          <cell r="C2683" t="str">
            <v>DYO3170</v>
          </cell>
          <cell r="D2683">
            <v>324901000051565</v>
          </cell>
          <cell r="E2683" t="str">
            <v>SEDANG</v>
          </cell>
          <cell r="F2683" t="str">
            <v>Tidak</v>
          </cell>
          <cell r="G2683" t="str">
            <v>Tidak</v>
          </cell>
          <cell r="H2683" t="str">
            <v>Tidak</v>
          </cell>
          <cell r="I2683" t="str">
            <v>Bandar Judol Withdrawal</v>
          </cell>
          <cell r="J2683">
            <v>50</v>
          </cell>
          <cell r="K2683" t="str">
            <v>86,88,87</v>
          </cell>
          <cell r="L2683" t="str">
            <v>Judi Online</v>
          </cell>
          <cell r="M2683" t="str">
            <v xml:space="preserve">Kas Kanpus                              </v>
          </cell>
          <cell r="N2683" t="str">
            <v xml:space="preserve">Kas Kanpus                              </v>
          </cell>
          <cell r="O2683" t="str">
            <v xml:space="preserve">KAS KANPUS                              </v>
          </cell>
          <cell r="P2683" t="str">
            <v>Ya</v>
          </cell>
          <cell r="R2683" t="str">
            <v>Done</v>
          </cell>
          <cell r="S2683" t="str">
            <v>Belum TL</v>
          </cell>
          <cell r="T2683" t="str">
            <v>90185538 - Muhammad Fahikal Auz</v>
          </cell>
          <cell r="U2683" t="str">
            <v>"-"</v>
          </cell>
        </row>
        <row r="2684">
          <cell r="A2684">
            <v>46265</v>
          </cell>
          <cell r="B2684" t="str">
            <v xml:space="preserve">DEWIK SARTIKA NAHAK                     </v>
          </cell>
          <cell r="C2684" t="str">
            <v>DZS2117</v>
          </cell>
          <cell r="D2684">
            <v>225101000905564</v>
          </cell>
          <cell r="E2684" t="str">
            <v>SEDANG</v>
          </cell>
          <cell r="F2684" t="str">
            <v>Tidak</v>
          </cell>
          <cell r="G2684" t="str">
            <v>Tidak</v>
          </cell>
          <cell r="H2684" t="str">
            <v>Tidak</v>
          </cell>
          <cell r="I2684" t="str">
            <v>Bandar Judol Depo</v>
          </cell>
          <cell r="J2684">
            <v>50</v>
          </cell>
          <cell r="K2684" t="str">
            <v>86,74,87</v>
          </cell>
          <cell r="L2684" t="str">
            <v>Judi Online</v>
          </cell>
          <cell r="M2684" t="str">
            <v xml:space="preserve">Kas Kanpus                              </v>
          </cell>
          <cell r="N2684" t="str">
            <v xml:space="preserve">Kas Kanpus                              </v>
          </cell>
          <cell r="O2684" t="str">
            <v xml:space="preserve">KAS KANPUS                              </v>
          </cell>
          <cell r="P2684" t="str">
            <v>Tidak</v>
          </cell>
          <cell r="R2684" t="str">
            <v>Done</v>
          </cell>
          <cell r="S2684" t="str">
            <v>Belum TL</v>
          </cell>
          <cell r="T2684" t="str">
            <v>90186796 - Devito Arya Wiradila</v>
          </cell>
          <cell r="U2684" t="str">
            <v>"-"</v>
          </cell>
        </row>
        <row r="2685">
          <cell r="A2685">
            <v>46265</v>
          </cell>
          <cell r="B2685" t="str">
            <v xml:space="preserve">DENNY                                   </v>
          </cell>
          <cell r="C2685" t="str">
            <v>DQH5492</v>
          </cell>
          <cell r="D2685">
            <v>203801014016507</v>
          </cell>
          <cell r="E2685" t="str">
            <v>SEDANG</v>
          </cell>
          <cell r="F2685" t="str">
            <v>Tidak</v>
          </cell>
          <cell r="G2685" t="str">
            <v>Tidak</v>
          </cell>
          <cell r="H2685" t="str">
            <v>Tidak</v>
          </cell>
          <cell r="I2685" t="str">
            <v>Bandar Judol Withdrawal</v>
          </cell>
          <cell r="J2685">
            <v>50</v>
          </cell>
          <cell r="K2685" t="str">
            <v>86,88,87</v>
          </cell>
          <cell r="L2685" t="str">
            <v>Judi Online</v>
          </cell>
          <cell r="M2685" t="str">
            <v xml:space="preserve">Kas Kanpus                              </v>
          </cell>
          <cell r="N2685" t="str">
            <v xml:space="preserve">Kas Kanpus                              </v>
          </cell>
          <cell r="O2685" t="str">
            <v xml:space="preserve">KAS KANPUS                              </v>
          </cell>
          <cell r="P2685" t="str">
            <v>Ya</v>
          </cell>
          <cell r="R2685" t="str">
            <v>Done</v>
          </cell>
          <cell r="S2685" t="str">
            <v>Belum TL</v>
          </cell>
          <cell r="T2685" t="str">
            <v>90171841 - Rifqi Aziz</v>
          </cell>
          <cell r="U2685" t="str">
            <v>"-"</v>
          </cell>
        </row>
        <row r="2686">
          <cell r="A2686">
            <v>46265</v>
          </cell>
          <cell r="B2686" t="str">
            <v xml:space="preserve">PT DAYA KOBELCO CMI                     </v>
          </cell>
          <cell r="C2686" t="str">
            <v>DUR9925</v>
          </cell>
          <cell r="D2686">
            <v>36201002132304</v>
          </cell>
          <cell r="E2686" t="str">
            <v>SEDANG</v>
          </cell>
          <cell r="F2686" t="str">
            <v>Tidak</v>
          </cell>
          <cell r="G2686" t="str">
            <v>Tidak</v>
          </cell>
          <cell r="H2686" t="str">
            <v>Tidak</v>
          </cell>
          <cell r="I2686" t="str">
            <v>Narkotika - Area Lapas</v>
          </cell>
          <cell r="J2686">
            <v>50</v>
          </cell>
          <cell r="K2686">
            <v>47</v>
          </cell>
          <cell r="L2686" t="str">
            <v>Narkotika</v>
          </cell>
          <cell r="M2686" t="str">
            <v>KC Jakarta Pondok Indah</v>
          </cell>
          <cell r="N2686" t="str">
            <v>KC Jakarta Pondok Indah</v>
          </cell>
          <cell r="O2686" t="str">
            <v>DKI2</v>
          </cell>
          <cell r="P2686" t="str">
            <v>Tidak</v>
          </cell>
          <cell r="R2686" t="str">
            <v>Done</v>
          </cell>
          <cell r="S2686" t="str">
            <v>Belum TL</v>
          </cell>
          <cell r="T2686" t="str">
            <v>90185537 - Moh.Khoerul Fajar Ar</v>
          </cell>
          <cell r="U2686" t="str">
            <v>"-"</v>
          </cell>
        </row>
        <row r="2687">
          <cell r="A2687">
            <v>46265</v>
          </cell>
          <cell r="B2687" t="str">
            <v xml:space="preserve">DIKKY FATRIN                            </v>
          </cell>
          <cell r="C2687" t="str">
            <v>DX06874</v>
          </cell>
          <cell r="D2687">
            <v>110401000708566</v>
          </cell>
          <cell r="E2687" t="str">
            <v>TINGGI</v>
          </cell>
          <cell r="F2687" t="str">
            <v>Tidak</v>
          </cell>
          <cell r="G2687" t="str">
            <v>Tidak</v>
          </cell>
          <cell r="H2687" t="str">
            <v>Tidak</v>
          </cell>
          <cell r="I2687" t="str">
            <v>Bandar Judol Withdrawal</v>
          </cell>
          <cell r="J2687">
            <v>75</v>
          </cell>
          <cell r="K2687" t="str">
            <v>86,88,87</v>
          </cell>
          <cell r="L2687" t="str">
            <v>Judi Online</v>
          </cell>
          <cell r="M2687" t="str">
            <v xml:space="preserve">Kas Kanpus                              </v>
          </cell>
          <cell r="N2687" t="str">
            <v xml:space="preserve">Kas Kanpus                              </v>
          </cell>
          <cell r="O2687" t="str">
            <v xml:space="preserve">KAS KANPUS                              </v>
          </cell>
          <cell r="P2687" t="str">
            <v>Tidak</v>
          </cell>
          <cell r="R2687" t="str">
            <v>Done</v>
          </cell>
          <cell r="S2687" t="str">
            <v>Belum TL</v>
          </cell>
          <cell r="T2687" t="str">
            <v>90170665 - Mutiara Ayuningtyas</v>
          </cell>
          <cell r="U2687" t="str">
            <v>"-"</v>
          </cell>
        </row>
        <row r="2688">
          <cell r="A2688">
            <v>46265</v>
          </cell>
          <cell r="B2688" t="str">
            <v xml:space="preserve">DIKKY FATRIN                            </v>
          </cell>
          <cell r="C2688" t="str">
            <v>DX06874</v>
          </cell>
          <cell r="D2688">
            <v>110401000712565</v>
          </cell>
          <cell r="E2688" t="str">
            <v>TINGGI</v>
          </cell>
          <cell r="F2688" t="str">
            <v>Tidak</v>
          </cell>
          <cell r="G2688" t="str">
            <v>Tidak</v>
          </cell>
          <cell r="H2688" t="str">
            <v>Tidak</v>
          </cell>
          <cell r="I2688" t="str">
            <v>Bandar Judol Withdrawal</v>
          </cell>
          <cell r="J2688">
            <v>75</v>
          </cell>
          <cell r="K2688" t="str">
            <v>86,88,87</v>
          </cell>
          <cell r="L2688" t="str">
            <v>Judi Online</v>
          </cell>
          <cell r="M2688" t="str">
            <v xml:space="preserve">Kas Kanpus                              </v>
          </cell>
          <cell r="N2688" t="str">
            <v xml:space="preserve">Kas Kanpus                              </v>
          </cell>
          <cell r="O2688" t="str">
            <v xml:space="preserve">KAS KANPUS                              </v>
          </cell>
          <cell r="P2688" t="str">
            <v>Tidak</v>
          </cell>
          <cell r="R2688" t="str">
            <v>Done</v>
          </cell>
          <cell r="S2688" t="str">
            <v>Belum TL</v>
          </cell>
          <cell r="T2688" t="str">
            <v>90171841 - Rifqi Aziz</v>
          </cell>
          <cell r="U2688" t="str">
            <v>"-"</v>
          </cell>
        </row>
        <row r="2689">
          <cell r="A2689">
            <v>46265</v>
          </cell>
          <cell r="B2689" t="str">
            <v xml:space="preserve">ENIK SURIATI RIN                        </v>
          </cell>
          <cell r="C2689" t="str">
            <v>EIX9116</v>
          </cell>
          <cell r="D2689">
            <v>1701004569566</v>
          </cell>
          <cell r="E2689" t="str">
            <v>SEDANG</v>
          </cell>
          <cell r="F2689" t="str">
            <v>Tidak</v>
          </cell>
          <cell r="G2689" t="str">
            <v>Tidak</v>
          </cell>
          <cell r="H2689" t="str">
            <v>Tidak</v>
          </cell>
          <cell r="I2689" t="str">
            <v>Bandar Judol Withdrawal</v>
          </cell>
          <cell r="J2689">
            <v>50</v>
          </cell>
          <cell r="K2689" t="str">
            <v>86,88,87</v>
          </cell>
          <cell r="L2689" t="str">
            <v>Judi Online</v>
          </cell>
          <cell r="M2689" t="str">
            <v xml:space="preserve">Kas Kanpus                              </v>
          </cell>
          <cell r="N2689" t="str">
            <v xml:space="preserve">Kas Kanpus                              </v>
          </cell>
          <cell r="O2689" t="str">
            <v xml:space="preserve">KAS KANPUS                              </v>
          </cell>
          <cell r="P2689" t="str">
            <v>Ya</v>
          </cell>
          <cell r="R2689" t="str">
            <v>Done</v>
          </cell>
          <cell r="S2689" t="str">
            <v>Belum TL</v>
          </cell>
          <cell r="T2689" t="str">
            <v>90186796 - Devito Arya Wiradila</v>
          </cell>
          <cell r="U2689" t="str">
            <v>"-"</v>
          </cell>
        </row>
        <row r="2690">
          <cell r="A2690">
            <v>46265</v>
          </cell>
          <cell r="B2690" t="str">
            <v xml:space="preserve">EDDY SETIAWAN                           </v>
          </cell>
          <cell r="C2690" t="str">
            <v>EQ81612</v>
          </cell>
          <cell r="D2690">
            <v>5301023683539</v>
          </cell>
          <cell r="E2690" t="str">
            <v>SEDANG</v>
          </cell>
          <cell r="F2690" t="str">
            <v>Tidak</v>
          </cell>
          <cell r="G2690" t="str">
            <v>Tidak</v>
          </cell>
          <cell r="H2690" t="str">
            <v>Tidak</v>
          </cell>
          <cell r="I2690" t="str">
            <v>Bandar Judol Depo</v>
          </cell>
          <cell r="J2690">
            <v>50</v>
          </cell>
          <cell r="K2690" t="str">
            <v>86,74,87</v>
          </cell>
          <cell r="L2690" t="str">
            <v>Judi Online</v>
          </cell>
          <cell r="M2690" t="str">
            <v xml:space="preserve">Kas Kanpus                              </v>
          </cell>
          <cell r="N2690" t="str">
            <v xml:space="preserve">Kas Kanpus                              </v>
          </cell>
          <cell r="O2690" t="str">
            <v xml:space="preserve">KAS KANPUS                              </v>
          </cell>
          <cell r="P2690" t="str">
            <v>Tidak</v>
          </cell>
          <cell r="R2690" t="str">
            <v>Done</v>
          </cell>
          <cell r="S2690" t="str">
            <v>Belum TL</v>
          </cell>
          <cell r="T2690" t="str">
            <v>90171841 - Rifqi Aziz</v>
          </cell>
          <cell r="U2690" t="str">
            <v>"-"</v>
          </cell>
        </row>
        <row r="2691">
          <cell r="A2691">
            <v>46265</v>
          </cell>
          <cell r="B2691" t="str">
            <v xml:space="preserve">ERNAWATI                                </v>
          </cell>
          <cell r="C2691" t="str">
            <v>ESR7443</v>
          </cell>
          <cell r="D2691">
            <v>176701017889505</v>
          </cell>
          <cell r="E2691" t="str">
            <v>SEDANG</v>
          </cell>
          <cell r="F2691" t="str">
            <v>Tidak</v>
          </cell>
          <cell r="G2691" t="str">
            <v>Tidak</v>
          </cell>
          <cell r="H2691" t="str">
            <v>Tidak</v>
          </cell>
          <cell r="I2691" t="str">
            <v>Bandar Judol Withdrawal</v>
          </cell>
          <cell r="J2691">
            <v>50</v>
          </cell>
          <cell r="K2691" t="str">
            <v>86,88,87</v>
          </cell>
          <cell r="L2691" t="str">
            <v>Judi Online</v>
          </cell>
          <cell r="M2691" t="str">
            <v xml:space="preserve">Kas Kanpus                              </v>
          </cell>
          <cell r="N2691" t="str">
            <v xml:space="preserve">Kas Kanpus                              </v>
          </cell>
          <cell r="O2691" t="str">
            <v xml:space="preserve">KAS KANPUS                              </v>
          </cell>
          <cell r="P2691" t="str">
            <v>Ya</v>
          </cell>
          <cell r="R2691" t="str">
            <v>Done</v>
          </cell>
          <cell r="S2691" t="str">
            <v>Belum TL</v>
          </cell>
          <cell r="T2691" t="str">
            <v>00394520 - Frida Akbar Rani</v>
          </cell>
          <cell r="U2691" t="str">
            <v>"-"</v>
          </cell>
        </row>
        <row r="2692">
          <cell r="A2692">
            <v>46265</v>
          </cell>
          <cell r="B2692" t="str">
            <v xml:space="preserve">EVI RUSITA PUJANINGRUM                  </v>
          </cell>
          <cell r="C2692" t="str">
            <v>EMQ0770</v>
          </cell>
          <cell r="D2692">
            <v>225101000913567</v>
          </cell>
          <cell r="E2692" t="str">
            <v>SEDANG</v>
          </cell>
          <cell r="F2692" t="str">
            <v>Tidak</v>
          </cell>
          <cell r="G2692" t="str">
            <v>Tidak</v>
          </cell>
          <cell r="H2692" t="str">
            <v>Tidak</v>
          </cell>
          <cell r="I2692" t="str">
            <v>Bandar Judol Depo</v>
          </cell>
          <cell r="J2692">
            <v>50</v>
          </cell>
          <cell r="K2692" t="str">
            <v>86,74,87</v>
          </cell>
          <cell r="L2692" t="str">
            <v>Judi Online</v>
          </cell>
          <cell r="M2692" t="str">
            <v xml:space="preserve">Kas Kanpus                              </v>
          </cell>
          <cell r="N2692" t="str">
            <v xml:space="preserve">Kas Kanpus                              </v>
          </cell>
          <cell r="O2692" t="str">
            <v xml:space="preserve">KAS KANPUS                              </v>
          </cell>
          <cell r="P2692" t="str">
            <v>Tidak</v>
          </cell>
          <cell r="R2692" t="str">
            <v>Done</v>
          </cell>
          <cell r="S2692" t="str">
            <v>Belum TL</v>
          </cell>
          <cell r="T2692" t="str">
            <v>00394521 - Muhammad Hibbanduta</v>
          </cell>
          <cell r="U2692" t="str">
            <v>"-"</v>
          </cell>
        </row>
        <row r="2693">
          <cell r="A2693">
            <v>46265</v>
          </cell>
          <cell r="B2693" t="str">
            <v xml:space="preserve">ELSA YUNIAR RISMA ELDESTY               </v>
          </cell>
          <cell r="C2693" t="str">
            <v>EUX6832</v>
          </cell>
          <cell r="D2693">
            <v>225101000907566</v>
          </cell>
          <cell r="E2693" t="str">
            <v>SEDANG</v>
          </cell>
          <cell r="F2693" t="str">
            <v>Tidak</v>
          </cell>
          <cell r="G2693" t="str">
            <v>Tidak</v>
          </cell>
          <cell r="H2693" t="str">
            <v>Tidak</v>
          </cell>
          <cell r="I2693" t="str">
            <v>Bandar Judol Depo</v>
          </cell>
          <cell r="J2693">
            <v>50</v>
          </cell>
          <cell r="K2693" t="str">
            <v>86,74,87</v>
          </cell>
          <cell r="L2693" t="str">
            <v>Judi Online</v>
          </cell>
          <cell r="M2693" t="str">
            <v xml:space="preserve">Kas Kanpus                              </v>
          </cell>
          <cell r="N2693" t="str">
            <v xml:space="preserve">Kas Kanpus                              </v>
          </cell>
          <cell r="O2693" t="str">
            <v xml:space="preserve">KAS KANPUS                              </v>
          </cell>
          <cell r="P2693" t="str">
            <v>Tidak</v>
          </cell>
          <cell r="R2693" t="str">
            <v>Done</v>
          </cell>
          <cell r="S2693" t="str">
            <v>Belum TL</v>
          </cell>
          <cell r="T2693" t="str">
            <v>90185538 - Muhammad Fahikal Auz</v>
          </cell>
          <cell r="U2693" t="str">
            <v>"-"</v>
          </cell>
        </row>
        <row r="2694">
          <cell r="A2694">
            <v>46265</v>
          </cell>
          <cell r="B2694" t="str">
            <v xml:space="preserve">ERDIN ROWIANSYAH                        </v>
          </cell>
          <cell r="C2694" t="str">
            <v>EUY1944</v>
          </cell>
          <cell r="D2694">
            <v>224201008933504</v>
          </cell>
          <cell r="E2694" t="str">
            <v>SEDANG</v>
          </cell>
          <cell r="F2694" t="str">
            <v>Tidak</v>
          </cell>
          <cell r="G2694" t="str">
            <v>Tidak</v>
          </cell>
          <cell r="H2694" t="str">
            <v>Tidak</v>
          </cell>
          <cell r="I2694" t="str">
            <v>Bandar Judol Withdrawal</v>
          </cell>
          <cell r="J2694">
            <v>50</v>
          </cell>
          <cell r="K2694" t="str">
            <v>86,88,87</v>
          </cell>
          <cell r="L2694" t="str">
            <v>Judi Online</v>
          </cell>
          <cell r="M2694" t="str">
            <v xml:space="preserve">Kas Kanpus                              </v>
          </cell>
          <cell r="N2694" t="str">
            <v xml:space="preserve">Kas Kanpus                              </v>
          </cell>
          <cell r="O2694" t="str">
            <v xml:space="preserve">KAS KANPUS                              </v>
          </cell>
          <cell r="P2694" t="str">
            <v>Ya</v>
          </cell>
          <cell r="R2694" t="str">
            <v>Done</v>
          </cell>
          <cell r="S2694" t="str">
            <v>Belum TL</v>
          </cell>
          <cell r="T2694" t="str">
            <v>00394521 - Muhammad Hibbanduta</v>
          </cell>
          <cell r="U2694" t="str">
            <v>"-"</v>
          </cell>
        </row>
        <row r="2695">
          <cell r="A2695">
            <v>46265</v>
          </cell>
          <cell r="B2695" t="str">
            <v xml:space="preserve">ERLINAH                                 </v>
          </cell>
          <cell r="C2695" t="str">
            <v>EUN2339</v>
          </cell>
          <cell r="D2695">
            <v>33201158128505</v>
          </cell>
          <cell r="E2695" t="str">
            <v>SEDANG</v>
          </cell>
          <cell r="F2695" t="str">
            <v>Tidak</v>
          </cell>
          <cell r="G2695" t="str">
            <v>Tidak</v>
          </cell>
          <cell r="H2695" t="str">
            <v>Tidak</v>
          </cell>
          <cell r="I2695" t="str">
            <v>Bandar Judol Withdrawal</v>
          </cell>
          <cell r="J2695">
            <v>50</v>
          </cell>
          <cell r="K2695" t="str">
            <v>86,88,87</v>
          </cell>
          <cell r="L2695" t="str">
            <v>Judi Online</v>
          </cell>
          <cell r="M2695" t="str">
            <v xml:space="preserve">Kas Kanpus                              </v>
          </cell>
          <cell r="N2695" t="str">
            <v xml:space="preserve">Kas Kanpus                              </v>
          </cell>
          <cell r="O2695" t="str">
            <v xml:space="preserve">KAS KANPUS                              </v>
          </cell>
          <cell r="P2695" t="str">
            <v>Ya</v>
          </cell>
          <cell r="R2695" t="str">
            <v>Done</v>
          </cell>
          <cell r="S2695" t="str">
            <v>Belum TL</v>
          </cell>
          <cell r="T2695" t="str">
            <v>00394521 - Muhammad Hibbanduta</v>
          </cell>
          <cell r="U2695" t="str">
            <v>"-"</v>
          </cell>
        </row>
        <row r="2696">
          <cell r="A2696">
            <v>46265</v>
          </cell>
          <cell r="B2696" t="str">
            <v xml:space="preserve">ENAH                                    </v>
          </cell>
          <cell r="C2696" t="str">
            <v>EUL8309</v>
          </cell>
          <cell r="D2696">
            <v>11601145803500</v>
          </cell>
          <cell r="E2696" t="str">
            <v>SEDANG</v>
          </cell>
          <cell r="F2696" t="str">
            <v>Tidak</v>
          </cell>
          <cell r="G2696" t="str">
            <v>Tidak</v>
          </cell>
          <cell r="H2696" t="str">
            <v>Tidak</v>
          </cell>
          <cell r="I2696" t="str">
            <v>Bandar Judol Withdrawal</v>
          </cell>
          <cell r="J2696">
            <v>50</v>
          </cell>
          <cell r="K2696" t="str">
            <v>86,88,87</v>
          </cell>
          <cell r="L2696" t="str">
            <v>Judi Online</v>
          </cell>
          <cell r="M2696" t="str">
            <v xml:space="preserve">Kas Kanpus                              </v>
          </cell>
          <cell r="N2696" t="str">
            <v xml:space="preserve">Kas Kanpus                              </v>
          </cell>
          <cell r="O2696" t="str">
            <v xml:space="preserve">KAS KANPUS                              </v>
          </cell>
          <cell r="P2696" t="str">
            <v>Ya</v>
          </cell>
          <cell r="R2696" t="str">
            <v>Done</v>
          </cell>
          <cell r="S2696" t="str">
            <v>Belum TL</v>
          </cell>
          <cell r="T2696" t="str">
            <v>90171841 - Rifqi Aziz</v>
          </cell>
          <cell r="U2696" t="str">
            <v>"-"</v>
          </cell>
        </row>
        <row r="2697">
          <cell r="A2697">
            <v>46265</v>
          </cell>
          <cell r="B2697" t="str">
            <v xml:space="preserve">ENGGAR LADY DWIKA PUTRI                 </v>
          </cell>
          <cell r="C2697" t="str">
            <v>EVB5921</v>
          </cell>
          <cell r="D2697">
            <v>225101000915569</v>
          </cell>
          <cell r="E2697" t="str">
            <v>TINGGI</v>
          </cell>
          <cell r="F2697" t="str">
            <v>Tidak</v>
          </cell>
          <cell r="G2697" t="str">
            <v>Tidak</v>
          </cell>
          <cell r="H2697" t="str">
            <v>Tidak</v>
          </cell>
          <cell r="I2697" t="str">
            <v>Bandar Judol Depo</v>
          </cell>
          <cell r="J2697">
            <v>65</v>
          </cell>
          <cell r="K2697" t="str">
            <v>86,74,87</v>
          </cell>
          <cell r="L2697" t="str">
            <v>Judi Online</v>
          </cell>
          <cell r="M2697" t="str">
            <v xml:space="preserve">Kas Kanpus                              </v>
          </cell>
          <cell r="N2697" t="str">
            <v xml:space="preserve">Kas Kanpus                              </v>
          </cell>
          <cell r="O2697" t="str">
            <v xml:space="preserve">KAS KANPUS                              </v>
          </cell>
          <cell r="P2697" t="str">
            <v>Tidak</v>
          </cell>
          <cell r="R2697" t="str">
            <v>Done</v>
          </cell>
          <cell r="S2697" t="str">
            <v>Belum TL</v>
          </cell>
          <cell r="T2697" t="str">
            <v>90171841 - Rifqi Aziz</v>
          </cell>
          <cell r="U2697" t="str">
            <v>"-"</v>
          </cell>
        </row>
        <row r="2698">
          <cell r="A2698">
            <v>46265</v>
          </cell>
          <cell r="B2698" t="str">
            <v xml:space="preserve">ERIYANI                                 </v>
          </cell>
          <cell r="C2698" t="str">
            <v>EVC7260</v>
          </cell>
          <cell r="D2698">
            <v>39501007675536</v>
          </cell>
          <cell r="E2698" t="str">
            <v>SEDANG</v>
          </cell>
          <cell r="F2698" t="str">
            <v>Tidak</v>
          </cell>
          <cell r="G2698" t="str">
            <v>Tidak</v>
          </cell>
          <cell r="H2698" t="str">
            <v>Tidak</v>
          </cell>
          <cell r="I2698" t="str">
            <v>Bandar Judol Withdrawal</v>
          </cell>
          <cell r="J2698">
            <v>50</v>
          </cell>
          <cell r="K2698" t="str">
            <v>86,88,87</v>
          </cell>
          <cell r="L2698" t="str">
            <v>Judi Online</v>
          </cell>
          <cell r="M2698" t="str">
            <v xml:space="preserve">Kas Kanpus                              </v>
          </cell>
          <cell r="N2698" t="str">
            <v xml:space="preserve">Kas Kanpus                              </v>
          </cell>
          <cell r="O2698" t="str">
            <v xml:space="preserve">KAS KANPUS                              </v>
          </cell>
          <cell r="P2698" t="str">
            <v>Ya</v>
          </cell>
          <cell r="R2698" t="str">
            <v>Done</v>
          </cell>
          <cell r="S2698" t="str">
            <v>Belum TL</v>
          </cell>
          <cell r="T2698" t="str">
            <v>90171841 - Rifqi Aziz</v>
          </cell>
          <cell r="U2698" t="str">
            <v>"-"</v>
          </cell>
        </row>
        <row r="2699">
          <cell r="A2699">
            <v>46265</v>
          </cell>
          <cell r="B2699" t="str">
            <v xml:space="preserve">ERWIN SUPRIDARMAWAN                     </v>
          </cell>
          <cell r="C2699" t="str">
            <v>EWB4080</v>
          </cell>
          <cell r="D2699">
            <v>411301048770535</v>
          </cell>
          <cell r="E2699" t="str">
            <v>SEDANG</v>
          </cell>
          <cell r="F2699" t="str">
            <v>Tidak</v>
          </cell>
          <cell r="G2699" t="str">
            <v>Tidak</v>
          </cell>
          <cell r="H2699" t="str">
            <v>Ya</v>
          </cell>
          <cell r="I2699" t="str">
            <v>Bandar Judol Withdrawal</v>
          </cell>
          <cell r="J2699">
            <v>50</v>
          </cell>
          <cell r="K2699" t="str">
            <v>86,88,87</v>
          </cell>
          <cell r="L2699" t="str">
            <v>Judi Online</v>
          </cell>
          <cell r="M2699" t="str">
            <v xml:space="preserve">Kas Kanpus                              </v>
          </cell>
          <cell r="N2699" t="str">
            <v xml:space="preserve">Kas Kanpus                              </v>
          </cell>
          <cell r="O2699" t="str">
            <v xml:space="preserve">KAS KANPUS                              </v>
          </cell>
          <cell r="P2699" t="str">
            <v>Ya</v>
          </cell>
          <cell r="R2699" t="str">
            <v>Done</v>
          </cell>
          <cell r="S2699" t="str">
            <v>Belum TL</v>
          </cell>
          <cell r="T2699" t="str">
            <v>90186790 - Muhammad Alfin Farha</v>
          </cell>
          <cell r="U2699" t="str">
            <v>"-"</v>
          </cell>
        </row>
        <row r="2700">
          <cell r="A2700">
            <v>46265</v>
          </cell>
          <cell r="B2700" t="str">
            <v xml:space="preserve">EDMUND SATYA BASKARA ARDANA             </v>
          </cell>
          <cell r="C2700" t="str">
            <v>EVV3993</v>
          </cell>
          <cell r="D2700">
            <v>99301000010565</v>
          </cell>
          <cell r="E2700" t="str">
            <v>SEDANG</v>
          </cell>
          <cell r="F2700" t="str">
            <v>Tidak</v>
          </cell>
          <cell r="G2700" t="str">
            <v>Tidak</v>
          </cell>
          <cell r="H2700" t="str">
            <v>Tidak</v>
          </cell>
          <cell r="I2700" t="str">
            <v>Bandar Judol Withdrawal</v>
          </cell>
          <cell r="J2700">
            <v>50</v>
          </cell>
          <cell r="K2700" t="str">
            <v>86,88,87</v>
          </cell>
          <cell r="L2700" t="str">
            <v>Judi Online</v>
          </cell>
          <cell r="M2700" t="str">
            <v xml:space="preserve">Kas Kanpus                              </v>
          </cell>
          <cell r="N2700" t="str">
            <v xml:space="preserve">Kas Kanpus                              </v>
          </cell>
          <cell r="O2700" t="str">
            <v xml:space="preserve">KAS KANPUS                              </v>
          </cell>
          <cell r="P2700" t="str">
            <v>Ya</v>
          </cell>
          <cell r="R2700" t="str">
            <v>Done</v>
          </cell>
          <cell r="S2700" t="str">
            <v>Belum TL</v>
          </cell>
          <cell r="T2700" t="str">
            <v>90185537 - Moh.Khoerul Fajar Ar</v>
          </cell>
          <cell r="U2700" t="str">
            <v>"-"</v>
          </cell>
        </row>
        <row r="2701">
          <cell r="A2701">
            <v>46265</v>
          </cell>
          <cell r="B2701" t="str">
            <v xml:space="preserve">EDI PUTRA                               </v>
          </cell>
          <cell r="C2701" t="str">
            <v>EWW8003</v>
          </cell>
          <cell r="D2701">
            <v>544701047860537</v>
          </cell>
          <cell r="E2701" t="str">
            <v>SEDANG</v>
          </cell>
          <cell r="F2701" t="str">
            <v>Ya</v>
          </cell>
          <cell r="G2701" t="str">
            <v>Tidak</v>
          </cell>
          <cell r="H2701" t="str">
            <v>Tidak</v>
          </cell>
          <cell r="I2701" t="str">
            <v>Narkotika - Area Lapas</v>
          </cell>
          <cell r="J2701">
            <v>50</v>
          </cell>
          <cell r="K2701">
            <v>46</v>
          </cell>
          <cell r="L2701" t="str">
            <v>Narkotika</v>
          </cell>
          <cell r="M2701" t="str">
            <v>UNIT KINALI SIMPANG EMPAT</v>
          </cell>
          <cell r="N2701" t="str">
            <v>KC Simpang Empat</v>
          </cell>
          <cell r="O2701" t="str">
            <v>Padang</v>
          </cell>
          <cell r="P2701" t="str">
            <v>Tidak</v>
          </cell>
          <cell r="R2701" t="str">
            <v>Done</v>
          </cell>
          <cell r="S2701" t="str">
            <v>Belum TL</v>
          </cell>
          <cell r="T2701" t="str">
            <v>90170665 - Mutiara Ayuningtyas</v>
          </cell>
          <cell r="U2701" t="str">
            <v>"-"</v>
          </cell>
        </row>
        <row r="2702">
          <cell r="A2702">
            <v>46265</v>
          </cell>
          <cell r="B2702" t="str">
            <v xml:space="preserve">ENNA APRILA                             </v>
          </cell>
          <cell r="C2702" t="str">
            <v>EXK7198</v>
          </cell>
          <cell r="D2702">
            <v>56001018396538</v>
          </cell>
          <cell r="E2702" t="str">
            <v>SEDANG</v>
          </cell>
          <cell r="F2702" t="str">
            <v>Tidak</v>
          </cell>
          <cell r="G2702" t="str">
            <v>Tidak</v>
          </cell>
          <cell r="H2702" t="str">
            <v>Tidak</v>
          </cell>
          <cell r="I2702" t="str">
            <v>Bandar Judol Withdrawal</v>
          </cell>
          <cell r="J2702">
            <v>50</v>
          </cell>
          <cell r="K2702" t="str">
            <v>86,88,87</v>
          </cell>
          <cell r="L2702" t="str">
            <v>Judi Online</v>
          </cell>
          <cell r="M2702" t="str">
            <v xml:space="preserve">Kas Kanpus                              </v>
          </cell>
          <cell r="N2702" t="str">
            <v xml:space="preserve">Kas Kanpus                              </v>
          </cell>
          <cell r="O2702" t="str">
            <v xml:space="preserve">KAS KANPUS                              </v>
          </cell>
          <cell r="P2702" t="str">
            <v>Ya</v>
          </cell>
          <cell r="R2702" t="str">
            <v>Done</v>
          </cell>
          <cell r="S2702" t="str">
            <v>Belum TL</v>
          </cell>
          <cell r="T2702" t="str">
            <v>00336949 - Mochammad Al Farabi</v>
          </cell>
          <cell r="U2702" t="str">
            <v>"-"</v>
          </cell>
        </row>
        <row r="2703">
          <cell r="A2703">
            <v>46265</v>
          </cell>
          <cell r="B2703" t="str">
            <v xml:space="preserve">FITO RIVALDI                            </v>
          </cell>
          <cell r="C2703" t="str">
            <v>FOZ3887</v>
          </cell>
          <cell r="D2703">
            <v>99601016075505</v>
          </cell>
          <cell r="F2703" t="str">
            <v>Tidak</v>
          </cell>
          <cell r="G2703" t="str">
            <v>Tidak</v>
          </cell>
          <cell r="H2703" t="str">
            <v>Tidak</v>
          </cell>
          <cell r="I2703" t="str">
            <v>Bandar Judol Withdrawal</v>
          </cell>
          <cell r="J2703">
            <v>35</v>
          </cell>
          <cell r="K2703" t="str">
            <v>86,88,87</v>
          </cell>
          <cell r="L2703" t="str">
            <v>Judi Online</v>
          </cell>
          <cell r="M2703" t="str">
            <v xml:space="preserve">Kas Kanpus                              </v>
          </cell>
          <cell r="N2703" t="str">
            <v xml:space="preserve">Kas Kanpus                              </v>
          </cell>
          <cell r="O2703" t="str">
            <v xml:space="preserve">KAS KANPUS                              </v>
          </cell>
          <cell r="P2703" t="str">
            <v>Ya</v>
          </cell>
          <cell r="R2703" t="str">
            <v>Done</v>
          </cell>
          <cell r="S2703" t="str">
            <v>Belum TL</v>
          </cell>
          <cell r="T2703" t="str">
            <v>00336949 - Mochammad Al Farabi</v>
          </cell>
          <cell r="U2703" t="str">
            <v>"-"</v>
          </cell>
        </row>
        <row r="2704">
          <cell r="A2704">
            <v>46265</v>
          </cell>
          <cell r="B2704" t="str">
            <v xml:space="preserve">FAHRIZAL                                </v>
          </cell>
          <cell r="C2704" t="str">
            <v>FLP6403</v>
          </cell>
          <cell r="D2704">
            <v>118301015218506</v>
          </cell>
          <cell r="E2704" t="str">
            <v>SEDANG</v>
          </cell>
          <cell r="F2704" t="str">
            <v>Tidak</v>
          </cell>
          <cell r="G2704" t="str">
            <v>Tidak</v>
          </cell>
          <cell r="H2704" t="str">
            <v>Tidak</v>
          </cell>
          <cell r="I2704" t="str">
            <v>Bandar Judol Withdrawal</v>
          </cell>
          <cell r="J2704">
            <v>50</v>
          </cell>
          <cell r="K2704" t="str">
            <v>86,88,87</v>
          </cell>
          <cell r="L2704" t="str">
            <v>Judi Online</v>
          </cell>
          <cell r="M2704" t="str">
            <v xml:space="preserve">Kas Kanpus                              </v>
          </cell>
          <cell r="N2704" t="str">
            <v xml:space="preserve">Kas Kanpus                              </v>
          </cell>
          <cell r="O2704" t="str">
            <v xml:space="preserve">KAS KANPUS                              </v>
          </cell>
          <cell r="P2704" t="str">
            <v>Ya</v>
          </cell>
          <cell r="R2704" t="str">
            <v>Done</v>
          </cell>
          <cell r="S2704" t="str">
            <v>Belum TL</v>
          </cell>
          <cell r="T2704" t="str">
            <v>90186796 - Devito Arya Wiradila</v>
          </cell>
          <cell r="U2704" t="str">
            <v>"-"</v>
          </cell>
        </row>
        <row r="2705">
          <cell r="A2705">
            <v>46265</v>
          </cell>
          <cell r="B2705" t="str">
            <v xml:space="preserve">FAJAR GIRSANG                           </v>
          </cell>
          <cell r="C2705" t="str">
            <v>FMS1473</v>
          </cell>
          <cell r="D2705">
            <v>203401011368535</v>
          </cell>
          <cell r="E2705" t="str">
            <v>SEDANG</v>
          </cell>
          <cell r="F2705" t="str">
            <v>Tidak</v>
          </cell>
          <cell r="G2705" t="str">
            <v>Tidak</v>
          </cell>
          <cell r="H2705" t="str">
            <v>Ya</v>
          </cell>
          <cell r="I2705" t="str">
            <v>Bandar Judol Depo</v>
          </cell>
          <cell r="J2705">
            <v>50</v>
          </cell>
          <cell r="K2705" t="str">
            <v>86,74,87</v>
          </cell>
          <cell r="L2705" t="str">
            <v>Judi Online</v>
          </cell>
          <cell r="M2705" t="str">
            <v xml:space="preserve">Kas Kanpus                              </v>
          </cell>
          <cell r="N2705" t="str">
            <v xml:space="preserve">Kas Kanpus                              </v>
          </cell>
          <cell r="O2705" t="str">
            <v xml:space="preserve">KAS KANPUS                              </v>
          </cell>
          <cell r="P2705" t="str">
            <v>Tidak</v>
          </cell>
          <cell r="R2705" t="str">
            <v>Done</v>
          </cell>
          <cell r="S2705" t="str">
            <v>Belum TL</v>
          </cell>
          <cell r="T2705" t="str">
            <v>00394521 - Muhammad Hibbanduta</v>
          </cell>
          <cell r="U2705" t="str">
            <v>"-"</v>
          </cell>
        </row>
        <row r="2706">
          <cell r="A2706">
            <v>46265</v>
          </cell>
          <cell r="B2706" t="str">
            <v xml:space="preserve">FERY PRADANA                            </v>
          </cell>
          <cell r="C2706" t="str">
            <v>FNI5809</v>
          </cell>
          <cell r="D2706">
            <v>529601006473500</v>
          </cell>
          <cell r="E2706" t="str">
            <v>SEDANG</v>
          </cell>
          <cell r="F2706" t="str">
            <v>Tidak</v>
          </cell>
          <cell r="G2706" t="str">
            <v>Tidak</v>
          </cell>
          <cell r="H2706" t="str">
            <v>Tidak</v>
          </cell>
          <cell r="I2706" t="str">
            <v>Bandar Judol Withdrawal</v>
          </cell>
          <cell r="J2706">
            <v>50</v>
          </cell>
          <cell r="K2706" t="str">
            <v>86,88,87</v>
          </cell>
          <cell r="L2706" t="str">
            <v>Judi Online</v>
          </cell>
          <cell r="M2706" t="str">
            <v xml:space="preserve">Kas Kanpus                              </v>
          </cell>
          <cell r="N2706" t="str">
            <v xml:space="preserve">Kas Kanpus                              </v>
          </cell>
          <cell r="O2706" t="str">
            <v xml:space="preserve">KAS KANPUS                              </v>
          </cell>
          <cell r="P2706" t="str">
            <v>Ya</v>
          </cell>
          <cell r="R2706" t="str">
            <v>Done</v>
          </cell>
          <cell r="S2706" t="str">
            <v>Belum TL</v>
          </cell>
          <cell r="T2706" t="str">
            <v>90150130 - Intan Aida Pratiwi</v>
          </cell>
          <cell r="U2706" t="str">
            <v>"-"</v>
          </cell>
        </row>
        <row r="2707">
          <cell r="A2707">
            <v>46265</v>
          </cell>
          <cell r="B2707" t="str">
            <v xml:space="preserve">FAISYAL HARAHAP                         </v>
          </cell>
          <cell r="C2707" t="str">
            <v>FNU1785</v>
          </cell>
          <cell r="D2707">
            <v>108801000829568</v>
          </cell>
          <cell r="E2707" t="str">
            <v>SEDANG</v>
          </cell>
          <cell r="F2707" t="str">
            <v>Tidak</v>
          </cell>
          <cell r="G2707" t="str">
            <v>Tidak</v>
          </cell>
          <cell r="H2707" t="str">
            <v>Tidak</v>
          </cell>
          <cell r="I2707" t="str">
            <v>Bandar Judol Withdrawal</v>
          </cell>
          <cell r="J2707">
            <v>50</v>
          </cell>
          <cell r="K2707" t="str">
            <v>86,88,87</v>
          </cell>
          <cell r="L2707" t="str">
            <v>Judi Online</v>
          </cell>
          <cell r="M2707" t="str">
            <v xml:space="preserve">Kas Kanpus                              </v>
          </cell>
          <cell r="N2707" t="str">
            <v xml:space="preserve">Kas Kanpus                              </v>
          </cell>
          <cell r="O2707" t="str">
            <v xml:space="preserve">KAS KANPUS                              </v>
          </cell>
          <cell r="P2707" t="str">
            <v>Ya</v>
          </cell>
          <cell r="R2707" t="str">
            <v>Done</v>
          </cell>
          <cell r="S2707" t="str">
            <v>Belum TL</v>
          </cell>
          <cell r="T2707" t="str">
            <v>90186796 - Devito Arya Wiradila</v>
          </cell>
          <cell r="U2707" t="str">
            <v>"-"</v>
          </cell>
        </row>
        <row r="2708">
          <cell r="A2708">
            <v>46265</v>
          </cell>
          <cell r="B2708" t="str">
            <v xml:space="preserve">FERIANDI IRAWAN                         </v>
          </cell>
          <cell r="C2708" t="str">
            <v>FNU1920</v>
          </cell>
          <cell r="D2708">
            <v>43801003521567</v>
          </cell>
          <cell r="E2708" t="str">
            <v>SEDANG</v>
          </cell>
          <cell r="F2708" t="str">
            <v>Tidak</v>
          </cell>
          <cell r="G2708" t="str">
            <v>Tidak</v>
          </cell>
          <cell r="H2708" t="str">
            <v>Tidak</v>
          </cell>
          <cell r="I2708" t="str">
            <v>Bandar Judol Depo</v>
          </cell>
          <cell r="J2708">
            <v>50</v>
          </cell>
          <cell r="K2708" t="str">
            <v>86,74,87</v>
          </cell>
          <cell r="L2708" t="str">
            <v>Judi Online</v>
          </cell>
          <cell r="M2708" t="str">
            <v xml:space="preserve">Kas Kanpus                              </v>
          </cell>
          <cell r="N2708" t="str">
            <v xml:space="preserve">Kas Kanpus                              </v>
          </cell>
          <cell r="O2708" t="str">
            <v xml:space="preserve">KAS KANPUS                              </v>
          </cell>
          <cell r="P2708" t="str">
            <v>Ya</v>
          </cell>
          <cell r="R2708" t="str">
            <v>Done</v>
          </cell>
          <cell r="S2708" t="str">
            <v>Belum TL</v>
          </cell>
          <cell r="T2708" t="str">
            <v>00336949 - Mochammad Al Farabi</v>
          </cell>
          <cell r="U2708" t="str">
            <v>"-"</v>
          </cell>
        </row>
        <row r="2709">
          <cell r="A2709">
            <v>46265</v>
          </cell>
          <cell r="B2709" t="str">
            <v xml:space="preserve">FEBRIANSYAH                             </v>
          </cell>
          <cell r="C2709" t="str">
            <v>FQB3084</v>
          </cell>
          <cell r="D2709">
            <v>43801069778500</v>
          </cell>
          <cell r="F2709" t="str">
            <v>Tidak</v>
          </cell>
          <cell r="G2709" t="str">
            <v>Tidak</v>
          </cell>
          <cell r="H2709" t="str">
            <v>Tidak</v>
          </cell>
          <cell r="I2709" t="str">
            <v>Bandar Judol Withdrawal</v>
          </cell>
          <cell r="J2709">
            <v>35</v>
          </cell>
          <cell r="K2709" t="str">
            <v>86,88,87</v>
          </cell>
          <cell r="L2709" t="str">
            <v>Judi Online</v>
          </cell>
          <cell r="M2709" t="str">
            <v xml:space="preserve">Kas Kanpus                              </v>
          </cell>
          <cell r="N2709" t="str">
            <v xml:space="preserve">Kas Kanpus                              </v>
          </cell>
          <cell r="O2709" t="str">
            <v xml:space="preserve">KAS KANPUS                              </v>
          </cell>
          <cell r="P2709" t="str">
            <v>Ya</v>
          </cell>
          <cell r="R2709" t="str">
            <v>Done</v>
          </cell>
          <cell r="S2709" t="str">
            <v>Belum TL</v>
          </cell>
          <cell r="T2709" t="str">
            <v>00394521 - Muhammad Hibbanduta</v>
          </cell>
          <cell r="U2709" t="str">
            <v>"-"</v>
          </cell>
        </row>
        <row r="2710">
          <cell r="A2710">
            <v>46265</v>
          </cell>
          <cell r="B2710" t="str">
            <v xml:space="preserve">FENDY STEVEN                            </v>
          </cell>
          <cell r="C2710" t="str">
            <v>FQD0416</v>
          </cell>
          <cell r="D2710">
            <v>1901099376502</v>
          </cell>
          <cell r="F2710" t="str">
            <v>Tidak</v>
          </cell>
          <cell r="G2710" t="str">
            <v>Tidak</v>
          </cell>
          <cell r="H2710" t="str">
            <v>Tidak</v>
          </cell>
          <cell r="I2710" t="str">
            <v>Bandar Judol Depo</v>
          </cell>
          <cell r="J2710">
            <v>35</v>
          </cell>
          <cell r="K2710" t="str">
            <v>86,74,87</v>
          </cell>
          <cell r="L2710" t="str">
            <v>Judi Online</v>
          </cell>
          <cell r="M2710" t="str">
            <v xml:space="preserve">Kas Kanpus                              </v>
          </cell>
          <cell r="N2710" t="str">
            <v xml:space="preserve">Kas Kanpus                              </v>
          </cell>
          <cell r="O2710" t="str">
            <v xml:space="preserve">KAS KANPUS                              </v>
          </cell>
          <cell r="P2710" t="str">
            <v>Ya</v>
          </cell>
          <cell r="R2710" t="str">
            <v>Done</v>
          </cell>
          <cell r="S2710" t="str">
            <v>Belum TL</v>
          </cell>
          <cell r="T2710" t="str">
            <v>90171841 - Rifqi Aziz</v>
          </cell>
          <cell r="U2710" t="str">
            <v>"-"</v>
          </cell>
        </row>
        <row r="2711">
          <cell r="A2711">
            <v>46265</v>
          </cell>
          <cell r="B2711" t="str">
            <v xml:space="preserve">FERIZAL                                 </v>
          </cell>
          <cell r="C2711" t="str">
            <v>FPU1257</v>
          </cell>
          <cell r="D2711">
            <v>34201003014561</v>
          </cell>
          <cell r="F2711" t="str">
            <v>Tidak</v>
          </cell>
          <cell r="G2711" t="str">
            <v>Tidak</v>
          </cell>
          <cell r="H2711" t="str">
            <v>Tidak</v>
          </cell>
          <cell r="I2711" t="str">
            <v>Bandar Judol Depo</v>
          </cell>
          <cell r="J2711">
            <v>35</v>
          </cell>
          <cell r="K2711" t="str">
            <v>86,74,87</v>
          </cell>
          <cell r="L2711" t="str">
            <v>Judi Online</v>
          </cell>
          <cell r="M2711" t="str">
            <v xml:space="preserve">Kas Kanpus                              </v>
          </cell>
          <cell r="N2711" t="str">
            <v xml:space="preserve">Kas Kanpus                              </v>
          </cell>
          <cell r="O2711" t="str">
            <v xml:space="preserve">KAS KANPUS                              </v>
          </cell>
          <cell r="P2711" t="str">
            <v>Ya</v>
          </cell>
          <cell r="R2711" t="str">
            <v>Done</v>
          </cell>
          <cell r="S2711" t="str">
            <v>Belum TL</v>
          </cell>
          <cell r="T2711" t="str">
            <v>90170665 - Mutiara Ayuningtyas</v>
          </cell>
          <cell r="U2711" t="str">
            <v>"-"</v>
          </cell>
        </row>
        <row r="2712">
          <cell r="A2712">
            <v>46265</v>
          </cell>
          <cell r="B2712" t="str">
            <v xml:space="preserve">FITRI ULAN DARI                         </v>
          </cell>
          <cell r="C2712" t="str">
            <v>FIW0108</v>
          </cell>
          <cell r="D2712">
            <v>335001003985506</v>
          </cell>
          <cell r="E2712" t="str">
            <v>SEDANG</v>
          </cell>
          <cell r="F2712" t="str">
            <v>Tidak</v>
          </cell>
          <cell r="G2712" t="str">
            <v>Tidak</v>
          </cell>
          <cell r="H2712" t="str">
            <v>Tidak</v>
          </cell>
          <cell r="I2712" t="str">
            <v>Bandar Judol Withdrawal</v>
          </cell>
          <cell r="J2712">
            <v>50</v>
          </cell>
          <cell r="K2712" t="str">
            <v>86,88,87</v>
          </cell>
          <cell r="L2712" t="str">
            <v>Judi Online</v>
          </cell>
          <cell r="M2712" t="str">
            <v xml:space="preserve">Kas Kanpus                              </v>
          </cell>
          <cell r="N2712" t="str">
            <v xml:space="preserve">Kas Kanpus                              </v>
          </cell>
          <cell r="O2712" t="str">
            <v xml:space="preserve">KAS KANPUS                              </v>
          </cell>
          <cell r="P2712" t="str">
            <v>Ya</v>
          </cell>
          <cell r="R2712" t="str">
            <v>Done</v>
          </cell>
          <cell r="S2712" t="str">
            <v>Belum TL</v>
          </cell>
          <cell r="T2712" t="str">
            <v>90185538 - Muhammad Fahikal Auz</v>
          </cell>
          <cell r="U2712" t="str">
            <v>"-"</v>
          </cell>
        </row>
        <row r="2713">
          <cell r="A2713">
            <v>46265</v>
          </cell>
          <cell r="B2713" t="str">
            <v xml:space="preserve">FIRHAN ANGKOLA SIREGAR                  </v>
          </cell>
          <cell r="C2713" t="str">
            <v>FFA1996</v>
          </cell>
          <cell r="D2713">
            <v>33601034903532</v>
          </cell>
          <cell r="E2713" t="str">
            <v>SEDANG</v>
          </cell>
          <cell r="F2713" t="str">
            <v>Tidak</v>
          </cell>
          <cell r="G2713" t="str">
            <v>Tidak</v>
          </cell>
          <cell r="H2713" t="str">
            <v>Tidak</v>
          </cell>
          <cell r="I2713" t="str">
            <v>Bandar Judol Withdrawal</v>
          </cell>
          <cell r="J2713">
            <v>50</v>
          </cell>
          <cell r="K2713" t="str">
            <v>86,88,87</v>
          </cell>
          <cell r="L2713" t="str">
            <v>Judi Online</v>
          </cell>
          <cell r="M2713" t="str">
            <v xml:space="preserve">Kas Kanpus                              </v>
          </cell>
          <cell r="N2713" t="str">
            <v xml:space="preserve">Kas Kanpus                              </v>
          </cell>
          <cell r="O2713" t="str">
            <v xml:space="preserve">KAS KANPUS                              </v>
          </cell>
          <cell r="P2713" t="str">
            <v>Ya</v>
          </cell>
          <cell r="R2713" t="str">
            <v>Done</v>
          </cell>
          <cell r="S2713" t="str">
            <v>Belum TL</v>
          </cell>
          <cell r="T2713" t="str">
            <v>00394520 - Frida Akbar Rani</v>
          </cell>
          <cell r="U2713" t="str">
            <v>"-"</v>
          </cell>
        </row>
        <row r="2714">
          <cell r="A2714">
            <v>46265</v>
          </cell>
          <cell r="B2714" t="str">
            <v xml:space="preserve">FAHMI RAMADHAN                          </v>
          </cell>
          <cell r="C2714" t="str">
            <v>FJA3877</v>
          </cell>
          <cell r="D2714">
            <v>65801021401507</v>
          </cell>
          <cell r="E2714" t="str">
            <v>SEDANG</v>
          </cell>
          <cell r="F2714" t="str">
            <v>Tidak</v>
          </cell>
          <cell r="G2714" t="str">
            <v>Tidak</v>
          </cell>
          <cell r="H2714" t="str">
            <v>Tidak</v>
          </cell>
          <cell r="I2714" t="str">
            <v>Bandar Judol Withdrawal</v>
          </cell>
          <cell r="J2714">
            <v>50</v>
          </cell>
          <cell r="K2714" t="str">
            <v>86,88,87</v>
          </cell>
          <cell r="L2714" t="str">
            <v>Judi Online</v>
          </cell>
          <cell r="M2714" t="str">
            <v xml:space="preserve">Kas Kanpus                              </v>
          </cell>
          <cell r="N2714" t="str">
            <v xml:space="preserve">Kas Kanpus                              </v>
          </cell>
          <cell r="O2714" t="str">
            <v xml:space="preserve">KAS KANPUS                              </v>
          </cell>
          <cell r="P2714" t="str">
            <v>Ya</v>
          </cell>
          <cell r="R2714" t="str">
            <v>Done</v>
          </cell>
          <cell r="S2714" t="str">
            <v>Belum TL</v>
          </cell>
          <cell r="T2714" t="str">
            <v>90185538 - Muhammad Fahikal Auz</v>
          </cell>
          <cell r="U2714" t="str">
            <v>"-"</v>
          </cell>
        </row>
        <row r="2715">
          <cell r="A2715">
            <v>46265</v>
          </cell>
          <cell r="B2715" t="str">
            <v xml:space="preserve">FITRI NUR HUDA                          </v>
          </cell>
          <cell r="C2715" t="str">
            <v>FIW1935</v>
          </cell>
          <cell r="D2715">
            <v>208301037495507</v>
          </cell>
          <cell r="E2715" t="str">
            <v>SEDANG</v>
          </cell>
          <cell r="F2715" t="str">
            <v>Tidak</v>
          </cell>
          <cell r="G2715" t="str">
            <v>Tidak</v>
          </cell>
          <cell r="H2715" t="str">
            <v>Tidak</v>
          </cell>
          <cell r="I2715" t="str">
            <v>Bandar Judol Withdrawal</v>
          </cell>
          <cell r="J2715">
            <v>50</v>
          </cell>
          <cell r="K2715" t="str">
            <v>86,88,87</v>
          </cell>
          <cell r="L2715" t="str">
            <v>Judi Online</v>
          </cell>
          <cell r="M2715" t="str">
            <v xml:space="preserve">Kas Kanpus                              </v>
          </cell>
          <cell r="N2715" t="str">
            <v xml:space="preserve">Kas Kanpus                              </v>
          </cell>
          <cell r="O2715" t="str">
            <v xml:space="preserve">KAS KANPUS                              </v>
          </cell>
          <cell r="P2715" t="str">
            <v>Ya</v>
          </cell>
          <cell r="R2715" t="str">
            <v>Done</v>
          </cell>
          <cell r="S2715" t="str">
            <v>Belum TL</v>
          </cell>
          <cell r="T2715" t="str">
            <v>90186796 - Devito Arya Wiradila</v>
          </cell>
          <cell r="U2715" t="str">
            <v>"-"</v>
          </cell>
        </row>
        <row r="2716">
          <cell r="A2716">
            <v>46265</v>
          </cell>
          <cell r="B2716" t="str">
            <v xml:space="preserve">ENDANG KUSUMA HARAHAP                   </v>
          </cell>
          <cell r="C2716" t="str">
            <v>EYU1812</v>
          </cell>
          <cell r="D2716">
            <v>337601016605501</v>
          </cell>
          <cell r="F2716" t="str">
            <v>Tidak</v>
          </cell>
          <cell r="G2716" t="str">
            <v>Tidak</v>
          </cell>
          <cell r="H2716" t="str">
            <v>Tidak</v>
          </cell>
          <cell r="I2716" t="str">
            <v>Bandar Judol Withdrawal</v>
          </cell>
          <cell r="J2716">
            <v>35</v>
          </cell>
          <cell r="K2716" t="str">
            <v>86,88,87</v>
          </cell>
          <cell r="L2716" t="str">
            <v>Judi Online</v>
          </cell>
          <cell r="M2716" t="str">
            <v xml:space="preserve">Kas Kanpus                              </v>
          </cell>
          <cell r="N2716" t="str">
            <v xml:space="preserve">Kas Kanpus                              </v>
          </cell>
          <cell r="O2716" t="str">
            <v xml:space="preserve">KAS KANPUS                              </v>
          </cell>
          <cell r="P2716" t="str">
            <v>Ya</v>
          </cell>
          <cell r="R2716" t="str">
            <v>Done</v>
          </cell>
          <cell r="S2716" t="str">
            <v>Belum TL</v>
          </cell>
          <cell r="T2716" t="str">
            <v>00394520 - Frida Akbar Rani</v>
          </cell>
          <cell r="U2716" t="str">
            <v>"-"</v>
          </cell>
        </row>
        <row r="2717">
          <cell r="A2717">
            <v>46265</v>
          </cell>
          <cell r="B2717" t="str">
            <v xml:space="preserve">ENDRI DWI ANTARA                        </v>
          </cell>
          <cell r="C2717" t="str">
            <v>EZE4491</v>
          </cell>
          <cell r="D2717">
            <v>375701018949503</v>
          </cell>
          <cell r="F2717" t="str">
            <v>Tidak</v>
          </cell>
          <cell r="G2717" t="str">
            <v>Tidak</v>
          </cell>
          <cell r="H2717" t="str">
            <v>Tidak</v>
          </cell>
          <cell r="I2717" t="str">
            <v>Bandar Judol Depo</v>
          </cell>
          <cell r="J2717">
            <v>35</v>
          </cell>
          <cell r="K2717" t="str">
            <v>86,74,87</v>
          </cell>
          <cell r="L2717" t="str">
            <v>Judi Online</v>
          </cell>
          <cell r="M2717" t="str">
            <v xml:space="preserve">Kas Kanpus                              </v>
          </cell>
          <cell r="N2717" t="str">
            <v xml:space="preserve">Kas Kanpus                              </v>
          </cell>
          <cell r="O2717" t="str">
            <v xml:space="preserve">KAS KANPUS                              </v>
          </cell>
          <cell r="P2717" t="str">
            <v>Tidak</v>
          </cell>
          <cell r="R2717" t="str">
            <v>Done</v>
          </cell>
          <cell r="S2717" t="str">
            <v>Belum TL</v>
          </cell>
          <cell r="T2717" t="str">
            <v>90170665 - Mutiara Ayuningtyas</v>
          </cell>
          <cell r="U2717" t="str">
            <v>"-"</v>
          </cell>
        </row>
        <row r="2718">
          <cell r="A2718">
            <v>46265</v>
          </cell>
          <cell r="B2718" t="str">
            <v xml:space="preserve">ELFATIH ALI SOFIAN                      </v>
          </cell>
          <cell r="C2718" t="str">
            <v>EZE7492</v>
          </cell>
          <cell r="D2718">
            <v>81701015031500</v>
          </cell>
          <cell r="F2718" t="str">
            <v>Tidak</v>
          </cell>
          <cell r="G2718" t="str">
            <v>Tidak</v>
          </cell>
          <cell r="H2718" t="str">
            <v>Tidak</v>
          </cell>
          <cell r="I2718" t="str">
            <v>Bandar Judol Withdrawal</v>
          </cell>
          <cell r="J2718">
            <v>35</v>
          </cell>
          <cell r="K2718" t="str">
            <v>86,88,87</v>
          </cell>
          <cell r="L2718" t="str">
            <v>Judi Online</v>
          </cell>
          <cell r="M2718" t="str">
            <v xml:space="preserve">Kas Kanpus                              </v>
          </cell>
          <cell r="N2718" t="str">
            <v xml:space="preserve">Kas Kanpus                              </v>
          </cell>
          <cell r="O2718" t="str">
            <v xml:space="preserve">KAS KANPUS                              </v>
          </cell>
          <cell r="P2718" t="str">
            <v>Ya</v>
          </cell>
          <cell r="R2718" t="str">
            <v>Done</v>
          </cell>
          <cell r="S2718" t="str">
            <v>Belum TL</v>
          </cell>
          <cell r="T2718" t="str">
            <v>00336949 - Mochammad Al Farabi</v>
          </cell>
          <cell r="U2718" t="str">
            <v>"-"</v>
          </cell>
        </row>
        <row r="2719">
          <cell r="A2719">
            <v>46265</v>
          </cell>
          <cell r="B2719" t="str">
            <v xml:space="preserve">ELISA                                   </v>
          </cell>
          <cell r="C2719" t="str">
            <v>EZJ4296</v>
          </cell>
          <cell r="D2719">
            <v>39501042630509</v>
          </cell>
          <cell r="F2719" t="str">
            <v>Tidak</v>
          </cell>
          <cell r="G2719" t="str">
            <v>Tidak</v>
          </cell>
          <cell r="H2719" t="str">
            <v>Tidak</v>
          </cell>
          <cell r="I2719" t="str">
            <v>Bandar Judol Withdrawal</v>
          </cell>
          <cell r="J2719">
            <v>35</v>
          </cell>
          <cell r="K2719" t="str">
            <v>86,88,87</v>
          </cell>
          <cell r="L2719" t="str">
            <v>Judi Online</v>
          </cell>
          <cell r="M2719" t="str">
            <v xml:space="preserve">Kas Kanpus                              </v>
          </cell>
          <cell r="N2719" t="str">
            <v xml:space="preserve">Kas Kanpus                              </v>
          </cell>
          <cell r="O2719" t="str">
            <v xml:space="preserve">KAS KANPUS                              </v>
          </cell>
          <cell r="P2719" t="str">
            <v>Ya</v>
          </cell>
          <cell r="R2719" t="str">
            <v>Done</v>
          </cell>
          <cell r="S2719" t="str">
            <v>Belum TL</v>
          </cell>
          <cell r="T2719" t="str">
            <v>90150130 - Intan Aida Pratiwi</v>
          </cell>
          <cell r="U2719" t="str">
            <v>"-"</v>
          </cell>
        </row>
        <row r="2720">
          <cell r="A2720">
            <v>46265</v>
          </cell>
          <cell r="B2720" t="str">
            <v xml:space="preserve">EKO MULYA PRATAMA                       </v>
          </cell>
          <cell r="C2720" t="str">
            <v>EZI5772</v>
          </cell>
          <cell r="D2720">
            <v>353101005009504</v>
          </cell>
          <cell r="F2720" t="str">
            <v>Tidak</v>
          </cell>
          <cell r="G2720" t="str">
            <v>Tidak</v>
          </cell>
          <cell r="H2720" t="str">
            <v>Tidak</v>
          </cell>
          <cell r="I2720" t="str">
            <v>Bandar Judol Withdrawal</v>
          </cell>
          <cell r="J2720">
            <v>35</v>
          </cell>
          <cell r="K2720" t="str">
            <v>86,88,87</v>
          </cell>
          <cell r="L2720" t="str">
            <v>Judi Online</v>
          </cell>
          <cell r="M2720" t="str">
            <v xml:space="preserve">Kas Kanpus                              </v>
          </cell>
          <cell r="N2720" t="str">
            <v xml:space="preserve">Kas Kanpus                              </v>
          </cell>
          <cell r="O2720" t="str">
            <v xml:space="preserve">KAS KANPUS                              </v>
          </cell>
          <cell r="P2720" t="str">
            <v>Ya</v>
          </cell>
          <cell r="R2720" t="str">
            <v>Done</v>
          </cell>
          <cell r="S2720" t="str">
            <v>Belum TL</v>
          </cell>
          <cell r="T2720" t="str">
            <v>00336949 - Mochammad Al Farabi</v>
          </cell>
          <cell r="U2720" t="str">
            <v>"-"</v>
          </cell>
        </row>
        <row r="2721">
          <cell r="A2721">
            <v>46265</v>
          </cell>
          <cell r="B2721" t="str">
            <v xml:space="preserve">EVANNY ARYARAMDANY                      </v>
          </cell>
          <cell r="C2721" t="str">
            <v>EZG4521</v>
          </cell>
          <cell r="D2721">
            <v>99701020810501</v>
          </cell>
          <cell r="F2721" t="str">
            <v>Tidak</v>
          </cell>
          <cell r="G2721" t="str">
            <v>Tidak</v>
          </cell>
          <cell r="H2721" t="str">
            <v>Tidak</v>
          </cell>
          <cell r="I2721" t="str">
            <v>Bandar Judol Withdrawal</v>
          </cell>
          <cell r="J2721">
            <v>35</v>
          </cell>
          <cell r="K2721" t="str">
            <v>86,88,87</v>
          </cell>
          <cell r="L2721" t="str">
            <v>Judi Online</v>
          </cell>
          <cell r="M2721" t="str">
            <v xml:space="preserve">Kas Kanpus                              </v>
          </cell>
          <cell r="N2721" t="str">
            <v xml:space="preserve">Kas Kanpus                              </v>
          </cell>
          <cell r="O2721" t="str">
            <v xml:space="preserve">KAS KANPUS                              </v>
          </cell>
          <cell r="P2721" t="str">
            <v>Ya</v>
          </cell>
          <cell r="R2721" t="str">
            <v>Done</v>
          </cell>
          <cell r="S2721" t="str">
            <v>Belum TL</v>
          </cell>
          <cell r="T2721" t="str">
            <v>90186790 - Muhammad Alfin Farha</v>
          </cell>
          <cell r="U2721" t="str">
            <v>"-"</v>
          </cell>
        </row>
        <row r="2722">
          <cell r="A2722">
            <v>46265</v>
          </cell>
          <cell r="B2722" t="str">
            <v xml:space="preserve">ERWIN SAHPUTRA                          </v>
          </cell>
          <cell r="C2722" t="str">
            <v>EYP3587</v>
          </cell>
          <cell r="D2722">
            <v>69401034482506</v>
          </cell>
          <cell r="F2722" t="str">
            <v>Tidak</v>
          </cell>
          <cell r="G2722" t="str">
            <v>Tidak</v>
          </cell>
          <cell r="H2722" t="str">
            <v>Tidak</v>
          </cell>
          <cell r="I2722" t="str">
            <v>Bandar Judol Withdrawal</v>
          </cell>
          <cell r="J2722">
            <v>35</v>
          </cell>
          <cell r="K2722" t="str">
            <v>86,88,87</v>
          </cell>
          <cell r="L2722" t="str">
            <v>Judi Online</v>
          </cell>
          <cell r="M2722" t="str">
            <v xml:space="preserve">Kas Kanpus                              </v>
          </cell>
          <cell r="N2722" t="str">
            <v xml:space="preserve">Kas Kanpus                              </v>
          </cell>
          <cell r="O2722" t="str">
            <v xml:space="preserve">KAS KANPUS                              </v>
          </cell>
          <cell r="P2722" t="str">
            <v>Ya</v>
          </cell>
          <cell r="R2722" t="str">
            <v>Done</v>
          </cell>
          <cell r="S2722" t="str">
            <v>Belum TL</v>
          </cell>
          <cell r="T2722" t="str">
            <v>90186796 - Devito Arya Wiradila</v>
          </cell>
          <cell r="U2722" t="str">
            <v>"-"</v>
          </cell>
        </row>
        <row r="2723">
          <cell r="A2723">
            <v>46265</v>
          </cell>
          <cell r="B2723" t="str">
            <v xml:space="preserve">ENDANG ROYDHOTULJANNAH                  </v>
          </cell>
          <cell r="C2723" t="str">
            <v>EYE1976</v>
          </cell>
          <cell r="D2723">
            <v>42101153560509</v>
          </cell>
          <cell r="F2723" t="str">
            <v>Tidak</v>
          </cell>
          <cell r="G2723" t="str">
            <v>Tidak</v>
          </cell>
          <cell r="H2723" t="str">
            <v>Tidak</v>
          </cell>
          <cell r="I2723" t="str">
            <v>Bandar Judol Withdrawal</v>
          </cell>
          <cell r="J2723">
            <v>35</v>
          </cell>
          <cell r="K2723" t="str">
            <v>86,88,87</v>
          </cell>
          <cell r="L2723" t="str">
            <v>Judi Online</v>
          </cell>
          <cell r="M2723" t="str">
            <v xml:space="preserve">Kas Kanpus                              </v>
          </cell>
          <cell r="N2723" t="str">
            <v xml:space="preserve">Kas Kanpus                              </v>
          </cell>
          <cell r="O2723" t="str">
            <v xml:space="preserve">KAS KANPUS                              </v>
          </cell>
          <cell r="P2723" t="str">
            <v>Tidak</v>
          </cell>
          <cell r="R2723" t="str">
            <v>Done</v>
          </cell>
          <cell r="S2723" t="str">
            <v>Belum TL</v>
          </cell>
          <cell r="T2723" t="str">
            <v>90186790 - Muhammad Alfin Farha</v>
          </cell>
          <cell r="U2723" t="str">
            <v>"-"</v>
          </cell>
        </row>
        <row r="2724">
          <cell r="A2724">
            <v>46265</v>
          </cell>
          <cell r="B2724" t="str">
            <v xml:space="preserve">FIRMAN JAYA LAIA                        </v>
          </cell>
          <cell r="C2724" t="str">
            <v>FDQ5924</v>
          </cell>
          <cell r="D2724">
            <v>33601157704508</v>
          </cell>
          <cell r="E2724" t="str">
            <v>RENDAH</v>
          </cell>
          <cell r="F2724" t="str">
            <v>Tidak</v>
          </cell>
          <cell r="G2724" t="str">
            <v>Tidak</v>
          </cell>
          <cell r="H2724" t="str">
            <v>Tidak</v>
          </cell>
          <cell r="I2724" t="str">
            <v>Bandar Judol Withdrawal</v>
          </cell>
          <cell r="J2724">
            <v>35</v>
          </cell>
          <cell r="K2724" t="str">
            <v>86,88,87</v>
          </cell>
          <cell r="L2724" t="str">
            <v>Judi Online</v>
          </cell>
          <cell r="M2724" t="str">
            <v xml:space="preserve">Kas Kanpus                              </v>
          </cell>
          <cell r="N2724" t="str">
            <v xml:space="preserve">Kas Kanpus                              </v>
          </cell>
          <cell r="O2724" t="str">
            <v xml:space="preserve">KAS KANPUS                              </v>
          </cell>
          <cell r="P2724" t="str">
            <v>Ya</v>
          </cell>
          <cell r="R2724" t="str">
            <v>Done</v>
          </cell>
          <cell r="S2724" t="str">
            <v>Belum TL</v>
          </cell>
          <cell r="T2724" t="str">
            <v>90171841 - Rifqi Aziz</v>
          </cell>
          <cell r="U2724" t="str">
            <v>"-"</v>
          </cell>
        </row>
        <row r="2725">
          <cell r="A2725">
            <v>46265</v>
          </cell>
          <cell r="B2725" t="str">
            <v xml:space="preserve">FIFI HOLIFAH                            </v>
          </cell>
          <cell r="C2725" t="str">
            <v>FC77326</v>
          </cell>
          <cell r="D2725">
            <v>43801052860502</v>
          </cell>
          <cell r="E2725" t="str">
            <v>SEDANG</v>
          </cell>
          <cell r="F2725" t="str">
            <v>Tidak</v>
          </cell>
          <cell r="G2725" t="str">
            <v>Tidak</v>
          </cell>
          <cell r="H2725" t="str">
            <v>Tidak</v>
          </cell>
          <cell r="I2725" t="str">
            <v>Bandar Judol Withdrawal</v>
          </cell>
          <cell r="J2725">
            <v>50</v>
          </cell>
          <cell r="K2725" t="str">
            <v>86,88,87</v>
          </cell>
          <cell r="L2725" t="str">
            <v>Judi Online</v>
          </cell>
          <cell r="M2725" t="str">
            <v xml:space="preserve">Kas Kanpus                              </v>
          </cell>
          <cell r="N2725" t="str">
            <v xml:space="preserve">Kas Kanpus                              </v>
          </cell>
          <cell r="O2725" t="str">
            <v xml:space="preserve">KAS KANPUS                              </v>
          </cell>
          <cell r="P2725" t="str">
            <v>Ya</v>
          </cell>
          <cell r="R2725" t="str">
            <v>Done</v>
          </cell>
          <cell r="S2725" t="str">
            <v>Belum TL</v>
          </cell>
          <cell r="T2725" t="str">
            <v>90171841 - Rifqi Aziz</v>
          </cell>
          <cell r="U2725" t="str">
            <v>"-"</v>
          </cell>
        </row>
        <row r="2726">
          <cell r="A2726">
            <v>46265</v>
          </cell>
          <cell r="B2726" t="str">
            <v xml:space="preserve">FAHRIDI HISTORIKA                       </v>
          </cell>
          <cell r="C2726" t="str">
            <v>FBB6796</v>
          </cell>
          <cell r="D2726">
            <v>8401299464504</v>
          </cell>
          <cell r="E2726" t="str">
            <v>SEDANG</v>
          </cell>
          <cell r="F2726" t="str">
            <v>Tidak</v>
          </cell>
          <cell r="G2726" t="str">
            <v>Tidak</v>
          </cell>
          <cell r="H2726" t="str">
            <v>Tidak</v>
          </cell>
          <cell r="I2726" t="str">
            <v>Bandar Judol Withdrawal</v>
          </cell>
          <cell r="J2726">
            <v>50</v>
          </cell>
          <cell r="K2726" t="str">
            <v>86,88,87</v>
          </cell>
          <cell r="L2726" t="str">
            <v>Judi Online</v>
          </cell>
          <cell r="M2726" t="str">
            <v xml:space="preserve">Kas Kanpus                              </v>
          </cell>
          <cell r="N2726" t="str">
            <v xml:space="preserve">Kas Kanpus                              </v>
          </cell>
          <cell r="O2726" t="str">
            <v xml:space="preserve">KAS KANPUS                              </v>
          </cell>
          <cell r="P2726" t="str">
            <v>Ya</v>
          </cell>
          <cell r="R2726" t="str">
            <v>Done</v>
          </cell>
          <cell r="S2726" t="str">
            <v>Belum TL</v>
          </cell>
          <cell r="T2726" t="str">
            <v>00336949 - Mochammad Al Farabi</v>
          </cell>
          <cell r="U2726" t="str">
            <v>"-"</v>
          </cell>
        </row>
        <row r="2727">
          <cell r="A2727">
            <v>46265</v>
          </cell>
          <cell r="B2727" t="str">
            <v xml:space="preserve">FEDERAL INTERNATIONAL FINANCE           </v>
          </cell>
          <cell r="C2727" t="str">
            <v>F041168</v>
          </cell>
          <cell r="D2727">
            <v>18601001856309</v>
          </cell>
          <cell r="E2727" t="str">
            <v>SEDANG</v>
          </cell>
          <cell r="F2727" t="str">
            <v>Tidak</v>
          </cell>
          <cell r="G2727" t="str">
            <v>Tidak</v>
          </cell>
          <cell r="H2727" t="str">
            <v>Tidak</v>
          </cell>
          <cell r="I2727" t="str">
            <v>Perpajakan</v>
          </cell>
          <cell r="J2727">
            <v>49</v>
          </cell>
          <cell r="K2727">
            <v>1.33</v>
          </cell>
          <cell r="L2727" t="str">
            <v>Perpajakan</v>
          </cell>
          <cell r="M2727" t="str">
            <v xml:space="preserve">KC Jakarta Tanjung Priok                </v>
          </cell>
          <cell r="N2727" t="str">
            <v xml:space="preserve">KC Jakarta Tanjung Priok                </v>
          </cell>
          <cell r="O2727" t="str">
            <v xml:space="preserve">DKI                                     </v>
          </cell>
          <cell r="P2727" t="str">
            <v>Tidak</v>
          </cell>
          <cell r="R2727" t="str">
            <v>Done</v>
          </cell>
          <cell r="S2727" t="str">
            <v>Belum TL</v>
          </cell>
          <cell r="T2727" t="str">
            <v>00394521 - Muhammad Hibbanduta</v>
          </cell>
          <cell r="U2727" t="str">
            <v>"-"</v>
          </cell>
        </row>
        <row r="2728">
          <cell r="A2728">
            <v>46265</v>
          </cell>
          <cell r="B2728" t="str">
            <v xml:space="preserve">ERWIN SYAHPUTRA                         </v>
          </cell>
          <cell r="C2728" t="str">
            <v>EZT6313</v>
          </cell>
          <cell r="D2728">
            <v>567701016344505</v>
          </cell>
          <cell r="F2728" t="str">
            <v>Tidak</v>
          </cell>
          <cell r="G2728" t="str">
            <v>Tidak</v>
          </cell>
          <cell r="H2728" t="str">
            <v>Tidak</v>
          </cell>
          <cell r="I2728" t="str">
            <v>Bandar Judol Depo</v>
          </cell>
          <cell r="J2728">
            <v>35</v>
          </cell>
          <cell r="K2728" t="str">
            <v>86,74,87</v>
          </cell>
          <cell r="L2728" t="str">
            <v>Judi Online</v>
          </cell>
          <cell r="M2728" t="str">
            <v xml:space="preserve">Kas Kanpus                              </v>
          </cell>
          <cell r="N2728" t="str">
            <v xml:space="preserve">Kas Kanpus                              </v>
          </cell>
          <cell r="O2728" t="str">
            <v xml:space="preserve">KAS KANPUS                              </v>
          </cell>
          <cell r="P2728" t="str">
            <v>Ya</v>
          </cell>
          <cell r="R2728" t="str">
            <v>Done</v>
          </cell>
          <cell r="S2728" t="str">
            <v>Belum TL</v>
          </cell>
          <cell r="T2728" t="str">
            <v>00336949 - Mochammad Al Farabi</v>
          </cell>
          <cell r="U2728" t="str">
            <v>"-"</v>
          </cell>
        </row>
        <row r="2729">
          <cell r="A2729">
            <v>46265</v>
          </cell>
          <cell r="B2729" t="str">
            <v xml:space="preserve">YULIA SUSANTI                           </v>
          </cell>
          <cell r="C2729" t="str">
            <v>YPN5928</v>
          </cell>
          <cell r="D2729">
            <v>722401003045507</v>
          </cell>
          <cell r="E2729" t="str">
            <v>SEDANG</v>
          </cell>
          <cell r="F2729" t="str">
            <v>Tidak</v>
          </cell>
          <cell r="G2729" t="str">
            <v>Tidak</v>
          </cell>
          <cell r="H2729" t="str">
            <v>Tidak</v>
          </cell>
          <cell r="I2729" t="str">
            <v>Bandar Judol Withdrawal</v>
          </cell>
          <cell r="J2729">
            <v>50</v>
          </cell>
          <cell r="K2729" t="str">
            <v>86,88,87</v>
          </cell>
          <cell r="L2729" t="str">
            <v>Judi Online</v>
          </cell>
          <cell r="M2729" t="str">
            <v xml:space="preserve">Kas Kanpus                              </v>
          </cell>
          <cell r="N2729" t="str">
            <v xml:space="preserve">Kas Kanpus                              </v>
          </cell>
          <cell r="O2729" t="str">
            <v xml:space="preserve">KAS KANPUS                              </v>
          </cell>
          <cell r="P2729" t="str">
            <v>Ya</v>
          </cell>
          <cell r="R2729" t="str">
            <v>Done</v>
          </cell>
          <cell r="S2729" t="str">
            <v>Belum TL</v>
          </cell>
          <cell r="T2729" t="str">
            <v>90150130 - Intan Aida Pratiwi</v>
          </cell>
          <cell r="U2729" t="str">
            <v>"-"</v>
          </cell>
        </row>
        <row r="2730">
          <cell r="A2730">
            <v>46265</v>
          </cell>
          <cell r="B2730" t="str">
            <v xml:space="preserve">YAYASAN CHONDRO KIRONO SETUNGGAL        </v>
          </cell>
          <cell r="C2730" t="str">
            <v>YQW7659</v>
          </cell>
          <cell r="D2730">
            <v>20601222202565</v>
          </cell>
          <cell r="F2730" t="str">
            <v>Tidak</v>
          </cell>
          <cell r="G2730" t="str">
            <v>Tidak</v>
          </cell>
          <cell r="H2730" t="str">
            <v>Tidak</v>
          </cell>
          <cell r="I2730" t="str">
            <v>Perpajakan</v>
          </cell>
          <cell r="J2730">
            <v>33</v>
          </cell>
          <cell r="K2730">
            <v>41</v>
          </cell>
          <cell r="L2730" t="str">
            <v>Perpajakan</v>
          </cell>
          <cell r="M2730" t="str">
            <v xml:space="preserve">KC SUDIRMAN SEMANGGI                    </v>
          </cell>
          <cell r="N2730" t="str">
            <v xml:space="preserve">KC SUDIRMAN SEMANGGI                    </v>
          </cell>
          <cell r="O2730" t="str">
            <v xml:space="preserve">DKI                                     </v>
          </cell>
          <cell r="P2730" t="str">
            <v>Tidak</v>
          </cell>
          <cell r="R2730" t="str">
            <v>Done</v>
          </cell>
          <cell r="S2730" t="str">
            <v>Belum TL</v>
          </cell>
          <cell r="T2730" t="str">
            <v>90150130 - Intan Aida Pratiwi</v>
          </cell>
          <cell r="U2730" t="str">
            <v>"-"</v>
          </cell>
        </row>
        <row r="2731">
          <cell r="A2731">
            <v>46265</v>
          </cell>
          <cell r="B2731" t="str">
            <v xml:space="preserve">YUNAH                                   </v>
          </cell>
          <cell r="C2731" t="str">
            <v>YRN0814</v>
          </cell>
          <cell r="D2731">
            <v>771301010351502</v>
          </cell>
          <cell r="F2731" t="str">
            <v>Tidak</v>
          </cell>
          <cell r="G2731" t="str">
            <v>Tidak</v>
          </cell>
          <cell r="H2731" t="str">
            <v>Tidak</v>
          </cell>
          <cell r="I2731" t="str">
            <v>Bandar Judol Withdrawal</v>
          </cell>
          <cell r="J2731">
            <v>35</v>
          </cell>
          <cell r="K2731" t="str">
            <v>86,88,87</v>
          </cell>
          <cell r="L2731" t="str">
            <v>Judi Online</v>
          </cell>
          <cell r="M2731" t="str">
            <v xml:space="preserve">Kas Kanpus                              </v>
          </cell>
          <cell r="N2731" t="str">
            <v xml:space="preserve">Kas Kanpus                              </v>
          </cell>
          <cell r="O2731" t="str">
            <v xml:space="preserve">KAS KANPUS                              </v>
          </cell>
          <cell r="P2731" t="str">
            <v>Ya</v>
          </cell>
          <cell r="R2731" t="str">
            <v>Done</v>
          </cell>
          <cell r="S2731" t="str">
            <v>Belum TL</v>
          </cell>
          <cell r="T2731" t="str">
            <v>90185537 - Moh.Khoerul Fajar Ar</v>
          </cell>
          <cell r="U2731" t="str">
            <v>"-"</v>
          </cell>
        </row>
        <row r="2732">
          <cell r="A2732">
            <v>46265</v>
          </cell>
          <cell r="B2732" t="str">
            <v xml:space="preserve">YULIANAH                                </v>
          </cell>
          <cell r="C2732" t="str">
            <v>YRS7335</v>
          </cell>
          <cell r="D2732">
            <v>39801043110504</v>
          </cell>
          <cell r="F2732" t="str">
            <v>Tidak</v>
          </cell>
          <cell r="G2732" t="str">
            <v>Tidak</v>
          </cell>
          <cell r="H2732" t="str">
            <v>Tidak</v>
          </cell>
          <cell r="I2732" t="str">
            <v>Bandar Judol Withdrawal</v>
          </cell>
          <cell r="J2732">
            <v>35</v>
          </cell>
          <cell r="K2732" t="str">
            <v>86,88,87</v>
          </cell>
          <cell r="L2732" t="str">
            <v>Judi Online</v>
          </cell>
          <cell r="M2732" t="str">
            <v xml:space="preserve">Kas Kanpus                              </v>
          </cell>
          <cell r="N2732" t="str">
            <v xml:space="preserve">Kas Kanpus                              </v>
          </cell>
          <cell r="O2732" t="str">
            <v xml:space="preserve">KAS KANPUS                              </v>
          </cell>
          <cell r="P2732" t="str">
            <v>Ya</v>
          </cell>
          <cell r="R2732" t="str">
            <v>Done</v>
          </cell>
          <cell r="S2732" t="str">
            <v>Belum TL</v>
          </cell>
          <cell r="T2732" t="str">
            <v>90171841 - Rifqi Aziz</v>
          </cell>
          <cell r="U2732" t="str">
            <v>"-"</v>
          </cell>
        </row>
        <row r="2733">
          <cell r="A2733">
            <v>46265</v>
          </cell>
          <cell r="B2733" t="str">
            <v xml:space="preserve">YOSEP JONATAN SITORUS                   </v>
          </cell>
          <cell r="C2733" t="str">
            <v>YQT5257</v>
          </cell>
          <cell r="D2733">
            <v>532101022641502</v>
          </cell>
          <cell r="F2733" t="str">
            <v>Tidak</v>
          </cell>
          <cell r="G2733" t="str">
            <v>Tidak</v>
          </cell>
          <cell r="H2733" t="str">
            <v>Tidak</v>
          </cell>
          <cell r="I2733" t="str">
            <v>Bandar Judol Withdrawal</v>
          </cell>
          <cell r="J2733">
            <v>35</v>
          </cell>
          <cell r="K2733" t="str">
            <v>86,88,87</v>
          </cell>
          <cell r="L2733" t="str">
            <v>Judi Online</v>
          </cell>
          <cell r="M2733" t="str">
            <v xml:space="preserve">Kas Kanpus                              </v>
          </cell>
          <cell r="N2733" t="str">
            <v xml:space="preserve">Kas Kanpus                              </v>
          </cell>
          <cell r="O2733" t="str">
            <v xml:space="preserve">KAS KANPUS                              </v>
          </cell>
          <cell r="P2733" t="str">
            <v>Ya</v>
          </cell>
          <cell r="R2733" t="str">
            <v>Done</v>
          </cell>
          <cell r="S2733" t="str">
            <v>Belum TL</v>
          </cell>
          <cell r="T2733" t="str">
            <v>00336949 - Mochammad Al Farabi</v>
          </cell>
          <cell r="U2733" t="str">
            <v>"-"</v>
          </cell>
        </row>
        <row r="2734">
          <cell r="A2734">
            <v>46265</v>
          </cell>
          <cell r="B2734" t="str">
            <v xml:space="preserve">YUSTIN.Y.T KAUROW                       </v>
          </cell>
          <cell r="C2734" t="str">
            <v>YQZ2298</v>
          </cell>
          <cell r="D2734">
            <v>367301004480501</v>
          </cell>
          <cell r="F2734" t="str">
            <v>Tidak</v>
          </cell>
          <cell r="G2734" t="str">
            <v>Tidak</v>
          </cell>
          <cell r="H2734" t="str">
            <v>Tidak</v>
          </cell>
          <cell r="I2734" t="str">
            <v>Bandar Judol Withdrawal</v>
          </cell>
          <cell r="J2734">
            <v>35</v>
          </cell>
          <cell r="K2734" t="str">
            <v>86,88,87</v>
          </cell>
          <cell r="L2734" t="str">
            <v>Judi Online</v>
          </cell>
          <cell r="M2734" t="str">
            <v xml:space="preserve">Kas Kanpus                              </v>
          </cell>
          <cell r="N2734" t="str">
            <v xml:space="preserve">Kas Kanpus                              </v>
          </cell>
          <cell r="O2734" t="str">
            <v xml:space="preserve">KAS KANPUS                              </v>
          </cell>
          <cell r="P2734" t="str">
            <v>Ya</v>
          </cell>
          <cell r="R2734" t="str">
            <v>Done</v>
          </cell>
          <cell r="S2734" t="str">
            <v>Belum TL</v>
          </cell>
          <cell r="T2734" t="str">
            <v>00336949 - Mochammad Al Farabi</v>
          </cell>
          <cell r="U2734" t="str">
            <v>"-"</v>
          </cell>
        </row>
        <row r="2735">
          <cell r="A2735">
            <v>46265</v>
          </cell>
          <cell r="B2735" t="str">
            <v xml:space="preserve">YUSWANDI                                </v>
          </cell>
          <cell r="C2735" t="str">
            <v>YPJ0597</v>
          </cell>
          <cell r="D2735">
            <v>53101014883504</v>
          </cell>
          <cell r="E2735" t="str">
            <v>SEDANG</v>
          </cell>
          <cell r="F2735" t="str">
            <v>Tidak</v>
          </cell>
          <cell r="G2735" t="str">
            <v>Tidak</v>
          </cell>
          <cell r="H2735" t="str">
            <v>Tidak</v>
          </cell>
          <cell r="I2735" t="str">
            <v>Bandar Judol Withdrawal</v>
          </cell>
          <cell r="J2735">
            <v>50</v>
          </cell>
          <cell r="K2735" t="str">
            <v>86,88,87</v>
          </cell>
          <cell r="L2735" t="str">
            <v>Judi Online</v>
          </cell>
          <cell r="M2735" t="str">
            <v xml:space="preserve">Kas Kanpus                              </v>
          </cell>
          <cell r="N2735" t="str">
            <v xml:space="preserve">Kas Kanpus                              </v>
          </cell>
          <cell r="O2735" t="str">
            <v xml:space="preserve">KAS KANPUS                              </v>
          </cell>
          <cell r="P2735" t="str">
            <v>Ya</v>
          </cell>
          <cell r="R2735" t="str">
            <v>Done</v>
          </cell>
          <cell r="S2735" t="str">
            <v>Belum TL</v>
          </cell>
          <cell r="T2735" t="str">
            <v>00394521 - Muhammad Hibbanduta</v>
          </cell>
          <cell r="U2735" t="str">
            <v>"-"</v>
          </cell>
        </row>
        <row r="2736">
          <cell r="A2736">
            <v>46265</v>
          </cell>
          <cell r="B2736" t="str">
            <v xml:space="preserve">YONATHAN EVAN PRAMUDA SIMANJUNTAK       </v>
          </cell>
          <cell r="C2736" t="str">
            <v>YOW5113</v>
          </cell>
          <cell r="D2736">
            <v>5301005529565</v>
          </cell>
          <cell r="E2736" t="str">
            <v>SEDANG</v>
          </cell>
          <cell r="F2736" t="str">
            <v>Tidak</v>
          </cell>
          <cell r="G2736" t="str">
            <v>Tidak</v>
          </cell>
          <cell r="H2736" t="str">
            <v>Tidak</v>
          </cell>
          <cell r="I2736" t="str">
            <v>Bandar Judol Withdrawal</v>
          </cell>
          <cell r="J2736">
            <v>50</v>
          </cell>
          <cell r="K2736" t="str">
            <v>86,88,87</v>
          </cell>
          <cell r="L2736" t="str">
            <v>Judi Online</v>
          </cell>
          <cell r="M2736" t="str">
            <v xml:space="preserve">Kas Kanpus                              </v>
          </cell>
          <cell r="N2736" t="str">
            <v xml:space="preserve">Kas Kanpus                              </v>
          </cell>
          <cell r="O2736" t="str">
            <v xml:space="preserve">KAS KANPUS                              </v>
          </cell>
          <cell r="P2736" t="str">
            <v>Ya</v>
          </cell>
          <cell r="R2736" t="str">
            <v>Done</v>
          </cell>
          <cell r="S2736" t="str">
            <v>Belum TL</v>
          </cell>
          <cell r="T2736" t="str">
            <v>00394521 - Muhammad Hibbanduta</v>
          </cell>
          <cell r="U2736" t="str">
            <v>"-"</v>
          </cell>
        </row>
        <row r="2737">
          <cell r="A2737">
            <v>46265</v>
          </cell>
          <cell r="B2737" t="str">
            <v xml:space="preserve">YANNUAR FERDIANSYAH                     </v>
          </cell>
          <cell r="C2737" t="str">
            <v>YOX0186</v>
          </cell>
          <cell r="D2737">
            <v>43801063088509</v>
          </cell>
          <cell r="E2737" t="str">
            <v>SEDANG</v>
          </cell>
          <cell r="F2737" t="str">
            <v>Tidak</v>
          </cell>
          <cell r="G2737" t="str">
            <v>Tidak</v>
          </cell>
          <cell r="H2737" t="str">
            <v>Tidak</v>
          </cell>
          <cell r="I2737" t="str">
            <v>Bandar Judol Withdrawal</v>
          </cell>
          <cell r="J2737">
            <v>50</v>
          </cell>
          <cell r="K2737" t="str">
            <v>86,88,87</v>
          </cell>
          <cell r="L2737" t="str">
            <v>Judi Online</v>
          </cell>
          <cell r="M2737" t="str">
            <v xml:space="preserve">Kas Kanpus                              </v>
          </cell>
          <cell r="N2737" t="str">
            <v xml:space="preserve">Kas Kanpus                              </v>
          </cell>
          <cell r="O2737" t="str">
            <v xml:space="preserve">KAS KANPUS                              </v>
          </cell>
          <cell r="P2737" t="str">
            <v>Ya</v>
          </cell>
          <cell r="R2737" t="str">
            <v>Done</v>
          </cell>
          <cell r="S2737" t="str">
            <v>Belum TL</v>
          </cell>
          <cell r="T2737" t="str">
            <v>00336949 - Mochammad Al Farabi</v>
          </cell>
          <cell r="U2737" t="str">
            <v>"-"</v>
          </cell>
        </row>
        <row r="2738">
          <cell r="A2738">
            <v>46265</v>
          </cell>
          <cell r="B2738" t="str">
            <v xml:space="preserve">YULIDAWATI                              </v>
          </cell>
          <cell r="C2738" t="str">
            <v>YNV6748</v>
          </cell>
          <cell r="D2738">
            <v>547301020296530</v>
          </cell>
          <cell r="E2738" t="str">
            <v>SEDANG</v>
          </cell>
          <cell r="F2738" t="str">
            <v>Tidak</v>
          </cell>
          <cell r="G2738" t="str">
            <v>Tidak</v>
          </cell>
          <cell r="H2738" t="str">
            <v>Tidak</v>
          </cell>
          <cell r="I2738" t="str">
            <v>Bandar Judol Withdrawal</v>
          </cell>
          <cell r="J2738">
            <v>50</v>
          </cell>
          <cell r="K2738" t="str">
            <v>86,88,87</v>
          </cell>
          <cell r="L2738" t="str">
            <v>Judi Online</v>
          </cell>
          <cell r="M2738" t="str">
            <v xml:space="preserve">Kas Kanpus                              </v>
          </cell>
          <cell r="N2738" t="str">
            <v xml:space="preserve">Kas Kanpus                              </v>
          </cell>
          <cell r="O2738" t="str">
            <v xml:space="preserve">KAS KANPUS                              </v>
          </cell>
          <cell r="P2738" t="str">
            <v>Ya</v>
          </cell>
          <cell r="R2738" t="str">
            <v>Done</v>
          </cell>
          <cell r="S2738" t="str">
            <v>Belum TL</v>
          </cell>
          <cell r="T2738" t="str">
            <v>90185537 - Moh.Khoerul Fajar Ar</v>
          </cell>
          <cell r="U2738" t="str">
            <v>"-"</v>
          </cell>
        </row>
        <row r="2739">
          <cell r="A2739">
            <v>46265</v>
          </cell>
          <cell r="B2739" t="str">
            <v xml:space="preserve">YUDA ARI SANDI                          </v>
          </cell>
          <cell r="C2739" t="str">
            <v>YHH3474</v>
          </cell>
          <cell r="D2739">
            <v>534901025585533</v>
          </cell>
          <cell r="E2739" t="str">
            <v>SEDANG</v>
          </cell>
          <cell r="F2739" t="str">
            <v>Tidak</v>
          </cell>
          <cell r="G2739" t="str">
            <v>Tidak</v>
          </cell>
          <cell r="H2739" t="str">
            <v>Tidak</v>
          </cell>
          <cell r="I2739" t="str">
            <v>Bandar Judol Depo</v>
          </cell>
          <cell r="J2739">
            <v>50</v>
          </cell>
          <cell r="K2739" t="str">
            <v>86,74,87</v>
          </cell>
          <cell r="L2739" t="str">
            <v>Judi Online</v>
          </cell>
          <cell r="M2739" t="str">
            <v xml:space="preserve">Kas Kanpus                              </v>
          </cell>
          <cell r="N2739" t="str">
            <v xml:space="preserve">Kas Kanpus                              </v>
          </cell>
          <cell r="O2739" t="str">
            <v xml:space="preserve">KAS KANPUS                              </v>
          </cell>
          <cell r="P2739" t="str">
            <v>Ya</v>
          </cell>
          <cell r="R2739" t="str">
            <v>Done</v>
          </cell>
          <cell r="S2739" t="str">
            <v>Belum TL</v>
          </cell>
          <cell r="T2739" t="str">
            <v>90186796 - Devito Arya Wiradila</v>
          </cell>
          <cell r="U2739" t="str">
            <v>"-"</v>
          </cell>
        </row>
        <row r="2740">
          <cell r="A2740">
            <v>46265</v>
          </cell>
          <cell r="B2740" t="str">
            <v xml:space="preserve">YAYUK DEVITASARI                        </v>
          </cell>
          <cell r="C2740" t="str">
            <v>YH93887</v>
          </cell>
          <cell r="D2740">
            <v>55701000519561</v>
          </cell>
          <cell r="E2740" t="str">
            <v>SEDANG</v>
          </cell>
          <cell r="F2740" t="str">
            <v>Tidak</v>
          </cell>
          <cell r="G2740" t="str">
            <v>Tidak</v>
          </cell>
          <cell r="H2740" t="str">
            <v>Tidak</v>
          </cell>
          <cell r="I2740" t="str">
            <v>Bandar Judol Withdrawal</v>
          </cell>
          <cell r="J2740">
            <v>50</v>
          </cell>
          <cell r="K2740" t="str">
            <v>86,88,87</v>
          </cell>
          <cell r="L2740" t="str">
            <v>Judi Online</v>
          </cell>
          <cell r="M2740" t="str">
            <v xml:space="preserve">Kas Kanpus                              </v>
          </cell>
          <cell r="N2740" t="str">
            <v xml:space="preserve">Kas Kanpus                              </v>
          </cell>
          <cell r="O2740" t="str">
            <v xml:space="preserve">KAS KANPUS                              </v>
          </cell>
          <cell r="P2740" t="str">
            <v>Ya</v>
          </cell>
          <cell r="R2740" t="str">
            <v>Done</v>
          </cell>
          <cell r="S2740" t="str">
            <v>Belum TL</v>
          </cell>
          <cell r="T2740" t="str">
            <v>90186790 - Muhammad Alfin Farha</v>
          </cell>
          <cell r="U2740" t="str">
            <v>"-"</v>
          </cell>
        </row>
        <row r="2741">
          <cell r="A2741">
            <v>46265</v>
          </cell>
          <cell r="B2741" t="str">
            <v xml:space="preserve">ZURAHMAH                                </v>
          </cell>
          <cell r="C2741" t="str">
            <v>ZO15275</v>
          </cell>
          <cell r="D2741">
            <v>33601003800567</v>
          </cell>
          <cell r="F2741" t="str">
            <v>Tidak</v>
          </cell>
          <cell r="G2741" t="str">
            <v>Tidak</v>
          </cell>
          <cell r="H2741" t="str">
            <v>Tidak</v>
          </cell>
          <cell r="I2741" t="str">
            <v>Bandar Judol Withdrawal</v>
          </cell>
          <cell r="J2741">
            <v>35</v>
          </cell>
          <cell r="K2741" t="str">
            <v>86,88,87</v>
          </cell>
          <cell r="L2741" t="str">
            <v>Judi Online</v>
          </cell>
          <cell r="M2741" t="str">
            <v xml:space="preserve">Kas Kanpus                              </v>
          </cell>
          <cell r="N2741" t="str">
            <v xml:space="preserve">Kas Kanpus                              </v>
          </cell>
          <cell r="O2741" t="str">
            <v xml:space="preserve">KAS KANPUS                              </v>
          </cell>
          <cell r="P2741" t="str">
            <v>Ya</v>
          </cell>
          <cell r="R2741" t="str">
            <v>Done</v>
          </cell>
          <cell r="S2741" t="str">
            <v>Belum TL</v>
          </cell>
          <cell r="T2741" t="str">
            <v>00394520 - Frida Akbar Rani</v>
          </cell>
          <cell r="U2741" t="str">
            <v>"-"</v>
          </cell>
        </row>
        <row r="2742">
          <cell r="A2742">
            <v>46265</v>
          </cell>
          <cell r="B2742" t="str">
            <v xml:space="preserve">ZASKIA TRI RAMADANI                     </v>
          </cell>
          <cell r="C2742" t="str">
            <v>ZO05609</v>
          </cell>
          <cell r="D2742">
            <v>1901199967504</v>
          </cell>
          <cell r="F2742" t="str">
            <v>Tidak</v>
          </cell>
          <cell r="G2742" t="str">
            <v>Tidak</v>
          </cell>
          <cell r="H2742" t="str">
            <v>Tidak</v>
          </cell>
          <cell r="I2742" t="str">
            <v>Bandar Judol Withdrawal</v>
          </cell>
          <cell r="J2742">
            <v>35</v>
          </cell>
          <cell r="K2742" t="str">
            <v>86,88,87</v>
          </cell>
          <cell r="L2742" t="str">
            <v>Judi Online</v>
          </cell>
          <cell r="M2742" t="str">
            <v xml:space="preserve">Kas Kanpus                              </v>
          </cell>
          <cell r="N2742" t="str">
            <v xml:space="preserve">Kas Kanpus                              </v>
          </cell>
          <cell r="O2742" t="str">
            <v xml:space="preserve">KAS KANPUS                              </v>
          </cell>
          <cell r="P2742" t="str">
            <v>Ya</v>
          </cell>
          <cell r="R2742" t="str">
            <v>Done</v>
          </cell>
          <cell r="S2742" t="str">
            <v>Belum TL</v>
          </cell>
          <cell r="T2742" t="str">
            <v>90186796 - Devito Arya Wiradila</v>
          </cell>
          <cell r="U2742" t="str">
            <v>"-"</v>
          </cell>
        </row>
        <row r="2743">
          <cell r="A2743">
            <v>46265</v>
          </cell>
          <cell r="B2743" t="str">
            <v xml:space="preserve">ZULFIQAR                                </v>
          </cell>
          <cell r="C2743" t="str">
            <v>ZR56897</v>
          </cell>
          <cell r="D2743">
            <v>529201008978500</v>
          </cell>
          <cell r="F2743" t="str">
            <v>Tidak</v>
          </cell>
          <cell r="G2743" t="str">
            <v>Tidak</v>
          </cell>
          <cell r="H2743" t="str">
            <v>Tidak</v>
          </cell>
          <cell r="I2743" t="str">
            <v>Bandar Judol Depo</v>
          </cell>
          <cell r="J2743">
            <v>35</v>
          </cell>
          <cell r="K2743" t="str">
            <v>86,74,87</v>
          </cell>
          <cell r="L2743" t="str">
            <v>Judi Online</v>
          </cell>
          <cell r="M2743" t="str">
            <v xml:space="preserve">Kas Kanpus                              </v>
          </cell>
          <cell r="N2743" t="str">
            <v xml:space="preserve">Kas Kanpus                              </v>
          </cell>
          <cell r="O2743" t="str">
            <v xml:space="preserve">KAS KANPUS                              </v>
          </cell>
          <cell r="P2743" t="str">
            <v>Ya</v>
          </cell>
          <cell r="R2743" t="str">
            <v>Done</v>
          </cell>
          <cell r="S2743" t="str">
            <v>Belum TL</v>
          </cell>
          <cell r="T2743" t="str">
            <v>90171841 - Rifqi Aziz</v>
          </cell>
          <cell r="U2743" t="str">
            <v>"-"</v>
          </cell>
        </row>
        <row r="2744">
          <cell r="A2744">
            <v>46265</v>
          </cell>
          <cell r="B2744" t="str">
            <v xml:space="preserve">YAYASAN SWADAYA                         </v>
          </cell>
          <cell r="C2744" t="str">
            <v>YRU4051</v>
          </cell>
          <cell r="D2744">
            <v>52801000515562</v>
          </cell>
          <cell r="F2744" t="str">
            <v>Tidak</v>
          </cell>
          <cell r="G2744" t="str">
            <v>Tidak</v>
          </cell>
          <cell r="H2744" t="str">
            <v>Tidak</v>
          </cell>
          <cell r="I2744" t="str">
            <v>Perpajakan</v>
          </cell>
          <cell r="J2744">
            <v>33</v>
          </cell>
          <cell r="K2744">
            <v>41</v>
          </cell>
          <cell r="L2744" t="str">
            <v>Perpajakan</v>
          </cell>
          <cell r="M2744" t="str">
            <v xml:space="preserve">KCP PONDOK KELAPA                       </v>
          </cell>
          <cell r="N2744" t="str">
            <v xml:space="preserve">KC JAKARTA KALIMALANG                   </v>
          </cell>
          <cell r="O2744" t="str">
            <v xml:space="preserve">DKI                                     </v>
          </cell>
          <cell r="P2744" t="str">
            <v>Tidak</v>
          </cell>
          <cell r="R2744" t="str">
            <v>Done</v>
          </cell>
          <cell r="S2744" t="str">
            <v>Belum TL</v>
          </cell>
          <cell r="T2744" t="str">
            <v>00336949 - Mochammad Al Farabi</v>
          </cell>
          <cell r="U2744" t="str">
            <v>"-"</v>
          </cell>
        </row>
        <row r="2745">
          <cell r="A2745">
            <v>46265</v>
          </cell>
          <cell r="B2745" t="str">
            <v xml:space="preserve">YULIYANTO                               </v>
          </cell>
          <cell r="C2745" t="str">
            <v>YV63335</v>
          </cell>
          <cell r="D2745">
            <v>15201049087503</v>
          </cell>
          <cell r="E2745" t="str">
            <v>SEDANG</v>
          </cell>
          <cell r="F2745" t="str">
            <v>Tidak</v>
          </cell>
          <cell r="G2745" t="str">
            <v>Tidak</v>
          </cell>
          <cell r="H2745" t="str">
            <v>Tidak</v>
          </cell>
          <cell r="I2745" t="str">
            <v>Bandar Judol Depo</v>
          </cell>
          <cell r="J2745">
            <v>50</v>
          </cell>
          <cell r="K2745" t="str">
            <v>86,74,87</v>
          </cell>
          <cell r="L2745" t="str">
            <v>Judi Online</v>
          </cell>
          <cell r="M2745" t="str">
            <v xml:space="preserve">Kas Kanpus                              </v>
          </cell>
          <cell r="N2745" t="str">
            <v xml:space="preserve">Kas Kanpus                              </v>
          </cell>
          <cell r="O2745" t="str">
            <v xml:space="preserve">KAS KANPUS                              </v>
          </cell>
          <cell r="P2745" t="str">
            <v>Tidak</v>
          </cell>
          <cell r="R2745" t="str">
            <v>Done</v>
          </cell>
          <cell r="S2745" t="str">
            <v>Belum TL</v>
          </cell>
          <cell r="T2745" t="str">
            <v>90186796 - Devito Arya Wiradila</v>
          </cell>
          <cell r="U2745" t="str">
            <v>"-"</v>
          </cell>
        </row>
        <row r="2746">
          <cell r="A2746">
            <v>46265</v>
          </cell>
          <cell r="B2746" t="str">
            <v xml:space="preserve">TRIANI SURI                             </v>
          </cell>
          <cell r="C2746" t="str">
            <v>TUD6149</v>
          </cell>
          <cell r="D2746">
            <v>732601004641506</v>
          </cell>
          <cell r="F2746" t="str">
            <v>Tidak</v>
          </cell>
          <cell r="G2746" t="str">
            <v>Tidak</v>
          </cell>
          <cell r="H2746" t="str">
            <v>Tidak</v>
          </cell>
          <cell r="I2746" t="str">
            <v>Bandar Judol Withdrawal</v>
          </cell>
          <cell r="J2746">
            <v>35</v>
          </cell>
          <cell r="K2746" t="str">
            <v>86,88,87</v>
          </cell>
          <cell r="L2746" t="str">
            <v>Judi Online</v>
          </cell>
          <cell r="M2746" t="str">
            <v xml:space="preserve">Kas Kanpus                              </v>
          </cell>
          <cell r="N2746" t="str">
            <v xml:space="preserve">Kas Kanpus                              </v>
          </cell>
          <cell r="O2746" t="str">
            <v xml:space="preserve">KAS KANPUS                              </v>
          </cell>
          <cell r="P2746" t="str">
            <v>Ya</v>
          </cell>
          <cell r="R2746" t="str">
            <v>Done</v>
          </cell>
          <cell r="S2746" t="str">
            <v>Belum TL</v>
          </cell>
          <cell r="T2746" t="str">
            <v>90150130 - Intan Aida Pratiwi</v>
          </cell>
          <cell r="U2746" t="str">
            <v>"-"</v>
          </cell>
        </row>
        <row r="2747">
          <cell r="A2747">
            <v>46265</v>
          </cell>
          <cell r="B2747" t="str">
            <v xml:space="preserve">TRI SUMANTORO                           </v>
          </cell>
          <cell r="C2747" t="str">
            <v>TTT7514</v>
          </cell>
          <cell r="D2747">
            <v>35601093280503</v>
          </cell>
          <cell r="F2747" t="str">
            <v>Tidak</v>
          </cell>
          <cell r="G2747" t="str">
            <v>Tidak</v>
          </cell>
          <cell r="H2747" t="str">
            <v>Tidak</v>
          </cell>
          <cell r="I2747" t="str">
            <v>Bandar Judol Withdrawal</v>
          </cell>
          <cell r="J2747">
            <v>35</v>
          </cell>
          <cell r="K2747" t="str">
            <v>86,88,87</v>
          </cell>
          <cell r="L2747" t="str">
            <v>Judi Online</v>
          </cell>
          <cell r="M2747" t="str">
            <v xml:space="preserve">Kas Kanpus                              </v>
          </cell>
          <cell r="N2747" t="str">
            <v xml:space="preserve">Kas Kanpus                              </v>
          </cell>
          <cell r="O2747" t="str">
            <v xml:space="preserve">KAS KANPUS                              </v>
          </cell>
          <cell r="P2747" t="str">
            <v>Ya</v>
          </cell>
          <cell r="R2747" t="str">
            <v>Done</v>
          </cell>
          <cell r="S2747" t="str">
            <v>Belum TL</v>
          </cell>
          <cell r="T2747" t="str">
            <v>90170665 - Mutiara Ayuningtyas</v>
          </cell>
          <cell r="U2747" t="str">
            <v>"-"</v>
          </cell>
        </row>
        <row r="2748">
          <cell r="A2748">
            <v>46265</v>
          </cell>
          <cell r="B2748" t="str">
            <v xml:space="preserve">TB. EGI FEBRIAN                         </v>
          </cell>
          <cell r="C2748" t="str">
            <v>TTW2100</v>
          </cell>
          <cell r="D2748">
            <v>6201002453560</v>
          </cell>
          <cell r="F2748" t="str">
            <v>Tidak</v>
          </cell>
          <cell r="G2748" t="str">
            <v>Tidak</v>
          </cell>
          <cell r="I2748" t="str">
            <v>Transaksi Agen BRILink terindikasi Judi Online</v>
          </cell>
          <cell r="J2748">
            <v>35</v>
          </cell>
          <cell r="K2748">
            <v>105</v>
          </cell>
          <cell r="L2748" t="str">
            <v>Agen BRILink</v>
          </cell>
          <cell r="M2748" t="str">
            <v xml:space="preserve">Kas Kanpus                              </v>
          </cell>
          <cell r="N2748" t="str">
            <v xml:space="preserve">Kas Kanpus                              </v>
          </cell>
          <cell r="O2748" t="str">
            <v xml:space="preserve">KAS KANPUS                              </v>
          </cell>
          <cell r="P2748" t="str">
            <v>Tidak</v>
          </cell>
          <cell r="R2748" t="str">
            <v>Done</v>
          </cell>
          <cell r="S2748" t="str">
            <v>Belum TL</v>
          </cell>
          <cell r="T2748" t="str">
            <v>90186796 - Devito Arya Wiradila</v>
          </cell>
          <cell r="U2748" t="str">
            <v>"-"</v>
          </cell>
        </row>
        <row r="2749">
          <cell r="A2749">
            <v>46265</v>
          </cell>
          <cell r="B2749" t="str">
            <v xml:space="preserve">TWEN FEBRIAN ZEROTA                     </v>
          </cell>
          <cell r="C2749" t="str">
            <v>TTW2254</v>
          </cell>
          <cell r="D2749">
            <v>7701038181532</v>
          </cell>
          <cell r="F2749" t="str">
            <v>Tidak</v>
          </cell>
          <cell r="G2749" t="str">
            <v>Tidak</v>
          </cell>
          <cell r="H2749" t="str">
            <v>Tidak</v>
          </cell>
          <cell r="I2749" t="str">
            <v>Bandar Judol Withdrawal</v>
          </cell>
          <cell r="J2749">
            <v>35</v>
          </cell>
          <cell r="K2749" t="str">
            <v>86,88,87</v>
          </cell>
          <cell r="L2749" t="str">
            <v>Judi Online</v>
          </cell>
          <cell r="M2749" t="str">
            <v xml:space="preserve">Kas Kanpus                              </v>
          </cell>
          <cell r="N2749" t="str">
            <v xml:space="preserve">Kas Kanpus                              </v>
          </cell>
          <cell r="O2749" t="str">
            <v xml:space="preserve">KAS KANPUS                              </v>
          </cell>
          <cell r="P2749" t="str">
            <v>Ya</v>
          </cell>
          <cell r="R2749" t="str">
            <v>Done</v>
          </cell>
          <cell r="S2749" t="str">
            <v>Belum TL</v>
          </cell>
          <cell r="T2749" t="str">
            <v>00394520 - Frida Akbar Rani</v>
          </cell>
          <cell r="U2749" t="str">
            <v>"-"</v>
          </cell>
        </row>
        <row r="2750">
          <cell r="A2750">
            <v>46265</v>
          </cell>
          <cell r="B2750" t="str">
            <v xml:space="preserve">TIRANA JESYBIYA SYESHA                  </v>
          </cell>
          <cell r="C2750" t="str">
            <v>TTR4238</v>
          </cell>
          <cell r="D2750">
            <v>112901038629504</v>
          </cell>
          <cell r="F2750" t="str">
            <v>Tidak</v>
          </cell>
          <cell r="G2750" t="str">
            <v>Tidak</v>
          </cell>
          <cell r="H2750" t="str">
            <v>Tidak</v>
          </cell>
          <cell r="I2750" t="str">
            <v>Bandar Judol Withdrawal</v>
          </cell>
          <cell r="J2750">
            <v>35</v>
          </cell>
          <cell r="K2750" t="str">
            <v>86,88,87</v>
          </cell>
          <cell r="L2750" t="str">
            <v>Judi Online</v>
          </cell>
          <cell r="M2750" t="str">
            <v xml:space="preserve">Kas Kanpus                              </v>
          </cell>
          <cell r="N2750" t="str">
            <v xml:space="preserve">Kas Kanpus                              </v>
          </cell>
          <cell r="O2750" t="str">
            <v xml:space="preserve">KAS KANPUS                              </v>
          </cell>
          <cell r="P2750" t="str">
            <v>Ya</v>
          </cell>
          <cell r="R2750" t="str">
            <v>Done</v>
          </cell>
          <cell r="S2750" t="str">
            <v>Belum TL</v>
          </cell>
          <cell r="T2750" t="str">
            <v>90150130 - Intan Aida Pratiwi</v>
          </cell>
          <cell r="U2750" t="str">
            <v>"-"</v>
          </cell>
        </row>
        <row r="2751">
          <cell r="A2751">
            <v>46265</v>
          </cell>
          <cell r="B2751" t="str">
            <v xml:space="preserve">TEGUH PERMANA PUTRA                     </v>
          </cell>
          <cell r="C2751" t="str">
            <v>TTG8750</v>
          </cell>
          <cell r="D2751">
            <v>173201007030507</v>
          </cell>
          <cell r="F2751" t="str">
            <v>Tidak</v>
          </cell>
          <cell r="G2751" t="str">
            <v>Tidak</v>
          </cell>
          <cell r="H2751" t="str">
            <v>Tidak</v>
          </cell>
          <cell r="I2751" t="str">
            <v>Bandar Judol Withdrawal</v>
          </cell>
          <cell r="J2751">
            <v>35</v>
          </cell>
          <cell r="K2751" t="str">
            <v>86,88,87</v>
          </cell>
          <cell r="L2751" t="str">
            <v>Judi Online</v>
          </cell>
          <cell r="M2751" t="str">
            <v xml:space="preserve">Kas Kanpus                              </v>
          </cell>
          <cell r="N2751" t="str">
            <v xml:space="preserve">Kas Kanpus                              </v>
          </cell>
          <cell r="O2751" t="str">
            <v xml:space="preserve">KAS KANPUS                              </v>
          </cell>
          <cell r="P2751" t="str">
            <v>Ya</v>
          </cell>
          <cell r="R2751" t="str">
            <v>Done</v>
          </cell>
          <cell r="S2751" t="str">
            <v>Belum TL</v>
          </cell>
          <cell r="T2751" t="str">
            <v>00394520 - Frida Akbar Rani</v>
          </cell>
          <cell r="U2751" t="str">
            <v>"-"</v>
          </cell>
        </row>
        <row r="2752">
          <cell r="A2752">
            <v>46265</v>
          </cell>
          <cell r="B2752" t="str">
            <v xml:space="preserve">TIHAWA                                  </v>
          </cell>
          <cell r="C2752" t="str">
            <v>TTD6778</v>
          </cell>
          <cell r="D2752">
            <v>33601003811568</v>
          </cell>
          <cell r="F2752" t="str">
            <v>Tidak</v>
          </cell>
          <cell r="G2752" t="str">
            <v>Tidak</v>
          </cell>
          <cell r="H2752" t="str">
            <v>Tidak</v>
          </cell>
          <cell r="I2752" t="str">
            <v>Bandar Judol Depo</v>
          </cell>
          <cell r="J2752">
            <v>35</v>
          </cell>
          <cell r="K2752" t="str">
            <v>86,74,87</v>
          </cell>
          <cell r="L2752" t="str">
            <v>Judi Online</v>
          </cell>
          <cell r="M2752" t="str">
            <v xml:space="preserve">Kas Kanpus                              </v>
          </cell>
          <cell r="N2752" t="str">
            <v xml:space="preserve">Kas Kanpus                              </v>
          </cell>
          <cell r="O2752" t="str">
            <v xml:space="preserve">KAS KANPUS                              </v>
          </cell>
          <cell r="P2752" t="str">
            <v>Ya</v>
          </cell>
          <cell r="R2752" t="str">
            <v>Done</v>
          </cell>
          <cell r="S2752" t="str">
            <v>Belum TL</v>
          </cell>
          <cell r="T2752" t="str">
            <v>90186796 - Devito Arya Wiradila</v>
          </cell>
          <cell r="U2752" t="str">
            <v>"-"</v>
          </cell>
        </row>
        <row r="2753">
          <cell r="A2753">
            <v>46265</v>
          </cell>
          <cell r="B2753" t="str">
            <v xml:space="preserve">TEUKU AIDIL                             </v>
          </cell>
          <cell r="C2753" t="str">
            <v>TTD8295</v>
          </cell>
          <cell r="D2753">
            <v>530401047490534</v>
          </cell>
          <cell r="F2753" t="str">
            <v>Tidak</v>
          </cell>
          <cell r="G2753" t="str">
            <v>Tidak</v>
          </cell>
          <cell r="H2753" t="str">
            <v>Tidak</v>
          </cell>
          <cell r="I2753" t="str">
            <v>Bandar Judol Depo</v>
          </cell>
          <cell r="J2753">
            <v>35</v>
          </cell>
          <cell r="K2753" t="str">
            <v>86,74,87</v>
          </cell>
          <cell r="L2753" t="str">
            <v>Judi Online</v>
          </cell>
          <cell r="M2753" t="str">
            <v xml:space="preserve">Kas Kanpus                              </v>
          </cell>
          <cell r="N2753" t="str">
            <v xml:space="preserve">Kas Kanpus                              </v>
          </cell>
          <cell r="O2753" t="str">
            <v xml:space="preserve">KAS KANPUS                              </v>
          </cell>
          <cell r="P2753" t="str">
            <v>Ya</v>
          </cell>
          <cell r="R2753" t="str">
            <v>Done</v>
          </cell>
          <cell r="S2753" t="str">
            <v>Belum TL</v>
          </cell>
          <cell r="T2753" t="str">
            <v>00336949 - Mochammad Al Farabi</v>
          </cell>
          <cell r="U2753" t="str">
            <v>"-"</v>
          </cell>
        </row>
        <row r="2754">
          <cell r="A2754">
            <v>46265</v>
          </cell>
          <cell r="B2754" t="str">
            <v xml:space="preserve">TONI DWI APRILIYANTO                    </v>
          </cell>
          <cell r="C2754" t="str">
            <v>TRK8239</v>
          </cell>
          <cell r="D2754">
            <v>211301000842560</v>
          </cell>
          <cell r="E2754" t="str">
            <v>SEDANG</v>
          </cell>
          <cell r="F2754" t="str">
            <v>Tidak</v>
          </cell>
          <cell r="G2754" t="str">
            <v>Tidak</v>
          </cell>
          <cell r="H2754" t="str">
            <v>Tidak</v>
          </cell>
          <cell r="I2754" t="str">
            <v>Bandar Judol Withdrawal</v>
          </cell>
          <cell r="J2754">
            <v>50</v>
          </cell>
          <cell r="K2754" t="str">
            <v>86,88,87</v>
          </cell>
          <cell r="L2754" t="str">
            <v>Judi Online</v>
          </cell>
          <cell r="M2754" t="str">
            <v xml:space="preserve">Kas Kanpus                              </v>
          </cell>
          <cell r="N2754" t="str">
            <v xml:space="preserve">Kas Kanpus                              </v>
          </cell>
          <cell r="O2754" t="str">
            <v xml:space="preserve">KAS KANPUS                              </v>
          </cell>
          <cell r="P2754" t="str">
            <v>Ya</v>
          </cell>
          <cell r="R2754" t="str">
            <v>Done</v>
          </cell>
          <cell r="S2754" t="str">
            <v>Belum TL</v>
          </cell>
          <cell r="T2754" t="str">
            <v>00336949 - Mochammad Al Farabi</v>
          </cell>
          <cell r="U2754" t="str">
            <v>"-"</v>
          </cell>
        </row>
        <row r="2755">
          <cell r="A2755">
            <v>46265</v>
          </cell>
          <cell r="B2755" t="str">
            <v xml:space="preserve">TEUKU MALIK AL HAMBRA                   </v>
          </cell>
          <cell r="C2755" t="str">
            <v>TUN2921</v>
          </cell>
          <cell r="D2755">
            <v>5301174885505</v>
          </cell>
          <cell r="F2755" t="str">
            <v>Tidak</v>
          </cell>
          <cell r="G2755" t="str">
            <v>Tidak</v>
          </cell>
          <cell r="H2755" t="str">
            <v>Tidak</v>
          </cell>
          <cell r="I2755" t="str">
            <v>Bandar Judol Withdrawal</v>
          </cell>
          <cell r="J2755">
            <v>35</v>
          </cell>
          <cell r="K2755" t="str">
            <v>86,88,87</v>
          </cell>
          <cell r="L2755" t="str">
            <v>Judi Online</v>
          </cell>
          <cell r="M2755" t="str">
            <v xml:space="preserve">Kas Kanpus                              </v>
          </cell>
          <cell r="N2755" t="str">
            <v xml:space="preserve">Kas Kanpus                              </v>
          </cell>
          <cell r="O2755" t="str">
            <v xml:space="preserve">KAS KANPUS                              </v>
          </cell>
          <cell r="P2755" t="str">
            <v>Ya</v>
          </cell>
          <cell r="R2755" t="str">
            <v>Done</v>
          </cell>
          <cell r="S2755" t="str">
            <v>Belum TL</v>
          </cell>
          <cell r="T2755" t="str">
            <v>00336949 - Mochammad Al Farabi</v>
          </cell>
          <cell r="U2755" t="str">
            <v>"-"</v>
          </cell>
        </row>
        <row r="2756">
          <cell r="A2756">
            <v>46265</v>
          </cell>
          <cell r="B2756" t="str">
            <v xml:space="preserve">TEVANI                                  </v>
          </cell>
          <cell r="C2756" t="str">
            <v>TUG8445</v>
          </cell>
          <cell r="D2756">
            <v>762001020140504</v>
          </cell>
          <cell r="F2756" t="str">
            <v>Tidak</v>
          </cell>
          <cell r="G2756" t="str">
            <v>Tidak</v>
          </cell>
          <cell r="H2756" t="str">
            <v>Tidak</v>
          </cell>
          <cell r="I2756" t="str">
            <v>Bandar Judol Depo</v>
          </cell>
          <cell r="J2756">
            <v>35</v>
          </cell>
          <cell r="K2756" t="str">
            <v>86,74,87</v>
          </cell>
          <cell r="L2756" t="str">
            <v>Judi Online</v>
          </cell>
          <cell r="M2756" t="str">
            <v xml:space="preserve">Kas Kanpus                              </v>
          </cell>
          <cell r="N2756" t="str">
            <v xml:space="preserve">Kas Kanpus                              </v>
          </cell>
          <cell r="O2756" t="str">
            <v xml:space="preserve">KAS KANPUS                              </v>
          </cell>
          <cell r="P2756" t="str">
            <v>Ya</v>
          </cell>
          <cell r="R2756" t="str">
            <v>Done</v>
          </cell>
          <cell r="S2756" t="str">
            <v>Belum TL</v>
          </cell>
          <cell r="T2756" t="str">
            <v>90186790 - Muhammad Alfin Farha</v>
          </cell>
          <cell r="U2756" t="str">
            <v>"-"</v>
          </cell>
        </row>
        <row r="2757">
          <cell r="A2757">
            <v>46265</v>
          </cell>
          <cell r="B2757" t="str">
            <v xml:space="preserve">TIANA                                   </v>
          </cell>
          <cell r="C2757" t="str">
            <v>TUJ5326</v>
          </cell>
          <cell r="D2757">
            <v>33601160950504</v>
          </cell>
          <cell r="F2757" t="str">
            <v>Tidak</v>
          </cell>
          <cell r="G2757" t="str">
            <v>Tidak</v>
          </cell>
          <cell r="H2757" t="str">
            <v>Tidak</v>
          </cell>
          <cell r="I2757" t="str">
            <v>Bandar Judol Withdrawal</v>
          </cell>
          <cell r="J2757">
            <v>35</v>
          </cell>
          <cell r="K2757" t="str">
            <v>86,88,87</v>
          </cell>
          <cell r="L2757" t="str">
            <v>Judi Online</v>
          </cell>
          <cell r="M2757" t="str">
            <v xml:space="preserve">Kas Kanpus                              </v>
          </cell>
          <cell r="N2757" t="str">
            <v xml:space="preserve">Kas Kanpus                              </v>
          </cell>
          <cell r="O2757" t="str">
            <v xml:space="preserve">KAS KANPUS                              </v>
          </cell>
          <cell r="P2757" t="str">
            <v>Ya</v>
          </cell>
          <cell r="R2757" t="str">
            <v>Done</v>
          </cell>
          <cell r="S2757" t="str">
            <v>Belum TL</v>
          </cell>
          <cell r="T2757" t="str">
            <v>00336949 - Mochammad Al Farabi</v>
          </cell>
          <cell r="U2757" t="str">
            <v>"-"</v>
          </cell>
        </row>
        <row r="2758">
          <cell r="A2758">
            <v>46265</v>
          </cell>
          <cell r="B2758" t="str">
            <v xml:space="preserve">UMI FATIHAYANI                          </v>
          </cell>
          <cell r="C2758" t="str">
            <v>UQ57861</v>
          </cell>
          <cell r="D2758">
            <v>710601015209507</v>
          </cell>
          <cell r="F2758" t="str">
            <v>Tidak</v>
          </cell>
          <cell r="G2758" t="str">
            <v>Tidak</v>
          </cell>
          <cell r="H2758" t="str">
            <v>Tidak</v>
          </cell>
          <cell r="I2758" t="str">
            <v>Bandar Judol Withdrawal</v>
          </cell>
          <cell r="J2758">
            <v>35</v>
          </cell>
          <cell r="K2758" t="str">
            <v>86,88,87</v>
          </cell>
          <cell r="L2758" t="str">
            <v>Judi Online</v>
          </cell>
          <cell r="M2758" t="str">
            <v xml:space="preserve">Kas Kanpus                              </v>
          </cell>
          <cell r="N2758" t="str">
            <v xml:space="preserve">Kas Kanpus                              </v>
          </cell>
          <cell r="O2758" t="str">
            <v xml:space="preserve">KAS KANPUS                              </v>
          </cell>
          <cell r="P2758" t="str">
            <v>Tidak</v>
          </cell>
          <cell r="R2758" t="str">
            <v>Done</v>
          </cell>
          <cell r="S2758" t="str">
            <v>Belum TL</v>
          </cell>
          <cell r="T2758" t="str">
            <v>00394521 - Muhammad Hibbanduta</v>
          </cell>
          <cell r="U2758" t="str">
            <v>"-"</v>
          </cell>
        </row>
        <row r="2759">
          <cell r="A2759">
            <v>46265</v>
          </cell>
          <cell r="B2759" t="str">
            <v xml:space="preserve">UJANG SURYANA                           </v>
          </cell>
          <cell r="C2759" t="str">
            <v>UQ92358</v>
          </cell>
          <cell r="D2759">
            <v>481601019122501</v>
          </cell>
          <cell r="F2759" t="str">
            <v>Tidak</v>
          </cell>
          <cell r="G2759" t="str">
            <v>Tidak</v>
          </cell>
          <cell r="H2759" t="str">
            <v>Tidak</v>
          </cell>
          <cell r="I2759" t="str">
            <v>Bandar Judol Withdrawal</v>
          </cell>
          <cell r="J2759">
            <v>35</v>
          </cell>
          <cell r="K2759" t="str">
            <v>86,88,87</v>
          </cell>
          <cell r="L2759" t="str">
            <v>Judi Online</v>
          </cell>
          <cell r="M2759" t="str">
            <v xml:space="preserve">Kas Kanpus                              </v>
          </cell>
          <cell r="N2759" t="str">
            <v xml:space="preserve">Kas Kanpus                              </v>
          </cell>
          <cell r="O2759" t="str">
            <v xml:space="preserve">KAS KANPUS                              </v>
          </cell>
          <cell r="P2759" t="str">
            <v>Ya</v>
          </cell>
          <cell r="R2759" t="str">
            <v>Done</v>
          </cell>
          <cell r="S2759" t="str">
            <v>Belum TL</v>
          </cell>
          <cell r="T2759" t="str">
            <v>90170665 - Mutiara Ayuningtyas</v>
          </cell>
          <cell r="U2759" t="str">
            <v>"-"</v>
          </cell>
        </row>
        <row r="2760">
          <cell r="A2760">
            <v>46265</v>
          </cell>
          <cell r="B2760" t="str">
            <v xml:space="preserve">UDIN S                                  </v>
          </cell>
          <cell r="C2760" t="str">
            <v>UQ97522</v>
          </cell>
          <cell r="D2760">
            <v>218701009940508</v>
          </cell>
          <cell r="F2760" t="str">
            <v>Tidak</v>
          </cell>
          <cell r="G2760" t="str">
            <v>Tidak</v>
          </cell>
          <cell r="H2760" t="str">
            <v>Tidak</v>
          </cell>
          <cell r="I2760" t="str">
            <v>Bandar Judol Withdrawal</v>
          </cell>
          <cell r="J2760">
            <v>35</v>
          </cell>
          <cell r="K2760" t="str">
            <v>86,88,87</v>
          </cell>
          <cell r="L2760" t="str">
            <v>Judi Online</v>
          </cell>
          <cell r="M2760" t="str">
            <v xml:space="preserve">Kas Kanpus                              </v>
          </cell>
          <cell r="N2760" t="str">
            <v xml:space="preserve">Kas Kanpus                              </v>
          </cell>
          <cell r="O2760" t="str">
            <v xml:space="preserve">KAS KANPUS                              </v>
          </cell>
          <cell r="P2760" t="str">
            <v>Ya</v>
          </cell>
          <cell r="R2760" t="str">
            <v>Done</v>
          </cell>
          <cell r="S2760" t="str">
            <v>Belum TL</v>
          </cell>
          <cell r="T2760" t="str">
            <v>90186796 - Devito Arya Wiradila</v>
          </cell>
          <cell r="U2760" t="str">
            <v>"-"</v>
          </cell>
        </row>
        <row r="2761">
          <cell r="A2761">
            <v>46265</v>
          </cell>
          <cell r="B2761" t="str">
            <v xml:space="preserve">UTANG SUTANTO                           </v>
          </cell>
          <cell r="C2761" t="str">
            <v>UP33494</v>
          </cell>
          <cell r="D2761">
            <v>118301015383505</v>
          </cell>
          <cell r="E2761" t="str">
            <v>SEDANG</v>
          </cell>
          <cell r="F2761" t="str">
            <v>Tidak</v>
          </cell>
          <cell r="G2761" t="str">
            <v>Tidak</v>
          </cell>
          <cell r="H2761" t="str">
            <v>Tidak</v>
          </cell>
          <cell r="I2761" t="str">
            <v>Bandar Judol Withdrawal</v>
          </cell>
          <cell r="J2761">
            <v>50</v>
          </cell>
          <cell r="K2761" t="str">
            <v>86,88,87</v>
          </cell>
          <cell r="L2761" t="str">
            <v>Judi Online</v>
          </cell>
          <cell r="M2761" t="str">
            <v xml:space="preserve">Kas Kanpus                              </v>
          </cell>
          <cell r="N2761" t="str">
            <v xml:space="preserve">Kas Kanpus                              </v>
          </cell>
          <cell r="O2761" t="str">
            <v xml:space="preserve">KAS KANPUS                              </v>
          </cell>
          <cell r="P2761" t="str">
            <v>Ya</v>
          </cell>
          <cell r="R2761" t="str">
            <v>Done</v>
          </cell>
          <cell r="S2761" t="str">
            <v>Belum TL</v>
          </cell>
          <cell r="T2761" t="str">
            <v>90170665 - Mutiara Ayuningtyas</v>
          </cell>
          <cell r="U2761" t="str">
            <v>"-"</v>
          </cell>
        </row>
        <row r="2762">
          <cell r="A2762">
            <v>46265</v>
          </cell>
          <cell r="B2762" t="str">
            <v xml:space="preserve">TRI WIDIA ASTUTI                        </v>
          </cell>
          <cell r="C2762" t="str">
            <v>TOP1187</v>
          </cell>
          <cell r="D2762">
            <v>9701104411502</v>
          </cell>
          <cell r="E2762" t="str">
            <v>SEDANG</v>
          </cell>
          <cell r="F2762" t="str">
            <v>Tidak</v>
          </cell>
          <cell r="G2762" t="str">
            <v>Tidak</v>
          </cell>
          <cell r="H2762" t="str">
            <v>Tidak</v>
          </cell>
          <cell r="I2762" t="str">
            <v>Bandar Judol Depo</v>
          </cell>
          <cell r="J2762">
            <v>50</v>
          </cell>
          <cell r="K2762" t="str">
            <v>86,74,87</v>
          </cell>
          <cell r="L2762" t="str">
            <v>Judi Online</v>
          </cell>
          <cell r="M2762" t="str">
            <v xml:space="preserve">Kas Kanpus                              </v>
          </cell>
          <cell r="N2762" t="str">
            <v xml:space="preserve">Kas Kanpus                              </v>
          </cell>
          <cell r="O2762" t="str">
            <v xml:space="preserve">KAS KANPUS                              </v>
          </cell>
          <cell r="P2762" t="str">
            <v>Ya</v>
          </cell>
          <cell r="R2762" t="str">
            <v>Done</v>
          </cell>
          <cell r="S2762" t="str">
            <v>Belum TL</v>
          </cell>
          <cell r="T2762" t="str">
            <v>00394521 - Muhammad Hibbanduta</v>
          </cell>
          <cell r="U2762" t="str">
            <v>"-"</v>
          </cell>
        </row>
        <row r="2763">
          <cell r="A2763">
            <v>46265</v>
          </cell>
          <cell r="B2763" t="str">
            <v xml:space="preserve">SUDARMI                                 </v>
          </cell>
          <cell r="C2763" t="str">
            <v>SYRO398</v>
          </cell>
          <cell r="D2763">
            <v>55601038191503</v>
          </cell>
          <cell r="E2763" t="str">
            <v>SEDANG</v>
          </cell>
          <cell r="F2763" t="str">
            <v>Tidak</v>
          </cell>
          <cell r="G2763" t="str">
            <v>Tidak</v>
          </cell>
          <cell r="H2763" t="str">
            <v>Tidak</v>
          </cell>
          <cell r="I2763" t="str">
            <v>Bandar Judol Withdrawal</v>
          </cell>
          <cell r="J2763">
            <v>50</v>
          </cell>
          <cell r="K2763" t="str">
            <v>86,88,87</v>
          </cell>
          <cell r="L2763" t="str">
            <v>Judi Online</v>
          </cell>
          <cell r="M2763" t="str">
            <v xml:space="preserve">Kas Kanpus                              </v>
          </cell>
          <cell r="N2763" t="str">
            <v xml:space="preserve">Kas Kanpus                              </v>
          </cell>
          <cell r="O2763" t="str">
            <v xml:space="preserve">KAS KANPUS                              </v>
          </cell>
          <cell r="P2763" t="str">
            <v>Ya</v>
          </cell>
          <cell r="R2763" t="str">
            <v>Done</v>
          </cell>
          <cell r="S2763" t="str">
            <v>Belum TL</v>
          </cell>
          <cell r="T2763" t="str">
            <v>90150130 - Intan Aida Pratiwi</v>
          </cell>
          <cell r="U2763" t="str">
            <v>"-"</v>
          </cell>
        </row>
        <row r="2764">
          <cell r="A2764">
            <v>46265</v>
          </cell>
          <cell r="B2764" t="str">
            <v xml:space="preserve">TIARA ISMI SULAEMAN                     </v>
          </cell>
          <cell r="C2764" t="str">
            <v>TQS0176</v>
          </cell>
          <cell r="D2764">
            <v>118601025280503</v>
          </cell>
          <cell r="E2764" t="str">
            <v>SEDANG</v>
          </cell>
          <cell r="F2764" t="str">
            <v>Tidak</v>
          </cell>
          <cell r="G2764" t="str">
            <v>Tidak</v>
          </cell>
          <cell r="H2764" t="str">
            <v>Tidak</v>
          </cell>
          <cell r="I2764" t="str">
            <v>Bandar Judol Withdrawal</v>
          </cell>
          <cell r="J2764">
            <v>50</v>
          </cell>
          <cell r="K2764" t="str">
            <v>86,88,87</v>
          </cell>
          <cell r="L2764" t="str">
            <v>Judi Online</v>
          </cell>
          <cell r="M2764" t="str">
            <v xml:space="preserve">Kas Kanpus                              </v>
          </cell>
          <cell r="N2764" t="str">
            <v xml:space="preserve">Kas Kanpus                              </v>
          </cell>
          <cell r="O2764" t="str">
            <v xml:space="preserve">KAS KANPUS                              </v>
          </cell>
          <cell r="P2764" t="str">
            <v>Ya</v>
          </cell>
          <cell r="R2764" t="str">
            <v>Done</v>
          </cell>
          <cell r="S2764" t="str">
            <v>Belum TL</v>
          </cell>
          <cell r="T2764" t="str">
            <v>00394521 - Muhammad Hibbanduta</v>
          </cell>
          <cell r="U2764" t="str">
            <v>"-"</v>
          </cell>
        </row>
        <row r="2765">
          <cell r="A2765">
            <v>46265</v>
          </cell>
          <cell r="B2765" t="str">
            <v xml:space="preserve">TUTIK KRISYANTI                         </v>
          </cell>
          <cell r="C2765" t="str">
            <v>TQ52551</v>
          </cell>
          <cell r="D2765">
            <v>599401069198537</v>
          </cell>
          <cell r="E2765" t="str">
            <v>TINGGI</v>
          </cell>
          <cell r="F2765" t="str">
            <v>Ya</v>
          </cell>
          <cell r="G2765" t="str">
            <v>Tidak</v>
          </cell>
          <cell r="H2765" t="str">
            <v>Tidak</v>
          </cell>
          <cell r="I2765" t="str">
            <v>Terorisme - SIPENDAR</v>
          </cell>
          <cell r="J2765">
            <v>185</v>
          </cell>
          <cell r="K2765">
            <v>36</v>
          </cell>
          <cell r="L2765" t="str">
            <v>Terorisme</v>
          </cell>
          <cell r="M2765" t="str">
            <v xml:space="preserve">Kas Kanpus                              </v>
          </cell>
          <cell r="N2765" t="str">
            <v xml:space="preserve">Kas Kanpus                              </v>
          </cell>
          <cell r="O2765" t="str">
            <v xml:space="preserve">KAS KANPUS                              </v>
          </cell>
          <cell r="P2765" t="str">
            <v>Tidak</v>
          </cell>
          <cell r="R2765" t="str">
            <v>Done</v>
          </cell>
          <cell r="S2765" t="str">
            <v>Belum TL</v>
          </cell>
          <cell r="T2765" t="str">
            <v>90150130 - Intan Aida Pratiwi</v>
          </cell>
          <cell r="U2765" t="str">
            <v>"-"</v>
          </cell>
        </row>
        <row r="2766">
          <cell r="A2766">
            <v>46265</v>
          </cell>
          <cell r="B2766" t="str">
            <v xml:space="preserve">THEO CALVIN NUGRAHA PANGARIBUAN         </v>
          </cell>
          <cell r="C2766" t="str">
            <v>TPO8470</v>
          </cell>
          <cell r="D2766">
            <v>712901019950530</v>
          </cell>
          <cell r="E2766" t="str">
            <v>SEDANG</v>
          </cell>
          <cell r="F2766" t="str">
            <v>Tidak</v>
          </cell>
          <cell r="G2766" t="str">
            <v>Tidak</v>
          </cell>
          <cell r="H2766" t="str">
            <v>Ya</v>
          </cell>
          <cell r="I2766" t="str">
            <v>Bandar Judol Depo</v>
          </cell>
          <cell r="J2766">
            <v>50</v>
          </cell>
          <cell r="K2766" t="str">
            <v>86,74,87</v>
          </cell>
          <cell r="L2766" t="str">
            <v>Judi Online</v>
          </cell>
          <cell r="M2766" t="str">
            <v xml:space="preserve">Kas Kanpus                              </v>
          </cell>
          <cell r="N2766" t="str">
            <v xml:space="preserve">Kas Kanpus                              </v>
          </cell>
          <cell r="O2766" t="str">
            <v xml:space="preserve">KAS KANPUS                              </v>
          </cell>
          <cell r="P2766" t="str">
            <v>Tidak</v>
          </cell>
          <cell r="R2766" t="str">
            <v>Done</v>
          </cell>
          <cell r="S2766" t="str">
            <v>Belum TL</v>
          </cell>
          <cell r="T2766" t="str">
            <v>90186790 - Muhammad Alfin Farha</v>
          </cell>
          <cell r="U2766" t="str">
            <v>"-"</v>
          </cell>
        </row>
        <row r="2767">
          <cell r="A2767">
            <v>46265</v>
          </cell>
          <cell r="B2767" t="str">
            <v xml:space="preserve">TRI SUKISNO                             </v>
          </cell>
          <cell r="C2767" t="str">
            <v>TOV7809</v>
          </cell>
          <cell r="D2767">
            <v>34201001704568</v>
          </cell>
          <cell r="E2767" t="str">
            <v>SEDANG</v>
          </cell>
          <cell r="F2767" t="str">
            <v>Tidak</v>
          </cell>
          <cell r="G2767" t="str">
            <v>Tidak</v>
          </cell>
          <cell r="H2767" t="str">
            <v>Tidak</v>
          </cell>
          <cell r="I2767" t="str">
            <v>Bandar Judol Withdrawal</v>
          </cell>
          <cell r="J2767">
            <v>50</v>
          </cell>
          <cell r="K2767" t="str">
            <v>86,88,87</v>
          </cell>
          <cell r="L2767" t="str">
            <v>Judi Online</v>
          </cell>
          <cell r="M2767" t="str">
            <v xml:space="preserve">Kas Kanpus                              </v>
          </cell>
          <cell r="N2767" t="str">
            <v xml:space="preserve">Kas Kanpus                              </v>
          </cell>
          <cell r="O2767" t="str">
            <v xml:space="preserve">KAS KANPUS                              </v>
          </cell>
          <cell r="P2767" t="str">
            <v>Ya</v>
          </cell>
          <cell r="R2767" t="str">
            <v>Done</v>
          </cell>
          <cell r="S2767" t="str">
            <v>Belum TL</v>
          </cell>
          <cell r="T2767" t="str">
            <v>90186790 - Muhammad Alfin Farha</v>
          </cell>
          <cell r="U2767" t="str">
            <v>"-"</v>
          </cell>
        </row>
        <row r="2768">
          <cell r="A2768">
            <v>46265</v>
          </cell>
          <cell r="B2768" t="str">
            <v xml:space="preserve">TAKKAS POLTAK SINAMBELA                 </v>
          </cell>
          <cell r="C2768" t="str">
            <v>TBC2729</v>
          </cell>
          <cell r="D2768">
            <v>780701001973504</v>
          </cell>
          <cell r="E2768" t="str">
            <v>SEDANG</v>
          </cell>
          <cell r="F2768" t="str">
            <v>Tidak</v>
          </cell>
          <cell r="G2768" t="str">
            <v>Tidak</v>
          </cell>
          <cell r="H2768" t="str">
            <v>Tidak</v>
          </cell>
          <cell r="I2768" t="str">
            <v>Bandar Judol Withdrawal</v>
          </cell>
          <cell r="J2768">
            <v>50</v>
          </cell>
          <cell r="K2768" t="str">
            <v>86,88,87</v>
          </cell>
          <cell r="L2768" t="str">
            <v>Judi Online</v>
          </cell>
          <cell r="M2768" t="str">
            <v xml:space="preserve">Kas Kanpus                              </v>
          </cell>
          <cell r="N2768" t="str">
            <v xml:space="preserve">Kas Kanpus                              </v>
          </cell>
          <cell r="O2768" t="str">
            <v xml:space="preserve">KAS KANPUS                              </v>
          </cell>
          <cell r="P2768" t="str">
            <v>Ya</v>
          </cell>
          <cell r="R2768" t="str">
            <v>Done</v>
          </cell>
          <cell r="S2768" t="str">
            <v>Belum TL</v>
          </cell>
          <cell r="T2768" t="str">
            <v>90150130 - Intan Aida Pratiwi</v>
          </cell>
          <cell r="U2768" t="str">
            <v>"-"</v>
          </cell>
        </row>
        <row r="2769">
          <cell r="A2769">
            <v>46265</v>
          </cell>
          <cell r="B2769" t="str">
            <v xml:space="preserve">SAKIRUDDIN                              </v>
          </cell>
          <cell r="C2769" t="str">
            <v>SZHW711</v>
          </cell>
          <cell r="D2769">
            <v>225401010074509</v>
          </cell>
          <cell r="E2769" t="str">
            <v>SEDANG</v>
          </cell>
          <cell r="F2769" t="str">
            <v>Tidak</v>
          </cell>
          <cell r="G2769" t="str">
            <v>Tidak</v>
          </cell>
          <cell r="H2769" t="str">
            <v>Tidak</v>
          </cell>
          <cell r="I2769" t="str">
            <v>Bandar Judol Withdrawal</v>
          </cell>
          <cell r="J2769">
            <v>50</v>
          </cell>
          <cell r="K2769" t="str">
            <v>86,88,87</v>
          </cell>
          <cell r="L2769" t="str">
            <v>Judi Online</v>
          </cell>
          <cell r="M2769" t="str">
            <v xml:space="preserve">Kas Kanpus                              </v>
          </cell>
          <cell r="N2769" t="str">
            <v xml:space="preserve">Kas Kanpus                              </v>
          </cell>
          <cell r="O2769" t="str">
            <v xml:space="preserve">KAS KANPUS                              </v>
          </cell>
          <cell r="P2769" t="str">
            <v>Tidak</v>
          </cell>
          <cell r="R2769" t="str">
            <v>Done</v>
          </cell>
          <cell r="S2769" t="str">
            <v>Belum TL</v>
          </cell>
          <cell r="T2769" t="str">
            <v>00394521 - Muhammad Hibbanduta</v>
          </cell>
          <cell r="U2769" t="str">
            <v>"-"</v>
          </cell>
        </row>
        <row r="2770">
          <cell r="A2770">
            <v>46265</v>
          </cell>
          <cell r="B2770" t="str">
            <v xml:space="preserve">SITTAH TSULIS MUTHOHHAROH               </v>
          </cell>
          <cell r="C2770" t="str">
            <v>SZYI142</v>
          </cell>
          <cell r="D2770">
            <v>225101000918567</v>
          </cell>
          <cell r="E2770" t="str">
            <v>SEDANG</v>
          </cell>
          <cell r="F2770" t="str">
            <v>Tidak</v>
          </cell>
          <cell r="G2770" t="str">
            <v>Tidak</v>
          </cell>
          <cell r="H2770" t="str">
            <v>Tidak</v>
          </cell>
          <cell r="I2770" t="str">
            <v>Bandar Judol Depo</v>
          </cell>
          <cell r="J2770">
            <v>50</v>
          </cell>
          <cell r="K2770" t="str">
            <v>86,74,87</v>
          </cell>
          <cell r="L2770" t="str">
            <v>Judi Online</v>
          </cell>
          <cell r="M2770" t="str">
            <v xml:space="preserve">Kas Kanpus                              </v>
          </cell>
          <cell r="N2770" t="str">
            <v xml:space="preserve">Kas Kanpus                              </v>
          </cell>
          <cell r="O2770" t="str">
            <v xml:space="preserve">KAS KANPUS                              </v>
          </cell>
          <cell r="P2770" t="str">
            <v>Tidak</v>
          </cell>
          <cell r="R2770" t="str">
            <v>Done</v>
          </cell>
          <cell r="S2770" t="str">
            <v>Belum TL</v>
          </cell>
          <cell r="T2770" t="str">
            <v>90185537 - Moh.Khoerul Fajar Ar</v>
          </cell>
          <cell r="U2770" t="str">
            <v>"-"</v>
          </cell>
        </row>
        <row r="2771">
          <cell r="A2771">
            <v>46265</v>
          </cell>
          <cell r="B2771" t="str">
            <v xml:space="preserve">SESWO SUPARNO                           </v>
          </cell>
          <cell r="C2771" t="str">
            <v>SZZV146</v>
          </cell>
          <cell r="D2771">
            <v>41901055950508</v>
          </cell>
          <cell r="E2771" t="str">
            <v>SEDANG</v>
          </cell>
          <cell r="F2771" t="str">
            <v>Tidak</v>
          </cell>
          <cell r="G2771" t="str">
            <v>Tidak</v>
          </cell>
          <cell r="H2771" t="str">
            <v>Tidak</v>
          </cell>
          <cell r="I2771" t="str">
            <v>Bandar Judol Depo</v>
          </cell>
          <cell r="J2771">
            <v>50</v>
          </cell>
          <cell r="K2771" t="str">
            <v>86,74,87</v>
          </cell>
          <cell r="L2771" t="str">
            <v>Judi Online</v>
          </cell>
          <cell r="M2771" t="str">
            <v xml:space="preserve">Kas Kanpus                              </v>
          </cell>
          <cell r="N2771" t="str">
            <v xml:space="preserve">Kas Kanpus                              </v>
          </cell>
          <cell r="O2771" t="str">
            <v xml:space="preserve">KAS KANPUS                              </v>
          </cell>
          <cell r="P2771" t="str">
            <v>Ya</v>
          </cell>
          <cell r="R2771" t="str">
            <v>Done</v>
          </cell>
          <cell r="S2771" t="str">
            <v>Belum TL</v>
          </cell>
          <cell r="T2771" t="str">
            <v>90150130 - Intan Aida Pratiwi</v>
          </cell>
          <cell r="U2771" t="str">
            <v>"-"</v>
          </cell>
        </row>
        <row r="2772">
          <cell r="A2772">
            <v>46265</v>
          </cell>
          <cell r="B2772" t="str">
            <v xml:space="preserve">SARI HERMAWATI                          </v>
          </cell>
          <cell r="C2772" t="str">
            <v>SNOS216</v>
          </cell>
          <cell r="D2772">
            <v>407101020660538</v>
          </cell>
          <cell r="E2772" t="str">
            <v>SEDANG</v>
          </cell>
          <cell r="F2772" t="str">
            <v>Tidak</v>
          </cell>
          <cell r="G2772" t="str">
            <v>Tidak</v>
          </cell>
          <cell r="H2772" t="str">
            <v>Tidak</v>
          </cell>
          <cell r="I2772" t="str">
            <v>Bandar Judol Withdrawal</v>
          </cell>
          <cell r="J2772">
            <v>50</v>
          </cell>
          <cell r="K2772" t="str">
            <v>86,88,87</v>
          </cell>
          <cell r="L2772" t="str">
            <v>Judi Online</v>
          </cell>
          <cell r="M2772" t="str">
            <v xml:space="preserve">Kas Kanpus                              </v>
          </cell>
          <cell r="N2772" t="str">
            <v xml:space="preserve">Kas Kanpus                              </v>
          </cell>
          <cell r="O2772" t="str">
            <v xml:space="preserve">KAS KANPUS                              </v>
          </cell>
          <cell r="P2772" t="str">
            <v>Tidak</v>
          </cell>
          <cell r="R2772" t="str">
            <v>Done</v>
          </cell>
          <cell r="S2772" t="str">
            <v>Belum TL</v>
          </cell>
          <cell r="T2772" t="str">
            <v>90186790 - Muhammad Alfin Farha</v>
          </cell>
          <cell r="U2772" t="str">
            <v>"-"</v>
          </cell>
        </row>
        <row r="2773">
          <cell r="A2773">
            <v>46265</v>
          </cell>
          <cell r="B2773" t="str">
            <v xml:space="preserve">SUWONO                                  </v>
          </cell>
          <cell r="C2773" t="str">
            <v>SXA1682</v>
          </cell>
          <cell r="D2773">
            <v>32901060707505</v>
          </cell>
          <cell r="E2773" t="str">
            <v>SEDANG</v>
          </cell>
          <cell r="F2773" t="str">
            <v>Tidak</v>
          </cell>
          <cell r="G2773" t="str">
            <v>Tidak</v>
          </cell>
          <cell r="H2773" t="str">
            <v>Tidak</v>
          </cell>
          <cell r="I2773" t="str">
            <v>Narkotika - Area Lapas</v>
          </cell>
          <cell r="J2773">
            <v>53</v>
          </cell>
          <cell r="K2773">
            <v>48</v>
          </cell>
          <cell r="L2773" t="str">
            <v>Narkotika</v>
          </cell>
          <cell r="M2773" t="str">
            <v>KC Jakarta Veteran</v>
          </cell>
          <cell r="N2773" t="str">
            <v>KC Jakarta Veteran</v>
          </cell>
          <cell r="O2773" t="str">
            <v>DKI</v>
          </cell>
          <cell r="P2773" t="str">
            <v>Ya</v>
          </cell>
          <cell r="R2773" t="str">
            <v>Done</v>
          </cell>
          <cell r="S2773" t="str">
            <v>Belum TL</v>
          </cell>
          <cell r="T2773" t="str">
            <v>90185537 - Moh.Khoerul Fajar Ar</v>
          </cell>
          <cell r="U2773" t="str">
            <v>"-"</v>
          </cell>
        </row>
        <row r="2774">
          <cell r="A2774">
            <v>46265</v>
          </cell>
          <cell r="B2774" t="str">
            <v xml:space="preserve">PT SARANA MULTI INFRASTRUKTUR           </v>
          </cell>
          <cell r="C2774" t="str">
            <v>SYA1003</v>
          </cell>
          <cell r="D2774">
            <v>20602000788309</v>
          </cell>
          <cell r="E2774" t="str">
            <v>TINGGI</v>
          </cell>
          <cell r="F2774" t="str">
            <v>Tidak</v>
          </cell>
          <cell r="G2774" t="str">
            <v>Tidak</v>
          </cell>
          <cell r="H2774" t="str">
            <v>Tidak</v>
          </cell>
          <cell r="I2774" t="str">
            <v>High Transaction Custodian</v>
          </cell>
          <cell r="J2774">
            <v>61</v>
          </cell>
          <cell r="K2774">
            <v>32</v>
          </cell>
          <cell r="L2774" t="str">
            <v>Kustodian</v>
          </cell>
          <cell r="M2774" t="str">
            <v>Kas Kanpus</v>
          </cell>
          <cell r="N2774" t="str">
            <v>Kas Kanpus</v>
          </cell>
          <cell r="O2774" t="str">
            <v>KAS KANPUS</v>
          </cell>
          <cell r="P2774" t="str">
            <v>Tidak</v>
          </cell>
          <cell r="R2774" t="str">
            <v>Done</v>
          </cell>
          <cell r="S2774" t="str">
            <v>Belum TL</v>
          </cell>
          <cell r="T2774" t="str">
            <v>90170665 - Mutiara Ayuningtyas</v>
          </cell>
          <cell r="U2774" t="str">
            <v>"-"</v>
          </cell>
        </row>
        <row r="2775">
          <cell r="A2775">
            <v>46265</v>
          </cell>
          <cell r="B2775" t="str">
            <v xml:space="preserve">WIDYA PURNAMA SARI                      </v>
          </cell>
          <cell r="C2775" t="str">
            <v>WFN5822</v>
          </cell>
          <cell r="D2775">
            <v>337901057429538</v>
          </cell>
          <cell r="E2775" t="str">
            <v>SEDANG</v>
          </cell>
          <cell r="F2775" t="str">
            <v>Tidak</v>
          </cell>
          <cell r="G2775" t="str">
            <v>Tidak</v>
          </cell>
          <cell r="H2775" t="str">
            <v>Tidak</v>
          </cell>
          <cell r="I2775" t="str">
            <v>Bandar Judol Depo</v>
          </cell>
          <cell r="J2775">
            <v>50</v>
          </cell>
          <cell r="K2775" t="str">
            <v>86,74,87</v>
          </cell>
          <cell r="L2775" t="str">
            <v>Judi Online</v>
          </cell>
          <cell r="M2775" t="str">
            <v xml:space="preserve">Kas Kanpus                              </v>
          </cell>
          <cell r="N2775" t="str">
            <v xml:space="preserve">Kas Kanpus                              </v>
          </cell>
          <cell r="O2775" t="str">
            <v xml:space="preserve">KAS KANPUS                              </v>
          </cell>
          <cell r="P2775" t="str">
            <v>Ya</v>
          </cell>
          <cell r="R2775" t="str">
            <v>Done</v>
          </cell>
          <cell r="S2775" t="str">
            <v>Belum TL</v>
          </cell>
          <cell r="T2775" t="str">
            <v>00336949 - Mochammad Al Farabi</v>
          </cell>
          <cell r="U2775" t="str">
            <v>"-"</v>
          </cell>
        </row>
        <row r="2776">
          <cell r="A2776">
            <v>46265</v>
          </cell>
          <cell r="B2776" t="str">
            <v xml:space="preserve">WAWAN KURNIAWAN                         </v>
          </cell>
          <cell r="C2776" t="str">
            <v>WJJ9887</v>
          </cell>
          <cell r="D2776">
            <v>5301146867509</v>
          </cell>
          <cell r="E2776" t="str">
            <v>SEDANG</v>
          </cell>
          <cell r="F2776" t="str">
            <v>Tidak</v>
          </cell>
          <cell r="G2776" t="str">
            <v>Tidak</v>
          </cell>
          <cell r="H2776" t="str">
            <v>Tidak</v>
          </cell>
          <cell r="I2776" t="str">
            <v>Bandar Judol Withdrawal</v>
          </cell>
          <cell r="J2776">
            <v>50</v>
          </cell>
          <cell r="K2776" t="str">
            <v>86,88,87</v>
          </cell>
          <cell r="L2776" t="str">
            <v>Judi Online</v>
          </cell>
          <cell r="M2776" t="str">
            <v xml:space="preserve">Kas Kanpus                              </v>
          </cell>
          <cell r="N2776" t="str">
            <v xml:space="preserve">Kas Kanpus                              </v>
          </cell>
          <cell r="O2776" t="str">
            <v xml:space="preserve">KAS KANPUS                              </v>
          </cell>
          <cell r="P2776" t="str">
            <v>Ya</v>
          </cell>
          <cell r="R2776" t="str">
            <v>Done</v>
          </cell>
          <cell r="S2776" t="str">
            <v>Belum TL</v>
          </cell>
          <cell r="T2776" t="str">
            <v>00394521 - Muhammad Hibbanduta</v>
          </cell>
          <cell r="U2776" t="str">
            <v>"-"</v>
          </cell>
        </row>
        <row r="2777">
          <cell r="A2777">
            <v>46265</v>
          </cell>
          <cell r="B2777" t="str">
            <v xml:space="preserve">WILLY KURNIAWAN                         </v>
          </cell>
          <cell r="C2777" t="str">
            <v>WJM9851</v>
          </cell>
          <cell r="D2777">
            <v>334201070663538</v>
          </cell>
          <cell r="E2777" t="str">
            <v>SEDANG</v>
          </cell>
          <cell r="F2777" t="str">
            <v>Tidak</v>
          </cell>
          <cell r="G2777" t="str">
            <v>Tidak</v>
          </cell>
          <cell r="H2777" t="str">
            <v>Tidak</v>
          </cell>
          <cell r="I2777" t="str">
            <v>Bandar Judol Withdrawal</v>
          </cell>
          <cell r="J2777">
            <v>50</v>
          </cell>
          <cell r="K2777" t="str">
            <v>86,88,87</v>
          </cell>
          <cell r="L2777" t="str">
            <v>Judi Online</v>
          </cell>
          <cell r="M2777" t="str">
            <v xml:space="preserve">Kas Kanpus                              </v>
          </cell>
          <cell r="N2777" t="str">
            <v xml:space="preserve">Kas Kanpus                              </v>
          </cell>
          <cell r="O2777" t="str">
            <v xml:space="preserve">KAS KANPUS                              </v>
          </cell>
          <cell r="P2777" t="str">
            <v>Ya</v>
          </cell>
          <cell r="R2777" t="str">
            <v>Done</v>
          </cell>
          <cell r="S2777" t="str">
            <v>Belum TL</v>
          </cell>
          <cell r="T2777" t="str">
            <v>90170665 - Mutiara Ayuningtyas</v>
          </cell>
          <cell r="U2777" t="str">
            <v>"-"</v>
          </cell>
        </row>
        <row r="2778">
          <cell r="A2778">
            <v>46265</v>
          </cell>
          <cell r="B2778" t="str">
            <v xml:space="preserve">WINA NURHASANAH                         </v>
          </cell>
          <cell r="C2778" t="str">
            <v>WJP8379</v>
          </cell>
          <cell r="D2778">
            <v>2501005864566</v>
          </cell>
          <cell r="E2778" t="str">
            <v>SEDANG</v>
          </cell>
          <cell r="F2778" t="str">
            <v>Tidak</v>
          </cell>
          <cell r="G2778" t="str">
            <v>Tidak</v>
          </cell>
          <cell r="H2778" t="str">
            <v>Tidak</v>
          </cell>
          <cell r="I2778" t="str">
            <v>Bandar Judol Withdrawal</v>
          </cell>
          <cell r="J2778">
            <v>50</v>
          </cell>
          <cell r="K2778" t="str">
            <v>86,88,87</v>
          </cell>
          <cell r="L2778" t="str">
            <v>Judi Online</v>
          </cell>
          <cell r="M2778" t="str">
            <v xml:space="preserve">Kas Kanpus                              </v>
          </cell>
          <cell r="N2778" t="str">
            <v xml:space="preserve">Kas Kanpus                              </v>
          </cell>
          <cell r="O2778" t="str">
            <v xml:space="preserve">KAS KANPUS                              </v>
          </cell>
          <cell r="P2778" t="str">
            <v>Ya</v>
          </cell>
          <cell r="R2778" t="str">
            <v>Done</v>
          </cell>
          <cell r="S2778" t="str">
            <v>Belum TL</v>
          </cell>
          <cell r="T2778" t="str">
            <v>90171841 - Rifqi Aziz</v>
          </cell>
          <cell r="U2778" t="str">
            <v>"-"</v>
          </cell>
        </row>
        <row r="2779">
          <cell r="A2779">
            <v>46265</v>
          </cell>
          <cell r="B2779" t="str">
            <v xml:space="preserve">WAHYUNI                                 </v>
          </cell>
          <cell r="C2779" t="str">
            <v>WD72042</v>
          </cell>
          <cell r="D2779">
            <v>7001003986561</v>
          </cell>
          <cell r="E2779" t="str">
            <v>SEDANG</v>
          </cell>
          <cell r="F2779" t="str">
            <v>Tidak</v>
          </cell>
          <cell r="G2779" t="str">
            <v>Tidak</v>
          </cell>
          <cell r="H2779" t="str">
            <v>Tidak</v>
          </cell>
          <cell r="I2779" t="str">
            <v>Bandar Judol Withdrawal</v>
          </cell>
          <cell r="J2779">
            <v>50</v>
          </cell>
          <cell r="K2779" t="str">
            <v>86,88,87</v>
          </cell>
          <cell r="L2779" t="str">
            <v>Judi Online</v>
          </cell>
          <cell r="M2779" t="str">
            <v xml:space="preserve">Kas Kanpus                              </v>
          </cell>
          <cell r="N2779" t="str">
            <v xml:space="preserve">Kas Kanpus                              </v>
          </cell>
          <cell r="O2779" t="str">
            <v xml:space="preserve">KAS KANPUS                              </v>
          </cell>
          <cell r="P2779" t="str">
            <v>Tidak</v>
          </cell>
          <cell r="R2779" t="str">
            <v>Done</v>
          </cell>
          <cell r="S2779" t="str">
            <v>Belum TL</v>
          </cell>
          <cell r="T2779" t="str">
            <v>00394520 - Frida Akbar Rani</v>
          </cell>
          <cell r="U2779" t="str">
            <v>"-"</v>
          </cell>
        </row>
        <row r="2780">
          <cell r="A2780">
            <v>46265</v>
          </cell>
          <cell r="B2780" t="str">
            <v xml:space="preserve">VINI OKTAVIA HENDRAYANI                 </v>
          </cell>
          <cell r="C2780" t="str">
            <v>VF70835</v>
          </cell>
          <cell r="D2780">
            <v>53101017141503</v>
          </cell>
          <cell r="F2780" t="str">
            <v>Tidak</v>
          </cell>
          <cell r="G2780" t="str">
            <v>Tidak</v>
          </cell>
          <cell r="H2780" t="str">
            <v>Tidak</v>
          </cell>
          <cell r="I2780" t="str">
            <v>Bandar Judol Depo</v>
          </cell>
          <cell r="J2780">
            <v>35</v>
          </cell>
          <cell r="K2780" t="str">
            <v>86,74,87</v>
          </cell>
          <cell r="L2780" t="str">
            <v>Judi Online</v>
          </cell>
          <cell r="M2780" t="str">
            <v xml:space="preserve">Kas Kanpus                              </v>
          </cell>
          <cell r="N2780" t="str">
            <v xml:space="preserve">Kas Kanpus                              </v>
          </cell>
          <cell r="O2780" t="str">
            <v xml:space="preserve">KAS KANPUS                              </v>
          </cell>
          <cell r="P2780" t="str">
            <v>Ya</v>
          </cell>
          <cell r="R2780" t="str">
            <v>Done</v>
          </cell>
          <cell r="S2780" t="str">
            <v>Belum TL</v>
          </cell>
          <cell r="T2780" t="str">
            <v>90171841 - Rifqi Aziz</v>
          </cell>
          <cell r="U2780" t="str">
            <v>"-"</v>
          </cell>
        </row>
        <row r="2781">
          <cell r="A2781">
            <v>46265</v>
          </cell>
          <cell r="B2781" t="str">
            <v xml:space="preserve">VARIEL                                  </v>
          </cell>
          <cell r="C2781" t="str">
            <v>VG28232</v>
          </cell>
          <cell r="D2781">
            <v>1201305689506</v>
          </cell>
          <cell r="F2781" t="str">
            <v>Tidak</v>
          </cell>
          <cell r="G2781" t="str">
            <v>Tidak</v>
          </cell>
          <cell r="H2781" t="str">
            <v>Tidak</v>
          </cell>
          <cell r="I2781" t="str">
            <v>Bandar Judol Withdrawal</v>
          </cell>
          <cell r="J2781">
            <v>35</v>
          </cell>
          <cell r="K2781" t="str">
            <v>86,88,87</v>
          </cell>
          <cell r="L2781" t="str">
            <v>Judi Online</v>
          </cell>
          <cell r="M2781" t="str">
            <v xml:space="preserve">Kas Kanpus                              </v>
          </cell>
          <cell r="N2781" t="str">
            <v xml:space="preserve">Kas Kanpus                              </v>
          </cell>
          <cell r="O2781" t="str">
            <v xml:space="preserve">KAS KANPUS                              </v>
          </cell>
          <cell r="P2781" t="str">
            <v>Ya</v>
          </cell>
          <cell r="R2781" t="str">
            <v>Done</v>
          </cell>
          <cell r="S2781" t="str">
            <v>Belum TL</v>
          </cell>
          <cell r="T2781" t="str">
            <v>90185538 - Muhammad Fahikal Auz</v>
          </cell>
          <cell r="U2781" t="str">
            <v>"-"</v>
          </cell>
        </row>
        <row r="2782">
          <cell r="A2782">
            <v>46265</v>
          </cell>
          <cell r="B2782" t="str">
            <v xml:space="preserve">WINDA SARI BR SIMANJUNTAK               </v>
          </cell>
          <cell r="C2782" t="str">
            <v>WCY1741</v>
          </cell>
          <cell r="D2782">
            <v>532301032822536</v>
          </cell>
          <cell r="E2782" t="str">
            <v>RENDAH</v>
          </cell>
          <cell r="F2782" t="str">
            <v>Tidak</v>
          </cell>
          <cell r="G2782" t="str">
            <v>Tidak</v>
          </cell>
          <cell r="H2782" t="str">
            <v>Tidak</v>
          </cell>
          <cell r="I2782" t="str">
            <v>Bandar Judol Withdrawal</v>
          </cell>
          <cell r="J2782">
            <v>35</v>
          </cell>
          <cell r="K2782" t="str">
            <v>86,88,87</v>
          </cell>
          <cell r="L2782" t="str">
            <v>Judi Online</v>
          </cell>
          <cell r="M2782" t="str">
            <v xml:space="preserve">Kas Kanpus                              </v>
          </cell>
          <cell r="N2782" t="str">
            <v xml:space="preserve">Kas Kanpus                              </v>
          </cell>
          <cell r="O2782" t="str">
            <v xml:space="preserve">KAS KANPUS                              </v>
          </cell>
          <cell r="P2782" t="str">
            <v>Ya</v>
          </cell>
          <cell r="R2782" t="str">
            <v>Done</v>
          </cell>
          <cell r="S2782" t="str">
            <v>Belum TL</v>
          </cell>
          <cell r="T2782" t="str">
            <v>90171841 - Rifqi Aziz</v>
          </cell>
          <cell r="U2782" t="str">
            <v>"-"</v>
          </cell>
        </row>
        <row r="2783">
          <cell r="A2783">
            <v>46265</v>
          </cell>
          <cell r="B2783" t="str">
            <v xml:space="preserve">VIRA APRILIA                            </v>
          </cell>
          <cell r="C2783" t="str">
            <v>VB23965</v>
          </cell>
          <cell r="D2783">
            <v>5301166112502</v>
          </cell>
          <cell r="E2783" t="str">
            <v>SEDANG</v>
          </cell>
          <cell r="F2783" t="str">
            <v>Tidak</v>
          </cell>
          <cell r="G2783" t="str">
            <v>Tidak</v>
          </cell>
          <cell r="H2783" t="str">
            <v>Tidak</v>
          </cell>
          <cell r="I2783" t="str">
            <v>Bandar Judol Withdrawal</v>
          </cell>
          <cell r="J2783">
            <v>50</v>
          </cell>
          <cell r="K2783" t="str">
            <v>86,88,87</v>
          </cell>
          <cell r="L2783" t="str">
            <v>Judi Online</v>
          </cell>
          <cell r="M2783" t="str">
            <v xml:space="preserve">Kas Kanpus                              </v>
          </cell>
          <cell r="N2783" t="str">
            <v xml:space="preserve">Kas Kanpus                              </v>
          </cell>
          <cell r="O2783" t="str">
            <v xml:space="preserve">KAS KANPUS                              </v>
          </cell>
          <cell r="P2783" t="str">
            <v>Ya</v>
          </cell>
          <cell r="R2783" t="str">
            <v>Done</v>
          </cell>
          <cell r="S2783" t="str">
            <v>Belum TL</v>
          </cell>
          <cell r="T2783" t="str">
            <v>00394520 - Frida Akbar Rani</v>
          </cell>
          <cell r="U2783" t="str">
            <v>"-"</v>
          </cell>
        </row>
        <row r="2784">
          <cell r="A2784">
            <v>46265</v>
          </cell>
          <cell r="B2784" t="str">
            <v xml:space="preserve">VIVI ANGRAINI NOVIH                     </v>
          </cell>
          <cell r="C2784" t="str">
            <v>V947879</v>
          </cell>
          <cell r="D2784">
            <v>203801014343506</v>
          </cell>
          <cell r="E2784" t="str">
            <v>SEDANG</v>
          </cell>
          <cell r="F2784" t="str">
            <v>Tidak</v>
          </cell>
          <cell r="G2784" t="str">
            <v>Tidak</v>
          </cell>
          <cell r="H2784" t="str">
            <v>Tidak</v>
          </cell>
          <cell r="I2784" t="str">
            <v>Bandar Judol Withdrawal</v>
          </cell>
          <cell r="J2784">
            <v>50</v>
          </cell>
          <cell r="K2784" t="str">
            <v>86,88,87</v>
          </cell>
          <cell r="L2784" t="str">
            <v>Judi Online</v>
          </cell>
          <cell r="M2784" t="str">
            <v xml:space="preserve">Kas Kanpus                              </v>
          </cell>
          <cell r="N2784" t="str">
            <v xml:space="preserve">Kas Kanpus                              </v>
          </cell>
          <cell r="O2784" t="str">
            <v xml:space="preserve">KAS KANPUS                              </v>
          </cell>
          <cell r="P2784" t="str">
            <v>Ya</v>
          </cell>
          <cell r="R2784" t="str">
            <v>Done</v>
          </cell>
          <cell r="S2784" t="str">
            <v>Belum TL</v>
          </cell>
          <cell r="T2784" t="str">
            <v>90170665 - Mutiara Ayuningtyas</v>
          </cell>
          <cell r="U2784" t="str">
            <v>"-"</v>
          </cell>
        </row>
        <row r="2785">
          <cell r="A2785">
            <v>46265</v>
          </cell>
          <cell r="B2785" t="str">
            <v xml:space="preserve">VIKA TRI ASTUTI                         </v>
          </cell>
          <cell r="C2785" t="str">
            <v>V876523</v>
          </cell>
          <cell r="D2785">
            <v>745101013659535</v>
          </cell>
          <cell r="E2785" t="str">
            <v>SEDANG</v>
          </cell>
          <cell r="F2785" t="str">
            <v>Tidak</v>
          </cell>
          <cell r="G2785" t="str">
            <v>Tidak</v>
          </cell>
          <cell r="H2785" t="str">
            <v>Tidak</v>
          </cell>
          <cell r="I2785" t="str">
            <v>Bandar Judol Depo</v>
          </cell>
          <cell r="J2785">
            <v>50</v>
          </cell>
          <cell r="K2785" t="str">
            <v>86,74,87</v>
          </cell>
          <cell r="L2785" t="str">
            <v>Judi Online</v>
          </cell>
          <cell r="M2785" t="str">
            <v xml:space="preserve">Kas Kanpus                              </v>
          </cell>
          <cell r="N2785" t="str">
            <v xml:space="preserve">Kas Kanpus                              </v>
          </cell>
          <cell r="O2785" t="str">
            <v xml:space="preserve">KAS KANPUS                              </v>
          </cell>
          <cell r="P2785" t="str">
            <v>Ya</v>
          </cell>
          <cell r="R2785" t="str">
            <v>Done</v>
          </cell>
          <cell r="S2785" t="str">
            <v>Belum TL</v>
          </cell>
          <cell r="T2785" t="str">
            <v>90185538 - Muhammad Fahikal Auz</v>
          </cell>
          <cell r="U2785" t="str">
            <v>"-"</v>
          </cell>
        </row>
        <row r="2786">
          <cell r="A2786">
            <v>46265</v>
          </cell>
          <cell r="B2786" t="str">
            <v xml:space="preserve">WELLY THOMAS                            </v>
          </cell>
          <cell r="C2786" t="str">
            <v>WLX9512</v>
          </cell>
          <cell r="D2786">
            <v>43401002163564</v>
          </cell>
          <cell r="F2786" t="str">
            <v>Tidak</v>
          </cell>
          <cell r="G2786" t="str">
            <v>Tidak</v>
          </cell>
          <cell r="H2786" t="str">
            <v>Tidak</v>
          </cell>
          <cell r="I2786" t="str">
            <v>Bandar Judol Withdrawal</v>
          </cell>
          <cell r="J2786">
            <v>35</v>
          </cell>
          <cell r="K2786" t="str">
            <v>86,88,87</v>
          </cell>
          <cell r="L2786" t="str">
            <v>Judi Online</v>
          </cell>
          <cell r="M2786" t="str">
            <v xml:space="preserve">Kas Kanpus                              </v>
          </cell>
          <cell r="N2786" t="str">
            <v xml:space="preserve">Kas Kanpus                              </v>
          </cell>
          <cell r="O2786" t="str">
            <v xml:space="preserve">KAS KANPUS                              </v>
          </cell>
          <cell r="P2786" t="str">
            <v>Ya</v>
          </cell>
          <cell r="R2786" t="str">
            <v>Done</v>
          </cell>
          <cell r="S2786" t="str">
            <v>Belum TL</v>
          </cell>
          <cell r="T2786" t="str">
            <v>90150130 - Intan Aida Pratiwi</v>
          </cell>
          <cell r="U2786" t="str">
            <v>"-"</v>
          </cell>
        </row>
        <row r="2787">
          <cell r="A2787">
            <v>46265</v>
          </cell>
          <cell r="B2787" t="str">
            <v xml:space="preserve">WINDARI                                 </v>
          </cell>
          <cell r="C2787" t="str">
            <v>WMZ8238</v>
          </cell>
          <cell r="D2787">
            <v>78701013652507</v>
          </cell>
          <cell r="F2787" t="str">
            <v>Tidak</v>
          </cell>
          <cell r="G2787" t="str">
            <v>Tidak</v>
          </cell>
          <cell r="H2787" t="str">
            <v>Tidak</v>
          </cell>
          <cell r="I2787" t="str">
            <v>Bandar Judol Depo</v>
          </cell>
          <cell r="J2787">
            <v>35</v>
          </cell>
          <cell r="K2787" t="str">
            <v>86,74,87</v>
          </cell>
          <cell r="L2787" t="str">
            <v>Judi Online</v>
          </cell>
          <cell r="M2787" t="str">
            <v xml:space="preserve">Kas Kanpus                              </v>
          </cell>
          <cell r="N2787" t="str">
            <v xml:space="preserve">Kas Kanpus                              </v>
          </cell>
          <cell r="O2787" t="str">
            <v xml:space="preserve">KAS KANPUS                              </v>
          </cell>
          <cell r="P2787" t="str">
            <v>Ya</v>
          </cell>
          <cell r="R2787" t="str">
            <v>Done</v>
          </cell>
          <cell r="S2787" t="str">
            <v>Belum TL</v>
          </cell>
          <cell r="T2787" t="str">
            <v>90170665 - Mutiara Ayuningtyas</v>
          </cell>
          <cell r="U2787" t="str">
            <v>"-"</v>
          </cell>
        </row>
        <row r="2788">
          <cell r="A2788">
            <v>46265</v>
          </cell>
          <cell r="B2788" t="str">
            <v xml:space="preserve">WIDIA NINGRUM                           </v>
          </cell>
          <cell r="C2788" t="str">
            <v>WMV1104</v>
          </cell>
          <cell r="D2788">
            <v>43401048460500</v>
          </cell>
          <cell r="F2788" t="str">
            <v>Tidak</v>
          </cell>
          <cell r="G2788" t="str">
            <v>Tidak</v>
          </cell>
          <cell r="H2788" t="str">
            <v>Tidak</v>
          </cell>
          <cell r="I2788" t="str">
            <v>Bandar Judol Withdrawal</v>
          </cell>
          <cell r="J2788">
            <v>35</v>
          </cell>
          <cell r="K2788" t="str">
            <v>86,88,87</v>
          </cell>
          <cell r="L2788" t="str">
            <v>Judi Online</v>
          </cell>
          <cell r="M2788" t="str">
            <v xml:space="preserve">Kas Kanpus                              </v>
          </cell>
          <cell r="N2788" t="str">
            <v xml:space="preserve">Kas Kanpus                              </v>
          </cell>
          <cell r="O2788" t="str">
            <v xml:space="preserve">KAS KANPUS                              </v>
          </cell>
          <cell r="P2788" t="str">
            <v>Ya</v>
          </cell>
          <cell r="R2788" t="str">
            <v>Done</v>
          </cell>
          <cell r="S2788" t="str">
            <v>Belum TL</v>
          </cell>
          <cell r="T2788" t="str">
            <v>90185537 - Moh.Khoerul Fajar Ar</v>
          </cell>
          <cell r="U2788" t="str">
            <v>"-"</v>
          </cell>
        </row>
        <row r="2789">
          <cell r="A2789">
            <v>46265</v>
          </cell>
          <cell r="B2789" t="str">
            <v xml:space="preserve">WIDJI                                   </v>
          </cell>
          <cell r="C2789" t="str">
            <v>WND7687</v>
          </cell>
          <cell r="D2789">
            <v>324901018928502</v>
          </cell>
          <cell r="F2789" t="str">
            <v>Tidak</v>
          </cell>
          <cell r="G2789" t="str">
            <v>Tidak</v>
          </cell>
          <cell r="H2789" t="str">
            <v>Tidak</v>
          </cell>
          <cell r="I2789" t="str">
            <v>Bandar Judol Withdrawal</v>
          </cell>
          <cell r="J2789">
            <v>35</v>
          </cell>
          <cell r="K2789" t="str">
            <v>86,88,87</v>
          </cell>
          <cell r="L2789" t="str">
            <v>Judi Online</v>
          </cell>
          <cell r="M2789" t="str">
            <v xml:space="preserve">Kas Kanpus                              </v>
          </cell>
          <cell r="N2789" t="str">
            <v xml:space="preserve">Kas Kanpus                              </v>
          </cell>
          <cell r="O2789" t="str">
            <v xml:space="preserve">KAS KANPUS                              </v>
          </cell>
          <cell r="P2789" t="str">
            <v>Ya</v>
          </cell>
          <cell r="R2789" t="str">
            <v>Done</v>
          </cell>
          <cell r="S2789" t="str">
            <v>Belum TL</v>
          </cell>
          <cell r="T2789" t="str">
            <v>90186796 - Devito Arya Wiradila</v>
          </cell>
          <cell r="U2789" t="str">
            <v>"-"</v>
          </cell>
        </row>
        <row r="2790">
          <cell r="A2790">
            <v>46265</v>
          </cell>
          <cell r="B2790" t="str">
            <v xml:space="preserve">WAHYU FEBRI                             </v>
          </cell>
          <cell r="C2790" t="str">
            <v>WND7796</v>
          </cell>
          <cell r="D2790">
            <v>112901039251508</v>
          </cell>
          <cell r="F2790" t="str">
            <v>Tidak</v>
          </cell>
          <cell r="G2790" t="str">
            <v>Tidak</v>
          </cell>
          <cell r="H2790" t="str">
            <v>Tidak</v>
          </cell>
          <cell r="I2790" t="str">
            <v>Bandar Judol Depo</v>
          </cell>
          <cell r="J2790">
            <v>35</v>
          </cell>
          <cell r="K2790" t="str">
            <v>86,74,87</v>
          </cell>
          <cell r="L2790" t="str">
            <v>Judi Online</v>
          </cell>
          <cell r="M2790" t="str">
            <v xml:space="preserve">Kas Kanpus                              </v>
          </cell>
          <cell r="N2790" t="str">
            <v xml:space="preserve">Kas Kanpus                              </v>
          </cell>
          <cell r="O2790" t="str">
            <v xml:space="preserve">KAS KANPUS                              </v>
          </cell>
          <cell r="P2790" t="str">
            <v>Ya</v>
          </cell>
          <cell r="R2790" t="str">
            <v>Done</v>
          </cell>
          <cell r="S2790" t="str">
            <v>Belum TL</v>
          </cell>
          <cell r="T2790" t="str">
            <v>90185538 - Muhammad Fahikal Auz</v>
          </cell>
          <cell r="U2790" t="str">
            <v>"-"</v>
          </cell>
        </row>
        <row r="2791">
          <cell r="A2791">
            <v>46265</v>
          </cell>
          <cell r="B2791" t="str">
            <v xml:space="preserve">WAHYUDIN                                </v>
          </cell>
          <cell r="C2791" t="str">
            <v>WX03016</v>
          </cell>
          <cell r="D2791">
            <v>53801106538500</v>
          </cell>
          <cell r="E2791" t="str">
            <v>SEDANG</v>
          </cell>
          <cell r="F2791" t="str">
            <v>Tidak</v>
          </cell>
          <cell r="G2791" t="str">
            <v>Tidak</v>
          </cell>
          <cell r="H2791" t="str">
            <v>Tidak</v>
          </cell>
          <cell r="I2791" t="str">
            <v>Bandar Judol Withdrawal</v>
          </cell>
          <cell r="J2791">
            <v>50</v>
          </cell>
          <cell r="K2791" t="str">
            <v>86,88,87</v>
          </cell>
          <cell r="L2791" t="str">
            <v>Judi Online</v>
          </cell>
          <cell r="M2791" t="str">
            <v xml:space="preserve">Kas Kanpus                              </v>
          </cell>
          <cell r="N2791" t="str">
            <v xml:space="preserve">Kas Kanpus                              </v>
          </cell>
          <cell r="O2791" t="str">
            <v xml:space="preserve">KAS KANPUS                              </v>
          </cell>
          <cell r="P2791" t="str">
            <v>Ya</v>
          </cell>
          <cell r="R2791" t="str">
            <v>Done</v>
          </cell>
          <cell r="S2791" t="str">
            <v>Belum TL</v>
          </cell>
          <cell r="T2791" t="str">
            <v>90170665 - Mutiara Ayuningtyas</v>
          </cell>
          <cell r="U2791" t="str">
            <v>"-"</v>
          </cell>
        </row>
        <row r="2792">
          <cell r="A2792">
            <v>46265</v>
          </cell>
          <cell r="B2792" t="str">
            <v xml:space="preserve">YATTY SRIYATI SH MM MHUM                </v>
          </cell>
          <cell r="C2792" t="str">
            <v>Y133516</v>
          </cell>
          <cell r="D2792">
            <v>5326599000009950</v>
          </cell>
          <cell r="E2792" t="str">
            <v>TINGGI</v>
          </cell>
          <cell r="F2792" t="str">
            <v>Tidak</v>
          </cell>
          <cell r="G2792" t="str">
            <v>Tidak</v>
          </cell>
          <cell r="H2792" t="str">
            <v>Tidak</v>
          </cell>
          <cell r="I2792" t="str">
            <v>Private or Priority Customer Investment</v>
          </cell>
          <cell r="J2792">
            <v>73</v>
          </cell>
          <cell r="K2792">
            <v>93</v>
          </cell>
          <cell r="L2792" t="str">
            <v>Pasar Modal</v>
          </cell>
          <cell r="M2792" t="str">
            <v xml:space="preserve">Jkt KCK                                 </v>
          </cell>
          <cell r="N2792" t="str">
            <v xml:space="preserve">Jkt KCK                                 </v>
          </cell>
          <cell r="O2792" t="str">
            <v xml:space="preserve">DKI                                     </v>
          </cell>
          <cell r="P2792" t="str">
            <v>Tidak</v>
          </cell>
          <cell r="R2792" t="str">
            <v>Done</v>
          </cell>
          <cell r="S2792" t="str">
            <v>Belum TL</v>
          </cell>
          <cell r="T2792" t="str">
            <v>90185538 - Muhammad Fahikal Auz</v>
          </cell>
          <cell r="U2792" t="str">
            <v>"-"</v>
          </cell>
        </row>
        <row r="2793">
          <cell r="A2793">
            <v>46265</v>
          </cell>
          <cell r="B2793" t="str">
            <v xml:space="preserve">WINDY AULIYA                            </v>
          </cell>
          <cell r="C2793" t="str">
            <v>WY73401</v>
          </cell>
          <cell r="D2793">
            <v>365101033874537</v>
          </cell>
          <cell r="E2793" t="str">
            <v>SEDANG</v>
          </cell>
          <cell r="F2793" t="str">
            <v>Tidak</v>
          </cell>
          <cell r="G2793" t="str">
            <v>Tidak</v>
          </cell>
          <cell r="H2793" t="str">
            <v>Ya</v>
          </cell>
          <cell r="I2793" t="str">
            <v>Bandar Judol Depo</v>
          </cell>
          <cell r="J2793">
            <v>50</v>
          </cell>
          <cell r="K2793" t="str">
            <v>86,74,87</v>
          </cell>
          <cell r="L2793" t="str">
            <v>Judi Online</v>
          </cell>
          <cell r="M2793" t="str">
            <v xml:space="preserve">Kas Kanpus                              </v>
          </cell>
          <cell r="N2793" t="str">
            <v xml:space="preserve">Kas Kanpus                              </v>
          </cell>
          <cell r="O2793" t="str">
            <v xml:space="preserve">KAS KANPUS                              </v>
          </cell>
          <cell r="P2793" t="str">
            <v>Tidak</v>
          </cell>
          <cell r="R2793" t="str">
            <v>Done</v>
          </cell>
          <cell r="S2793" t="str">
            <v>Belum TL</v>
          </cell>
          <cell r="T2793" t="str">
            <v>90150130 - Intan Aida Pratiwi</v>
          </cell>
          <cell r="U2793" t="str">
            <v>"-"</v>
          </cell>
        </row>
        <row r="2794">
          <cell r="A2794">
            <v>46265</v>
          </cell>
          <cell r="B2794" t="str">
            <v xml:space="preserve">WANDA GEOGRAFIKA RIRHATUELA             </v>
          </cell>
          <cell r="C2794" t="str">
            <v>WNG4699</v>
          </cell>
          <cell r="D2794">
            <v>205101021808503</v>
          </cell>
          <cell r="F2794" t="str">
            <v>Tidak</v>
          </cell>
          <cell r="G2794" t="str">
            <v>Tidak</v>
          </cell>
          <cell r="H2794" t="str">
            <v>Tidak</v>
          </cell>
          <cell r="I2794" t="str">
            <v>Bandar Judol Withdrawal</v>
          </cell>
          <cell r="J2794">
            <v>35</v>
          </cell>
          <cell r="K2794" t="str">
            <v>86,88,87</v>
          </cell>
          <cell r="L2794" t="str">
            <v>Judi Online</v>
          </cell>
          <cell r="M2794" t="str">
            <v xml:space="preserve">Kas Kanpus                              </v>
          </cell>
          <cell r="N2794" t="str">
            <v xml:space="preserve">Kas Kanpus                              </v>
          </cell>
          <cell r="O2794" t="str">
            <v xml:space="preserve">KAS KANPUS                              </v>
          </cell>
          <cell r="P2794" t="str">
            <v>Ya</v>
          </cell>
          <cell r="R2794" t="str">
            <v>Done</v>
          </cell>
          <cell r="S2794" t="str">
            <v>Belum TL</v>
          </cell>
          <cell r="T2794" t="str">
            <v>90171841 - Rifqi Aziz</v>
          </cell>
          <cell r="U2794" t="str">
            <v>"-"</v>
          </cell>
        </row>
        <row r="2795">
          <cell r="A2795">
            <v>46265</v>
          </cell>
          <cell r="B2795" t="str">
            <v xml:space="preserve">YULIZA FITRI                            </v>
          </cell>
          <cell r="C2795" t="str">
            <v>YCW5374</v>
          </cell>
          <cell r="D2795">
            <v>572401000027564</v>
          </cell>
          <cell r="E2795" t="str">
            <v>SEDANG</v>
          </cell>
          <cell r="F2795" t="str">
            <v>Ya</v>
          </cell>
          <cell r="G2795" t="str">
            <v>Tidak</v>
          </cell>
          <cell r="H2795" t="str">
            <v>Tidak</v>
          </cell>
          <cell r="I2795" t="str">
            <v>Narkotika - Area Lapas</v>
          </cell>
          <cell r="J2795">
            <v>50</v>
          </cell>
          <cell r="K2795">
            <v>46</v>
          </cell>
          <cell r="L2795" t="str">
            <v>Narkotika</v>
          </cell>
          <cell r="M2795" t="str">
            <v>UNIT MUARA BUNGO</v>
          </cell>
          <cell r="N2795" t="str">
            <v>KC Muara Bungo</v>
          </cell>
          <cell r="O2795" t="str">
            <v>Palembang</v>
          </cell>
          <cell r="P2795" t="str">
            <v>Tidak</v>
          </cell>
          <cell r="R2795" t="str">
            <v>Done</v>
          </cell>
          <cell r="S2795" t="str">
            <v>Belum TL</v>
          </cell>
          <cell r="T2795" t="str">
            <v>90171841 - Rifqi Aziz</v>
          </cell>
          <cell r="U2795" t="str">
            <v>"-"</v>
          </cell>
        </row>
        <row r="2796">
          <cell r="A2796">
            <v>46265</v>
          </cell>
          <cell r="B2796" t="str">
            <v xml:space="preserve">YENI ANGGRAINI                          </v>
          </cell>
          <cell r="C2796" t="str">
            <v>YBM4795</v>
          </cell>
          <cell r="D2796">
            <v>208901018876500</v>
          </cell>
          <cell r="E2796" t="str">
            <v>SEDANG</v>
          </cell>
          <cell r="F2796" t="str">
            <v>Tidak</v>
          </cell>
          <cell r="G2796" t="str">
            <v>Tidak</v>
          </cell>
          <cell r="H2796" t="str">
            <v>Tidak</v>
          </cell>
          <cell r="I2796" t="str">
            <v>Bandar Judol Withdrawal</v>
          </cell>
          <cell r="J2796">
            <v>50</v>
          </cell>
          <cell r="K2796" t="str">
            <v>86,88,87</v>
          </cell>
          <cell r="L2796" t="str">
            <v>Judi Online</v>
          </cell>
          <cell r="M2796" t="str">
            <v xml:space="preserve">Kas Kanpus                              </v>
          </cell>
          <cell r="N2796" t="str">
            <v xml:space="preserve">Kas Kanpus                              </v>
          </cell>
          <cell r="O2796" t="str">
            <v xml:space="preserve">KAS KANPUS                              </v>
          </cell>
          <cell r="P2796" t="str">
            <v>Ya</v>
          </cell>
          <cell r="R2796" t="str">
            <v>Done</v>
          </cell>
          <cell r="S2796" t="str">
            <v>Belum TL</v>
          </cell>
          <cell r="T2796" t="str">
            <v>00394520 - Frida Akbar Rani</v>
          </cell>
          <cell r="U2796" t="str">
            <v>"-"</v>
          </cell>
        </row>
        <row r="2797">
          <cell r="A2797">
            <v>46265</v>
          </cell>
          <cell r="B2797" t="str">
            <v xml:space="preserve">RASMAWATI MANURUNG                      </v>
          </cell>
          <cell r="C2797" t="str">
            <v>RP47336</v>
          </cell>
          <cell r="D2797">
            <v>63501001038562</v>
          </cell>
          <cell r="E2797" t="str">
            <v>TINGGI</v>
          </cell>
          <cell r="F2797" t="str">
            <v>Ya</v>
          </cell>
          <cell r="G2797" t="str">
            <v>Tidak</v>
          </cell>
          <cell r="H2797" t="str">
            <v>Tidak</v>
          </cell>
          <cell r="I2797" t="str">
            <v>Terorisme - SIPENDAR</v>
          </cell>
          <cell r="J2797">
            <v>185</v>
          </cell>
          <cell r="K2797">
            <v>36</v>
          </cell>
          <cell r="L2797" t="str">
            <v>Terorisme</v>
          </cell>
          <cell r="M2797" t="str">
            <v xml:space="preserve">Kas Kanpus                              </v>
          </cell>
          <cell r="N2797" t="str">
            <v xml:space="preserve">Kas Kanpus                              </v>
          </cell>
          <cell r="O2797" t="str">
            <v xml:space="preserve">KAS KANPUS                              </v>
          </cell>
          <cell r="P2797" t="str">
            <v>Tidak</v>
          </cell>
          <cell r="R2797" t="str">
            <v>Done</v>
          </cell>
          <cell r="S2797" t="str">
            <v>Belum TL</v>
          </cell>
          <cell r="T2797" t="str">
            <v>90185537 - Moh.Khoerul Fajar Ar</v>
          </cell>
          <cell r="U2797" t="str">
            <v>"-"</v>
          </cell>
        </row>
        <row r="2798">
          <cell r="A2798">
            <v>46265</v>
          </cell>
          <cell r="B2798" t="str">
            <v xml:space="preserve">RCBBY ERSA                              </v>
          </cell>
          <cell r="C2798" t="str">
            <v>RPGQ431</v>
          </cell>
          <cell r="D2798">
            <v>96801020610508</v>
          </cell>
          <cell r="F2798" t="str">
            <v>Tidak</v>
          </cell>
          <cell r="G2798" t="str">
            <v>Tidak</v>
          </cell>
          <cell r="H2798" t="str">
            <v>Tidak</v>
          </cell>
          <cell r="I2798" t="str">
            <v>Bandar Judol Depo</v>
          </cell>
          <cell r="J2798">
            <v>35</v>
          </cell>
          <cell r="K2798" t="str">
            <v>86,74,87</v>
          </cell>
          <cell r="L2798" t="str">
            <v>Judi Online</v>
          </cell>
          <cell r="M2798" t="str">
            <v xml:space="preserve">Kas Kanpus                              </v>
          </cell>
          <cell r="N2798" t="str">
            <v xml:space="preserve">Kas Kanpus                              </v>
          </cell>
          <cell r="O2798" t="str">
            <v xml:space="preserve">KAS KANPUS                              </v>
          </cell>
          <cell r="P2798" t="str">
            <v>Ya</v>
          </cell>
          <cell r="R2798" t="str">
            <v>Done</v>
          </cell>
          <cell r="S2798" t="str">
            <v>Belum TL</v>
          </cell>
          <cell r="T2798" t="str">
            <v>90186790 - Muhammad Alfin Farha</v>
          </cell>
          <cell r="U2798" t="str">
            <v>"-"</v>
          </cell>
        </row>
        <row r="2799">
          <cell r="A2799">
            <v>46265</v>
          </cell>
          <cell r="B2799" t="str">
            <v xml:space="preserve">RINDIANI YULPANI                        </v>
          </cell>
          <cell r="C2799" t="str">
            <v>RPGS902</v>
          </cell>
          <cell r="D2799">
            <v>479901024610505</v>
          </cell>
          <cell r="F2799" t="str">
            <v>Tidak</v>
          </cell>
          <cell r="G2799" t="str">
            <v>Tidak</v>
          </cell>
          <cell r="H2799" t="str">
            <v>Tidak</v>
          </cell>
          <cell r="I2799" t="str">
            <v>Bandar Judol Withdrawal</v>
          </cell>
          <cell r="J2799">
            <v>35</v>
          </cell>
          <cell r="K2799" t="str">
            <v>86,88,87</v>
          </cell>
          <cell r="L2799" t="str">
            <v>Judi Online</v>
          </cell>
          <cell r="M2799" t="str">
            <v xml:space="preserve">Kas Kanpus                              </v>
          </cell>
          <cell r="N2799" t="str">
            <v xml:space="preserve">Kas Kanpus                              </v>
          </cell>
          <cell r="O2799" t="str">
            <v xml:space="preserve">KAS KANPUS                              </v>
          </cell>
          <cell r="P2799" t="str">
            <v>Ya</v>
          </cell>
          <cell r="R2799" t="str">
            <v>Done</v>
          </cell>
          <cell r="S2799" t="str">
            <v>Belum TL</v>
          </cell>
          <cell r="T2799" t="str">
            <v>00394521 - Muhammad Hibbanduta</v>
          </cell>
          <cell r="U2799" t="str">
            <v>"-"</v>
          </cell>
        </row>
        <row r="2800">
          <cell r="A2800">
            <v>46265</v>
          </cell>
          <cell r="B2800" t="str">
            <v xml:space="preserve">RAHYONO                                 </v>
          </cell>
          <cell r="C2800" t="str">
            <v>RPGT580</v>
          </cell>
          <cell r="D2800">
            <v>79301010980500</v>
          </cell>
          <cell r="F2800" t="str">
            <v>Tidak</v>
          </cell>
          <cell r="G2800" t="str">
            <v>Tidak</v>
          </cell>
          <cell r="H2800" t="str">
            <v>Tidak</v>
          </cell>
          <cell r="I2800" t="str">
            <v>Bandar Judol Withdrawal</v>
          </cell>
          <cell r="J2800">
            <v>35</v>
          </cell>
          <cell r="K2800" t="str">
            <v>86,88,87</v>
          </cell>
          <cell r="L2800" t="str">
            <v>Judi Online</v>
          </cell>
          <cell r="M2800" t="str">
            <v xml:space="preserve">Kas Kanpus                              </v>
          </cell>
          <cell r="N2800" t="str">
            <v xml:space="preserve">Kas Kanpus                              </v>
          </cell>
          <cell r="O2800" t="str">
            <v xml:space="preserve">KAS KANPUS                              </v>
          </cell>
          <cell r="P2800" t="str">
            <v>Ya</v>
          </cell>
          <cell r="R2800" t="str">
            <v>Done</v>
          </cell>
          <cell r="S2800" t="str">
            <v>Belum TL</v>
          </cell>
          <cell r="T2800" t="str">
            <v>90185538 - Muhammad Fahikal Auz</v>
          </cell>
          <cell r="U2800" t="str">
            <v>"-"</v>
          </cell>
        </row>
        <row r="2801">
          <cell r="A2801">
            <v>46265</v>
          </cell>
          <cell r="B2801" t="str">
            <v xml:space="preserve">RENI                                    </v>
          </cell>
          <cell r="C2801" t="str">
            <v>RPFZ276</v>
          </cell>
          <cell r="D2801">
            <v>23801037777532</v>
          </cell>
          <cell r="F2801" t="str">
            <v>Tidak</v>
          </cell>
          <cell r="G2801" t="str">
            <v>Tidak</v>
          </cell>
          <cell r="H2801" t="str">
            <v>Tidak</v>
          </cell>
          <cell r="I2801" t="str">
            <v>Bandar Judol Withdrawal</v>
          </cell>
          <cell r="J2801">
            <v>35</v>
          </cell>
          <cell r="K2801" t="str">
            <v>86,88,87</v>
          </cell>
          <cell r="L2801" t="str">
            <v>Judi Online</v>
          </cell>
          <cell r="M2801" t="str">
            <v xml:space="preserve">Kas Kanpus                              </v>
          </cell>
          <cell r="N2801" t="str">
            <v xml:space="preserve">Kas Kanpus                              </v>
          </cell>
          <cell r="O2801" t="str">
            <v xml:space="preserve">KAS KANPUS                              </v>
          </cell>
          <cell r="P2801" t="str">
            <v>Ya</v>
          </cell>
          <cell r="R2801" t="str">
            <v>Done</v>
          </cell>
          <cell r="S2801" t="str">
            <v>Belum TL</v>
          </cell>
          <cell r="T2801" t="str">
            <v>00394521 - Muhammad Hibbanduta</v>
          </cell>
          <cell r="U2801" t="str">
            <v>"-"</v>
          </cell>
        </row>
        <row r="2802">
          <cell r="A2802">
            <v>46265</v>
          </cell>
          <cell r="B2802" t="str">
            <v xml:space="preserve">RUSTINA RUSMAN                          </v>
          </cell>
          <cell r="C2802" t="str">
            <v>RPH2005</v>
          </cell>
          <cell r="D2802">
            <v>202501001081568</v>
          </cell>
          <cell r="E2802" t="str">
            <v>SEDANG</v>
          </cell>
          <cell r="F2802" t="str">
            <v>Tidak</v>
          </cell>
          <cell r="G2802" t="str">
            <v>Tidak</v>
          </cell>
          <cell r="H2802" t="str">
            <v>Tidak</v>
          </cell>
          <cell r="I2802" t="str">
            <v>Bandar Judol Depo</v>
          </cell>
          <cell r="J2802">
            <v>50</v>
          </cell>
          <cell r="K2802" t="str">
            <v>86,74,87</v>
          </cell>
          <cell r="L2802" t="str">
            <v>Judi Online</v>
          </cell>
          <cell r="M2802" t="str">
            <v xml:space="preserve">Kas Kanpus                              </v>
          </cell>
          <cell r="N2802" t="str">
            <v xml:space="preserve">Kas Kanpus                              </v>
          </cell>
          <cell r="O2802" t="str">
            <v xml:space="preserve">KAS KANPUS                              </v>
          </cell>
          <cell r="P2802" t="str">
            <v>Tidak</v>
          </cell>
          <cell r="R2802" t="str">
            <v>Done</v>
          </cell>
          <cell r="S2802" t="str">
            <v>Belum TL</v>
          </cell>
          <cell r="T2802" t="str">
            <v>90186790 - Muhammad Alfin Farha</v>
          </cell>
          <cell r="U2802" t="str">
            <v>"-"</v>
          </cell>
        </row>
        <row r="2803">
          <cell r="A2803">
            <v>46265</v>
          </cell>
          <cell r="B2803" t="str">
            <v xml:space="preserve">RIKI SOPANDI                            </v>
          </cell>
          <cell r="C2803" t="str">
            <v>ROOM913</v>
          </cell>
          <cell r="D2803">
            <v>107101020785507</v>
          </cell>
          <cell r="F2803" t="str">
            <v>Tidak</v>
          </cell>
          <cell r="G2803" t="str">
            <v>Tidak</v>
          </cell>
          <cell r="H2803" t="str">
            <v>Tidak</v>
          </cell>
          <cell r="I2803" t="str">
            <v>Bandar Judol Withdrawal</v>
          </cell>
          <cell r="J2803">
            <v>35</v>
          </cell>
          <cell r="K2803" t="str">
            <v>86,88,87</v>
          </cell>
          <cell r="L2803" t="str">
            <v>Judi Online</v>
          </cell>
          <cell r="M2803" t="str">
            <v xml:space="preserve">Kas Kanpus                              </v>
          </cell>
          <cell r="N2803" t="str">
            <v xml:space="preserve">Kas Kanpus                              </v>
          </cell>
          <cell r="O2803" t="str">
            <v xml:space="preserve">KAS KANPUS                              </v>
          </cell>
          <cell r="P2803" t="str">
            <v>Ya</v>
          </cell>
          <cell r="R2803" t="str">
            <v>Done</v>
          </cell>
          <cell r="S2803" t="str">
            <v>Belum TL</v>
          </cell>
          <cell r="T2803" t="str">
            <v>90171841 - Rifqi Aziz</v>
          </cell>
          <cell r="U2803" t="str">
            <v>"-"</v>
          </cell>
        </row>
        <row r="2804">
          <cell r="A2804">
            <v>46265</v>
          </cell>
          <cell r="B2804" t="str">
            <v xml:space="preserve">RANI SATRIANINGSIH                      </v>
          </cell>
          <cell r="C2804" t="str">
            <v>ROQT206</v>
          </cell>
          <cell r="D2804">
            <v>134201001565539</v>
          </cell>
          <cell r="F2804" t="str">
            <v>Tidak</v>
          </cell>
          <cell r="G2804" t="str">
            <v>Tidak</v>
          </cell>
          <cell r="H2804" t="str">
            <v>Tidak</v>
          </cell>
          <cell r="I2804" t="str">
            <v>Bandar Judol Withdrawal</v>
          </cell>
          <cell r="J2804">
            <v>35</v>
          </cell>
          <cell r="K2804" t="str">
            <v>86,88,87</v>
          </cell>
          <cell r="L2804" t="str">
            <v>Judi Online</v>
          </cell>
          <cell r="M2804" t="str">
            <v xml:space="preserve">Kas Kanpus                              </v>
          </cell>
          <cell r="N2804" t="str">
            <v xml:space="preserve">Kas Kanpus                              </v>
          </cell>
          <cell r="O2804" t="str">
            <v xml:space="preserve">KAS KANPUS                              </v>
          </cell>
          <cell r="P2804" t="str">
            <v>Ya</v>
          </cell>
          <cell r="R2804" t="str">
            <v>Done</v>
          </cell>
          <cell r="S2804" t="str">
            <v>Belum TL</v>
          </cell>
          <cell r="T2804" t="str">
            <v>90186796 - Devito Arya Wiradila</v>
          </cell>
          <cell r="U2804" t="str">
            <v>"-"</v>
          </cell>
        </row>
        <row r="2805">
          <cell r="A2805">
            <v>46265</v>
          </cell>
          <cell r="B2805" t="str">
            <v xml:space="preserve">RUDY CHANDRA                            </v>
          </cell>
          <cell r="C2805" t="str">
            <v>ROTL479</v>
          </cell>
          <cell r="D2805">
            <v>69301024607502</v>
          </cell>
          <cell r="F2805" t="str">
            <v>Tidak</v>
          </cell>
          <cell r="G2805" t="str">
            <v>Tidak</v>
          </cell>
          <cell r="H2805" t="str">
            <v>Tidak</v>
          </cell>
          <cell r="I2805" t="str">
            <v>Bandar Judol Withdrawal</v>
          </cell>
          <cell r="J2805">
            <v>35</v>
          </cell>
          <cell r="K2805" t="str">
            <v>86,88,87</v>
          </cell>
          <cell r="L2805" t="str">
            <v>Judi Online</v>
          </cell>
          <cell r="M2805" t="str">
            <v xml:space="preserve">Kas Kanpus                              </v>
          </cell>
          <cell r="N2805" t="str">
            <v xml:space="preserve">Kas Kanpus                              </v>
          </cell>
          <cell r="O2805" t="str">
            <v xml:space="preserve">KAS KANPUS                              </v>
          </cell>
          <cell r="P2805" t="str">
            <v>Ya</v>
          </cell>
          <cell r="R2805" t="str">
            <v>Done</v>
          </cell>
          <cell r="S2805" t="str">
            <v>Belum TL</v>
          </cell>
          <cell r="T2805" t="str">
            <v>00336949 - Mochammad Al Farabi</v>
          </cell>
          <cell r="U2805" t="str">
            <v>"-"</v>
          </cell>
        </row>
        <row r="2806">
          <cell r="A2806">
            <v>46265</v>
          </cell>
          <cell r="B2806" t="str">
            <v xml:space="preserve">RENO YUDHISTIRA                         </v>
          </cell>
          <cell r="C2806" t="str">
            <v>RPDE906</v>
          </cell>
          <cell r="D2806">
            <v>525901012762507</v>
          </cell>
          <cell r="F2806" t="str">
            <v>Tidak</v>
          </cell>
          <cell r="G2806" t="str">
            <v>Tidak</v>
          </cell>
          <cell r="H2806" t="str">
            <v>Tidak</v>
          </cell>
          <cell r="I2806" t="str">
            <v>Bandar Judol Withdrawal</v>
          </cell>
          <cell r="J2806">
            <v>35</v>
          </cell>
          <cell r="K2806" t="str">
            <v>86,88,87</v>
          </cell>
          <cell r="L2806" t="str">
            <v>Judi Online</v>
          </cell>
          <cell r="M2806" t="str">
            <v xml:space="preserve">Kas Kanpus                              </v>
          </cell>
          <cell r="N2806" t="str">
            <v xml:space="preserve">Kas Kanpus                              </v>
          </cell>
          <cell r="O2806" t="str">
            <v xml:space="preserve">KAS KANPUS                              </v>
          </cell>
          <cell r="P2806" t="str">
            <v>Ya</v>
          </cell>
          <cell r="R2806" t="str">
            <v>Done</v>
          </cell>
          <cell r="S2806" t="str">
            <v>Belum TL</v>
          </cell>
          <cell r="T2806" t="str">
            <v>00394520 - Frida Akbar Rani</v>
          </cell>
          <cell r="U2806" t="str">
            <v>"-"</v>
          </cell>
        </row>
        <row r="2807">
          <cell r="A2807">
            <v>46265</v>
          </cell>
          <cell r="B2807" t="str">
            <v xml:space="preserve">RIDHO AL FARIZ                          </v>
          </cell>
          <cell r="C2807" t="str">
            <v>RPHA840</v>
          </cell>
          <cell r="D2807">
            <v>44501002359560</v>
          </cell>
          <cell r="F2807" t="str">
            <v>Tidak</v>
          </cell>
          <cell r="G2807" t="str">
            <v>Tidak</v>
          </cell>
          <cell r="H2807" t="str">
            <v>Tidak</v>
          </cell>
          <cell r="I2807" t="str">
            <v>Bandar Judol Depo</v>
          </cell>
          <cell r="J2807">
            <v>35</v>
          </cell>
          <cell r="K2807" t="str">
            <v>86,74,87</v>
          </cell>
          <cell r="L2807" t="str">
            <v>Judi Online</v>
          </cell>
          <cell r="M2807" t="str">
            <v xml:space="preserve">Kas Kanpus                              </v>
          </cell>
          <cell r="N2807" t="str">
            <v xml:space="preserve">Kas Kanpus                              </v>
          </cell>
          <cell r="O2807" t="str">
            <v xml:space="preserve">KAS KANPUS                              </v>
          </cell>
          <cell r="P2807" t="str">
            <v>Ya</v>
          </cell>
          <cell r="R2807" t="str">
            <v>Done</v>
          </cell>
          <cell r="S2807" t="str">
            <v>Belum TL</v>
          </cell>
          <cell r="T2807" t="str">
            <v>00394521 - Muhammad Hibbanduta</v>
          </cell>
          <cell r="U2807" t="str">
            <v>"-"</v>
          </cell>
        </row>
        <row r="2808">
          <cell r="A2808">
            <v>46265</v>
          </cell>
          <cell r="B2808" t="str">
            <v xml:space="preserve">RAKHMAN NURJAMAN                        </v>
          </cell>
          <cell r="C2808" t="str">
            <v>RPQF778</v>
          </cell>
          <cell r="D2808">
            <v>418401029648502</v>
          </cell>
          <cell r="F2808" t="str">
            <v>Tidak</v>
          </cell>
          <cell r="G2808" t="str">
            <v>Tidak</v>
          </cell>
          <cell r="H2808" t="str">
            <v>Tidak</v>
          </cell>
          <cell r="I2808" t="str">
            <v>Bandar Judol Withdrawal</v>
          </cell>
          <cell r="J2808">
            <v>35</v>
          </cell>
          <cell r="K2808" t="str">
            <v>86,88,87</v>
          </cell>
          <cell r="L2808" t="str">
            <v>Judi Online</v>
          </cell>
          <cell r="M2808" t="str">
            <v xml:space="preserve">Kas Kanpus                              </v>
          </cell>
          <cell r="N2808" t="str">
            <v xml:space="preserve">Kas Kanpus                              </v>
          </cell>
          <cell r="O2808" t="str">
            <v xml:space="preserve">KAS KANPUS                              </v>
          </cell>
          <cell r="P2808" t="str">
            <v>Ya</v>
          </cell>
          <cell r="R2808" t="str">
            <v>Done</v>
          </cell>
          <cell r="S2808" t="str">
            <v>Belum TL</v>
          </cell>
          <cell r="T2808" t="str">
            <v>90186790 - Muhammad Alfin Farha</v>
          </cell>
          <cell r="U2808" t="str">
            <v>"-"</v>
          </cell>
        </row>
        <row r="2809">
          <cell r="A2809">
            <v>46265</v>
          </cell>
          <cell r="B2809" t="str">
            <v xml:space="preserve">RESYA NUR AKBAR                         </v>
          </cell>
          <cell r="C2809" t="str">
            <v>RPSA437</v>
          </cell>
          <cell r="D2809">
            <v>1901196727507</v>
          </cell>
          <cell r="F2809" t="str">
            <v>Tidak</v>
          </cell>
          <cell r="G2809" t="str">
            <v>Tidak</v>
          </cell>
          <cell r="H2809" t="str">
            <v>Tidak</v>
          </cell>
          <cell r="I2809" t="str">
            <v>Bandar Judol Withdrawal</v>
          </cell>
          <cell r="J2809">
            <v>35</v>
          </cell>
          <cell r="K2809" t="str">
            <v>86,88,87</v>
          </cell>
          <cell r="L2809" t="str">
            <v>Judi Online</v>
          </cell>
          <cell r="M2809" t="str">
            <v xml:space="preserve">Kas Kanpus                              </v>
          </cell>
          <cell r="N2809" t="str">
            <v xml:space="preserve">Kas Kanpus                              </v>
          </cell>
          <cell r="O2809" t="str">
            <v xml:space="preserve">KAS KANPUS                              </v>
          </cell>
          <cell r="P2809" t="str">
            <v>Ya</v>
          </cell>
          <cell r="R2809" t="str">
            <v>Done</v>
          </cell>
          <cell r="S2809" t="str">
            <v>Belum TL</v>
          </cell>
          <cell r="T2809" t="str">
            <v>00336949 - Mochammad Al Farabi</v>
          </cell>
          <cell r="U2809" t="str">
            <v>"-"</v>
          </cell>
        </row>
        <row r="2810">
          <cell r="A2810">
            <v>46265</v>
          </cell>
          <cell r="B2810" t="str">
            <v xml:space="preserve">RIDWAN PUTRA JUMADI                     </v>
          </cell>
          <cell r="C2810" t="str">
            <v>RPNF827</v>
          </cell>
          <cell r="D2810">
            <v>99301000041566</v>
          </cell>
          <cell r="F2810" t="str">
            <v>Tidak</v>
          </cell>
          <cell r="G2810" t="str">
            <v>Tidak</v>
          </cell>
          <cell r="H2810" t="str">
            <v>Tidak</v>
          </cell>
          <cell r="I2810" t="str">
            <v>Bandar Judol Depo</v>
          </cell>
          <cell r="J2810">
            <v>35</v>
          </cell>
          <cell r="K2810" t="str">
            <v>86,74,87</v>
          </cell>
          <cell r="L2810" t="str">
            <v>Judi Online</v>
          </cell>
          <cell r="M2810" t="str">
            <v xml:space="preserve">Kas Kanpus                              </v>
          </cell>
          <cell r="N2810" t="str">
            <v xml:space="preserve">Kas Kanpus                              </v>
          </cell>
          <cell r="O2810" t="str">
            <v xml:space="preserve">KAS KANPUS                              </v>
          </cell>
          <cell r="P2810" t="str">
            <v>Ya</v>
          </cell>
          <cell r="R2810" t="str">
            <v>Done</v>
          </cell>
          <cell r="S2810" t="str">
            <v>Belum TL</v>
          </cell>
          <cell r="T2810" t="str">
            <v>90171841 - Rifqi Aziz</v>
          </cell>
          <cell r="U2810" t="str">
            <v>"-"</v>
          </cell>
        </row>
        <row r="2811">
          <cell r="A2811">
            <v>46265</v>
          </cell>
          <cell r="B2811" t="str">
            <v xml:space="preserve">RAHMAT HIDAYAT                          </v>
          </cell>
          <cell r="C2811" t="str">
            <v>RPOK688</v>
          </cell>
          <cell r="D2811">
            <v>9801197560500</v>
          </cell>
          <cell r="F2811" t="str">
            <v>Tidak</v>
          </cell>
          <cell r="G2811" t="str">
            <v>Tidak</v>
          </cell>
          <cell r="H2811" t="str">
            <v>Tidak</v>
          </cell>
          <cell r="I2811" t="str">
            <v>Bandar Judol Withdrawal</v>
          </cell>
          <cell r="J2811">
            <v>35</v>
          </cell>
          <cell r="K2811" t="str">
            <v>86,88,87</v>
          </cell>
          <cell r="L2811" t="str">
            <v>Judi Online</v>
          </cell>
          <cell r="M2811" t="str">
            <v xml:space="preserve">Kas Kanpus                              </v>
          </cell>
          <cell r="N2811" t="str">
            <v xml:space="preserve">Kas Kanpus                              </v>
          </cell>
          <cell r="O2811" t="str">
            <v xml:space="preserve">KAS KANPUS                              </v>
          </cell>
          <cell r="P2811" t="str">
            <v>Ya</v>
          </cell>
          <cell r="R2811" t="str">
            <v>Done</v>
          </cell>
          <cell r="S2811" t="str">
            <v>Belum TL</v>
          </cell>
          <cell r="T2811" t="str">
            <v>90150130 - Intan Aida Pratiwi</v>
          </cell>
          <cell r="U2811" t="str">
            <v>"-"</v>
          </cell>
        </row>
        <row r="2812">
          <cell r="A2812">
            <v>46265</v>
          </cell>
          <cell r="B2812" t="str">
            <v xml:space="preserve">RAYWANI RUPII                           </v>
          </cell>
          <cell r="C2812" t="str">
            <v>RPPE686</v>
          </cell>
          <cell r="D2812">
            <v>3901153729504</v>
          </cell>
          <cell r="F2812" t="str">
            <v>Tidak</v>
          </cell>
          <cell r="G2812" t="str">
            <v>Tidak</v>
          </cell>
          <cell r="H2812" t="str">
            <v>Tidak</v>
          </cell>
          <cell r="I2812" t="str">
            <v>Bandar Judol Withdrawal</v>
          </cell>
          <cell r="J2812">
            <v>35</v>
          </cell>
          <cell r="K2812" t="str">
            <v>86,88,87</v>
          </cell>
          <cell r="L2812" t="str">
            <v>Judi Online</v>
          </cell>
          <cell r="M2812" t="str">
            <v xml:space="preserve">Kas Kanpus                              </v>
          </cell>
          <cell r="N2812" t="str">
            <v xml:space="preserve">Kas Kanpus                              </v>
          </cell>
          <cell r="O2812" t="str">
            <v xml:space="preserve">KAS KANPUS                              </v>
          </cell>
          <cell r="P2812" t="str">
            <v>Tidak</v>
          </cell>
          <cell r="R2812" t="str">
            <v>Done</v>
          </cell>
          <cell r="S2812" t="str">
            <v>Belum TL</v>
          </cell>
          <cell r="T2812" t="str">
            <v>90186790 - Muhammad Alfin Farha</v>
          </cell>
          <cell r="U2812" t="str">
            <v>"-"</v>
          </cell>
        </row>
        <row r="2813">
          <cell r="A2813">
            <v>46265</v>
          </cell>
          <cell r="B2813" t="str">
            <v xml:space="preserve">RIZKY FADILLAH                          </v>
          </cell>
          <cell r="C2813" t="str">
            <v>RRTP842</v>
          </cell>
          <cell r="D2813">
            <v>112501017171506</v>
          </cell>
          <cell r="F2813" t="str">
            <v>Tidak</v>
          </cell>
          <cell r="G2813" t="str">
            <v>Tidak</v>
          </cell>
          <cell r="H2813" t="str">
            <v>Tidak</v>
          </cell>
          <cell r="I2813" t="str">
            <v>Bandar Judol Withdrawal</v>
          </cell>
          <cell r="J2813">
            <v>35</v>
          </cell>
          <cell r="K2813" t="str">
            <v>86,88,87</v>
          </cell>
          <cell r="L2813" t="str">
            <v>Judi Online</v>
          </cell>
          <cell r="M2813" t="str">
            <v xml:space="preserve">Kas Kanpus                              </v>
          </cell>
          <cell r="N2813" t="str">
            <v xml:space="preserve">Kas Kanpus                              </v>
          </cell>
          <cell r="O2813" t="str">
            <v xml:space="preserve">KAS KANPUS                              </v>
          </cell>
          <cell r="P2813" t="str">
            <v>Ya</v>
          </cell>
          <cell r="R2813" t="str">
            <v>Done</v>
          </cell>
          <cell r="S2813" t="str">
            <v>Belum TL</v>
          </cell>
          <cell r="T2813" t="str">
            <v>90150130 - Intan Aida Pratiwi</v>
          </cell>
          <cell r="U2813" t="str">
            <v>"-"</v>
          </cell>
        </row>
        <row r="2814">
          <cell r="A2814">
            <v>46265</v>
          </cell>
          <cell r="B2814" t="str">
            <v xml:space="preserve">ROHIMAN                                 </v>
          </cell>
          <cell r="C2814" t="str">
            <v>RRPK832</v>
          </cell>
          <cell r="D2814">
            <v>12001290684509</v>
          </cell>
          <cell r="F2814" t="str">
            <v>Tidak</v>
          </cell>
          <cell r="G2814" t="str">
            <v>Tidak</v>
          </cell>
          <cell r="H2814" t="str">
            <v>Tidak</v>
          </cell>
          <cell r="I2814" t="str">
            <v>Bandar Judol Depo</v>
          </cell>
          <cell r="J2814">
            <v>35</v>
          </cell>
          <cell r="K2814" t="str">
            <v>86,74,87</v>
          </cell>
          <cell r="L2814" t="str">
            <v>Judi Online</v>
          </cell>
          <cell r="M2814" t="str">
            <v xml:space="preserve">Kas Kanpus                              </v>
          </cell>
          <cell r="N2814" t="str">
            <v xml:space="preserve">Kas Kanpus                              </v>
          </cell>
          <cell r="O2814" t="str">
            <v xml:space="preserve">KAS KANPUS                              </v>
          </cell>
          <cell r="P2814" t="str">
            <v>Ya</v>
          </cell>
          <cell r="R2814" t="str">
            <v>Done</v>
          </cell>
          <cell r="S2814" t="str">
            <v>Belum TL</v>
          </cell>
          <cell r="T2814" t="str">
            <v>90186796 - Devito Arya Wiradila</v>
          </cell>
          <cell r="U2814" t="str">
            <v>"-"</v>
          </cell>
        </row>
        <row r="2815">
          <cell r="A2815">
            <v>46265</v>
          </cell>
          <cell r="B2815" t="str">
            <v xml:space="preserve">RAGIL JULIAN                            </v>
          </cell>
          <cell r="C2815" t="str">
            <v>RRPZ918</v>
          </cell>
          <cell r="D2815">
            <v>1901261643507</v>
          </cell>
          <cell r="F2815" t="str">
            <v>Tidak</v>
          </cell>
          <cell r="G2815" t="str">
            <v>Tidak</v>
          </cell>
          <cell r="H2815" t="str">
            <v>Tidak</v>
          </cell>
          <cell r="I2815" t="str">
            <v>Bandar Judol Withdrawal</v>
          </cell>
          <cell r="J2815">
            <v>35</v>
          </cell>
          <cell r="K2815" t="str">
            <v>86,88,87</v>
          </cell>
          <cell r="L2815" t="str">
            <v>Judi Online</v>
          </cell>
          <cell r="M2815" t="str">
            <v xml:space="preserve">Kas Kanpus                              </v>
          </cell>
          <cell r="N2815" t="str">
            <v xml:space="preserve">Kas Kanpus                              </v>
          </cell>
          <cell r="O2815" t="str">
            <v xml:space="preserve">KAS KANPUS                              </v>
          </cell>
          <cell r="P2815" t="str">
            <v>Ya</v>
          </cell>
          <cell r="R2815" t="str">
            <v>Done</v>
          </cell>
          <cell r="S2815" t="str">
            <v>Belum TL</v>
          </cell>
          <cell r="T2815" t="str">
            <v>90185538 - Muhammad Fahikal Auz</v>
          </cell>
          <cell r="U2815" t="str">
            <v>"-"</v>
          </cell>
        </row>
        <row r="2816">
          <cell r="A2816">
            <v>46265</v>
          </cell>
          <cell r="B2816" t="str">
            <v xml:space="preserve">RIAN HAGANTA BANGUN                     </v>
          </cell>
          <cell r="C2816" t="str">
            <v>RRQA411</v>
          </cell>
          <cell r="D2816">
            <v>108801019534508</v>
          </cell>
          <cell r="F2816" t="str">
            <v>Tidak</v>
          </cell>
          <cell r="G2816" t="str">
            <v>Tidak</v>
          </cell>
          <cell r="H2816" t="str">
            <v>Tidak</v>
          </cell>
          <cell r="I2816" t="str">
            <v>Bandar Judol Depo</v>
          </cell>
          <cell r="J2816">
            <v>35</v>
          </cell>
          <cell r="K2816" t="str">
            <v>86,74,87</v>
          </cell>
          <cell r="L2816" t="str">
            <v>Judi Online</v>
          </cell>
          <cell r="M2816" t="str">
            <v xml:space="preserve">Kas Kanpus                              </v>
          </cell>
          <cell r="N2816" t="str">
            <v xml:space="preserve">Kas Kanpus                              </v>
          </cell>
          <cell r="O2816" t="str">
            <v xml:space="preserve">KAS KANPUS                              </v>
          </cell>
          <cell r="P2816" t="str">
            <v>Ya</v>
          </cell>
          <cell r="R2816" t="str">
            <v>Done</v>
          </cell>
          <cell r="S2816" t="str">
            <v>Belum TL</v>
          </cell>
          <cell r="T2816" t="str">
            <v>00336949 - Mochammad Al Farabi</v>
          </cell>
          <cell r="U2816" t="str">
            <v>"-"</v>
          </cell>
        </row>
        <row r="2817">
          <cell r="A2817">
            <v>46265</v>
          </cell>
          <cell r="B2817" t="str">
            <v xml:space="preserve">RIZKA SAFITRI HARAHAP                   </v>
          </cell>
          <cell r="C2817" t="str">
            <v>RRQD919</v>
          </cell>
          <cell r="D2817">
            <v>33601161358501</v>
          </cell>
          <cell r="F2817" t="str">
            <v>Tidak</v>
          </cell>
          <cell r="G2817" t="str">
            <v>Tidak</v>
          </cell>
          <cell r="H2817" t="str">
            <v>Tidak</v>
          </cell>
          <cell r="I2817" t="str">
            <v>Bandar Judol Depo</v>
          </cell>
          <cell r="J2817">
            <v>35</v>
          </cell>
          <cell r="K2817" t="str">
            <v>86,74,87</v>
          </cell>
          <cell r="L2817" t="str">
            <v>Judi Online</v>
          </cell>
          <cell r="M2817" t="str">
            <v xml:space="preserve">Kas Kanpus                              </v>
          </cell>
          <cell r="N2817" t="str">
            <v xml:space="preserve">Kas Kanpus                              </v>
          </cell>
          <cell r="O2817" t="str">
            <v xml:space="preserve">KAS KANPUS                              </v>
          </cell>
          <cell r="P2817" t="str">
            <v>Ya</v>
          </cell>
          <cell r="R2817" t="str">
            <v>Done</v>
          </cell>
          <cell r="S2817" t="str">
            <v>Belum TL</v>
          </cell>
          <cell r="T2817" t="str">
            <v>90186796 - Devito Arya Wiradila</v>
          </cell>
          <cell r="U2817" t="str">
            <v>"-"</v>
          </cell>
        </row>
        <row r="2818">
          <cell r="A2818">
            <v>46265</v>
          </cell>
          <cell r="B2818" t="str">
            <v xml:space="preserve">RUDI WANSYAH                            </v>
          </cell>
          <cell r="C2818" t="str">
            <v>RRON795</v>
          </cell>
          <cell r="D2818">
            <v>732301002274505</v>
          </cell>
          <cell r="F2818" t="str">
            <v>Tidak</v>
          </cell>
          <cell r="G2818" t="str">
            <v>Tidak</v>
          </cell>
          <cell r="H2818" t="str">
            <v>Tidak</v>
          </cell>
          <cell r="I2818" t="str">
            <v>Bandar Judol Withdrawal</v>
          </cell>
          <cell r="J2818">
            <v>35</v>
          </cell>
          <cell r="K2818" t="str">
            <v>86,88,87</v>
          </cell>
          <cell r="L2818" t="str">
            <v>Judi Online</v>
          </cell>
          <cell r="M2818" t="str">
            <v xml:space="preserve">Kas Kanpus                              </v>
          </cell>
          <cell r="N2818" t="str">
            <v xml:space="preserve">Kas Kanpus                              </v>
          </cell>
          <cell r="O2818" t="str">
            <v xml:space="preserve">KAS KANPUS                              </v>
          </cell>
          <cell r="P2818" t="str">
            <v>Ya</v>
          </cell>
          <cell r="R2818" t="str">
            <v>Done</v>
          </cell>
          <cell r="S2818" t="str">
            <v>Belum TL</v>
          </cell>
          <cell r="T2818" t="str">
            <v>90170665 - Mutiara Ayuningtyas</v>
          </cell>
          <cell r="U2818" t="str">
            <v>"-"</v>
          </cell>
        </row>
        <row r="2819">
          <cell r="A2819">
            <v>46265</v>
          </cell>
          <cell r="B2819" t="str">
            <v xml:space="preserve">RIZKI RIGANDHI                          </v>
          </cell>
          <cell r="C2819" t="str">
            <v>RRIX954</v>
          </cell>
          <cell r="D2819">
            <v>322701023503505</v>
          </cell>
          <cell r="F2819" t="str">
            <v>Tidak</v>
          </cell>
          <cell r="G2819" t="str">
            <v>Tidak</v>
          </cell>
          <cell r="H2819" t="str">
            <v>Tidak</v>
          </cell>
          <cell r="I2819" t="str">
            <v>Bandar Judol Depo</v>
          </cell>
          <cell r="J2819">
            <v>35</v>
          </cell>
          <cell r="K2819" t="str">
            <v>86,74,87</v>
          </cell>
          <cell r="L2819" t="str">
            <v>Judi Online</v>
          </cell>
          <cell r="M2819" t="str">
            <v xml:space="preserve">Kas Kanpus                              </v>
          </cell>
          <cell r="N2819" t="str">
            <v xml:space="preserve">Kas Kanpus                              </v>
          </cell>
          <cell r="O2819" t="str">
            <v xml:space="preserve">KAS KANPUS                              </v>
          </cell>
          <cell r="P2819" t="str">
            <v>Tidak</v>
          </cell>
          <cell r="R2819" t="str">
            <v>Done</v>
          </cell>
          <cell r="S2819" t="str">
            <v>Belum TL</v>
          </cell>
          <cell r="T2819" t="str">
            <v>90186790 - Muhammad Alfin Farha</v>
          </cell>
          <cell r="U2819" t="str">
            <v>"-"</v>
          </cell>
        </row>
        <row r="2820">
          <cell r="A2820">
            <v>46265</v>
          </cell>
          <cell r="B2820" t="str">
            <v xml:space="preserve">REYSULA ALFIYAN                         </v>
          </cell>
          <cell r="C2820" t="str">
            <v>RQQR210</v>
          </cell>
          <cell r="D2820">
            <v>331701003677507</v>
          </cell>
          <cell r="F2820" t="str">
            <v>Tidak</v>
          </cell>
          <cell r="G2820" t="str">
            <v>Tidak</v>
          </cell>
          <cell r="H2820" t="str">
            <v>Tidak</v>
          </cell>
          <cell r="I2820" t="str">
            <v>Bandar Judol Withdrawal</v>
          </cell>
          <cell r="J2820">
            <v>35</v>
          </cell>
          <cell r="K2820" t="str">
            <v>86,88,87</v>
          </cell>
          <cell r="L2820" t="str">
            <v>Judi Online</v>
          </cell>
          <cell r="M2820" t="str">
            <v xml:space="preserve">Kas Kanpus                              </v>
          </cell>
          <cell r="N2820" t="str">
            <v xml:space="preserve">Kas Kanpus                              </v>
          </cell>
          <cell r="O2820" t="str">
            <v xml:space="preserve">KAS KANPUS                              </v>
          </cell>
          <cell r="P2820" t="str">
            <v>Ya</v>
          </cell>
          <cell r="R2820" t="str">
            <v>Done</v>
          </cell>
          <cell r="S2820" t="str">
            <v>Belum TL</v>
          </cell>
          <cell r="T2820" t="str">
            <v>90150130 - Intan Aida Pratiwi</v>
          </cell>
          <cell r="U2820" t="str">
            <v>"-"</v>
          </cell>
        </row>
        <row r="2821">
          <cell r="A2821">
            <v>46265</v>
          </cell>
          <cell r="B2821" t="str">
            <v xml:space="preserve">RAMDANI                                 </v>
          </cell>
          <cell r="C2821" t="str">
            <v>RQLI909</v>
          </cell>
          <cell r="D2821">
            <v>463601005239502</v>
          </cell>
          <cell r="F2821" t="str">
            <v>Tidak</v>
          </cell>
          <cell r="G2821" t="str">
            <v>Tidak</v>
          </cell>
          <cell r="H2821" t="str">
            <v>Tidak</v>
          </cell>
          <cell r="I2821" t="str">
            <v>Bandar Judol Withdrawal</v>
          </cell>
          <cell r="J2821">
            <v>35</v>
          </cell>
          <cell r="K2821" t="str">
            <v>86,88,87</v>
          </cell>
          <cell r="L2821" t="str">
            <v>Judi Online</v>
          </cell>
          <cell r="M2821" t="str">
            <v xml:space="preserve">Kas Kanpus                              </v>
          </cell>
          <cell r="N2821" t="str">
            <v xml:space="preserve">Kas Kanpus                              </v>
          </cell>
          <cell r="O2821" t="str">
            <v xml:space="preserve">KAS KANPUS                              </v>
          </cell>
          <cell r="P2821" t="str">
            <v>Ya</v>
          </cell>
          <cell r="R2821" t="str">
            <v>Done</v>
          </cell>
          <cell r="S2821" t="str">
            <v>Belum TL</v>
          </cell>
          <cell r="T2821" t="str">
            <v>90150130 - Intan Aida Pratiwi</v>
          </cell>
          <cell r="U2821" t="str">
            <v>"-"</v>
          </cell>
        </row>
        <row r="2822">
          <cell r="A2822">
            <v>46265</v>
          </cell>
          <cell r="B2822" t="str">
            <v xml:space="preserve">RIZKI HADI                              </v>
          </cell>
          <cell r="C2822" t="str">
            <v>RRBQ120</v>
          </cell>
          <cell r="D2822">
            <v>338101006815509</v>
          </cell>
          <cell r="F2822" t="str">
            <v>Tidak</v>
          </cell>
          <cell r="G2822" t="str">
            <v>Tidak</v>
          </cell>
          <cell r="H2822" t="str">
            <v>Tidak</v>
          </cell>
          <cell r="I2822" t="str">
            <v>Bandar Judol Withdrawal</v>
          </cell>
          <cell r="J2822">
            <v>35</v>
          </cell>
          <cell r="K2822" t="str">
            <v>86,88,87</v>
          </cell>
          <cell r="L2822" t="str">
            <v>Judi Online</v>
          </cell>
          <cell r="M2822" t="str">
            <v xml:space="preserve">Kas Kanpus                              </v>
          </cell>
          <cell r="N2822" t="str">
            <v xml:space="preserve">Kas Kanpus                              </v>
          </cell>
          <cell r="O2822" t="str">
            <v xml:space="preserve">KAS KANPUS                              </v>
          </cell>
          <cell r="P2822" t="str">
            <v>Ya</v>
          </cell>
          <cell r="R2822" t="str">
            <v>Done</v>
          </cell>
          <cell r="S2822" t="str">
            <v>Belum TL</v>
          </cell>
          <cell r="T2822" t="str">
            <v>90171841 - Rifqi Aziz</v>
          </cell>
          <cell r="U2822" t="str">
            <v>"-"</v>
          </cell>
        </row>
        <row r="2823">
          <cell r="A2823">
            <v>46265</v>
          </cell>
          <cell r="B2823" t="str">
            <v xml:space="preserve">ROJALI                                  </v>
          </cell>
          <cell r="C2823" t="str">
            <v>RRCA784</v>
          </cell>
          <cell r="D2823">
            <v>140801009514508</v>
          </cell>
          <cell r="F2823" t="str">
            <v>Tidak</v>
          </cell>
          <cell r="G2823" t="str">
            <v>Tidak</v>
          </cell>
          <cell r="H2823" t="str">
            <v>Tidak</v>
          </cell>
          <cell r="I2823" t="str">
            <v>Bandar Judol Depo</v>
          </cell>
          <cell r="J2823">
            <v>35</v>
          </cell>
          <cell r="K2823" t="str">
            <v>86,74,87</v>
          </cell>
          <cell r="L2823" t="str">
            <v>Judi Online</v>
          </cell>
          <cell r="M2823" t="str">
            <v xml:space="preserve">Kas Kanpus                              </v>
          </cell>
          <cell r="N2823" t="str">
            <v xml:space="preserve">Kas Kanpus                              </v>
          </cell>
          <cell r="O2823" t="str">
            <v xml:space="preserve">KAS KANPUS                              </v>
          </cell>
          <cell r="P2823" t="str">
            <v>Ya</v>
          </cell>
          <cell r="R2823" t="str">
            <v>Done</v>
          </cell>
          <cell r="S2823" t="str">
            <v>Belum TL</v>
          </cell>
          <cell r="T2823" t="str">
            <v>00394520 - Frida Akbar Rani</v>
          </cell>
          <cell r="U2823" t="str">
            <v>"-"</v>
          </cell>
        </row>
        <row r="2824">
          <cell r="A2824">
            <v>46265</v>
          </cell>
          <cell r="B2824" t="str">
            <v xml:space="preserve">ROBY AL IMAN BERUTU                     </v>
          </cell>
          <cell r="C2824" t="str">
            <v>RRCB926</v>
          </cell>
          <cell r="D2824">
            <v>732301002174501</v>
          </cell>
          <cell r="F2824" t="str">
            <v>Tidak</v>
          </cell>
          <cell r="G2824" t="str">
            <v>Tidak</v>
          </cell>
          <cell r="H2824" t="str">
            <v>Tidak</v>
          </cell>
          <cell r="I2824" t="str">
            <v>Bandar Judol Withdrawal</v>
          </cell>
          <cell r="J2824">
            <v>35</v>
          </cell>
          <cell r="K2824" t="str">
            <v>86,88,87</v>
          </cell>
          <cell r="L2824" t="str">
            <v>Judi Online</v>
          </cell>
          <cell r="M2824" t="str">
            <v xml:space="preserve">Kas Kanpus                              </v>
          </cell>
          <cell r="N2824" t="str">
            <v xml:space="preserve">Kas Kanpus                              </v>
          </cell>
          <cell r="O2824" t="str">
            <v xml:space="preserve">KAS KANPUS                              </v>
          </cell>
          <cell r="P2824" t="str">
            <v>Ya</v>
          </cell>
          <cell r="R2824" t="str">
            <v>Done</v>
          </cell>
          <cell r="S2824" t="str">
            <v>Belum TL</v>
          </cell>
          <cell r="T2824" t="str">
            <v>90186790 - Muhammad Alfin Farha</v>
          </cell>
          <cell r="U2824" t="str">
            <v>"-"</v>
          </cell>
        </row>
        <row r="2825">
          <cell r="A2825">
            <v>46265</v>
          </cell>
          <cell r="B2825" t="str">
            <v xml:space="preserve">RIKA                                    </v>
          </cell>
          <cell r="C2825" t="str">
            <v>RRDM106</v>
          </cell>
          <cell r="D2825">
            <v>39501042650509</v>
          </cell>
          <cell r="F2825" t="str">
            <v>Tidak</v>
          </cell>
          <cell r="G2825" t="str">
            <v>Tidak</v>
          </cell>
          <cell r="H2825" t="str">
            <v>Tidak</v>
          </cell>
          <cell r="I2825" t="str">
            <v>Bandar Judol Withdrawal</v>
          </cell>
          <cell r="J2825">
            <v>35</v>
          </cell>
          <cell r="K2825" t="str">
            <v>86,88,87</v>
          </cell>
          <cell r="L2825" t="str">
            <v>Judi Online</v>
          </cell>
          <cell r="M2825" t="str">
            <v xml:space="preserve">Kas Kanpus                              </v>
          </cell>
          <cell r="N2825" t="str">
            <v xml:space="preserve">Kas Kanpus                              </v>
          </cell>
          <cell r="O2825" t="str">
            <v xml:space="preserve">KAS KANPUS                              </v>
          </cell>
          <cell r="P2825" t="str">
            <v>Ya</v>
          </cell>
          <cell r="R2825" t="str">
            <v>Done</v>
          </cell>
          <cell r="S2825" t="str">
            <v>Belum TL</v>
          </cell>
          <cell r="T2825" t="str">
            <v>90186796 - Devito Arya Wiradila</v>
          </cell>
          <cell r="U2825" t="str">
            <v>"-"</v>
          </cell>
        </row>
        <row r="2826">
          <cell r="A2826">
            <v>46265</v>
          </cell>
          <cell r="B2826" t="str">
            <v xml:space="preserve">RIYAN PRATAMA FIRMANSYAH                </v>
          </cell>
          <cell r="C2826" t="str">
            <v>RQTA343</v>
          </cell>
          <cell r="D2826">
            <v>112901039063507</v>
          </cell>
          <cell r="F2826" t="str">
            <v>Tidak</v>
          </cell>
          <cell r="G2826" t="str">
            <v>Tidak</v>
          </cell>
          <cell r="H2826" t="str">
            <v>Tidak</v>
          </cell>
          <cell r="I2826" t="str">
            <v>Bandar Judol Withdrawal</v>
          </cell>
          <cell r="J2826">
            <v>35</v>
          </cell>
          <cell r="K2826" t="str">
            <v>86,88,87</v>
          </cell>
          <cell r="L2826" t="str">
            <v>Judi Online</v>
          </cell>
          <cell r="M2826" t="str">
            <v xml:space="preserve">Kas Kanpus                              </v>
          </cell>
          <cell r="N2826" t="str">
            <v xml:space="preserve">Kas Kanpus                              </v>
          </cell>
          <cell r="O2826" t="str">
            <v xml:space="preserve">KAS KANPUS                              </v>
          </cell>
          <cell r="P2826" t="str">
            <v>Ya</v>
          </cell>
          <cell r="R2826" t="str">
            <v>Done</v>
          </cell>
          <cell r="S2826" t="str">
            <v>Belum TL</v>
          </cell>
          <cell r="T2826" t="str">
            <v>00394521 - Muhammad Hibbanduta</v>
          </cell>
          <cell r="U2826" t="str">
            <v>"-"</v>
          </cell>
        </row>
        <row r="2827">
          <cell r="A2827">
            <v>46265</v>
          </cell>
          <cell r="B2827" t="str">
            <v xml:space="preserve">RIZKY AZHARI PRATAMA NASUTION           </v>
          </cell>
          <cell r="C2827" t="str">
            <v>RQME312</v>
          </cell>
          <cell r="D2827">
            <v>11301152635506</v>
          </cell>
          <cell r="F2827" t="str">
            <v>Tidak</v>
          </cell>
          <cell r="G2827" t="str">
            <v>Tidak</v>
          </cell>
          <cell r="H2827" t="str">
            <v>Tidak</v>
          </cell>
          <cell r="I2827" t="str">
            <v>Bandar Judol Withdrawal</v>
          </cell>
          <cell r="J2827">
            <v>35</v>
          </cell>
          <cell r="K2827" t="str">
            <v>86,88,87</v>
          </cell>
          <cell r="L2827" t="str">
            <v>Judi Online</v>
          </cell>
          <cell r="M2827" t="str">
            <v xml:space="preserve">Kas Kanpus                              </v>
          </cell>
          <cell r="N2827" t="str">
            <v xml:space="preserve">Kas Kanpus                              </v>
          </cell>
          <cell r="O2827" t="str">
            <v xml:space="preserve">KAS KANPUS                              </v>
          </cell>
          <cell r="P2827" t="str">
            <v>Ya</v>
          </cell>
          <cell r="R2827" t="str">
            <v>Done</v>
          </cell>
          <cell r="S2827" t="str">
            <v>Belum TL</v>
          </cell>
          <cell r="T2827" t="str">
            <v>90170665 - Mutiara Ayuningtyas</v>
          </cell>
          <cell r="U2827" t="str">
            <v>"-"</v>
          </cell>
        </row>
        <row r="2828">
          <cell r="A2828">
            <v>46265</v>
          </cell>
          <cell r="B2828" t="str">
            <v xml:space="preserve">RIDWAN NUGROHO                          </v>
          </cell>
          <cell r="C2828" t="str">
            <v>RQGR991</v>
          </cell>
          <cell r="D2828">
            <v>331901005865502</v>
          </cell>
          <cell r="F2828" t="str">
            <v>Tidak</v>
          </cell>
          <cell r="G2828" t="str">
            <v>Tidak</v>
          </cell>
          <cell r="H2828" t="str">
            <v>Tidak</v>
          </cell>
          <cell r="I2828" t="str">
            <v>Bandar Judol Withdrawal</v>
          </cell>
          <cell r="J2828">
            <v>35</v>
          </cell>
          <cell r="K2828" t="str">
            <v>86,88,87</v>
          </cell>
          <cell r="L2828" t="str">
            <v>Judi Online</v>
          </cell>
          <cell r="M2828" t="str">
            <v xml:space="preserve">Kas Kanpus                              </v>
          </cell>
          <cell r="N2828" t="str">
            <v xml:space="preserve">Kas Kanpus                              </v>
          </cell>
          <cell r="O2828" t="str">
            <v xml:space="preserve">KAS KANPUS                              </v>
          </cell>
          <cell r="P2828" t="str">
            <v>Ya</v>
          </cell>
          <cell r="R2828" t="str">
            <v>Done</v>
          </cell>
          <cell r="S2828" t="str">
            <v>Belum TL</v>
          </cell>
          <cell r="T2828" t="str">
            <v>90150130 - Intan Aida Pratiwi</v>
          </cell>
          <cell r="U2828" t="str">
            <v>"-"</v>
          </cell>
        </row>
        <row r="2829">
          <cell r="A2829">
            <v>46265</v>
          </cell>
          <cell r="B2829" t="str">
            <v xml:space="preserve">RISKI ROMADON                           </v>
          </cell>
          <cell r="C2829" t="str">
            <v>RQVZ756</v>
          </cell>
          <cell r="D2829">
            <v>332501003161501</v>
          </cell>
          <cell r="F2829" t="str">
            <v>Tidak</v>
          </cell>
          <cell r="G2829" t="str">
            <v>Tidak</v>
          </cell>
          <cell r="H2829" t="str">
            <v>Tidak</v>
          </cell>
          <cell r="I2829" t="str">
            <v>Bandar Judol Withdrawal</v>
          </cell>
          <cell r="J2829">
            <v>35</v>
          </cell>
          <cell r="K2829" t="str">
            <v>86,88,87</v>
          </cell>
          <cell r="L2829" t="str">
            <v>Judi Online</v>
          </cell>
          <cell r="M2829" t="str">
            <v xml:space="preserve">Kas Kanpus                              </v>
          </cell>
          <cell r="N2829" t="str">
            <v xml:space="preserve">Kas Kanpus                              </v>
          </cell>
          <cell r="O2829" t="str">
            <v xml:space="preserve">KAS KANPUS                              </v>
          </cell>
          <cell r="P2829" t="str">
            <v>Ya</v>
          </cell>
          <cell r="R2829" t="str">
            <v>Done</v>
          </cell>
          <cell r="S2829" t="str">
            <v>Belum TL</v>
          </cell>
          <cell r="T2829" t="str">
            <v>90150130 - Intan Aida Pratiwi</v>
          </cell>
          <cell r="U2829" t="str">
            <v>"-"</v>
          </cell>
        </row>
        <row r="2830">
          <cell r="A2830">
            <v>46265</v>
          </cell>
          <cell r="B2830" t="str">
            <v xml:space="preserve">SETYO BUDI UTOMO                        </v>
          </cell>
          <cell r="C2830" t="str">
            <v>SDAYP69</v>
          </cell>
          <cell r="D2830">
            <v>14201001200568</v>
          </cell>
          <cell r="E2830" t="str">
            <v>TINGGI</v>
          </cell>
          <cell r="F2830" t="str">
            <v>Tidak</v>
          </cell>
          <cell r="G2830" t="str">
            <v>Tidak</v>
          </cell>
          <cell r="H2830" t="str">
            <v>Tidak</v>
          </cell>
          <cell r="I2830" t="str">
            <v>Bandar Judol Depo</v>
          </cell>
          <cell r="J2830">
            <v>65</v>
          </cell>
          <cell r="K2830" t="str">
            <v>86,74,87</v>
          </cell>
          <cell r="L2830" t="str">
            <v>Judi Online</v>
          </cell>
          <cell r="M2830" t="str">
            <v xml:space="preserve">Kas Kanpus                              </v>
          </cell>
          <cell r="N2830" t="str">
            <v xml:space="preserve">Kas Kanpus                              </v>
          </cell>
          <cell r="O2830" t="str">
            <v xml:space="preserve">KAS KANPUS                              </v>
          </cell>
          <cell r="P2830" t="str">
            <v>Tidak</v>
          </cell>
          <cell r="R2830" t="str">
            <v>Done</v>
          </cell>
          <cell r="S2830" t="str">
            <v>Belum TL</v>
          </cell>
          <cell r="T2830" t="str">
            <v>90186796 - Devito Arya Wiradila</v>
          </cell>
          <cell r="U2830" t="str">
            <v>"-"</v>
          </cell>
        </row>
        <row r="2831">
          <cell r="A2831">
            <v>46265</v>
          </cell>
          <cell r="B2831" t="str">
            <v xml:space="preserve">SINARMAS DISTRIBUSI NUSANTARA           </v>
          </cell>
          <cell r="C2831" t="str">
            <v>SDFHR40</v>
          </cell>
          <cell r="D2831">
            <v>20601887766302</v>
          </cell>
          <cell r="E2831" t="str">
            <v>SEDANG</v>
          </cell>
          <cell r="F2831" t="str">
            <v>Tidak</v>
          </cell>
          <cell r="G2831" t="str">
            <v>Tidak</v>
          </cell>
          <cell r="H2831" t="str">
            <v>Tidak</v>
          </cell>
          <cell r="I2831" t="str">
            <v>Perpajakan</v>
          </cell>
          <cell r="J2831">
            <v>50</v>
          </cell>
          <cell r="K2831">
            <v>1.33</v>
          </cell>
          <cell r="L2831" t="str">
            <v>Perpajakan</v>
          </cell>
          <cell r="M2831" t="str">
            <v xml:space="preserve">KC SUDIRMAN SEMANGGI                    </v>
          </cell>
          <cell r="N2831" t="str">
            <v xml:space="preserve">KC SUDIRMAN SEMANGGI                    </v>
          </cell>
          <cell r="O2831" t="str">
            <v xml:space="preserve">DKI                                     </v>
          </cell>
          <cell r="P2831" t="str">
            <v>Tidak</v>
          </cell>
          <cell r="R2831" t="str">
            <v>Done</v>
          </cell>
          <cell r="S2831" t="str">
            <v>Belum TL</v>
          </cell>
          <cell r="T2831" t="str">
            <v>90150130 - Intan Aida Pratiwi</v>
          </cell>
          <cell r="U2831" t="str">
            <v>"-"</v>
          </cell>
        </row>
        <row r="2832">
          <cell r="A2832">
            <v>46265</v>
          </cell>
          <cell r="B2832" t="str">
            <v xml:space="preserve">SISWANTO                                </v>
          </cell>
          <cell r="C2832" t="str">
            <v>SDFI798</v>
          </cell>
          <cell r="D2832">
            <v>41201003020561</v>
          </cell>
          <cell r="E2832" t="str">
            <v>TINGGI</v>
          </cell>
          <cell r="F2832" t="str">
            <v>Tidak</v>
          </cell>
          <cell r="G2832" t="str">
            <v>Tidak</v>
          </cell>
          <cell r="H2832" t="str">
            <v>Tidak</v>
          </cell>
          <cell r="I2832" t="str">
            <v>Terorisme - SIPENDAR</v>
          </cell>
          <cell r="J2832">
            <v>196</v>
          </cell>
          <cell r="K2832">
            <v>36</v>
          </cell>
          <cell r="L2832" t="str">
            <v>Terorisme</v>
          </cell>
          <cell r="M2832" t="str">
            <v xml:space="preserve">Kas Kanpus                              </v>
          </cell>
          <cell r="N2832" t="str">
            <v xml:space="preserve">Kas Kanpus                              </v>
          </cell>
          <cell r="O2832" t="str">
            <v xml:space="preserve">KAS KANPUS                              </v>
          </cell>
          <cell r="P2832" t="str">
            <v>Tidak</v>
          </cell>
          <cell r="R2832" t="str">
            <v>Done</v>
          </cell>
          <cell r="S2832" t="str">
            <v>Belum TL</v>
          </cell>
          <cell r="T2832" t="str">
            <v>90150130 - Intan Aida Pratiwi</v>
          </cell>
          <cell r="U2832" t="str">
            <v>"-"</v>
          </cell>
        </row>
        <row r="2833">
          <cell r="A2833">
            <v>46265</v>
          </cell>
          <cell r="B2833" t="str">
            <v xml:space="preserve">SITI ALINAH                             </v>
          </cell>
          <cell r="C2833" t="str">
            <v>SCJIF73</v>
          </cell>
          <cell r="D2833">
            <v>39001026279503</v>
          </cell>
          <cell r="E2833" t="str">
            <v>SEDANG</v>
          </cell>
          <cell r="F2833" t="str">
            <v>Tidak</v>
          </cell>
          <cell r="G2833" t="str">
            <v>Tidak</v>
          </cell>
          <cell r="H2833" t="str">
            <v>Tidak</v>
          </cell>
          <cell r="I2833" t="str">
            <v>Bandar Judol Withdrawal</v>
          </cell>
          <cell r="J2833">
            <v>50</v>
          </cell>
          <cell r="K2833" t="str">
            <v>86,88,87</v>
          </cell>
          <cell r="L2833" t="str">
            <v>Judi Online</v>
          </cell>
          <cell r="M2833" t="str">
            <v xml:space="preserve">Kas Kanpus                              </v>
          </cell>
          <cell r="N2833" t="str">
            <v xml:space="preserve">Kas Kanpus                              </v>
          </cell>
          <cell r="O2833" t="str">
            <v xml:space="preserve">KAS KANPUS                              </v>
          </cell>
          <cell r="P2833" t="str">
            <v>Ya</v>
          </cell>
          <cell r="R2833" t="str">
            <v>Done</v>
          </cell>
          <cell r="S2833" t="str">
            <v>Belum TL</v>
          </cell>
          <cell r="T2833" t="str">
            <v>90150130 - Intan Aida Pratiwi</v>
          </cell>
          <cell r="U2833" t="str">
            <v>"-"</v>
          </cell>
        </row>
        <row r="2834">
          <cell r="A2834">
            <v>46265</v>
          </cell>
          <cell r="B2834" t="str">
            <v xml:space="preserve">SUTISMAN                                </v>
          </cell>
          <cell r="C2834" t="str">
            <v>SALO048</v>
          </cell>
          <cell r="D2834">
            <v>204501000173562</v>
          </cell>
          <cell r="E2834" t="str">
            <v>SEDANG</v>
          </cell>
          <cell r="F2834" t="str">
            <v>Tidak</v>
          </cell>
          <cell r="G2834" t="str">
            <v>Tidak</v>
          </cell>
          <cell r="H2834" t="str">
            <v>Tidak</v>
          </cell>
          <cell r="I2834" t="str">
            <v>Bandar Judol Depo</v>
          </cell>
          <cell r="J2834">
            <v>50</v>
          </cell>
          <cell r="K2834" t="str">
            <v>86,74,87</v>
          </cell>
          <cell r="L2834" t="str">
            <v>Judi Online</v>
          </cell>
          <cell r="M2834" t="str">
            <v xml:space="preserve">Kas Kanpus                              </v>
          </cell>
          <cell r="N2834" t="str">
            <v xml:space="preserve">Kas Kanpus                              </v>
          </cell>
          <cell r="O2834" t="str">
            <v xml:space="preserve">KAS KANPUS                              </v>
          </cell>
          <cell r="P2834" t="str">
            <v>Tidak</v>
          </cell>
          <cell r="R2834" t="str">
            <v>Done</v>
          </cell>
          <cell r="S2834" t="str">
            <v>Belum TL</v>
          </cell>
          <cell r="T2834" t="str">
            <v>00336949 - Mochammad Al Farabi</v>
          </cell>
          <cell r="U2834" t="str">
            <v>"-"</v>
          </cell>
        </row>
        <row r="2835">
          <cell r="A2835">
            <v>46265</v>
          </cell>
          <cell r="B2835" t="str">
            <v xml:space="preserve">SITI AMINAH                             </v>
          </cell>
          <cell r="C2835" t="str">
            <v>SANTN40</v>
          </cell>
          <cell r="D2835">
            <v>225101000914563</v>
          </cell>
          <cell r="E2835" t="str">
            <v>SEDANG</v>
          </cell>
          <cell r="F2835" t="str">
            <v>Tidak</v>
          </cell>
          <cell r="G2835" t="str">
            <v>Tidak</v>
          </cell>
          <cell r="H2835" t="str">
            <v>Tidak</v>
          </cell>
          <cell r="I2835" t="str">
            <v>Bandar Judol Depo</v>
          </cell>
          <cell r="J2835">
            <v>50</v>
          </cell>
          <cell r="K2835" t="str">
            <v>86,74,87</v>
          </cell>
          <cell r="L2835" t="str">
            <v>Judi Online</v>
          </cell>
          <cell r="M2835" t="str">
            <v xml:space="preserve">Kas Kanpus                              </v>
          </cell>
          <cell r="N2835" t="str">
            <v xml:space="preserve">Kas Kanpus                              </v>
          </cell>
          <cell r="O2835" t="str">
            <v xml:space="preserve">KAS KANPUS                              </v>
          </cell>
          <cell r="P2835" t="str">
            <v>Tidak</v>
          </cell>
          <cell r="R2835" t="str">
            <v>Done</v>
          </cell>
          <cell r="S2835" t="str">
            <v>Belum TL</v>
          </cell>
          <cell r="T2835" t="str">
            <v>90150130 - Intan Aida Pratiwi</v>
          </cell>
          <cell r="U2835" t="str">
            <v>"-"</v>
          </cell>
        </row>
        <row r="2836">
          <cell r="A2836">
            <v>46265</v>
          </cell>
          <cell r="B2836" t="str">
            <v xml:space="preserve">SITI MASITAH LESTARI                    </v>
          </cell>
          <cell r="C2836" t="str">
            <v>SAVFZ04</v>
          </cell>
          <cell r="D2836">
            <v>23801039783539</v>
          </cell>
          <cell r="E2836" t="str">
            <v>SEDANG</v>
          </cell>
          <cell r="F2836" t="str">
            <v>Tidak</v>
          </cell>
          <cell r="G2836" t="str">
            <v>Tidak</v>
          </cell>
          <cell r="H2836" t="str">
            <v>Tidak</v>
          </cell>
          <cell r="I2836" t="str">
            <v>Bandar Judol Withdrawal</v>
          </cell>
          <cell r="J2836">
            <v>50</v>
          </cell>
          <cell r="K2836" t="str">
            <v>86,88,87</v>
          </cell>
          <cell r="L2836" t="str">
            <v>Judi Online</v>
          </cell>
          <cell r="M2836" t="str">
            <v xml:space="preserve">Kas Kanpus                              </v>
          </cell>
          <cell r="N2836" t="str">
            <v xml:space="preserve">Kas Kanpus                              </v>
          </cell>
          <cell r="O2836" t="str">
            <v xml:space="preserve">KAS KANPUS                              </v>
          </cell>
          <cell r="P2836" t="str">
            <v>Ya</v>
          </cell>
          <cell r="R2836" t="str">
            <v>Done</v>
          </cell>
          <cell r="S2836" t="str">
            <v>Belum TL</v>
          </cell>
          <cell r="T2836" t="str">
            <v>90170665 - Mutiara Ayuningtyas</v>
          </cell>
          <cell r="U2836" t="str">
            <v>"-"</v>
          </cell>
        </row>
        <row r="2837">
          <cell r="A2837">
            <v>46265</v>
          </cell>
          <cell r="B2837" t="str">
            <v xml:space="preserve">SULARNO                                 </v>
          </cell>
          <cell r="C2837" t="str">
            <v>SAVLE28</v>
          </cell>
          <cell r="D2837">
            <v>42501041191509</v>
          </cell>
          <cell r="E2837" t="str">
            <v>SEDANG</v>
          </cell>
          <cell r="F2837" t="str">
            <v>Tidak</v>
          </cell>
          <cell r="G2837" t="str">
            <v>Tidak</v>
          </cell>
          <cell r="H2837" t="str">
            <v>Tidak</v>
          </cell>
          <cell r="I2837" t="str">
            <v>Bandar Judol Withdrawal</v>
          </cell>
          <cell r="J2837">
            <v>50</v>
          </cell>
          <cell r="K2837" t="str">
            <v>86,88,87</v>
          </cell>
          <cell r="L2837" t="str">
            <v>Judi Online</v>
          </cell>
          <cell r="M2837" t="str">
            <v xml:space="preserve">Kas Kanpus                              </v>
          </cell>
          <cell r="N2837" t="str">
            <v xml:space="preserve">Kas Kanpus                              </v>
          </cell>
          <cell r="O2837" t="str">
            <v xml:space="preserve">KAS KANPUS                              </v>
          </cell>
          <cell r="P2837" t="str">
            <v>Tidak</v>
          </cell>
          <cell r="R2837" t="str">
            <v>Done</v>
          </cell>
          <cell r="S2837" t="str">
            <v>Belum TL</v>
          </cell>
          <cell r="T2837" t="str">
            <v>90186796 - Devito Arya Wiradila</v>
          </cell>
          <cell r="U2837" t="str">
            <v>"-"</v>
          </cell>
        </row>
        <row r="2838">
          <cell r="A2838">
            <v>46265</v>
          </cell>
          <cell r="B2838" t="str">
            <v xml:space="preserve">SITI ANA                                </v>
          </cell>
          <cell r="C2838" t="str">
            <v>SASXG62</v>
          </cell>
          <cell r="D2838">
            <v>338101067094536</v>
          </cell>
          <cell r="E2838" t="str">
            <v>SEDANG</v>
          </cell>
          <cell r="F2838" t="str">
            <v>Tidak</v>
          </cell>
          <cell r="G2838" t="str">
            <v>Tidak</v>
          </cell>
          <cell r="H2838" t="str">
            <v>Tidak</v>
          </cell>
          <cell r="I2838" t="str">
            <v>Bandar Judol Withdrawal</v>
          </cell>
          <cell r="J2838">
            <v>50</v>
          </cell>
          <cell r="K2838" t="str">
            <v>86,88,87</v>
          </cell>
          <cell r="L2838" t="str">
            <v>Judi Online</v>
          </cell>
          <cell r="M2838" t="str">
            <v xml:space="preserve">Kas Kanpus                              </v>
          </cell>
          <cell r="N2838" t="str">
            <v xml:space="preserve">Kas Kanpus                              </v>
          </cell>
          <cell r="O2838" t="str">
            <v xml:space="preserve">KAS KANPUS                              </v>
          </cell>
          <cell r="P2838" t="str">
            <v>Ya</v>
          </cell>
          <cell r="R2838" t="str">
            <v>Done</v>
          </cell>
          <cell r="S2838" t="str">
            <v>Belum TL</v>
          </cell>
          <cell r="T2838" t="str">
            <v>90170665 - Mutiara Ayuningtyas</v>
          </cell>
          <cell r="U2838" t="str">
            <v>"-"</v>
          </cell>
        </row>
        <row r="2839">
          <cell r="A2839">
            <v>46265</v>
          </cell>
          <cell r="B2839" t="str">
            <v xml:space="preserve">SELAMET                                 </v>
          </cell>
          <cell r="C2839" t="str">
            <v>SBAZH43</v>
          </cell>
          <cell r="D2839">
            <v>28301081087502</v>
          </cell>
          <cell r="E2839" t="str">
            <v>SEDANG</v>
          </cell>
          <cell r="F2839" t="str">
            <v>Tidak</v>
          </cell>
          <cell r="G2839" t="str">
            <v>Tidak</v>
          </cell>
          <cell r="H2839" t="str">
            <v>Tidak</v>
          </cell>
          <cell r="I2839" t="str">
            <v>Bandar Judol Withdrawal</v>
          </cell>
          <cell r="J2839">
            <v>50</v>
          </cell>
          <cell r="K2839" t="str">
            <v>86,88,87</v>
          </cell>
          <cell r="L2839" t="str">
            <v>Judi Online</v>
          </cell>
          <cell r="M2839" t="str">
            <v xml:space="preserve">Kas Kanpus                              </v>
          </cell>
          <cell r="N2839" t="str">
            <v xml:space="preserve">Kas Kanpus                              </v>
          </cell>
          <cell r="O2839" t="str">
            <v xml:space="preserve">KAS KANPUS                              </v>
          </cell>
          <cell r="P2839" t="str">
            <v>Ya</v>
          </cell>
          <cell r="R2839" t="str">
            <v>Done</v>
          </cell>
          <cell r="S2839" t="str">
            <v>Belum TL</v>
          </cell>
          <cell r="T2839" t="str">
            <v>90185537 - Moh.Khoerul Fajar Ar</v>
          </cell>
          <cell r="U2839" t="str">
            <v>"-"</v>
          </cell>
        </row>
        <row r="2840">
          <cell r="A2840">
            <v>46265</v>
          </cell>
          <cell r="B2840" t="str">
            <v xml:space="preserve">SITI ALIFAH                             </v>
          </cell>
          <cell r="C2840" t="str">
            <v>SAZQL50</v>
          </cell>
          <cell r="D2840">
            <v>222101000706563</v>
          </cell>
          <cell r="E2840" t="str">
            <v>SEDANG</v>
          </cell>
          <cell r="F2840" t="str">
            <v>Tidak</v>
          </cell>
          <cell r="G2840" t="str">
            <v>Tidak</v>
          </cell>
          <cell r="H2840" t="str">
            <v>Tidak</v>
          </cell>
          <cell r="I2840" t="str">
            <v>Bandar Judol Withdrawal</v>
          </cell>
          <cell r="J2840">
            <v>50</v>
          </cell>
          <cell r="K2840" t="str">
            <v>86,88,87</v>
          </cell>
          <cell r="L2840" t="str">
            <v>Judi Online</v>
          </cell>
          <cell r="M2840" t="str">
            <v xml:space="preserve">Kas Kanpus                              </v>
          </cell>
          <cell r="N2840" t="str">
            <v xml:space="preserve">Kas Kanpus                              </v>
          </cell>
          <cell r="O2840" t="str">
            <v xml:space="preserve">KAS KANPUS                              </v>
          </cell>
          <cell r="P2840" t="str">
            <v>Ya</v>
          </cell>
          <cell r="R2840" t="str">
            <v>Done</v>
          </cell>
          <cell r="S2840" t="str">
            <v>Belum TL</v>
          </cell>
          <cell r="T2840" t="str">
            <v>90170665 - Mutiara Ayuningtyas</v>
          </cell>
          <cell r="U2840" t="str">
            <v>"-"</v>
          </cell>
        </row>
        <row r="2841">
          <cell r="A2841">
            <v>46265</v>
          </cell>
          <cell r="B2841" t="str">
            <v xml:space="preserve">RIO DWI DANANTA                         </v>
          </cell>
          <cell r="C2841" t="str">
            <v>RUZ7779</v>
          </cell>
          <cell r="D2841">
            <v>614201000013562</v>
          </cell>
          <cell r="E2841" t="str">
            <v>RENDAH</v>
          </cell>
          <cell r="F2841" t="str">
            <v>Tidak</v>
          </cell>
          <cell r="G2841" t="str">
            <v>Tidak</v>
          </cell>
          <cell r="H2841" t="str">
            <v>Tidak</v>
          </cell>
          <cell r="I2841" t="str">
            <v>Bandar Judol Depo</v>
          </cell>
          <cell r="J2841">
            <v>35</v>
          </cell>
          <cell r="K2841" t="str">
            <v>86,74,87</v>
          </cell>
          <cell r="L2841" t="str">
            <v>Judi Online</v>
          </cell>
          <cell r="M2841" t="str">
            <v xml:space="preserve">Kas Kanpus                              </v>
          </cell>
          <cell r="N2841" t="str">
            <v xml:space="preserve">Kas Kanpus                              </v>
          </cell>
          <cell r="O2841" t="str">
            <v xml:space="preserve">KAS KANPUS                              </v>
          </cell>
          <cell r="P2841" t="str">
            <v>Ya</v>
          </cell>
          <cell r="R2841" t="str">
            <v>Done</v>
          </cell>
          <cell r="S2841" t="str">
            <v>Belum TL</v>
          </cell>
          <cell r="T2841" t="str">
            <v>90185537 - Moh.Khoerul Fajar Ar</v>
          </cell>
          <cell r="U2841" t="str">
            <v>"-"</v>
          </cell>
        </row>
        <row r="2842">
          <cell r="A2842">
            <v>46265</v>
          </cell>
          <cell r="B2842" t="str">
            <v xml:space="preserve">RIZKY FHADLAN                           </v>
          </cell>
          <cell r="C2842" t="str">
            <v>RRWB424</v>
          </cell>
          <cell r="D2842">
            <v>39601031510508</v>
          </cell>
          <cell r="F2842" t="str">
            <v>Tidak</v>
          </cell>
          <cell r="G2842" t="str">
            <v>Tidak</v>
          </cell>
          <cell r="H2842" t="str">
            <v>Tidak</v>
          </cell>
          <cell r="I2842" t="str">
            <v>Bandar Judol Withdrawal</v>
          </cell>
          <cell r="J2842">
            <v>35</v>
          </cell>
          <cell r="K2842" t="str">
            <v>86,88,87</v>
          </cell>
          <cell r="L2842" t="str">
            <v>Judi Online</v>
          </cell>
          <cell r="M2842" t="str">
            <v xml:space="preserve">Kas Kanpus                              </v>
          </cell>
          <cell r="N2842" t="str">
            <v xml:space="preserve">Kas Kanpus                              </v>
          </cell>
          <cell r="O2842" t="str">
            <v xml:space="preserve">KAS KANPUS                              </v>
          </cell>
          <cell r="P2842" t="str">
            <v>Ya</v>
          </cell>
          <cell r="R2842" t="str">
            <v>Done</v>
          </cell>
          <cell r="S2842" t="str">
            <v>Belum TL</v>
          </cell>
          <cell r="T2842" t="str">
            <v>90185537 - Moh.Khoerul Fajar Ar</v>
          </cell>
          <cell r="U2842" t="str">
            <v>"-"</v>
          </cell>
        </row>
        <row r="2843">
          <cell r="A2843">
            <v>46265</v>
          </cell>
          <cell r="B2843" t="str">
            <v xml:space="preserve">SUHARTI                                 </v>
          </cell>
          <cell r="C2843" t="str">
            <v>SGEAW38</v>
          </cell>
          <cell r="D2843">
            <v>203801001575562</v>
          </cell>
          <cell r="E2843" t="str">
            <v>SEDANG</v>
          </cell>
          <cell r="F2843" t="str">
            <v>Tidak</v>
          </cell>
          <cell r="G2843" t="str">
            <v>Tidak</v>
          </cell>
          <cell r="H2843" t="str">
            <v>Tidak</v>
          </cell>
          <cell r="I2843" t="str">
            <v>Bandar Judol Withdrawal</v>
          </cell>
          <cell r="J2843">
            <v>50</v>
          </cell>
          <cell r="K2843" t="str">
            <v>86,88,87</v>
          </cell>
          <cell r="L2843" t="str">
            <v>Judi Online</v>
          </cell>
          <cell r="M2843" t="str">
            <v xml:space="preserve">Kas Kanpus                              </v>
          </cell>
          <cell r="N2843" t="str">
            <v xml:space="preserve">Kas Kanpus                              </v>
          </cell>
          <cell r="O2843" t="str">
            <v xml:space="preserve">KAS KANPUS                              </v>
          </cell>
          <cell r="P2843" t="str">
            <v>Ya</v>
          </cell>
          <cell r="R2843" t="str">
            <v>Done</v>
          </cell>
          <cell r="S2843" t="str">
            <v>Belum TL</v>
          </cell>
          <cell r="T2843" t="str">
            <v>90186790 - Muhammad Alfin Farha</v>
          </cell>
          <cell r="U2843" t="str">
            <v>"-"</v>
          </cell>
        </row>
        <row r="2844">
          <cell r="A2844">
            <v>46265</v>
          </cell>
          <cell r="B2844" t="str">
            <v xml:space="preserve">SITI MASITOH                            </v>
          </cell>
          <cell r="C2844" t="str">
            <v>SGFHC31</v>
          </cell>
          <cell r="D2844">
            <v>580901000068562</v>
          </cell>
          <cell r="E2844" t="str">
            <v>SEDANG</v>
          </cell>
          <cell r="F2844" t="str">
            <v>Tidak</v>
          </cell>
          <cell r="G2844" t="str">
            <v>Tidak</v>
          </cell>
          <cell r="H2844" t="str">
            <v>Tidak</v>
          </cell>
          <cell r="I2844" t="str">
            <v>Bandar Judol Depo</v>
          </cell>
          <cell r="J2844">
            <v>50</v>
          </cell>
          <cell r="K2844" t="str">
            <v>86,74,87</v>
          </cell>
          <cell r="L2844" t="str">
            <v>Judi Online</v>
          </cell>
          <cell r="M2844" t="str">
            <v xml:space="preserve">Kas Kanpus                              </v>
          </cell>
          <cell r="N2844" t="str">
            <v xml:space="preserve">Kas Kanpus                              </v>
          </cell>
          <cell r="O2844" t="str">
            <v xml:space="preserve">KAS KANPUS                              </v>
          </cell>
          <cell r="P2844" t="str">
            <v>Ya</v>
          </cell>
          <cell r="R2844" t="str">
            <v>Done</v>
          </cell>
          <cell r="S2844" t="str">
            <v>Belum TL</v>
          </cell>
          <cell r="T2844" t="str">
            <v>90150130 - Intan Aida Pratiwi</v>
          </cell>
          <cell r="U2844" t="str">
            <v>"-"</v>
          </cell>
        </row>
        <row r="2845">
          <cell r="A2845">
            <v>46265</v>
          </cell>
          <cell r="B2845" t="str">
            <v xml:space="preserve">SINTA NURIA                             </v>
          </cell>
          <cell r="C2845" t="str">
            <v>SGVRQ13</v>
          </cell>
          <cell r="D2845">
            <v>658001004277504</v>
          </cell>
          <cell r="E2845" t="str">
            <v>SEDANG</v>
          </cell>
          <cell r="F2845" t="str">
            <v>Tidak</v>
          </cell>
          <cell r="G2845" t="str">
            <v>Tidak</v>
          </cell>
          <cell r="H2845" t="str">
            <v>Ya</v>
          </cell>
          <cell r="I2845" t="str">
            <v>Bandar Judol Depo</v>
          </cell>
          <cell r="J2845">
            <v>50</v>
          </cell>
          <cell r="K2845" t="str">
            <v>86,74,87</v>
          </cell>
          <cell r="L2845" t="str">
            <v>Judi Online</v>
          </cell>
          <cell r="M2845" t="str">
            <v xml:space="preserve">Kas Kanpus                              </v>
          </cell>
          <cell r="N2845" t="str">
            <v xml:space="preserve">Kas Kanpus                              </v>
          </cell>
          <cell r="O2845" t="str">
            <v xml:space="preserve">KAS KANPUS                              </v>
          </cell>
          <cell r="P2845" t="str">
            <v>Tidak</v>
          </cell>
          <cell r="R2845" t="str">
            <v>Done</v>
          </cell>
          <cell r="S2845" t="str">
            <v>Belum TL</v>
          </cell>
          <cell r="T2845" t="str">
            <v>90171841 - Rifqi Aziz</v>
          </cell>
          <cell r="U2845" t="str">
            <v>"-"</v>
          </cell>
        </row>
        <row r="2846">
          <cell r="A2846">
            <v>46265</v>
          </cell>
          <cell r="B2846" t="str">
            <v xml:space="preserve">SUSI IRMAWATI                           </v>
          </cell>
          <cell r="C2846" t="str">
            <v>SFXQY86</v>
          </cell>
          <cell r="D2846">
            <v>8401307084507</v>
          </cell>
          <cell r="E2846" t="str">
            <v>SEDANG</v>
          </cell>
          <cell r="F2846" t="str">
            <v>Tidak</v>
          </cell>
          <cell r="G2846" t="str">
            <v>Tidak</v>
          </cell>
          <cell r="H2846" t="str">
            <v>Tidak</v>
          </cell>
          <cell r="I2846" t="str">
            <v>Bandar Judol Withdrawal</v>
          </cell>
          <cell r="J2846">
            <v>50</v>
          </cell>
          <cell r="K2846" t="str">
            <v>86,88,87</v>
          </cell>
          <cell r="L2846" t="str">
            <v>Judi Online</v>
          </cell>
          <cell r="M2846" t="str">
            <v xml:space="preserve">Kas Kanpus                              </v>
          </cell>
          <cell r="N2846" t="str">
            <v xml:space="preserve">Kas Kanpus                              </v>
          </cell>
          <cell r="O2846" t="str">
            <v xml:space="preserve">KAS KANPUS                              </v>
          </cell>
          <cell r="P2846" t="str">
            <v>Ya</v>
          </cell>
          <cell r="R2846" t="str">
            <v>Done</v>
          </cell>
          <cell r="S2846" t="str">
            <v>Belum TL</v>
          </cell>
          <cell r="T2846" t="str">
            <v>90150130 - Intan Aida Pratiwi</v>
          </cell>
          <cell r="U2846" t="str">
            <v>"-"</v>
          </cell>
        </row>
        <row r="2847">
          <cell r="A2847">
            <v>46265</v>
          </cell>
          <cell r="B2847" t="str">
            <v xml:space="preserve">SRI MULYA RINI                          </v>
          </cell>
          <cell r="C2847" t="str">
            <v>SFHOF54</v>
          </cell>
          <cell r="D2847">
            <v>594601008809504</v>
          </cell>
          <cell r="E2847" t="str">
            <v>SEDANG</v>
          </cell>
          <cell r="F2847" t="str">
            <v>Tidak</v>
          </cell>
          <cell r="G2847" t="str">
            <v>Tidak</v>
          </cell>
          <cell r="H2847" t="str">
            <v>Tidak</v>
          </cell>
          <cell r="I2847" t="str">
            <v>Bandar Judol Depo</v>
          </cell>
          <cell r="J2847">
            <v>50</v>
          </cell>
          <cell r="K2847" t="str">
            <v>86,74,87</v>
          </cell>
          <cell r="L2847" t="str">
            <v>Judi Online</v>
          </cell>
          <cell r="M2847" t="str">
            <v xml:space="preserve">Kas Kanpus                              </v>
          </cell>
          <cell r="N2847" t="str">
            <v xml:space="preserve">Kas Kanpus                              </v>
          </cell>
          <cell r="O2847" t="str">
            <v xml:space="preserve">KAS KANPUS                              </v>
          </cell>
          <cell r="P2847" t="str">
            <v>Tidak</v>
          </cell>
          <cell r="R2847" t="str">
            <v>Done</v>
          </cell>
          <cell r="S2847" t="str">
            <v>Belum TL</v>
          </cell>
          <cell r="T2847" t="str">
            <v>90150130 - Intan Aida Pratiwi</v>
          </cell>
          <cell r="U2847" t="str">
            <v>"-"</v>
          </cell>
        </row>
        <row r="2848">
          <cell r="A2848">
            <v>46265</v>
          </cell>
          <cell r="B2848" t="str">
            <v xml:space="preserve">SUBARDI YANTI                           </v>
          </cell>
          <cell r="C2848" t="str">
            <v>SFREU94</v>
          </cell>
          <cell r="D2848">
            <v>50201019700502</v>
          </cell>
          <cell r="E2848" t="str">
            <v>SEDANG</v>
          </cell>
          <cell r="F2848" t="str">
            <v>Tidak</v>
          </cell>
          <cell r="G2848" t="str">
            <v>Tidak</v>
          </cell>
          <cell r="H2848" t="str">
            <v>Tidak</v>
          </cell>
          <cell r="I2848" t="str">
            <v>Bandar Judol Withdrawal</v>
          </cell>
          <cell r="J2848">
            <v>50</v>
          </cell>
          <cell r="K2848" t="str">
            <v>86,88,87</v>
          </cell>
          <cell r="L2848" t="str">
            <v>Judi Online</v>
          </cell>
          <cell r="M2848" t="str">
            <v xml:space="preserve">Kas Kanpus                              </v>
          </cell>
          <cell r="N2848" t="str">
            <v xml:space="preserve">Kas Kanpus                              </v>
          </cell>
          <cell r="O2848" t="str">
            <v xml:space="preserve">KAS KANPUS                              </v>
          </cell>
          <cell r="P2848" t="str">
            <v>Ya</v>
          </cell>
          <cell r="R2848" t="str">
            <v>Done</v>
          </cell>
          <cell r="S2848" t="str">
            <v>Belum TL</v>
          </cell>
          <cell r="T2848" t="str">
            <v>90186796 - Devito Arya Wiradila</v>
          </cell>
          <cell r="U2848" t="str">
            <v>"-"</v>
          </cell>
        </row>
        <row r="2849">
          <cell r="A2849">
            <v>46265</v>
          </cell>
          <cell r="B2849" t="str">
            <v xml:space="preserve">SURIADI                                 </v>
          </cell>
          <cell r="C2849" t="str">
            <v>SFCQ806</v>
          </cell>
          <cell r="D2849">
            <v>334801014686500</v>
          </cell>
          <cell r="E2849" t="str">
            <v>SEDANG</v>
          </cell>
          <cell r="F2849" t="str">
            <v>Tidak</v>
          </cell>
          <cell r="G2849" t="str">
            <v>Tidak</v>
          </cell>
          <cell r="H2849" t="str">
            <v>Tidak</v>
          </cell>
          <cell r="I2849" t="str">
            <v>Bandar Judol Withdrawal</v>
          </cell>
          <cell r="J2849">
            <v>50</v>
          </cell>
          <cell r="K2849" t="str">
            <v>86,88,87</v>
          </cell>
          <cell r="L2849" t="str">
            <v>Judi Online</v>
          </cell>
          <cell r="M2849" t="str">
            <v xml:space="preserve">Kas Kanpus                              </v>
          </cell>
          <cell r="N2849" t="str">
            <v xml:space="preserve">Kas Kanpus                              </v>
          </cell>
          <cell r="O2849" t="str">
            <v xml:space="preserve">KAS KANPUS                              </v>
          </cell>
          <cell r="P2849" t="str">
            <v>Ya</v>
          </cell>
          <cell r="R2849" t="str">
            <v>Done</v>
          </cell>
          <cell r="S2849" t="str">
            <v>Belum TL</v>
          </cell>
          <cell r="T2849" t="str">
            <v>90186796 - Devito Arya Wiradila</v>
          </cell>
          <cell r="U2849" t="str">
            <v>"-"</v>
          </cell>
        </row>
        <row r="2850">
          <cell r="A2850">
            <v>46265</v>
          </cell>
          <cell r="B2850" t="str">
            <v xml:space="preserve">SERY AGUSTINA                           </v>
          </cell>
          <cell r="C2850" t="str">
            <v>SEXSV82</v>
          </cell>
          <cell r="D2850">
            <v>18401076647509</v>
          </cell>
          <cell r="E2850" t="str">
            <v>SEDANG</v>
          </cell>
          <cell r="F2850" t="str">
            <v>Tidak</v>
          </cell>
          <cell r="G2850" t="str">
            <v>Tidak</v>
          </cell>
          <cell r="H2850" t="str">
            <v>Tidak</v>
          </cell>
          <cell r="I2850" t="str">
            <v>Bandar Judol Depo</v>
          </cell>
          <cell r="J2850">
            <v>50</v>
          </cell>
          <cell r="K2850" t="str">
            <v>86,74,87</v>
          </cell>
          <cell r="L2850" t="str">
            <v>Judi Online</v>
          </cell>
          <cell r="M2850" t="str">
            <v xml:space="preserve">Kas Kanpus                              </v>
          </cell>
          <cell r="N2850" t="str">
            <v xml:space="preserve">Kas Kanpus                              </v>
          </cell>
          <cell r="O2850" t="str">
            <v xml:space="preserve">KAS KANPUS                              </v>
          </cell>
          <cell r="P2850" t="str">
            <v>Ya</v>
          </cell>
          <cell r="R2850" t="str">
            <v>Done</v>
          </cell>
          <cell r="S2850" t="str">
            <v>Belum TL</v>
          </cell>
          <cell r="T2850" t="str">
            <v>00336949 - Mochammad Al Farabi</v>
          </cell>
          <cell r="U2850" t="str">
            <v>"-"</v>
          </cell>
        </row>
        <row r="2851">
          <cell r="A2851">
            <v>46265</v>
          </cell>
          <cell r="B2851" t="str">
            <v xml:space="preserve">SHARDA DEVINA PUTRI DINERA              </v>
          </cell>
          <cell r="C2851" t="str">
            <v>SEGXS95</v>
          </cell>
          <cell r="D2851">
            <v>225101000911565</v>
          </cell>
          <cell r="E2851" t="str">
            <v>SEDANG</v>
          </cell>
          <cell r="F2851" t="str">
            <v>Tidak</v>
          </cell>
          <cell r="G2851" t="str">
            <v>Tidak</v>
          </cell>
          <cell r="H2851" t="str">
            <v>Tidak</v>
          </cell>
          <cell r="I2851" t="str">
            <v>Bandar Judol Depo</v>
          </cell>
          <cell r="J2851">
            <v>50</v>
          </cell>
          <cell r="K2851" t="str">
            <v>86,74,87</v>
          </cell>
          <cell r="L2851" t="str">
            <v>Judi Online</v>
          </cell>
          <cell r="M2851" t="str">
            <v xml:space="preserve">Kas Kanpus                              </v>
          </cell>
          <cell r="N2851" t="str">
            <v xml:space="preserve">Kas Kanpus                              </v>
          </cell>
          <cell r="O2851" t="str">
            <v xml:space="preserve">KAS KANPUS                              </v>
          </cell>
          <cell r="P2851" t="str">
            <v>Tidak</v>
          </cell>
          <cell r="R2851" t="str">
            <v>Done</v>
          </cell>
          <cell r="S2851" t="str">
            <v>Belum TL</v>
          </cell>
          <cell r="T2851" t="str">
            <v>00394520 - Frida Akbar Rani</v>
          </cell>
          <cell r="U2851" t="str">
            <v>"-"</v>
          </cell>
        </row>
        <row r="2852">
          <cell r="A2852">
            <v>46265</v>
          </cell>
          <cell r="B2852" t="str">
            <v xml:space="preserve">SUWATNI                                 </v>
          </cell>
          <cell r="C2852" t="str">
            <v>SEKKJ26</v>
          </cell>
          <cell r="D2852">
            <v>709101030315536</v>
          </cell>
          <cell r="E2852" t="str">
            <v>SEDANG</v>
          </cell>
          <cell r="F2852" t="str">
            <v>Tidak</v>
          </cell>
          <cell r="G2852" t="str">
            <v>Tidak</v>
          </cell>
          <cell r="H2852" t="str">
            <v>Tidak</v>
          </cell>
          <cell r="I2852" t="str">
            <v>Bandar Judol Withdrawal</v>
          </cell>
          <cell r="J2852">
            <v>50</v>
          </cell>
          <cell r="K2852" t="str">
            <v>86,88,87</v>
          </cell>
          <cell r="L2852" t="str">
            <v>Judi Online</v>
          </cell>
          <cell r="M2852" t="str">
            <v xml:space="preserve">Kas Kanpus                              </v>
          </cell>
          <cell r="N2852" t="str">
            <v xml:space="preserve">Kas Kanpus                              </v>
          </cell>
          <cell r="O2852" t="str">
            <v xml:space="preserve">KAS KANPUS                              </v>
          </cell>
          <cell r="P2852" t="str">
            <v>Ya</v>
          </cell>
          <cell r="R2852" t="str">
            <v>Done</v>
          </cell>
          <cell r="S2852" t="str">
            <v>Belum TL</v>
          </cell>
          <cell r="T2852" t="str">
            <v>90185537 - Moh.Khoerul Fajar Ar</v>
          </cell>
          <cell r="U2852" t="str">
            <v>"-"</v>
          </cell>
        </row>
        <row r="2853">
          <cell r="A2853">
            <v>46265</v>
          </cell>
          <cell r="B2853" t="str">
            <v xml:space="preserve">SRI DEVI                                </v>
          </cell>
          <cell r="C2853" t="str">
            <v>SEKVH20</v>
          </cell>
          <cell r="D2853">
            <v>528801028951539</v>
          </cell>
          <cell r="E2853" t="str">
            <v>SEDANG</v>
          </cell>
          <cell r="F2853" t="str">
            <v>Tidak</v>
          </cell>
          <cell r="G2853" t="str">
            <v>Tidak</v>
          </cell>
          <cell r="H2853" t="str">
            <v>Tidak</v>
          </cell>
          <cell r="I2853" t="str">
            <v>Bandar Judol Depo</v>
          </cell>
          <cell r="J2853">
            <v>50</v>
          </cell>
          <cell r="K2853" t="str">
            <v>86,74,87</v>
          </cell>
          <cell r="L2853" t="str">
            <v>Judi Online</v>
          </cell>
          <cell r="M2853" t="str">
            <v xml:space="preserve">Kas Kanpus                              </v>
          </cell>
          <cell r="N2853" t="str">
            <v xml:space="preserve">Kas Kanpus                              </v>
          </cell>
          <cell r="O2853" t="str">
            <v xml:space="preserve">KAS KANPUS                              </v>
          </cell>
          <cell r="P2853" t="str">
            <v>Ya</v>
          </cell>
          <cell r="R2853" t="str">
            <v>Done</v>
          </cell>
          <cell r="S2853" t="str">
            <v>Belum TL</v>
          </cell>
          <cell r="T2853" t="str">
            <v>90171841 - Rifqi Aziz</v>
          </cell>
          <cell r="U2853" t="str">
            <v>"-"</v>
          </cell>
        </row>
        <row r="2854">
          <cell r="A2854">
            <v>46265</v>
          </cell>
          <cell r="B2854" t="str">
            <v xml:space="preserve">SRI FITRIYANI                           </v>
          </cell>
          <cell r="C2854" t="str">
            <v>SHKMR72</v>
          </cell>
          <cell r="D2854">
            <v>80801000071566</v>
          </cell>
          <cell r="E2854" t="str">
            <v>SEDANG</v>
          </cell>
          <cell r="F2854" t="str">
            <v>Tidak</v>
          </cell>
          <cell r="G2854" t="str">
            <v>Tidak</v>
          </cell>
          <cell r="H2854" t="str">
            <v>Tidak</v>
          </cell>
          <cell r="I2854" t="str">
            <v>Bandar Judol Withdrawal</v>
          </cell>
          <cell r="J2854">
            <v>50</v>
          </cell>
          <cell r="K2854" t="str">
            <v>86,88,87</v>
          </cell>
          <cell r="L2854" t="str">
            <v>Judi Online</v>
          </cell>
          <cell r="M2854" t="str">
            <v xml:space="preserve">Kas Kanpus                              </v>
          </cell>
          <cell r="N2854" t="str">
            <v xml:space="preserve">Kas Kanpus                              </v>
          </cell>
          <cell r="O2854" t="str">
            <v xml:space="preserve">KAS KANPUS                              </v>
          </cell>
          <cell r="P2854" t="str">
            <v>Ya</v>
          </cell>
          <cell r="R2854" t="str">
            <v>Done</v>
          </cell>
          <cell r="S2854" t="str">
            <v>Belum TL</v>
          </cell>
          <cell r="T2854" t="str">
            <v>90170665 - Mutiara Ayuningtyas</v>
          </cell>
          <cell r="U2854" t="str">
            <v>"-"</v>
          </cell>
        </row>
        <row r="2855">
          <cell r="A2855">
            <v>46265</v>
          </cell>
          <cell r="B2855" t="str">
            <v xml:space="preserve">SITI NUR AINI                           </v>
          </cell>
          <cell r="C2855" t="str">
            <v>SHCXQ27</v>
          </cell>
          <cell r="D2855">
            <v>320301069341537</v>
          </cell>
          <cell r="E2855" t="str">
            <v>SEDANG</v>
          </cell>
          <cell r="F2855" t="str">
            <v>Tidak</v>
          </cell>
          <cell r="G2855" t="str">
            <v>Tidak</v>
          </cell>
          <cell r="H2855" t="str">
            <v>Tidak</v>
          </cell>
          <cell r="I2855" t="str">
            <v>Bandar Judol Depo</v>
          </cell>
          <cell r="J2855">
            <v>50</v>
          </cell>
          <cell r="K2855" t="str">
            <v>86,74,87</v>
          </cell>
          <cell r="L2855" t="str">
            <v>Judi Online</v>
          </cell>
          <cell r="M2855" t="str">
            <v xml:space="preserve">Kas Kanpus                              </v>
          </cell>
          <cell r="N2855" t="str">
            <v xml:space="preserve">Kas Kanpus                              </v>
          </cell>
          <cell r="O2855" t="str">
            <v xml:space="preserve">KAS KANPUS                              </v>
          </cell>
          <cell r="P2855" t="str">
            <v>Tidak</v>
          </cell>
          <cell r="R2855" t="str">
            <v>Done</v>
          </cell>
          <cell r="S2855" t="str">
            <v>Belum TL</v>
          </cell>
          <cell r="T2855" t="str">
            <v>00394521 - Muhammad Hibbanduta</v>
          </cell>
          <cell r="U2855" t="str">
            <v>"-"</v>
          </cell>
        </row>
        <row r="2856">
          <cell r="A2856">
            <v>46265</v>
          </cell>
          <cell r="B2856" t="str">
            <v xml:space="preserve">SURYADI                                 </v>
          </cell>
          <cell r="C2856" t="str">
            <v>SGURM89</v>
          </cell>
          <cell r="D2856">
            <v>57101000392563</v>
          </cell>
          <cell r="E2856" t="str">
            <v>SEDANG</v>
          </cell>
          <cell r="F2856" t="str">
            <v>Tidak</v>
          </cell>
          <cell r="G2856" t="str">
            <v>Tidak</v>
          </cell>
          <cell r="H2856" t="str">
            <v>Tidak</v>
          </cell>
          <cell r="I2856" t="str">
            <v>Bandar Judol Withdrawal</v>
          </cell>
          <cell r="J2856">
            <v>50</v>
          </cell>
          <cell r="K2856" t="str">
            <v>86,88,87</v>
          </cell>
          <cell r="L2856" t="str">
            <v>Judi Online</v>
          </cell>
          <cell r="M2856" t="str">
            <v xml:space="preserve">Kas Kanpus                              </v>
          </cell>
          <cell r="N2856" t="str">
            <v xml:space="preserve">Kas Kanpus                              </v>
          </cell>
          <cell r="O2856" t="str">
            <v xml:space="preserve">KAS KANPUS                              </v>
          </cell>
          <cell r="P2856" t="str">
            <v>Ya</v>
          </cell>
          <cell r="R2856" t="str">
            <v>Done</v>
          </cell>
          <cell r="S2856" t="str">
            <v>Belum TL</v>
          </cell>
          <cell r="T2856" t="str">
            <v>90171841 - Rifqi Aziz</v>
          </cell>
          <cell r="U2856" t="str">
            <v>"-"</v>
          </cell>
        </row>
        <row r="2857">
          <cell r="A2857">
            <v>46265</v>
          </cell>
          <cell r="B2857" t="str">
            <v xml:space="preserve">SITI FATIMAH                            </v>
          </cell>
          <cell r="C2857" t="str">
            <v>SHOOT94</v>
          </cell>
          <cell r="D2857">
            <v>332801005490500</v>
          </cell>
          <cell r="E2857" t="str">
            <v>SEDANG</v>
          </cell>
          <cell r="F2857" t="str">
            <v>Tidak</v>
          </cell>
          <cell r="G2857" t="str">
            <v>Tidak</v>
          </cell>
          <cell r="H2857" t="str">
            <v>Tidak</v>
          </cell>
          <cell r="I2857" t="str">
            <v>Bandar Judol Withdrawal</v>
          </cell>
          <cell r="J2857">
            <v>50</v>
          </cell>
          <cell r="K2857" t="str">
            <v>86,88,87</v>
          </cell>
          <cell r="L2857" t="str">
            <v>Judi Online</v>
          </cell>
          <cell r="M2857" t="str">
            <v xml:space="preserve">Kas Kanpus                              </v>
          </cell>
          <cell r="N2857" t="str">
            <v xml:space="preserve">Kas Kanpus                              </v>
          </cell>
          <cell r="O2857" t="str">
            <v xml:space="preserve">KAS KANPUS                              </v>
          </cell>
          <cell r="P2857" t="str">
            <v>Ya</v>
          </cell>
          <cell r="R2857" t="str">
            <v>Done</v>
          </cell>
          <cell r="S2857" t="str">
            <v>Belum TL</v>
          </cell>
          <cell r="T2857" t="str">
            <v>00394520 - Frida Akbar Rani</v>
          </cell>
          <cell r="U2857" t="str">
            <v>"-"</v>
          </cell>
        </row>
        <row r="2858">
          <cell r="A2858">
            <v>46265</v>
          </cell>
          <cell r="B2858" t="str">
            <v xml:space="preserve">SRIYATUN                                </v>
          </cell>
          <cell r="C2858" t="str">
            <v>SHVYU52</v>
          </cell>
          <cell r="D2858">
            <v>111601014621503</v>
          </cell>
          <cell r="E2858" t="str">
            <v>SEDANG</v>
          </cell>
          <cell r="F2858" t="str">
            <v>Tidak</v>
          </cell>
          <cell r="G2858" t="str">
            <v>Tidak</v>
          </cell>
          <cell r="H2858" t="str">
            <v>Tidak</v>
          </cell>
          <cell r="I2858" t="str">
            <v>Bandar Judol Withdrawal</v>
          </cell>
          <cell r="J2858">
            <v>50</v>
          </cell>
          <cell r="K2858" t="str">
            <v>86,88,87</v>
          </cell>
          <cell r="L2858" t="str">
            <v>Judi Online</v>
          </cell>
          <cell r="M2858" t="str">
            <v xml:space="preserve">Kas Kanpus                              </v>
          </cell>
          <cell r="N2858" t="str">
            <v xml:space="preserve">Kas Kanpus                              </v>
          </cell>
          <cell r="O2858" t="str">
            <v xml:space="preserve">KAS KANPUS                              </v>
          </cell>
          <cell r="P2858" t="str">
            <v>Ya</v>
          </cell>
          <cell r="R2858" t="str">
            <v>Done</v>
          </cell>
          <cell r="S2858" t="str">
            <v>Belum TL</v>
          </cell>
          <cell r="T2858" t="str">
            <v>90171841 - Rifqi Aziz</v>
          </cell>
          <cell r="U2858" t="str">
            <v>"-"</v>
          </cell>
        </row>
        <row r="2859">
          <cell r="A2859">
            <v>46265</v>
          </cell>
          <cell r="B2859" t="str">
            <v xml:space="preserve">SUSANTI                                 </v>
          </cell>
          <cell r="C2859" t="str">
            <v>SHYNS46</v>
          </cell>
          <cell r="D2859">
            <v>160701003215506</v>
          </cell>
          <cell r="E2859" t="str">
            <v>SEDANG</v>
          </cell>
          <cell r="F2859" t="str">
            <v>Tidak</v>
          </cell>
          <cell r="G2859" t="str">
            <v>Tidak</v>
          </cell>
          <cell r="H2859" t="str">
            <v>Tidak</v>
          </cell>
          <cell r="I2859" t="str">
            <v>Bandar Judol Withdrawal</v>
          </cell>
          <cell r="J2859">
            <v>50</v>
          </cell>
          <cell r="K2859" t="str">
            <v>86,88,87</v>
          </cell>
          <cell r="L2859" t="str">
            <v>Judi Online</v>
          </cell>
          <cell r="M2859" t="str">
            <v xml:space="preserve">Kas Kanpus                              </v>
          </cell>
          <cell r="N2859" t="str">
            <v xml:space="preserve">Kas Kanpus                              </v>
          </cell>
          <cell r="O2859" t="str">
            <v xml:space="preserve">KAS KANPUS                              </v>
          </cell>
          <cell r="P2859" t="str">
            <v>Ya</v>
          </cell>
          <cell r="R2859" t="str">
            <v>Done</v>
          </cell>
          <cell r="S2859" t="str">
            <v>Belum TL</v>
          </cell>
          <cell r="T2859" t="str">
            <v>90185538 - Muhammad Fahikal Auz</v>
          </cell>
          <cell r="U2859" t="str">
            <v>"-"</v>
          </cell>
        </row>
        <row r="2860">
          <cell r="A2860">
            <v>46265</v>
          </cell>
          <cell r="B2860" t="str">
            <v xml:space="preserve">SUYADI                                  </v>
          </cell>
          <cell r="C2860" t="str">
            <v>SIAZE23</v>
          </cell>
          <cell r="D2860">
            <v>525901036981531</v>
          </cell>
          <cell r="E2860" t="str">
            <v>SEDANG</v>
          </cell>
          <cell r="F2860" t="str">
            <v>Tidak</v>
          </cell>
          <cell r="G2860" t="str">
            <v>Tidak</v>
          </cell>
          <cell r="H2860" t="str">
            <v>Ya</v>
          </cell>
          <cell r="I2860" t="str">
            <v>Bandar Judol Depo</v>
          </cell>
          <cell r="J2860">
            <v>50</v>
          </cell>
          <cell r="K2860" t="str">
            <v>86,74,87</v>
          </cell>
          <cell r="L2860" t="str">
            <v>Judi Online</v>
          </cell>
          <cell r="M2860" t="str">
            <v xml:space="preserve">Kas Kanpus                              </v>
          </cell>
          <cell r="N2860" t="str">
            <v xml:space="preserve">Kas Kanpus                              </v>
          </cell>
          <cell r="O2860" t="str">
            <v xml:space="preserve">KAS KANPUS                              </v>
          </cell>
          <cell r="P2860" t="str">
            <v>Ya</v>
          </cell>
          <cell r="R2860" t="str">
            <v>Done</v>
          </cell>
          <cell r="S2860" t="str">
            <v>Belum TL</v>
          </cell>
          <cell r="T2860" t="str">
            <v>90170665 - Mutiara Ayuningtyas</v>
          </cell>
          <cell r="U2860" t="str">
            <v>"-"</v>
          </cell>
        </row>
        <row r="2861">
          <cell r="A2861">
            <v>46265</v>
          </cell>
          <cell r="B2861" t="str">
            <v xml:space="preserve">SENNY S AKIAAR                          </v>
          </cell>
          <cell r="C2861" t="str">
            <v>SJFH958</v>
          </cell>
          <cell r="D2861">
            <v>101127436506</v>
          </cell>
          <cell r="E2861" t="str">
            <v>SEDANG</v>
          </cell>
          <cell r="F2861" t="str">
            <v>Tidak</v>
          </cell>
          <cell r="G2861" t="str">
            <v>Ya</v>
          </cell>
          <cell r="H2861" t="str">
            <v>Tidak</v>
          </cell>
          <cell r="I2861" t="str">
            <v>Bandar Judol Depo</v>
          </cell>
          <cell r="J2861">
            <v>60</v>
          </cell>
          <cell r="K2861" t="str">
            <v>86,74,87</v>
          </cell>
          <cell r="L2861" t="str">
            <v>Judi Online</v>
          </cell>
          <cell r="M2861" t="str">
            <v xml:space="preserve">Kas Kanpus                              </v>
          </cell>
          <cell r="N2861" t="str">
            <v xml:space="preserve">Kas Kanpus                              </v>
          </cell>
          <cell r="O2861" t="str">
            <v xml:space="preserve">KAS KANPUS                              </v>
          </cell>
          <cell r="P2861" t="str">
            <v>Tidak</v>
          </cell>
          <cell r="R2861" t="str">
            <v>Done</v>
          </cell>
          <cell r="S2861" t="str">
            <v>Belum TL</v>
          </cell>
          <cell r="T2861" t="str">
            <v>90171841 - Rifqi Aziz</v>
          </cell>
          <cell r="U2861" t="str">
            <v>"-"</v>
          </cell>
        </row>
        <row r="2862">
          <cell r="A2862">
            <v>46265</v>
          </cell>
          <cell r="B2862" t="str">
            <v xml:space="preserve">SIGIT PRAYUDA                           </v>
          </cell>
          <cell r="C2862" t="str">
            <v>SIWXA06</v>
          </cell>
          <cell r="D2862">
            <v>322401011595506</v>
          </cell>
          <cell r="E2862" t="str">
            <v>SEDANG</v>
          </cell>
          <cell r="F2862" t="str">
            <v>Tidak</v>
          </cell>
          <cell r="G2862" t="str">
            <v>Tidak</v>
          </cell>
          <cell r="H2862" t="str">
            <v>Tidak</v>
          </cell>
          <cell r="I2862" t="str">
            <v>Bandar Judol Withdrawal</v>
          </cell>
          <cell r="J2862">
            <v>50</v>
          </cell>
          <cell r="K2862" t="str">
            <v>86,88,87</v>
          </cell>
          <cell r="L2862" t="str">
            <v>Judi Online</v>
          </cell>
          <cell r="M2862" t="str">
            <v xml:space="preserve">Kas Kanpus                              </v>
          </cell>
          <cell r="N2862" t="str">
            <v xml:space="preserve">Kas Kanpus                              </v>
          </cell>
          <cell r="O2862" t="str">
            <v xml:space="preserve">KAS KANPUS                              </v>
          </cell>
          <cell r="P2862" t="str">
            <v>Ya</v>
          </cell>
          <cell r="R2862" t="str">
            <v>Done</v>
          </cell>
          <cell r="S2862" t="str">
            <v>Belum TL</v>
          </cell>
          <cell r="T2862" t="str">
            <v>00336949 - Mochammad Al Farabi</v>
          </cell>
          <cell r="U2862" t="str">
            <v>"-"</v>
          </cell>
        </row>
        <row r="2863">
          <cell r="A2863">
            <v>46265</v>
          </cell>
          <cell r="B2863" t="str">
            <v xml:space="preserve">SATYA RAGA SAPUTRA                      </v>
          </cell>
          <cell r="C2863" t="str">
            <v>SISXY24</v>
          </cell>
          <cell r="D2863">
            <v>40401057086506</v>
          </cell>
          <cell r="E2863" t="str">
            <v>SEDANG</v>
          </cell>
          <cell r="F2863" t="str">
            <v>Tidak</v>
          </cell>
          <cell r="G2863" t="str">
            <v>Tidak</v>
          </cell>
          <cell r="H2863" t="str">
            <v>Tidak</v>
          </cell>
          <cell r="I2863" t="str">
            <v>Bandar Judol Withdrawal</v>
          </cell>
          <cell r="J2863">
            <v>50</v>
          </cell>
          <cell r="K2863" t="str">
            <v>86,88,87</v>
          </cell>
          <cell r="L2863" t="str">
            <v>Judi Online</v>
          </cell>
          <cell r="M2863" t="str">
            <v xml:space="preserve">Kas Kanpus                              </v>
          </cell>
          <cell r="N2863" t="str">
            <v xml:space="preserve">Kas Kanpus                              </v>
          </cell>
          <cell r="O2863" t="str">
            <v xml:space="preserve">KAS KANPUS                              </v>
          </cell>
          <cell r="P2863" t="str">
            <v>Ya</v>
          </cell>
          <cell r="R2863" t="str">
            <v>Done</v>
          </cell>
          <cell r="S2863" t="str">
            <v>Belum TL</v>
          </cell>
          <cell r="T2863" t="str">
            <v>00394521 - Muhammad Hibbanduta</v>
          </cell>
          <cell r="U2863" t="str">
            <v>"-"</v>
          </cell>
        </row>
        <row r="2864">
          <cell r="A2864">
            <v>46265</v>
          </cell>
          <cell r="B2864" t="str">
            <v xml:space="preserve">SARIP                                   </v>
          </cell>
          <cell r="C2864" t="str">
            <v>SITHL15</v>
          </cell>
          <cell r="D2864">
            <v>43701002531565</v>
          </cell>
          <cell r="E2864" t="str">
            <v>SEDANG</v>
          </cell>
          <cell r="F2864" t="str">
            <v>Tidak</v>
          </cell>
          <cell r="G2864" t="str">
            <v>Tidak</v>
          </cell>
          <cell r="H2864" t="str">
            <v>Tidak</v>
          </cell>
          <cell r="I2864" t="str">
            <v>Bandar Judol Withdrawal</v>
          </cell>
          <cell r="J2864">
            <v>50</v>
          </cell>
          <cell r="K2864" t="str">
            <v>86,88,87</v>
          </cell>
          <cell r="L2864" t="str">
            <v>Judi Online</v>
          </cell>
          <cell r="M2864" t="str">
            <v xml:space="preserve">Kas Kanpus                              </v>
          </cell>
          <cell r="N2864" t="str">
            <v xml:space="preserve">Kas Kanpus                              </v>
          </cell>
          <cell r="O2864" t="str">
            <v xml:space="preserve">KAS KANPUS                              </v>
          </cell>
          <cell r="P2864" t="str">
            <v>Ya</v>
          </cell>
          <cell r="R2864" t="str">
            <v>Done</v>
          </cell>
          <cell r="S2864" t="str">
            <v>Belum TL</v>
          </cell>
          <cell r="T2864" t="str">
            <v>90150130 - Intan Aida Pratiwi</v>
          </cell>
          <cell r="U2864" t="str">
            <v>"-"</v>
          </cell>
        </row>
        <row r="2865">
          <cell r="A2865">
            <v>46265</v>
          </cell>
          <cell r="B2865" t="str">
            <v xml:space="preserve">SUGIARTO                                </v>
          </cell>
          <cell r="C2865" t="str">
            <v>SITWA48</v>
          </cell>
          <cell r="D2865">
            <v>170601003697508</v>
          </cell>
          <cell r="E2865" t="str">
            <v>SEDANG</v>
          </cell>
          <cell r="F2865" t="str">
            <v>Tidak</v>
          </cell>
          <cell r="G2865" t="str">
            <v>Tidak</v>
          </cell>
          <cell r="H2865" t="str">
            <v>Tidak</v>
          </cell>
          <cell r="I2865" t="str">
            <v>Bandar Judol Withdrawal</v>
          </cell>
          <cell r="J2865">
            <v>50</v>
          </cell>
          <cell r="K2865" t="str">
            <v>86,88,87</v>
          </cell>
          <cell r="L2865" t="str">
            <v>Judi Online</v>
          </cell>
          <cell r="M2865" t="str">
            <v xml:space="preserve">Kas Kanpus                              </v>
          </cell>
          <cell r="N2865" t="str">
            <v xml:space="preserve">Kas Kanpus                              </v>
          </cell>
          <cell r="O2865" t="str">
            <v xml:space="preserve">KAS KANPUS                              </v>
          </cell>
          <cell r="P2865" t="str">
            <v>Ya</v>
          </cell>
          <cell r="R2865" t="str">
            <v>Done</v>
          </cell>
          <cell r="S2865" t="str">
            <v>Belum TL</v>
          </cell>
          <cell r="T2865" t="str">
            <v>00336949 - Mochammad Al Farabi</v>
          </cell>
          <cell r="U2865" t="str">
            <v>"-"</v>
          </cell>
        </row>
        <row r="2866">
          <cell r="A2866">
            <v>46265</v>
          </cell>
          <cell r="B2866" t="str">
            <v xml:space="preserve">SAIPUL BAHRI                            </v>
          </cell>
          <cell r="C2866" t="str">
            <v>SJEGH77</v>
          </cell>
          <cell r="D2866">
            <v>33201168739508</v>
          </cell>
          <cell r="F2866" t="str">
            <v>Tidak</v>
          </cell>
          <cell r="G2866" t="str">
            <v>Tidak</v>
          </cell>
          <cell r="H2866" t="str">
            <v>Tidak</v>
          </cell>
          <cell r="I2866" t="str">
            <v>Bandar Judol Withdrawal</v>
          </cell>
          <cell r="J2866">
            <v>35</v>
          </cell>
          <cell r="K2866" t="str">
            <v>86,88,87</v>
          </cell>
          <cell r="L2866" t="str">
            <v>Judi Online</v>
          </cell>
          <cell r="M2866" t="str">
            <v xml:space="preserve">Kas Kanpus                              </v>
          </cell>
          <cell r="N2866" t="str">
            <v xml:space="preserve">Kas Kanpus                              </v>
          </cell>
          <cell r="O2866" t="str">
            <v xml:space="preserve">KAS KANPUS                              </v>
          </cell>
          <cell r="P2866" t="str">
            <v>Ya</v>
          </cell>
          <cell r="R2866" t="str">
            <v>Done</v>
          </cell>
          <cell r="S2866" t="str">
            <v>Belum TL</v>
          </cell>
          <cell r="T2866" t="str">
            <v>00394520 - Frida Akbar Rani</v>
          </cell>
          <cell r="U2866" t="str">
            <v>"-"</v>
          </cell>
        </row>
        <row r="2867">
          <cell r="A2867">
            <v>46265</v>
          </cell>
          <cell r="B2867" t="str">
            <v xml:space="preserve">SUPRIONO                                </v>
          </cell>
          <cell r="C2867" t="str">
            <v>SJDRN84</v>
          </cell>
          <cell r="D2867">
            <v>732401042098531</v>
          </cell>
          <cell r="F2867" t="str">
            <v>Tidak</v>
          </cell>
          <cell r="G2867" t="str">
            <v>Tidak</v>
          </cell>
          <cell r="H2867" t="str">
            <v>Tidak</v>
          </cell>
          <cell r="I2867" t="str">
            <v>Bandar Judol Withdrawal</v>
          </cell>
          <cell r="J2867">
            <v>35</v>
          </cell>
          <cell r="K2867" t="str">
            <v>86,88,87</v>
          </cell>
          <cell r="L2867" t="str">
            <v>Judi Online</v>
          </cell>
          <cell r="M2867" t="str">
            <v xml:space="preserve">Kas Kanpus                              </v>
          </cell>
          <cell r="N2867" t="str">
            <v xml:space="preserve">Kas Kanpus                              </v>
          </cell>
          <cell r="O2867" t="str">
            <v xml:space="preserve">KAS KANPUS                              </v>
          </cell>
          <cell r="P2867" t="str">
            <v>Tidak</v>
          </cell>
          <cell r="R2867" t="str">
            <v>Done</v>
          </cell>
          <cell r="S2867" t="str">
            <v>Belum TL</v>
          </cell>
          <cell r="T2867" t="str">
            <v>90186796 - Devito Arya Wiradila</v>
          </cell>
          <cell r="U2867" t="str">
            <v>"-"</v>
          </cell>
        </row>
        <row r="2868">
          <cell r="A2868">
            <v>46265</v>
          </cell>
          <cell r="B2868" t="str">
            <v xml:space="preserve">SUBANDI HARTANTO                        </v>
          </cell>
          <cell r="C2868" t="str">
            <v>SJGYC81</v>
          </cell>
          <cell r="D2868">
            <v>176701000858563</v>
          </cell>
          <cell r="F2868" t="str">
            <v>Tidak</v>
          </cell>
          <cell r="G2868" t="str">
            <v>Tidak</v>
          </cell>
          <cell r="H2868" t="str">
            <v>Tidak</v>
          </cell>
          <cell r="I2868" t="str">
            <v>Bandar Judol Withdrawal</v>
          </cell>
          <cell r="J2868">
            <v>35</v>
          </cell>
          <cell r="K2868" t="str">
            <v>86,88,87</v>
          </cell>
          <cell r="L2868" t="str">
            <v>Judi Online</v>
          </cell>
          <cell r="M2868" t="str">
            <v xml:space="preserve">Kas Kanpus                              </v>
          </cell>
          <cell r="N2868" t="str">
            <v xml:space="preserve">Kas Kanpus                              </v>
          </cell>
          <cell r="O2868" t="str">
            <v xml:space="preserve">KAS KANPUS                              </v>
          </cell>
          <cell r="P2868" t="str">
            <v>Ya</v>
          </cell>
          <cell r="R2868" t="str">
            <v>Done</v>
          </cell>
          <cell r="S2868" t="str">
            <v>Belum TL</v>
          </cell>
          <cell r="T2868" t="str">
            <v>90170665 - Mutiara Ayuningtyas</v>
          </cell>
          <cell r="U2868" t="str">
            <v>"-"</v>
          </cell>
        </row>
        <row r="2869">
          <cell r="A2869">
            <v>46265</v>
          </cell>
          <cell r="B2869" t="str">
            <v xml:space="preserve">SARDIH                                  </v>
          </cell>
          <cell r="C2869" t="str">
            <v>SJCCO83</v>
          </cell>
          <cell r="D2869">
            <v>114901006210539</v>
          </cell>
          <cell r="F2869" t="str">
            <v>Tidak</v>
          </cell>
          <cell r="G2869" t="str">
            <v>Tidak</v>
          </cell>
          <cell r="H2869" t="str">
            <v>Tidak</v>
          </cell>
          <cell r="I2869" t="str">
            <v>Bandar Judol Withdrawal</v>
          </cell>
          <cell r="J2869">
            <v>35</v>
          </cell>
          <cell r="K2869" t="str">
            <v>86,88,87</v>
          </cell>
          <cell r="L2869" t="str">
            <v>Judi Online</v>
          </cell>
          <cell r="M2869" t="str">
            <v xml:space="preserve">Kas Kanpus                              </v>
          </cell>
          <cell r="N2869" t="str">
            <v xml:space="preserve">Kas Kanpus                              </v>
          </cell>
          <cell r="O2869" t="str">
            <v xml:space="preserve">KAS KANPUS                              </v>
          </cell>
          <cell r="P2869" t="str">
            <v>Ya</v>
          </cell>
          <cell r="R2869" t="str">
            <v>Done</v>
          </cell>
          <cell r="S2869" t="str">
            <v>Belum TL</v>
          </cell>
          <cell r="T2869" t="str">
            <v>90171841 - Rifqi Aziz</v>
          </cell>
          <cell r="U2869" t="str">
            <v>"-"</v>
          </cell>
        </row>
        <row r="2870">
          <cell r="A2870">
            <v>46265</v>
          </cell>
          <cell r="B2870" t="str">
            <v xml:space="preserve">SAKA PRASETYA                           </v>
          </cell>
          <cell r="C2870" t="str">
            <v>SJLBP96</v>
          </cell>
          <cell r="D2870">
            <v>43901042999501</v>
          </cell>
          <cell r="F2870" t="str">
            <v>Tidak</v>
          </cell>
          <cell r="G2870" t="str">
            <v>Tidak</v>
          </cell>
          <cell r="H2870" t="str">
            <v>Tidak</v>
          </cell>
          <cell r="I2870" t="str">
            <v>Bandar Judol Withdrawal</v>
          </cell>
          <cell r="J2870">
            <v>35</v>
          </cell>
          <cell r="K2870" t="str">
            <v>86,88,87</v>
          </cell>
          <cell r="L2870" t="str">
            <v>Judi Online</v>
          </cell>
          <cell r="M2870" t="str">
            <v xml:space="preserve">Kas Kanpus                              </v>
          </cell>
          <cell r="N2870" t="str">
            <v xml:space="preserve">Kas Kanpus                              </v>
          </cell>
          <cell r="O2870" t="str">
            <v xml:space="preserve">KAS KANPUS                              </v>
          </cell>
          <cell r="P2870" t="str">
            <v>Ya</v>
          </cell>
          <cell r="R2870" t="str">
            <v>Done</v>
          </cell>
          <cell r="S2870" t="str">
            <v>Belum TL</v>
          </cell>
          <cell r="T2870" t="str">
            <v>90186796 - Devito Arya Wiradila</v>
          </cell>
          <cell r="U2870" t="str">
            <v>"-"</v>
          </cell>
        </row>
        <row r="2871">
          <cell r="A2871">
            <v>46265</v>
          </cell>
          <cell r="B2871" t="str">
            <v xml:space="preserve">SUPIATI                                 </v>
          </cell>
          <cell r="C2871" t="str">
            <v>SJMBN78</v>
          </cell>
          <cell r="D2871">
            <v>33801002388560</v>
          </cell>
          <cell r="F2871" t="str">
            <v>Tidak</v>
          </cell>
          <cell r="G2871" t="str">
            <v>Tidak</v>
          </cell>
          <cell r="H2871" t="str">
            <v>Tidak</v>
          </cell>
          <cell r="I2871" t="str">
            <v>Bandar Judol Withdrawal</v>
          </cell>
          <cell r="J2871">
            <v>35</v>
          </cell>
          <cell r="K2871" t="str">
            <v>86,88,87</v>
          </cell>
          <cell r="L2871" t="str">
            <v>Judi Online</v>
          </cell>
          <cell r="M2871" t="str">
            <v xml:space="preserve">Kas Kanpus                              </v>
          </cell>
          <cell r="N2871" t="str">
            <v xml:space="preserve">Kas Kanpus                              </v>
          </cell>
          <cell r="O2871" t="str">
            <v xml:space="preserve">KAS KANPUS                              </v>
          </cell>
          <cell r="P2871" t="str">
            <v>Ya</v>
          </cell>
          <cell r="R2871" t="str">
            <v>Done</v>
          </cell>
          <cell r="S2871" t="str">
            <v>Belum TL</v>
          </cell>
          <cell r="T2871" t="str">
            <v>00336949 - Mochammad Al Farabi</v>
          </cell>
          <cell r="U2871" t="str">
            <v>"-"</v>
          </cell>
        </row>
        <row r="2872">
          <cell r="A2872">
            <v>46265</v>
          </cell>
          <cell r="B2872" t="str">
            <v xml:space="preserve">SUMIATI                                 </v>
          </cell>
          <cell r="C2872" t="str">
            <v>SJMCA15</v>
          </cell>
          <cell r="D2872">
            <v>43801069314500</v>
          </cell>
          <cell r="F2872" t="str">
            <v>Tidak</v>
          </cell>
          <cell r="G2872" t="str">
            <v>Tidak</v>
          </cell>
          <cell r="H2872" t="str">
            <v>Tidak</v>
          </cell>
          <cell r="I2872" t="str">
            <v>Bandar Judol Withdrawal</v>
          </cell>
          <cell r="J2872">
            <v>35</v>
          </cell>
          <cell r="K2872" t="str">
            <v>86,88,87</v>
          </cell>
          <cell r="L2872" t="str">
            <v>Judi Online</v>
          </cell>
          <cell r="M2872" t="str">
            <v xml:space="preserve">Kas Kanpus                              </v>
          </cell>
          <cell r="N2872" t="str">
            <v xml:space="preserve">Kas Kanpus                              </v>
          </cell>
          <cell r="O2872" t="str">
            <v xml:space="preserve">KAS KANPUS                              </v>
          </cell>
          <cell r="P2872" t="str">
            <v>Ya</v>
          </cell>
          <cell r="R2872" t="str">
            <v>Done</v>
          </cell>
          <cell r="S2872" t="str">
            <v>Belum TL</v>
          </cell>
          <cell r="T2872" t="str">
            <v>90150130 - Intan Aida Pratiwi</v>
          </cell>
          <cell r="U2872" t="str">
            <v>"-"</v>
          </cell>
        </row>
        <row r="2873">
          <cell r="A2873">
            <v>46265</v>
          </cell>
          <cell r="B2873" t="str">
            <v xml:space="preserve">SELVIA PEBRIANTI                        </v>
          </cell>
          <cell r="C2873" t="str">
            <v>SJYBF15</v>
          </cell>
          <cell r="D2873">
            <v>43801071205501</v>
          </cell>
          <cell r="F2873" t="str">
            <v>Tidak</v>
          </cell>
          <cell r="G2873" t="str">
            <v>Tidak</v>
          </cell>
          <cell r="H2873" t="str">
            <v>Tidak</v>
          </cell>
          <cell r="I2873" t="str">
            <v>Bandar Judol Withdrawal</v>
          </cell>
          <cell r="J2873">
            <v>35</v>
          </cell>
          <cell r="K2873" t="str">
            <v>86,88,87</v>
          </cell>
          <cell r="L2873" t="str">
            <v>Judi Online</v>
          </cell>
          <cell r="M2873" t="str">
            <v xml:space="preserve">Kas Kanpus                              </v>
          </cell>
          <cell r="N2873" t="str">
            <v xml:space="preserve">Kas Kanpus                              </v>
          </cell>
          <cell r="O2873" t="str">
            <v xml:space="preserve">KAS KANPUS                              </v>
          </cell>
          <cell r="P2873" t="str">
            <v>Ya</v>
          </cell>
          <cell r="R2873" t="str">
            <v>Done</v>
          </cell>
          <cell r="S2873" t="str">
            <v>Belum TL</v>
          </cell>
          <cell r="T2873" t="str">
            <v>90186796 - Devito Arya Wiradila</v>
          </cell>
          <cell r="U2873" t="str">
            <v>"-"</v>
          </cell>
        </row>
        <row r="2874">
          <cell r="A2874">
            <v>46265</v>
          </cell>
          <cell r="B2874" t="str">
            <v xml:space="preserve">SINYO DJAMI MARLISA                     </v>
          </cell>
          <cell r="C2874" t="str">
            <v>SKAM416</v>
          </cell>
          <cell r="D2874">
            <v>217601029843501</v>
          </cell>
          <cell r="E2874" t="str">
            <v>RENDAH</v>
          </cell>
          <cell r="F2874" t="str">
            <v>Tidak</v>
          </cell>
          <cell r="G2874" t="str">
            <v>Tidak</v>
          </cell>
          <cell r="H2874" t="str">
            <v>Tidak</v>
          </cell>
          <cell r="I2874" t="str">
            <v>Bandar Judol Withdrawal</v>
          </cell>
          <cell r="J2874">
            <v>35</v>
          </cell>
          <cell r="K2874" t="str">
            <v>86,88,87</v>
          </cell>
          <cell r="L2874" t="str">
            <v>Judi Online</v>
          </cell>
          <cell r="M2874" t="str">
            <v xml:space="preserve">Kas Kanpus                              </v>
          </cell>
          <cell r="N2874" t="str">
            <v xml:space="preserve">Kas Kanpus                              </v>
          </cell>
          <cell r="O2874" t="str">
            <v xml:space="preserve">KAS KANPUS                              </v>
          </cell>
          <cell r="P2874" t="str">
            <v>Tidak</v>
          </cell>
          <cell r="R2874" t="str">
            <v>Done</v>
          </cell>
          <cell r="S2874" t="str">
            <v>Belum TL</v>
          </cell>
          <cell r="T2874" t="str">
            <v>90186790 - Muhammad Alfin Farha</v>
          </cell>
          <cell r="U2874" t="str">
            <v>"-"</v>
          </cell>
        </row>
        <row r="2875">
          <cell r="A2875">
            <v>46265</v>
          </cell>
          <cell r="B2875" t="str">
            <v xml:space="preserve">SUDARTIK                                </v>
          </cell>
          <cell r="C2875" t="str">
            <v>SKBE956</v>
          </cell>
          <cell r="D2875">
            <v>63301044694507</v>
          </cell>
          <cell r="E2875" t="str">
            <v>SEDANG</v>
          </cell>
          <cell r="F2875" t="str">
            <v>Tidak</v>
          </cell>
          <cell r="G2875" t="str">
            <v>Tidak</v>
          </cell>
          <cell r="H2875" t="str">
            <v>Tidak</v>
          </cell>
          <cell r="I2875" t="str">
            <v>Bandar Judol Withdrawal</v>
          </cell>
          <cell r="J2875">
            <v>50</v>
          </cell>
          <cell r="K2875" t="str">
            <v>86,88,87</v>
          </cell>
          <cell r="L2875" t="str">
            <v>Judi Online</v>
          </cell>
          <cell r="M2875" t="str">
            <v xml:space="preserve">Kas Kanpus                              </v>
          </cell>
          <cell r="N2875" t="str">
            <v xml:space="preserve">Kas Kanpus                              </v>
          </cell>
          <cell r="O2875" t="str">
            <v xml:space="preserve">KAS KANPUS                              </v>
          </cell>
          <cell r="P2875" t="str">
            <v>Ya</v>
          </cell>
          <cell r="R2875" t="str">
            <v>Done</v>
          </cell>
          <cell r="S2875" t="str">
            <v>Belum TL</v>
          </cell>
          <cell r="T2875" t="str">
            <v>90186796 - Devito Arya Wiradila</v>
          </cell>
          <cell r="U2875" t="str">
            <v>"-"</v>
          </cell>
        </row>
        <row r="2876">
          <cell r="A2876">
            <v>46265</v>
          </cell>
          <cell r="B2876" t="str">
            <v xml:space="preserve">SITI WULANDARI                          </v>
          </cell>
          <cell r="C2876" t="str">
            <v>SJSUC74</v>
          </cell>
          <cell r="D2876">
            <v>714401016758503</v>
          </cell>
          <cell r="F2876" t="str">
            <v>Tidak</v>
          </cell>
          <cell r="G2876" t="str">
            <v>Tidak</v>
          </cell>
          <cell r="H2876" t="str">
            <v>Tidak</v>
          </cell>
          <cell r="I2876" t="str">
            <v>Bandar Judol Withdrawal</v>
          </cell>
          <cell r="J2876">
            <v>35</v>
          </cell>
          <cell r="K2876" t="str">
            <v>86,88,87</v>
          </cell>
          <cell r="L2876" t="str">
            <v>Judi Online</v>
          </cell>
          <cell r="M2876" t="str">
            <v xml:space="preserve">Kas Kanpus                              </v>
          </cell>
          <cell r="N2876" t="str">
            <v xml:space="preserve">Kas Kanpus                              </v>
          </cell>
          <cell r="O2876" t="str">
            <v xml:space="preserve">KAS KANPUS                              </v>
          </cell>
          <cell r="P2876" t="str">
            <v>Ya</v>
          </cell>
          <cell r="R2876" t="str">
            <v>Done</v>
          </cell>
          <cell r="S2876" t="str">
            <v>Belum TL</v>
          </cell>
          <cell r="T2876" t="str">
            <v>90170665 - Mutiara Ayuningtyas</v>
          </cell>
          <cell r="U2876" t="str">
            <v>"-"</v>
          </cell>
        </row>
        <row r="2877">
          <cell r="A2877">
            <v>46265</v>
          </cell>
          <cell r="B2877" t="str">
            <v xml:space="preserve">SARIPPUDIN                              </v>
          </cell>
          <cell r="C2877" t="str">
            <v>SJTWA62</v>
          </cell>
          <cell r="D2877">
            <v>118301016567500</v>
          </cell>
          <cell r="F2877" t="str">
            <v>Tidak</v>
          </cell>
          <cell r="G2877" t="str">
            <v>Tidak</v>
          </cell>
          <cell r="H2877" t="str">
            <v>Tidak</v>
          </cell>
          <cell r="I2877" t="str">
            <v>Bandar Judol Withdrawal</v>
          </cell>
          <cell r="J2877">
            <v>35</v>
          </cell>
          <cell r="K2877" t="str">
            <v>86,88,87</v>
          </cell>
          <cell r="L2877" t="str">
            <v>Judi Online</v>
          </cell>
          <cell r="M2877" t="str">
            <v xml:space="preserve">Kas Kanpus                              </v>
          </cell>
          <cell r="N2877" t="str">
            <v xml:space="preserve">Kas Kanpus                              </v>
          </cell>
          <cell r="O2877" t="str">
            <v xml:space="preserve">KAS KANPUS                              </v>
          </cell>
          <cell r="P2877" t="str">
            <v>Ya</v>
          </cell>
          <cell r="R2877" t="str">
            <v>Done</v>
          </cell>
          <cell r="S2877" t="str">
            <v>Belum TL</v>
          </cell>
          <cell r="T2877" t="str">
            <v>90150130 - Intan Aida Pratiwi</v>
          </cell>
          <cell r="U2877" t="str">
            <v>"-"</v>
          </cell>
        </row>
        <row r="2878">
          <cell r="A2878">
            <v>46265</v>
          </cell>
          <cell r="B2878" t="str">
            <v xml:space="preserve">SALMA                                   </v>
          </cell>
          <cell r="C2878" t="str">
            <v>SJSLK39</v>
          </cell>
          <cell r="D2878">
            <v>112901039255502</v>
          </cell>
          <cell r="F2878" t="str">
            <v>Tidak</v>
          </cell>
          <cell r="G2878" t="str">
            <v>Tidak</v>
          </cell>
          <cell r="H2878" t="str">
            <v>Tidak</v>
          </cell>
          <cell r="I2878" t="str">
            <v>Bandar Judol Withdrawal</v>
          </cell>
          <cell r="J2878">
            <v>35</v>
          </cell>
          <cell r="K2878" t="str">
            <v>86,88,87</v>
          </cell>
          <cell r="L2878" t="str">
            <v>Judi Online</v>
          </cell>
          <cell r="M2878" t="str">
            <v xml:space="preserve">Kas Kanpus                              </v>
          </cell>
          <cell r="N2878" t="str">
            <v xml:space="preserve">Kas Kanpus                              </v>
          </cell>
          <cell r="O2878" t="str">
            <v xml:space="preserve">KAS KANPUS                              </v>
          </cell>
          <cell r="P2878" t="str">
            <v>Ya</v>
          </cell>
          <cell r="R2878" t="str">
            <v>Done</v>
          </cell>
          <cell r="S2878" t="str">
            <v>Belum TL</v>
          </cell>
          <cell r="T2878" t="str">
            <v>00336949 - Mochammad Al Farabi</v>
          </cell>
          <cell r="U2878" t="str">
            <v>"-"</v>
          </cell>
        </row>
        <row r="2879">
          <cell r="A2879">
            <v>46265</v>
          </cell>
          <cell r="B2879" t="str">
            <v xml:space="preserve">STEVEN NICHOLAS AGUSWAN                 </v>
          </cell>
          <cell r="C2879" t="str">
            <v>SJPPE27</v>
          </cell>
          <cell r="D2879">
            <v>576201005665507</v>
          </cell>
          <cell r="F2879" t="str">
            <v>Tidak</v>
          </cell>
          <cell r="G2879" t="str">
            <v>Tidak</v>
          </cell>
          <cell r="H2879" t="str">
            <v>Tidak</v>
          </cell>
          <cell r="I2879" t="str">
            <v>Bandar Judol Withdrawal</v>
          </cell>
          <cell r="J2879">
            <v>35</v>
          </cell>
          <cell r="K2879" t="str">
            <v>86,88,87</v>
          </cell>
          <cell r="L2879" t="str">
            <v>Judi Online</v>
          </cell>
          <cell r="M2879" t="str">
            <v xml:space="preserve">Kas Kanpus                              </v>
          </cell>
          <cell r="N2879" t="str">
            <v xml:space="preserve">Kas Kanpus                              </v>
          </cell>
          <cell r="O2879" t="str">
            <v xml:space="preserve">KAS KANPUS                              </v>
          </cell>
          <cell r="P2879" t="str">
            <v>Tidak</v>
          </cell>
          <cell r="R2879" t="str">
            <v>Done</v>
          </cell>
          <cell r="S2879" t="str">
            <v>Belum TL</v>
          </cell>
          <cell r="T2879" t="str">
            <v>00394521 - Muhammad Hibbanduta</v>
          </cell>
          <cell r="U2879" t="str">
            <v>"-"</v>
          </cell>
        </row>
        <row r="2880">
          <cell r="A2880">
            <v>46265</v>
          </cell>
          <cell r="B2880" t="str">
            <v xml:space="preserve">SUPARMAN                                </v>
          </cell>
          <cell r="C2880" t="str">
            <v>SJQEJ09</v>
          </cell>
          <cell r="D2880">
            <v>118001020147502</v>
          </cell>
          <cell r="F2880" t="str">
            <v>Tidak</v>
          </cell>
          <cell r="G2880" t="str">
            <v>Tidak</v>
          </cell>
          <cell r="H2880" t="str">
            <v>Tidak</v>
          </cell>
          <cell r="I2880" t="str">
            <v>Bandar Judol Withdrawal</v>
          </cell>
          <cell r="J2880">
            <v>35</v>
          </cell>
          <cell r="K2880" t="str">
            <v>86,88,87</v>
          </cell>
          <cell r="L2880" t="str">
            <v>Judi Online</v>
          </cell>
          <cell r="M2880" t="str">
            <v xml:space="preserve">Kas Kanpus                              </v>
          </cell>
          <cell r="N2880" t="str">
            <v xml:space="preserve">Kas Kanpus                              </v>
          </cell>
          <cell r="O2880" t="str">
            <v xml:space="preserve">KAS KANPUS                              </v>
          </cell>
          <cell r="P2880" t="str">
            <v>Ya</v>
          </cell>
          <cell r="R2880" t="str">
            <v>Done</v>
          </cell>
          <cell r="S2880" t="str">
            <v>Belum TL</v>
          </cell>
          <cell r="T2880" t="str">
            <v>90186790 - Muhammad Alfin Farha</v>
          </cell>
          <cell r="U2880" t="str">
            <v>"-"</v>
          </cell>
        </row>
        <row r="2881">
          <cell r="A2881">
            <v>46265</v>
          </cell>
          <cell r="B2881" t="str">
            <v xml:space="preserve">SAIDIN                                  </v>
          </cell>
          <cell r="C2881" t="str">
            <v>SJRAN77</v>
          </cell>
          <cell r="D2881">
            <v>481601019124503</v>
          </cell>
          <cell r="F2881" t="str">
            <v>Tidak</v>
          </cell>
          <cell r="G2881" t="str">
            <v>Tidak</v>
          </cell>
          <cell r="H2881" t="str">
            <v>Tidak</v>
          </cell>
          <cell r="I2881" t="str">
            <v>Bandar Judol Withdrawal</v>
          </cell>
          <cell r="J2881">
            <v>35</v>
          </cell>
          <cell r="K2881" t="str">
            <v>86,88,87</v>
          </cell>
          <cell r="L2881" t="str">
            <v>Judi Online</v>
          </cell>
          <cell r="M2881" t="str">
            <v xml:space="preserve">Kas Kanpus                              </v>
          </cell>
          <cell r="N2881" t="str">
            <v xml:space="preserve">Kas Kanpus                              </v>
          </cell>
          <cell r="O2881" t="str">
            <v xml:space="preserve">KAS KANPUS                              </v>
          </cell>
          <cell r="P2881" t="str">
            <v>Ya</v>
          </cell>
          <cell r="R2881" t="str">
            <v>Done</v>
          </cell>
          <cell r="S2881" t="str">
            <v>Belum TL</v>
          </cell>
          <cell r="T2881" t="str">
            <v>90186790 - Muhammad Alfin Farha</v>
          </cell>
          <cell r="U2881" t="str">
            <v>"-"</v>
          </cell>
        </row>
        <row r="2882">
          <cell r="A2882">
            <v>46265</v>
          </cell>
          <cell r="B2882" t="str">
            <v xml:space="preserve">SAPIUDDIN                               </v>
          </cell>
          <cell r="C2882" t="str">
            <v>SOLS051</v>
          </cell>
          <cell r="D2882">
            <v>749501003541538</v>
          </cell>
          <cell r="E2882" t="str">
            <v>SEDANG</v>
          </cell>
          <cell r="F2882" t="str">
            <v>Ya</v>
          </cell>
          <cell r="G2882" t="str">
            <v>Tidak</v>
          </cell>
          <cell r="H2882" t="str">
            <v>Tidak</v>
          </cell>
          <cell r="I2882" t="str">
            <v>Transaksi Agen BRILink terindikasi Judi Online</v>
          </cell>
          <cell r="J2882">
            <v>48</v>
          </cell>
          <cell r="K2882">
            <v>105</v>
          </cell>
          <cell r="L2882" t="str">
            <v>Agen BRILink</v>
          </cell>
          <cell r="M2882" t="str">
            <v xml:space="preserve">Kas Kanpus                              </v>
          </cell>
          <cell r="N2882" t="str">
            <v xml:space="preserve">Kas Kanpus                              </v>
          </cell>
          <cell r="O2882" t="str">
            <v xml:space="preserve">KAS KANPUS                              </v>
          </cell>
          <cell r="P2882" t="str">
            <v>Tidak</v>
          </cell>
          <cell r="R2882" t="str">
            <v>Done</v>
          </cell>
          <cell r="S2882" t="str">
            <v>Belum TL</v>
          </cell>
          <cell r="T2882" t="str">
            <v>00336949 - Mochammad Al Farabi</v>
          </cell>
          <cell r="U2882" t="str">
            <v>"-"</v>
          </cell>
        </row>
        <row r="2883">
          <cell r="A2883">
            <v>46265</v>
          </cell>
          <cell r="B2883" t="str">
            <v xml:space="preserve">SUHARTA                                 </v>
          </cell>
          <cell r="C2883" t="str">
            <v>SQGW140</v>
          </cell>
          <cell r="D2883">
            <v>779801013803536</v>
          </cell>
          <cell r="E2883" t="str">
            <v>SEDANG</v>
          </cell>
          <cell r="F2883" t="str">
            <v>Tidak</v>
          </cell>
          <cell r="G2883" t="str">
            <v>Tidak</v>
          </cell>
          <cell r="H2883" t="str">
            <v>Ya</v>
          </cell>
          <cell r="I2883" t="str">
            <v>Bandar Judol Withdrawal</v>
          </cell>
          <cell r="J2883">
            <v>50</v>
          </cell>
          <cell r="K2883" t="str">
            <v>86,88,87</v>
          </cell>
          <cell r="L2883" t="str">
            <v>Judi Online</v>
          </cell>
          <cell r="M2883" t="str">
            <v xml:space="preserve">Kas Kanpus                              </v>
          </cell>
          <cell r="N2883" t="str">
            <v xml:space="preserve">Kas Kanpus                              </v>
          </cell>
          <cell r="O2883" t="str">
            <v xml:space="preserve">KAS KANPUS                              </v>
          </cell>
          <cell r="P2883" t="str">
            <v>Ya</v>
          </cell>
          <cell r="R2883" t="str">
            <v>Done</v>
          </cell>
          <cell r="S2883" t="str">
            <v>Belum TL</v>
          </cell>
          <cell r="T2883" t="str">
            <v>90186796 - Devito Arya Wiradila</v>
          </cell>
          <cell r="U2883" t="str">
            <v>"-"</v>
          </cell>
        </row>
        <row r="2884">
          <cell r="A2884">
            <v>46265</v>
          </cell>
          <cell r="B2884" t="str">
            <v xml:space="preserve">SELMA NUR IKZA                          </v>
          </cell>
          <cell r="C2884" t="str">
            <v>SURC716</v>
          </cell>
          <cell r="D2884">
            <v>225101000908562</v>
          </cell>
          <cell r="E2884" t="str">
            <v>SEDANG</v>
          </cell>
          <cell r="F2884" t="str">
            <v>Tidak</v>
          </cell>
          <cell r="G2884" t="str">
            <v>Tidak</v>
          </cell>
          <cell r="H2884" t="str">
            <v>Tidak</v>
          </cell>
          <cell r="I2884" t="str">
            <v>Bandar Judol Depo</v>
          </cell>
          <cell r="J2884">
            <v>50</v>
          </cell>
          <cell r="K2884" t="str">
            <v>86,74,87</v>
          </cell>
          <cell r="L2884" t="str">
            <v>Judi Online</v>
          </cell>
          <cell r="M2884" t="str">
            <v xml:space="preserve">Kas Kanpus                              </v>
          </cell>
          <cell r="N2884" t="str">
            <v xml:space="preserve">Kas Kanpus                              </v>
          </cell>
          <cell r="O2884" t="str">
            <v xml:space="preserve">KAS KANPUS                              </v>
          </cell>
          <cell r="P2884" t="str">
            <v>Tidak</v>
          </cell>
          <cell r="R2884" t="str">
            <v>Done</v>
          </cell>
          <cell r="S2884" t="str">
            <v>Belum TL</v>
          </cell>
          <cell r="T2884" t="str">
            <v>00336949 - Mochammad Al Farabi</v>
          </cell>
          <cell r="U2884" t="str">
            <v>"-"</v>
          </cell>
        </row>
        <row r="2885">
          <cell r="A2885">
            <v>46265</v>
          </cell>
          <cell r="B2885" t="str">
            <v xml:space="preserve">SARI WAHYUNI                            </v>
          </cell>
          <cell r="C2885" t="str">
            <v>SSVM260</v>
          </cell>
          <cell r="D2885">
            <v>69201007105509</v>
          </cell>
          <cell r="E2885" t="str">
            <v>SEDANG</v>
          </cell>
          <cell r="F2885" t="str">
            <v>Tidak</v>
          </cell>
          <cell r="G2885" t="str">
            <v>Tidak</v>
          </cell>
          <cell r="H2885" t="str">
            <v>Tidak</v>
          </cell>
          <cell r="I2885" t="str">
            <v>Bandar Judol Depo</v>
          </cell>
          <cell r="J2885">
            <v>50</v>
          </cell>
          <cell r="K2885" t="str">
            <v>86,74,87</v>
          </cell>
          <cell r="L2885" t="str">
            <v>Judi Online</v>
          </cell>
          <cell r="M2885" t="str">
            <v xml:space="preserve">Kas Kanpus                              </v>
          </cell>
          <cell r="N2885" t="str">
            <v xml:space="preserve">Kas Kanpus                              </v>
          </cell>
          <cell r="O2885" t="str">
            <v xml:space="preserve">KAS KANPUS                              </v>
          </cell>
          <cell r="P2885" t="str">
            <v>Ya</v>
          </cell>
          <cell r="R2885" t="str">
            <v>Done</v>
          </cell>
          <cell r="S2885" t="str">
            <v>Belum TL</v>
          </cell>
          <cell r="T2885" t="str">
            <v>90171841 - Rifqi Aziz</v>
          </cell>
          <cell r="U2885" t="str">
            <v>"-"</v>
          </cell>
        </row>
        <row r="2886">
          <cell r="A2886">
            <v>46265</v>
          </cell>
          <cell r="B2886" t="str">
            <v xml:space="preserve">SUPARMI                                 </v>
          </cell>
          <cell r="C2886" t="str">
            <v>SSUL402</v>
          </cell>
          <cell r="D2886">
            <v>23801097953500</v>
          </cell>
          <cell r="E2886" t="str">
            <v>SEDANG</v>
          </cell>
          <cell r="F2886" t="str">
            <v>Tidak</v>
          </cell>
          <cell r="G2886" t="str">
            <v>Tidak</v>
          </cell>
          <cell r="H2886" t="str">
            <v>Tidak</v>
          </cell>
          <cell r="I2886" t="str">
            <v>Bandar Judol Withdrawal</v>
          </cell>
          <cell r="J2886">
            <v>50</v>
          </cell>
          <cell r="K2886" t="str">
            <v>86,88,87</v>
          </cell>
          <cell r="L2886" t="str">
            <v>Judi Online</v>
          </cell>
          <cell r="M2886" t="str">
            <v xml:space="preserve">Kas Kanpus                              </v>
          </cell>
          <cell r="N2886" t="str">
            <v xml:space="preserve">Kas Kanpus                              </v>
          </cell>
          <cell r="O2886" t="str">
            <v xml:space="preserve">KAS KANPUS                              </v>
          </cell>
          <cell r="P2886" t="str">
            <v>Ya</v>
          </cell>
          <cell r="R2886" t="str">
            <v>Done</v>
          </cell>
          <cell r="S2886" t="str">
            <v>Belum TL</v>
          </cell>
          <cell r="T2886" t="str">
            <v>90150130 - Intan Aida Pratiwi</v>
          </cell>
          <cell r="U2886" t="str">
            <v>"-"</v>
          </cell>
        </row>
        <row r="2887">
          <cell r="A2887">
            <v>46265</v>
          </cell>
          <cell r="B2887" t="str">
            <v xml:space="preserve">SUWARNI                                 </v>
          </cell>
          <cell r="C2887" t="str">
            <v>SLLY627</v>
          </cell>
          <cell r="D2887">
            <v>536101037905537</v>
          </cell>
          <cell r="E2887" t="str">
            <v>SEDANG</v>
          </cell>
          <cell r="F2887" t="str">
            <v>Tidak</v>
          </cell>
          <cell r="G2887" t="str">
            <v>Tidak</v>
          </cell>
          <cell r="H2887" t="str">
            <v>Tidak</v>
          </cell>
          <cell r="I2887" t="str">
            <v>Bandar Judol Withdrawal</v>
          </cell>
          <cell r="J2887">
            <v>50</v>
          </cell>
          <cell r="K2887" t="str">
            <v>86,88,87</v>
          </cell>
          <cell r="L2887" t="str">
            <v>Judi Online</v>
          </cell>
          <cell r="M2887" t="str">
            <v xml:space="preserve">Kas Kanpus                              </v>
          </cell>
          <cell r="N2887" t="str">
            <v xml:space="preserve">Kas Kanpus                              </v>
          </cell>
          <cell r="O2887" t="str">
            <v xml:space="preserve">KAS KANPUS                              </v>
          </cell>
          <cell r="P2887" t="str">
            <v>Ya</v>
          </cell>
          <cell r="R2887" t="str">
            <v>Done</v>
          </cell>
          <cell r="S2887" t="str">
            <v>Belum TL</v>
          </cell>
          <cell r="T2887" t="str">
            <v>00394521 - Muhammad Hibbanduta</v>
          </cell>
          <cell r="U2887" t="str">
            <v>"-"</v>
          </cell>
        </row>
        <row r="2888">
          <cell r="A2888">
            <v>46265</v>
          </cell>
          <cell r="B2888" t="str">
            <v xml:space="preserve">SRIYANTI                                </v>
          </cell>
          <cell r="C2888" t="str">
            <v>SLNT610</v>
          </cell>
          <cell r="D2888">
            <v>1701005725563</v>
          </cell>
          <cell r="E2888" t="str">
            <v>SEDANG</v>
          </cell>
          <cell r="F2888" t="str">
            <v>Tidak</v>
          </cell>
          <cell r="G2888" t="str">
            <v>Tidak</v>
          </cell>
          <cell r="H2888" t="str">
            <v>Tidak</v>
          </cell>
          <cell r="I2888" t="str">
            <v>Bandar Judol Withdrawal</v>
          </cell>
          <cell r="J2888">
            <v>50</v>
          </cell>
          <cell r="K2888" t="str">
            <v>86,88,87</v>
          </cell>
          <cell r="L2888" t="str">
            <v>Judi Online</v>
          </cell>
          <cell r="M2888" t="str">
            <v xml:space="preserve">Kas Kanpus                              </v>
          </cell>
          <cell r="N2888" t="str">
            <v xml:space="preserve">Kas Kanpus                              </v>
          </cell>
          <cell r="O2888" t="str">
            <v xml:space="preserve">KAS KANPUS                              </v>
          </cell>
          <cell r="P2888" t="str">
            <v>Ya</v>
          </cell>
          <cell r="R2888" t="str">
            <v>Done</v>
          </cell>
          <cell r="S2888" t="str">
            <v>Belum TL</v>
          </cell>
          <cell r="T2888" t="str">
            <v>90150130 - Intan Aida Pratiwi</v>
          </cell>
          <cell r="U2888" t="str">
            <v>"-"</v>
          </cell>
        </row>
        <row r="2889">
          <cell r="A2889">
            <v>46265</v>
          </cell>
          <cell r="B2889" t="str">
            <v xml:space="preserve">SUCI KAMAYOLA                           </v>
          </cell>
          <cell r="C2889" t="str">
            <v>SKUGO32</v>
          </cell>
          <cell r="D2889">
            <v>701801011338501</v>
          </cell>
          <cell r="F2889" t="str">
            <v>Tidak</v>
          </cell>
          <cell r="G2889" t="str">
            <v>Tidak</v>
          </cell>
          <cell r="H2889" t="str">
            <v>Tidak</v>
          </cell>
          <cell r="I2889" t="str">
            <v>Bandar Judol Depo</v>
          </cell>
          <cell r="J2889">
            <v>35</v>
          </cell>
          <cell r="K2889" t="str">
            <v>86,74,87</v>
          </cell>
          <cell r="L2889" t="str">
            <v>Judi Online</v>
          </cell>
          <cell r="M2889" t="str">
            <v xml:space="preserve">Kas Kanpus                              </v>
          </cell>
          <cell r="N2889" t="str">
            <v xml:space="preserve">Kas Kanpus                              </v>
          </cell>
          <cell r="O2889" t="str">
            <v xml:space="preserve">KAS KANPUS                              </v>
          </cell>
          <cell r="P2889" t="str">
            <v>Ya</v>
          </cell>
          <cell r="R2889" t="str">
            <v>Done</v>
          </cell>
          <cell r="S2889" t="str">
            <v>Belum TL</v>
          </cell>
          <cell r="T2889" t="str">
            <v>90185537 - Moh.Khoerul Fajar Ar</v>
          </cell>
          <cell r="U2889" t="str">
            <v>"-"</v>
          </cell>
        </row>
        <row r="2890">
          <cell r="A2890">
            <v>46265</v>
          </cell>
          <cell r="B2890" t="str">
            <v xml:space="preserve">SANIM                                   </v>
          </cell>
          <cell r="C2890" t="str">
            <v>SKYV637</v>
          </cell>
          <cell r="D2890">
            <v>91001030203506</v>
          </cell>
          <cell r="E2890" t="str">
            <v>SEDANG</v>
          </cell>
          <cell r="F2890" t="str">
            <v>Tidak</v>
          </cell>
          <cell r="G2890" t="str">
            <v>Tidak</v>
          </cell>
          <cell r="H2890" t="str">
            <v>Tidak</v>
          </cell>
          <cell r="I2890" t="str">
            <v>Bandar Judol Withdrawal</v>
          </cell>
          <cell r="J2890">
            <v>50</v>
          </cell>
          <cell r="K2890" t="str">
            <v>86,88,87</v>
          </cell>
          <cell r="L2890" t="str">
            <v>Judi Online</v>
          </cell>
          <cell r="M2890" t="str">
            <v xml:space="preserve">Kas Kanpus                              </v>
          </cell>
          <cell r="N2890" t="str">
            <v xml:space="preserve">Kas Kanpus                              </v>
          </cell>
          <cell r="O2890" t="str">
            <v xml:space="preserve">KAS KANPUS                              </v>
          </cell>
          <cell r="P2890" t="str">
            <v>Ya</v>
          </cell>
          <cell r="R2890" t="str">
            <v>Done</v>
          </cell>
          <cell r="S2890" t="str">
            <v>Belum TL</v>
          </cell>
          <cell r="T2890" t="str">
            <v>90171841 - Rifqi Aziz</v>
          </cell>
          <cell r="U2890" t="str">
            <v>"-"</v>
          </cell>
        </row>
        <row r="2891">
          <cell r="A2891">
            <v>46265</v>
          </cell>
          <cell r="B2891" t="str">
            <v xml:space="preserve">SAMSUL ARIFIN                           </v>
          </cell>
          <cell r="C2891" t="str">
            <v>SKVAC13</v>
          </cell>
          <cell r="D2891">
            <v>722301018457509</v>
          </cell>
          <cell r="F2891" t="str">
            <v>Tidak</v>
          </cell>
          <cell r="G2891" t="str">
            <v>Tidak</v>
          </cell>
          <cell r="H2891" t="str">
            <v>Tidak</v>
          </cell>
          <cell r="I2891" t="str">
            <v>Bandar Judol Withdrawal</v>
          </cell>
          <cell r="J2891">
            <v>35</v>
          </cell>
          <cell r="K2891" t="str">
            <v>86,88,87</v>
          </cell>
          <cell r="L2891" t="str">
            <v>Judi Online</v>
          </cell>
          <cell r="M2891" t="str">
            <v xml:space="preserve">Kas Kanpus                              </v>
          </cell>
          <cell r="N2891" t="str">
            <v xml:space="preserve">Kas Kanpus                              </v>
          </cell>
          <cell r="O2891" t="str">
            <v xml:space="preserve">KAS KANPUS                              </v>
          </cell>
          <cell r="P2891" t="str">
            <v>Ya</v>
          </cell>
          <cell r="R2891" t="str">
            <v>Done</v>
          </cell>
          <cell r="S2891" t="str">
            <v>Belum TL</v>
          </cell>
          <cell r="T2891" t="str">
            <v>00336949 - Mochammad Al Farabi</v>
          </cell>
          <cell r="U2891" t="str">
            <v>"-"</v>
          </cell>
        </row>
        <row r="2892">
          <cell r="A2892">
            <v>46265</v>
          </cell>
          <cell r="B2892" t="str">
            <v>SAMUEL CHRISTIAN HADAMEON MORDEKHAI SIBU</v>
          </cell>
          <cell r="C2892" t="str">
            <v>SKSZE73</v>
          </cell>
          <cell r="D2892">
            <v>138801005447501</v>
          </cell>
          <cell r="F2892" t="str">
            <v>Tidak</v>
          </cell>
          <cell r="G2892" t="str">
            <v>Tidak</v>
          </cell>
          <cell r="H2892" t="str">
            <v>Tidak</v>
          </cell>
          <cell r="I2892" t="str">
            <v>Bandar Judol Depo</v>
          </cell>
          <cell r="J2892">
            <v>35</v>
          </cell>
          <cell r="K2892" t="str">
            <v>86,74,87</v>
          </cell>
          <cell r="L2892" t="str">
            <v>Judi Online</v>
          </cell>
          <cell r="M2892" t="str">
            <v xml:space="preserve">Kas Kanpus                              </v>
          </cell>
          <cell r="N2892" t="str">
            <v xml:space="preserve">Kas Kanpus                              </v>
          </cell>
          <cell r="O2892" t="str">
            <v xml:space="preserve">KAS KANPUS                              </v>
          </cell>
          <cell r="P2892" t="str">
            <v>Ya</v>
          </cell>
          <cell r="R2892" t="str">
            <v>Done</v>
          </cell>
          <cell r="S2892" t="str">
            <v>Belum TL</v>
          </cell>
          <cell r="T2892" t="str">
            <v>90186790 - Muhammad Alfin Farha</v>
          </cell>
          <cell r="U2892" t="str">
            <v>"-"</v>
          </cell>
        </row>
        <row r="2893">
          <cell r="A2893">
            <v>46265</v>
          </cell>
          <cell r="B2893" t="str">
            <v xml:space="preserve">SEPTIAN HADINATA                        </v>
          </cell>
          <cell r="C2893" t="str">
            <v>SKSWM65</v>
          </cell>
          <cell r="D2893">
            <v>108801019532506</v>
          </cell>
          <cell r="F2893" t="str">
            <v>Tidak</v>
          </cell>
          <cell r="G2893" t="str">
            <v>Tidak</v>
          </cell>
          <cell r="H2893" t="str">
            <v>Tidak</v>
          </cell>
          <cell r="I2893" t="str">
            <v>Bandar Judol Depo</v>
          </cell>
          <cell r="J2893">
            <v>35</v>
          </cell>
          <cell r="K2893" t="str">
            <v>86,74,87</v>
          </cell>
          <cell r="L2893" t="str">
            <v>Judi Online</v>
          </cell>
          <cell r="M2893" t="str">
            <v xml:space="preserve">Kas Kanpus                              </v>
          </cell>
          <cell r="N2893" t="str">
            <v xml:space="preserve">Kas Kanpus                              </v>
          </cell>
          <cell r="O2893" t="str">
            <v xml:space="preserve">KAS KANPUS                              </v>
          </cell>
          <cell r="P2893" t="str">
            <v>Ya</v>
          </cell>
          <cell r="R2893" t="str">
            <v>Done</v>
          </cell>
          <cell r="S2893" t="str">
            <v>Belum TL</v>
          </cell>
          <cell r="T2893" t="str">
            <v>90186790 - Muhammad Alfin Farha</v>
          </cell>
          <cell r="U2893" t="str">
            <v>"-"</v>
          </cell>
        </row>
        <row r="2894">
          <cell r="A2894">
            <v>46265</v>
          </cell>
          <cell r="B2894" t="str">
            <v xml:space="preserve">SANDI                                   </v>
          </cell>
          <cell r="C2894" t="str">
            <v>SKREZ39</v>
          </cell>
          <cell r="D2894">
            <v>384801028604508</v>
          </cell>
          <cell r="F2894" t="str">
            <v>Tidak</v>
          </cell>
          <cell r="G2894" t="str">
            <v>Tidak</v>
          </cell>
          <cell r="H2894" t="str">
            <v>Tidak</v>
          </cell>
          <cell r="I2894" t="str">
            <v>Bandar Judol Withdrawal</v>
          </cell>
          <cell r="J2894">
            <v>35</v>
          </cell>
          <cell r="K2894" t="str">
            <v>86,88,87</v>
          </cell>
          <cell r="L2894" t="str">
            <v>Judi Online</v>
          </cell>
          <cell r="M2894" t="str">
            <v xml:space="preserve">Kas Kanpus                              </v>
          </cell>
          <cell r="N2894" t="str">
            <v xml:space="preserve">Kas Kanpus                              </v>
          </cell>
          <cell r="O2894" t="str">
            <v xml:space="preserve">KAS KANPUS                              </v>
          </cell>
          <cell r="P2894" t="str">
            <v>Ya</v>
          </cell>
          <cell r="R2894" t="str">
            <v>Done</v>
          </cell>
          <cell r="S2894" t="str">
            <v>Belum TL</v>
          </cell>
          <cell r="T2894" t="str">
            <v>90186790 - Muhammad Alfin Farha</v>
          </cell>
          <cell r="U2894" t="str">
            <v>"-"</v>
          </cell>
        </row>
        <row r="2895">
          <cell r="A2895">
            <v>46265</v>
          </cell>
          <cell r="B2895" t="str">
            <v xml:space="preserve">SURYADI                                 </v>
          </cell>
          <cell r="C2895" t="str">
            <v>SKQDZ11</v>
          </cell>
          <cell r="D2895">
            <v>113201020144507</v>
          </cell>
          <cell r="F2895" t="str">
            <v>Tidak</v>
          </cell>
          <cell r="G2895" t="str">
            <v>Tidak</v>
          </cell>
          <cell r="H2895" t="str">
            <v>Tidak</v>
          </cell>
          <cell r="I2895" t="str">
            <v>Bandar Judol Withdrawal</v>
          </cell>
          <cell r="J2895">
            <v>35</v>
          </cell>
          <cell r="K2895" t="str">
            <v>86,88,87</v>
          </cell>
          <cell r="L2895" t="str">
            <v>Judi Online</v>
          </cell>
          <cell r="M2895" t="str">
            <v xml:space="preserve">Kas Kanpus                              </v>
          </cell>
          <cell r="N2895" t="str">
            <v xml:space="preserve">Kas Kanpus                              </v>
          </cell>
          <cell r="O2895" t="str">
            <v xml:space="preserve">KAS KANPUS                              </v>
          </cell>
          <cell r="P2895" t="str">
            <v>Ya</v>
          </cell>
          <cell r="R2895" t="str">
            <v>Done</v>
          </cell>
          <cell r="S2895" t="str">
            <v>Belum TL</v>
          </cell>
          <cell r="T2895" t="str">
            <v>90185537 - Moh.Khoerul Fajar Ar</v>
          </cell>
          <cell r="U2895" t="str">
            <v>"-"</v>
          </cell>
        </row>
        <row r="2896">
          <cell r="A2896">
            <v>46265</v>
          </cell>
          <cell r="B2896" t="str">
            <v xml:space="preserve">SANDITA                                 </v>
          </cell>
          <cell r="C2896" t="str">
            <v>SKLMF66</v>
          </cell>
          <cell r="D2896">
            <v>28601114951509</v>
          </cell>
          <cell r="F2896" t="str">
            <v>Tidak</v>
          </cell>
          <cell r="G2896" t="str">
            <v>Tidak</v>
          </cell>
          <cell r="H2896" t="str">
            <v>Tidak</v>
          </cell>
          <cell r="I2896" t="str">
            <v>Bandar Judol Withdrawal</v>
          </cell>
          <cell r="J2896">
            <v>35</v>
          </cell>
          <cell r="K2896" t="str">
            <v>86,88,87</v>
          </cell>
          <cell r="L2896" t="str">
            <v>Judi Online</v>
          </cell>
          <cell r="M2896" t="str">
            <v xml:space="preserve">Kas Kanpus                              </v>
          </cell>
          <cell r="N2896" t="str">
            <v xml:space="preserve">Kas Kanpus                              </v>
          </cell>
          <cell r="O2896" t="str">
            <v xml:space="preserve">KAS KANPUS                              </v>
          </cell>
          <cell r="P2896" t="str">
            <v>Ya</v>
          </cell>
          <cell r="R2896" t="str">
            <v>Done</v>
          </cell>
          <cell r="S2896" t="str">
            <v>Belum TL</v>
          </cell>
          <cell r="T2896" t="str">
            <v>90170665 - Mutiara Ayuningtyas</v>
          </cell>
          <cell r="U2896" t="str">
            <v>"-"</v>
          </cell>
        </row>
        <row r="2897">
          <cell r="A2897">
            <v>46265</v>
          </cell>
          <cell r="B2897" t="str">
            <v xml:space="preserve">SANDI PRAYOGI                           </v>
          </cell>
          <cell r="C2897" t="str">
            <v>SKLZB72</v>
          </cell>
          <cell r="D2897">
            <v>370501002722504</v>
          </cell>
          <cell r="F2897" t="str">
            <v>Tidak</v>
          </cell>
          <cell r="G2897" t="str">
            <v>Tidak</v>
          </cell>
          <cell r="H2897" t="str">
            <v>Tidak</v>
          </cell>
          <cell r="I2897" t="str">
            <v>Bandar Judol Depo</v>
          </cell>
          <cell r="J2897">
            <v>35</v>
          </cell>
          <cell r="K2897" t="str">
            <v>86,74,87</v>
          </cell>
          <cell r="L2897" t="str">
            <v>Judi Online</v>
          </cell>
          <cell r="M2897" t="str">
            <v xml:space="preserve">Kas Kanpus                              </v>
          </cell>
          <cell r="N2897" t="str">
            <v xml:space="preserve">Kas Kanpus                              </v>
          </cell>
          <cell r="O2897" t="str">
            <v xml:space="preserve">KAS KANPUS                              </v>
          </cell>
          <cell r="P2897" t="str">
            <v>Ya</v>
          </cell>
          <cell r="R2897" t="str">
            <v>Done</v>
          </cell>
          <cell r="S2897" t="str">
            <v>Belum TL</v>
          </cell>
          <cell r="T2897" t="str">
            <v>90171841 - Rifqi Aziz</v>
          </cell>
          <cell r="U2897" t="str">
            <v>"-"</v>
          </cell>
        </row>
        <row r="2898">
          <cell r="A2898">
            <v>46265</v>
          </cell>
          <cell r="B2898" t="str">
            <v xml:space="preserve">SELAMET RIYADI                          </v>
          </cell>
          <cell r="C2898" t="str">
            <v>SKNLI53</v>
          </cell>
          <cell r="D2898">
            <v>39501042646500</v>
          </cell>
          <cell r="F2898" t="str">
            <v>Tidak</v>
          </cell>
          <cell r="G2898" t="str">
            <v>Tidak</v>
          </cell>
          <cell r="H2898" t="str">
            <v>Tidak</v>
          </cell>
          <cell r="I2898" t="str">
            <v>Bandar Judol Depo</v>
          </cell>
          <cell r="J2898">
            <v>35</v>
          </cell>
          <cell r="K2898" t="str">
            <v>86,74,87</v>
          </cell>
          <cell r="L2898" t="str">
            <v>Judi Online</v>
          </cell>
          <cell r="M2898" t="str">
            <v xml:space="preserve">Kas Kanpus                              </v>
          </cell>
          <cell r="N2898" t="str">
            <v xml:space="preserve">Kas Kanpus                              </v>
          </cell>
          <cell r="O2898" t="str">
            <v xml:space="preserve">KAS KANPUS                              </v>
          </cell>
          <cell r="P2898" t="str">
            <v>Ya</v>
          </cell>
          <cell r="R2898" t="str">
            <v>Done</v>
          </cell>
          <cell r="S2898" t="str">
            <v>Belum TL</v>
          </cell>
          <cell r="T2898" t="str">
            <v>00336949 - Mochammad Al Farabi</v>
          </cell>
          <cell r="U2898" t="str">
            <v>"-"</v>
          </cell>
        </row>
        <row r="2899">
          <cell r="A2899">
            <v>46265</v>
          </cell>
          <cell r="B2899" t="str">
            <v xml:space="preserve">SUWANDI                                 </v>
          </cell>
          <cell r="C2899" t="str">
            <v>SKKVA35</v>
          </cell>
          <cell r="D2899">
            <v>113201020070504</v>
          </cell>
          <cell r="F2899" t="str">
            <v>Tidak</v>
          </cell>
          <cell r="G2899" t="str">
            <v>Tidak</v>
          </cell>
          <cell r="H2899" t="str">
            <v>Tidak</v>
          </cell>
          <cell r="I2899" t="str">
            <v>Bandar Judol Withdrawal</v>
          </cell>
          <cell r="J2899">
            <v>35</v>
          </cell>
          <cell r="K2899" t="str">
            <v>86,88,87</v>
          </cell>
          <cell r="L2899" t="str">
            <v>Judi Online</v>
          </cell>
          <cell r="M2899" t="str">
            <v xml:space="preserve">Kas Kanpus                              </v>
          </cell>
          <cell r="N2899" t="str">
            <v xml:space="preserve">Kas Kanpus                              </v>
          </cell>
          <cell r="O2899" t="str">
            <v xml:space="preserve">KAS KANPUS                              </v>
          </cell>
          <cell r="P2899" t="str">
            <v>Ya</v>
          </cell>
          <cell r="R2899" t="str">
            <v>Done</v>
          </cell>
          <cell r="S2899" t="str">
            <v>Belum TL</v>
          </cell>
          <cell r="T2899" t="str">
            <v>90171841 - Rifqi Aziz</v>
          </cell>
          <cell r="U2899" t="str">
            <v>"-"</v>
          </cell>
        </row>
        <row r="2900">
          <cell r="A2900">
            <v>46265</v>
          </cell>
          <cell r="B2900" t="str">
            <v xml:space="preserve">SITI NURJANAH                           </v>
          </cell>
          <cell r="C2900" t="str">
            <v>SKLBH77</v>
          </cell>
          <cell r="D2900">
            <v>1901228209506</v>
          </cell>
          <cell r="F2900" t="str">
            <v>Tidak</v>
          </cell>
          <cell r="G2900" t="str">
            <v>Tidak</v>
          </cell>
          <cell r="H2900" t="str">
            <v>Tidak</v>
          </cell>
          <cell r="I2900" t="str">
            <v>Bandar Judol Withdrawal</v>
          </cell>
          <cell r="J2900">
            <v>35</v>
          </cell>
          <cell r="K2900" t="str">
            <v>86,88,87</v>
          </cell>
          <cell r="L2900" t="str">
            <v>Judi Online</v>
          </cell>
          <cell r="M2900" t="str">
            <v xml:space="preserve">Kas Kanpus                              </v>
          </cell>
          <cell r="N2900" t="str">
            <v xml:space="preserve">Kas Kanpus                              </v>
          </cell>
          <cell r="O2900" t="str">
            <v xml:space="preserve">KAS KANPUS                              </v>
          </cell>
          <cell r="P2900" t="str">
            <v>Ya</v>
          </cell>
          <cell r="R2900" t="str">
            <v>Done</v>
          </cell>
          <cell r="S2900" t="str">
            <v>Belum TL</v>
          </cell>
          <cell r="T2900" t="str">
            <v>00394520 - Frida Akbar Rani</v>
          </cell>
          <cell r="U2900" t="str">
            <v>"-"</v>
          </cell>
        </row>
        <row r="2901">
          <cell r="A2901">
            <v>46265</v>
          </cell>
          <cell r="B2901" t="str">
            <v xml:space="preserve">SITI SOLIHAT                            </v>
          </cell>
          <cell r="C2901" t="str">
            <v>SKKAI02</v>
          </cell>
          <cell r="D2901">
            <v>80301035980502</v>
          </cell>
          <cell r="F2901" t="str">
            <v>Tidak</v>
          </cell>
          <cell r="G2901" t="str">
            <v>Tidak</v>
          </cell>
          <cell r="H2901" t="str">
            <v>Tidak</v>
          </cell>
          <cell r="I2901" t="str">
            <v>Bandar Judol Withdrawal</v>
          </cell>
          <cell r="J2901">
            <v>35</v>
          </cell>
          <cell r="K2901" t="str">
            <v>86,88,87</v>
          </cell>
          <cell r="L2901" t="str">
            <v>Judi Online</v>
          </cell>
          <cell r="M2901" t="str">
            <v xml:space="preserve">Kas Kanpus                              </v>
          </cell>
          <cell r="N2901" t="str">
            <v xml:space="preserve">Kas Kanpus                              </v>
          </cell>
          <cell r="O2901" t="str">
            <v xml:space="preserve">KAS KANPUS                              </v>
          </cell>
          <cell r="P2901" t="str">
            <v>Ya</v>
          </cell>
          <cell r="R2901" t="str">
            <v>Done</v>
          </cell>
          <cell r="S2901" t="str">
            <v>Belum TL</v>
          </cell>
          <cell r="T2901" t="str">
            <v>90171841 - Rifqi Aziz</v>
          </cell>
          <cell r="U2901" t="str">
            <v>"-"</v>
          </cell>
        </row>
        <row r="2902">
          <cell r="A2902">
            <v>46265</v>
          </cell>
          <cell r="B2902" t="str">
            <v xml:space="preserve">SUNARDI                                 </v>
          </cell>
          <cell r="C2902" t="str">
            <v>SKIMG77</v>
          </cell>
          <cell r="D2902">
            <v>26601123396504</v>
          </cell>
          <cell r="F2902" t="str">
            <v>Tidak</v>
          </cell>
          <cell r="G2902" t="str">
            <v>Tidak</v>
          </cell>
          <cell r="H2902" t="str">
            <v>Tidak</v>
          </cell>
          <cell r="I2902" t="str">
            <v>Bandar Judol Withdrawal</v>
          </cell>
          <cell r="J2902">
            <v>35</v>
          </cell>
          <cell r="K2902" t="str">
            <v>86,88,87</v>
          </cell>
          <cell r="L2902" t="str">
            <v>Judi Online</v>
          </cell>
          <cell r="M2902" t="str">
            <v xml:space="preserve">Kas Kanpus                              </v>
          </cell>
          <cell r="N2902" t="str">
            <v xml:space="preserve">Kas Kanpus                              </v>
          </cell>
          <cell r="O2902" t="str">
            <v xml:space="preserve">KAS KANPUS                              </v>
          </cell>
          <cell r="P2902" t="str">
            <v>Ya</v>
          </cell>
          <cell r="R2902" t="str">
            <v>Done</v>
          </cell>
          <cell r="S2902" t="str">
            <v>Belum TL</v>
          </cell>
          <cell r="T2902" t="str">
            <v>90170665 - Mutiara Ayuningtyas</v>
          </cell>
          <cell r="U2902" t="str">
            <v>"-"</v>
          </cell>
        </row>
        <row r="2903">
          <cell r="A2903">
            <v>46265</v>
          </cell>
          <cell r="B2903" t="str">
            <v xml:space="preserve">SRI MULIA                               </v>
          </cell>
          <cell r="C2903" t="str">
            <v>SKIFS79</v>
          </cell>
          <cell r="D2903">
            <v>32301115443507</v>
          </cell>
          <cell r="F2903" t="str">
            <v>Tidak</v>
          </cell>
          <cell r="G2903" t="str">
            <v>Tidak</v>
          </cell>
          <cell r="H2903" t="str">
            <v>Tidak</v>
          </cell>
          <cell r="I2903" t="str">
            <v>Bandar Judol Withdrawal</v>
          </cell>
          <cell r="J2903">
            <v>35</v>
          </cell>
          <cell r="K2903" t="str">
            <v>86,88,87</v>
          </cell>
          <cell r="L2903" t="str">
            <v>Judi Online</v>
          </cell>
          <cell r="M2903" t="str">
            <v xml:space="preserve">Kas Kanpus                              </v>
          </cell>
          <cell r="N2903" t="str">
            <v xml:space="preserve">Kas Kanpus                              </v>
          </cell>
          <cell r="O2903" t="str">
            <v xml:space="preserve">KAS KANPUS                              </v>
          </cell>
          <cell r="P2903" t="str">
            <v>Ya</v>
          </cell>
          <cell r="R2903" t="str">
            <v>Done</v>
          </cell>
          <cell r="S2903" t="str">
            <v>Belum TL</v>
          </cell>
          <cell r="T2903" t="str">
            <v>90171841 - Rifqi Aziz</v>
          </cell>
          <cell r="U2903" t="str">
            <v>"-"</v>
          </cell>
        </row>
        <row r="2904">
          <cell r="A2904">
            <v>46265</v>
          </cell>
          <cell r="B2904" t="str">
            <v xml:space="preserve">SUGIONO HADDYE                          </v>
          </cell>
          <cell r="C2904" t="str">
            <v>SKJCX83</v>
          </cell>
          <cell r="D2904">
            <v>525601043834537</v>
          </cell>
          <cell r="F2904" t="str">
            <v>Tidak</v>
          </cell>
          <cell r="G2904" t="str">
            <v>Tidak</v>
          </cell>
          <cell r="H2904" t="str">
            <v>Tidak</v>
          </cell>
          <cell r="I2904" t="str">
            <v>Bandar Judol Withdrawal</v>
          </cell>
          <cell r="J2904">
            <v>35</v>
          </cell>
          <cell r="K2904" t="str">
            <v>86,88,87</v>
          </cell>
          <cell r="L2904" t="str">
            <v>Judi Online</v>
          </cell>
          <cell r="M2904" t="str">
            <v xml:space="preserve">Kas Kanpus                              </v>
          </cell>
          <cell r="N2904" t="str">
            <v xml:space="preserve">Kas Kanpus                              </v>
          </cell>
          <cell r="O2904" t="str">
            <v xml:space="preserve">KAS KANPUS                              </v>
          </cell>
          <cell r="P2904" t="str">
            <v>Ya</v>
          </cell>
          <cell r="R2904" t="str">
            <v>Done</v>
          </cell>
          <cell r="S2904" t="str">
            <v>Belum TL</v>
          </cell>
          <cell r="T2904" t="str">
            <v>90171841 - Rifqi Aziz</v>
          </cell>
          <cell r="U2904" t="str">
            <v>"-"</v>
          </cell>
        </row>
        <row r="2905">
          <cell r="A2905">
            <v>46265</v>
          </cell>
          <cell r="B2905" t="str">
            <v xml:space="preserve">SHENDY                                  </v>
          </cell>
          <cell r="C2905" t="str">
            <v>SKHSA36</v>
          </cell>
          <cell r="D2905">
            <v>182201019062503</v>
          </cell>
          <cell r="F2905" t="str">
            <v>Tidak</v>
          </cell>
          <cell r="G2905" t="str">
            <v>Tidak</v>
          </cell>
          <cell r="H2905" t="str">
            <v>Tidak</v>
          </cell>
          <cell r="I2905" t="str">
            <v>Bandar Judol Withdrawal</v>
          </cell>
          <cell r="J2905">
            <v>35</v>
          </cell>
          <cell r="K2905" t="str">
            <v>86,88,87</v>
          </cell>
          <cell r="L2905" t="str">
            <v>Judi Online</v>
          </cell>
          <cell r="M2905" t="str">
            <v xml:space="preserve">Kas Kanpus                              </v>
          </cell>
          <cell r="N2905" t="str">
            <v xml:space="preserve">Kas Kanpus                              </v>
          </cell>
          <cell r="O2905" t="str">
            <v xml:space="preserve">KAS KANPUS                              </v>
          </cell>
          <cell r="P2905" t="str">
            <v>Ya</v>
          </cell>
          <cell r="R2905" t="str">
            <v>Done</v>
          </cell>
          <cell r="S2905" t="str">
            <v>Belum TL</v>
          </cell>
          <cell r="T2905" t="str">
            <v>90170665 - Mutiara Ayuningtyas</v>
          </cell>
          <cell r="U2905" t="str">
            <v>"-"</v>
          </cell>
        </row>
        <row r="2906">
          <cell r="A2906">
            <v>46265</v>
          </cell>
          <cell r="B2906" t="str">
            <v xml:space="preserve">SHEILA OKT AVIA SAPUTRI                 </v>
          </cell>
          <cell r="C2906" t="str">
            <v>SKHVU97</v>
          </cell>
          <cell r="D2906">
            <v>332201005110504</v>
          </cell>
          <cell r="F2906" t="str">
            <v>Tidak</v>
          </cell>
          <cell r="G2906" t="str">
            <v>Tidak</v>
          </cell>
          <cell r="H2906" t="str">
            <v>Tidak</v>
          </cell>
          <cell r="I2906" t="str">
            <v>Bandar Judol Withdrawal</v>
          </cell>
          <cell r="J2906">
            <v>35</v>
          </cell>
          <cell r="K2906" t="str">
            <v>86,88,87</v>
          </cell>
          <cell r="L2906" t="str">
            <v>Judi Online</v>
          </cell>
          <cell r="M2906" t="str">
            <v xml:space="preserve">Kas Kanpus                              </v>
          </cell>
          <cell r="N2906" t="str">
            <v xml:space="preserve">Kas Kanpus                              </v>
          </cell>
          <cell r="O2906" t="str">
            <v xml:space="preserve">KAS KANPUS                              </v>
          </cell>
          <cell r="P2906" t="str">
            <v>Ya</v>
          </cell>
          <cell r="R2906" t="str">
            <v>Done</v>
          </cell>
          <cell r="S2906" t="str">
            <v>Belum TL</v>
          </cell>
          <cell r="T2906" t="str">
            <v>90186790 - Muhammad Alfin Farha</v>
          </cell>
          <cell r="U2906" t="str">
            <v>"-"</v>
          </cell>
        </row>
        <row r="2907">
          <cell r="A2907">
            <v>46265</v>
          </cell>
          <cell r="B2907" t="str">
            <v xml:space="preserve">SUTAN TANDIKA                           </v>
          </cell>
          <cell r="C2907" t="str">
            <v>SKHBI89</v>
          </cell>
          <cell r="D2907">
            <v>119101022774506</v>
          </cell>
          <cell r="F2907" t="str">
            <v>Tidak</v>
          </cell>
          <cell r="G2907" t="str">
            <v>Tidak</v>
          </cell>
          <cell r="H2907" t="str">
            <v>Tidak</v>
          </cell>
          <cell r="I2907" t="str">
            <v>Bandar Judol Withdrawal</v>
          </cell>
          <cell r="J2907">
            <v>35</v>
          </cell>
          <cell r="K2907" t="str">
            <v>86,88,87</v>
          </cell>
          <cell r="L2907" t="str">
            <v>Judi Online</v>
          </cell>
          <cell r="M2907" t="str">
            <v xml:space="preserve">Kas Kanpus                              </v>
          </cell>
          <cell r="N2907" t="str">
            <v xml:space="preserve">Kas Kanpus                              </v>
          </cell>
          <cell r="O2907" t="str">
            <v xml:space="preserve">KAS KANPUS                              </v>
          </cell>
          <cell r="P2907" t="str">
            <v>Ya</v>
          </cell>
          <cell r="R2907" t="str">
            <v>Done</v>
          </cell>
          <cell r="S2907" t="str">
            <v>Belum TL</v>
          </cell>
          <cell r="T2907" t="str">
            <v>90185537 - Moh.Khoerul Fajar Ar</v>
          </cell>
          <cell r="U2907" t="str">
            <v>"-"</v>
          </cell>
        </row>
        <row r="2908">
          <cell r="A2908">
            <v>46265</v>
          </cell>
          <cell r="B2908" t="str">
            <v xml:space="preserve">SUPRI                                   </v>
          </cell>
          <cell r="C2908" t="str">
            <v>SJRYK40</v>
          </cell>
          <cell r="D2908">
            <v>33201003304565</v>
          </cell>
          <cell r="F2908" t="str">
            <v>Tidak</v>
          </cell>
          <cell r="G2908" t="str">
            <v>Tidak</v>
          </cell>
          <cell r="H2908" t="str">
            <v>Tidak</v>
          </cell>
          <cell r="I2908" t="str">
            <v>Bandar Judol Withdrawal</v>
          </cell>
          <cell r="J2908">
            <v>35</v>
          </cell>
          <cell r="K2908" t="str">
            <v>86,88,87</v>
          </cell>
          <cell r="L2908" t="str">
            <v>Judi Online</v>
          </cell>
          <cell r="M2908" t="str">
            <v xml:space="preserve">Kas Kanpus                              </v>
          </cell>
          <cell r="N2908" t="str">
            <v xml:space="preserve">Kas Kanpus                              </v>
          </cell>
          <cell r="O2908" t="str">
            <v xml:space="preserve">KAS KANPUS                              </v>
          </cell>
          <cell r="P2908" t="str">
            <v>Ya</v>
          </cell>
          <cell r="R2908" t="str">
            <v>Done</v>
          </cell>
          <cell r="S2908" t="str">
            <v>Belum TL</v>
          </cell>
          <cell r="T2908" t="str">
            <v>90171841 - Rifqi Aziz</v>
          </cell>
          <cell r="U2908" t="str">
            <v>"-"</v>
          </cell>
        </row>
        <row r="2909">
          <cell r="A2909">
            <v>46265</v>
          </cell>
          <cell r="B2909" t="str">
            <v xml:space="preserve">SALI                                    </v>
          </cell>
          <cell r="C2909" t="str">
            <v>SKDKO80</v>
          </cell>
          <cell r="D2909">
            <v>92701011483502</v>
          </cell>
          <cell r="F2909" t="str">
            <v>Tidak</v>
          </cell>
          <cell r="G2909" t="str">
            <v>Tidak</v>
          </cell>
          <cell r="H2909" t="str">
            <v>Tidak</v>
          </cell>
          <cell r="I2909" t="str">
            <v>Bandar Judol Withdrawal</v>
          </cell>
          <cell r="J2909">
            <v>35</v>
          </cell>
          <cell r="K2909" t="str">
            <v>86,88,87</v>
          </cell>
          <cell r="L2909" t="str">
            <v>Judi Online</v>
          </cell>
          <cell r="M2909" t="str">
            <v xml:space="preserve">Kas Kanpus                              </v>
          </cell>
          <cell r="N2909" t="str">
            <v xml:space="preserve">Kas Kanpus                              </v>
          </cell>
          <cell r="O2909" t="str">
            <v xml:space="preserve">KAS KANPUS                              </v>
          </cell>
          <cell r="P2909" t="str">
            <v>Ya</v>
          </cell>
          <cell r="R2909" t="str">
            <v>Done</v>
          </cell>
          <cell r="S2909" t="str">
            <v>Belum TL</v>
          </cell>
          <cell r="T2909" t="str">
            <v>90150130 - Intan Aida Pratiwi</v>
          </cell>
          <cell r="U2909" t="str">
            <v>"-"</v>
          </cell>
        </row>
        <row r="2910">
          <cell r="A2910">
            <v>46265</v>
          </cell>
          <cell r="B2910" t="str">
            <v xml:space="preserve">SUHERMAN TIRTAWIDJAJA                   </v>
          </cell>
          <cell r="C2910" t="str">
            <v>SKCNK73</v>
          </cell>
          <cell r="D2910">
            <v>82301011778505</v>
          </cell>
          <cell r="F2910" t="str">
            <v>Tidak</v>
          </cell>
          <cell r="G2910" t="str">
            <v>Tidak</v>
          </cell>
          <cell r="H2910" t="str">
            <v>Tidak</v>
          </cell>
          <cell r="I2910" t="str">
            <v>Bandar Judol Depo</v>
          </cell>
          <cell r="J2910">
            <v>35</v>
          </cell>
          <cell r="K2910" t="str">
            <v>86,74,87</v>
          </cell>
          <cell r="L2910" t="str">
            <v>Judi Online</v>
          </cell>
          <cell r="M2910" t="str">
            <v xml:space="preserve">Kas Kanpus                              </v>
          </cell>
          <cell r="N2910" t="str">
            <v xml:space="preserve">Kas Kanpus                              </v>
          </cell>
          <cell r="O2910" t="str">
            <v xml:space="preserve">KAS KANPUS                              </v>
          </cell>
          <cell r="P2910" t="str">
            <v>Ya</v>
          </cell>
          <cell r="R2910" t="str">
            <v>Done</v>
          </cell>
          <cell r="S2910" t="str">
            <v>Belum TL</v>
          </cell>
          <cell r="T2910" t="str">
            <v>90171841 - Rifqi Aziz</v>
          </cell>
          <cell r="U2910" t="str">
            <v>"-"</v>
          </cell>
        </row>
        <row r="2911">
          <cell r="A2911">
            <v>46265</v>
          </cell>
          <cell r="B2911" t="str">
            <v xml:space="preserve">MUHAMMAD AWALLUDIN AKMAL                </v>
          </cell>
          <cell r="C2911" t="str">
            <v>MIDD087</v>
          </cell>
          <cell r="D2911">
            <v>12001288576508</v>
          </cell>
          <cell r="E2911" t="str">
            <v>SEDANG</v>
          </cell>
          <cell r="F2911" t="str">
            <v>Tidak</v>
          </cell>
          <cell r="G2911" t="str">
            <v>Tidak</v>
          </cell>
          <cell r="H2911" t="str">
            <v>Tidak</v>
          </cell>
          <cell r="I2911" t="str">
            <v>Bandar Judol Withdrawal</v>
          </cell>
          <cell r="J2911">
            <v>50</v>
          </cell>
          <cell r="K2911" t="str">
            <v>86,88,87</v>
          </cell>
          <cell r="L2911" t="str">
            <v>Judi Online</v>
          </cell>
          <cell r="M2911" t="str">
            <v xml:space="preserve">Kas Kanpus                              </v>
          </cell>
          <cell r="N2911" t="str">
            <v xml:space="preserve">Kas Kanpus                              </v>
          </cell>
          <cell r="O2911" t="str">
            <v xml:space="preserve">KAS KANPUS                              </v>
          </cell>
          <cell r="P2911" t="str">
            <v>Ya</v>
          </cell>
          <cell r="R2911" t="str">
            <v>Done</v>
          </cell>
          <cell r="S2911" t="str">
            <v>Belum TL</v>
          </cell>
          <cell r="T2911" t="str">
            <v>90171841 - Rifqi Aziz</v>
          </cell>
          <cell r="U2911" t="str">
            <v>"-"</v>
          </cell>
        </row>
        <row r="2912">
          <cell r="A2912">
            <v>46265</v>
          </cell>
          <cell r="B2912" t="str">
            <v xml:space="preserve">MOCHAMAD IKHSAN RAMDANI                 </v>
          </cell>
          <cell r="C2912" t="str">
            <v>MJZR819</v>
          </cell>
          <cell r="D2912">
            <v>32001022732508</v>
          </cell>
          <cell r="E2912" t="str">
            <v>SEDANG</v>
          </cell>
          <cell r="F2912" t="str">
            <v>Ya</v>
          </cell>
          <cell r="G2912" t="str">
            <v>Tidak</v>
          </cell>
          <cell r="H2912" t="str">
            <v>Tidak</v>
          </cell>
          <cell r="I2912" t="str">
            <v>Bandar Judol Depo</v>
          </cell>
          <cell r="J2912">
            <v>50</v>
          </cell>
          <cell r="K2912" t="str">
            <v>86,74,87</v>
          </cell>
          <cell r="L2912" t="str">
            <v>Judi Online</v>
          </cell>
          <cell r="M2912" t="str">
            <v xml:space="preserve">Kas Kanpus                              </v>
          </cell>
          <cell r="N2912" t="str">
            <v xml:space="preserve">Kas Kanpus                              </v>
          </cell>
          <cell r="O2912" t="str">
            <v xml:space="preserve">KAS KANPUS                              </v>
          </cell>
          <cell r="P2912" t="str">
            <v>Ya</v>
          </cell>
          <cell r="R2912" t="str">
            <v>Done</v>
          </cell>
          <cell r="S2912" t="str">
            <v>Belum TL</v>
          </cell>
          <cell r="T2912" t="str">
            <v>00394520 - Frida Akbar Rani</v>
          </cell>
          <cell r="U2912" t="str">
            <v>"-"</v>
          </cell>
        </row>
        <row r="2913">
          <cell r="A2913">
            <v>46265</v>
          </cell>
          <cell r="B2913" t="str">
            <v xml:space="preserve">MUHAMMAD DIRGA AGUSTIAN                 </v>
          </cell>
          <cell r="C2913" t="str">
            <v>MLVT450</v>
          </cell>
          <cell r="D2913">
            <v>479501027098502</v>
          </cell>
          <cell r="E2913" t="str">
            <v>SEDANG</v>
          </cell>
          <cell r="F2913" t="str">
            <v>Tidak</v>
          </cell>
          <cell r="G2913" t="str">
            <v>Tidak</v>
          </cell>
          <cell r="H2913" t="str">
            <v>Tidak</v>
          </cell>
          <cell r="I2913" t="str">
            <v>Bandar Judol Depo</v>
          </cell>
          <cell r="J2913">
            <v>50</v>
          </cell>
          <cell r="K2913" t="str">
            <v>86,74,87</v>
          </cell>
          <cell r="L2913" t="str">
            <v>Judi Online</v>
          </cell>
          <cell r="M2913" t="str">
            <v xml:space="preserve">Kas Kanpus                              </v>
          </cell>
          <cell r="N2913" t="str">
            <v xml:space="preserve">Kas Kanpus                              </v>
          </cell>
          <cell r="O2913" t="str">
            <v xml:space="preserve">KAS KANPUS                              </v>
          </cell>
          <cell r="P2913" t="str">
            <v>Ya</v>
          </cell>
          <cell r="R2913" t="str">
            <v>Done</v>
          </cell>
          <cell r="S2913" t="str">
            <v>Belum TL</v>
          </cell>
          <cell r="T2913" t="str">
            <v>90150130 - Intan Aida Pratiwi</v>
          </cell>
          <cell r="U2913" t="str">
            <v>"-"</v>
          </cell>
        </row>
        <row r="2914">
          <cell r="A2914">
            <v>46265</v>
          </cell>
          <cell r="B2914" t="str">
            <v xml:space="preserve">MARIA MARTOGI SITUMORANG                </v>
          </cell>
          <cell r="C2914" t="str">
            <v>MJUP858</v>
          </cell>
          <cell r="D2914">
            <v>501120307508</v>
          </cell>
          <cell r="E2914" t="str">
            <v>SEDANG</v>
          </cell>
          <cell r="F2914" t="str">
            <v>Tidak</v>
          </cell>
          <cell r="G2914" t="str">
            <v>Tidak</v>
          </cell>
          <cell r="H2914" t="str">
            <v>Tidak</v>
          </cell>
          <cell r="I2914" t="str">
            <v>Narkotika - Area Lapas</v>
          </cell>
          <cell r="J2914">
            <v>50</v>
          </cell>
          <cell r="K2914">
            <v>48</v>
          </cell>
          <cell r="L2914" t="str">
            <v>Narkotika</v>
          </cell>
          <cell r="M2914" t="str">
            <v>KC Bandung AA</v>
          </cell>
          <cell r="N2914" t="str">
            <v>KC Bandung AA</v>
          </cell>
          <cell r="O2914" t="str">
            <v>Bandung</v>
          </cell>
          <cell r="P2914" t="str">
            <v>Ya</v>
          </cell>
          <cell r="R2914" t="str">
            <v>Done</v>
          </cell>
          <cell r="S2914" t="str">
            <v>Belum TL</v>
          </cell>
          <cell r="T2914" t="str">
            <v>00336949 - Mochammad Al Farabi</v>
          </cell>
          <cell r="U2914" t="str">
            <v>"-"</v>
          </cell>
        </row>
        <row r="2915">
          <cell r="A2915">
            <v>46265</v>
          </cell>
          <cell r="B2915" t="str">
            <v xml:space="preserve">MUHAMAD FADLI                           </v>
          </cell>
          <cell r="C2915" t="str">
            <v>MJAG568</v>
          </cell>
          <cell r="D2915">
            <v>82601000022565</v>
          </cell>
          <cell r="E2915" t="str">
            <v>SEDANG</v>
          </cell>
          <cell r="F2915" t="str">
            <v>Tidak</v>
          </cell>
          <cell r="G2915" t="str">
            <v>Tidak</v>
          </cell>
          <cell r="H2915" t="str">
            <v>Tidak</v>
          </cell>
          <cell r="I2915" t="str">
            <v>Bandar Judol Withdrawal</v>
          </cell>
          <cell r="J2915">
            <v>50</v>
          </cell>
          <cell r="K2915" t="str">
            <v>86,88,87</v>
          </cell>
          <cell r="L2915" t="str">
            <v>Judi Online</v>
          </cell>
          <cell r="M2915" t="str">
            <v xml:space="preserve">Kas Kanpus                              </v>
          </cell>
          <cell r="N2915" t="str">
            <v xml:space="preserve">Kas Kanpus                              </v>
          </cell>
          <cell r="O2915" t="str">
            <v xml:space="preserve">KAS KANPUS                              </v>
          </cell>
          <cell r="P2915" t="str">
            <v>Ya</v>
          </cell>
          <cell r="R2915" t="str">
            <v>Done</v>
          </cell>
          <cell r="S2915" t="str">
            <v>Belum TL</v>
          </cell>
          <cell r="T2915" t="str">
            <v>90150130 - Intan Aida Pratiwi</v>
          </cell>
          <cell r="U2915" t="str">
            <v>"-"</v>
          </cell>
        </row>
        <row r="2916">
          <cell r="A2916">
            <v>46265</v>
          </cell>
          <cell r="B2916" t="str">
            <v xml:space="preserve">M. FERI NURHADIANSYAH                   </v>
          </cell>
          <cell r="C2916" t="str">
            <v>MNTZ904</v>
          </cell>
          <cell r="D2916">
            <v>203801014008504</v>
          </cell>
          <cell r="E2916" t="str">
            <v>SEDANG</v>
          </cell>
          <cell r="F2916" t="str">
            <v>Tidak</v>
          </cell>
          <cell r="G2916" t="str">
            <v>Tidak</v>
          </cell>
          <cell r="H2916" t="str">
            <v>Tidak</v>
          </cell>
          <cell r="I2916" t="str">
            <v>Bandar Judol Withdrawal</v>
          </cell>
          <cell r="J2916">
            <v>50</v>
          </cell>
          <cell r="K2916" t="str">
            <v>86,88,87</v>
          </cell>
          <cell r="L2916" t="str">
            <v>Judi Online</v>
          </cell>
          <cell r="M2916" t="str">
            <v xml:space="preserve">Kas Kanpus                              </v>
          </cell>
          <cell r="N2916" t="str">
            <v xml:space="preserve">Kas Kanpus                              </v>
          </cell>
          <cell r="O2916" t="str">
            <v xml:space="preserve">KAS KANPUS                              </v>
          </cell>
          <cell r="P2916" t="str">
            <v>Ya</v>
          </cell>
          <cell r="R2916" t="str">
            <v>Done</v>
          </cell>
          <cell r="S2916" t="str">
            <v>Belum TL</v>
          </cell>
          <cell r="T2916" t="str">
            <v>00394521 - Muhammad Hibbanduta</v>
          </cell>
          <cell r="U2916" t="str">
            <v>"-"</v>
          </cell>
        </row>
        <row r="2917">
          <cell r="A2917">
            <v>46265</v>
          </cell>
          <cell r="B2917" t="str">
            <v xml:space="preserve">MUJIATI                                 </v>
          </cell>
          <cell r="C2917" t="str">
            <v>MNSB972</v>
          </cell>
          <cell r="D2917">
            <v>224101000699568</v>
          </cell>
          <cell r="E2917" t="str">
            <v>SEDANG</v>
          </cell>
          <cell r="F2917" t="str">
            <v>Tidak</v>
          </cell>
          <cell r="G2917" t="str">
            <v>Tidak</v>
          </cell>
          <cell r="H2917" t="str">
            <v>Tidak</v>
          </cell>
          <cell r="I2917" t="str">
            <v>Bandar Judol Withdrawal</v>
          </cell>
          <cell r="J2917">
            <v>50</v>
          </cell>
          <cell r="K2917" t="str">
            <v>86,88,87</v>
          </cell>
          <cell r="L2917" t="str">
            <v>Judi Online</v>
          </cell>
          <cell r="M2917" t="str">
            <v xml:space="preserve">Kas Kanpus                              </v>
          </cell>
          <cell r="N2917" t="str">
            <v xml:space="preserve">Kas Kanpus                              </v>
          </cell>
          <cell r="O2917" t="str">
            <v xml:space="preserve">KAS KANPUS                              </v>
          </cell>
          <cell r="P2917" t="str">
            <v>Tidak</v>
          </cell>
          <cell r="R2917" t="str">
            <v>Done</v>
          </cell>
          <cell r="S2917" t="str">
            <v>Belum TL</v>
          </cell>
          <cell r="T2917" t="str">
            <v>00394521 - Muhammad Hibbanduta</v>
          </cell>
          <cell r="U2917" t="str">
            <v>"-"</v>
          </cell>
        </row>
        <row r="2918">
          <cell r="A2918">
            <v>46265</v>
          </cell>
          <cell r="B2918" t="str">
            <v xml:space="preserve">M. AGUS SUPRIYANTO                      </v>
          </cell>
          <cell r="C2918" t="str">
            <v>MNM9387</v>
          </cell>
          <cell r="D2918">
            <v>25101018321506</v>
          </cell>
          <cell r="E2918" t="str">
            <v>TINGGI</v>
          </cell>
          <cell r="F2918" t="str">
            <v>Tidak</v>
          </cell>
          <cell r="G2918" t="str">
            <v>Tidak</v>
          </cell>
          <cell r="H2918" t="str">
            <v>Tidak</v>
          </cell>
          <cell r="I2918" t="str">
            <v>Terorisme - SIPENDAR</v>
          </cell>
          <cell r="J2918">
            <v>188</v>
          </cell>
          <cell r="K2918">
            <v>36</v>
          </cell>
          <cell r="L2918" t="str">
            <v>Terorisme</v>
          </cell>
          <cell r="M2918" t="str">
            <v xml:space="preserve">Kas Kanpus                              </v>
          </cell>
          <cell r="N2918" t="str">
            <v xml:space="preserve">Kas Kanpus                              </v>
          </cell>
          <cell r="O2918" t="str">
            <v xml:space="preserve">KAS KANPUS                              </v>
          </cell>
          <cell r="P2918" t="str">
            <v>Tidak</v>
          </cell>
          <cell r="R2918" t="str">
            <v>Done</v>
          </cell>
          <cell r="S2918" t="str">
            <v>Belum TL</v>
          </cell>
          <cell r="T2918" t="str">
            <v>90170665 - Mutiara Ayuningtyas</v>
          </cell>
          <cell r="U2918" t="str">
            <v>"-"</v>
          </cell>
        </row>
        <row r="2919">
          <cell r="A2919">
            <v>46265</v>
          </cell>
          <cell r="B2919" t="str">
            <v xml:space="preserve">MNUR RIZKI                              </v>
          </cell>
          <cell r="C2919" t="str">
            <v>MMOU734</v>
          </cell>
          <cell r="D2919">
            <v>33601161363506</v>
          </cell>
          <cell r="E2919" t="str">
            <v>RENDAH</v>
          </cell>
          <cell r="F2919" t="str">
            <v>Tidak</v>
          </cell>
          <cell r="G2919" t="str">
            <v>Tidak</v>
          </cell>
          <cell r="H2919" t="str">
            <v>Tidak</v>
          </cell>
          <cell r="I2919" t="str">
            <v>Bandar Judol Depo</v>
          </cell>
          <cell r="J2919">
            <v>35</v>
          </cell>
          <cell r="K2919" t="str">
            <v>86,74,87</v>
          </cell>
          <cell r="L2919" t="str">
            <v>Judi Online</v>
          </cell>
          <cell r="M2919" t="str">
            <v xml:space="preserve">Kas Kanpus                              </v>
          </cell>
          <cell r="N2919" t="str">
            <v xml:space="preserve">Kas Kanpus                              </v>
          </cell>
          <cell r="O2919" t="str">
            <v xml:space="preserve">KAS KANPUS                              </v>
          </cell>
          <cell r="P2919" t="str">
            <v>Ya</v>
          </cell>
          <cell r="R2919" t="str">
            <v>Done</v>
          </cell>
          <cell r="S2919" t="str">
            <v>Belum TL</v>
          </cell>
          <cell r="T2919" t="str">
            <v>90186796 - Devito Arya Wiradila</v>
          </cell>
          <cell r="U2919" t="str">
            <v>"-"</v>
          </cell>
        </row>
        <row r="2920">
          <cell r="A2920">
            <v>46265</v>
          </cell>
          <cell r="B2920" t="str">
            <v xml:space="preserve">MEGAWATI                                </v>
          </cell>
          <cell r="C2920" t="str">
            <v>MQSA017</v>
          </cell>
          <cell r="D2920">
            <v>23801039797538</v>
          </cell>
          <cell r="E2920" t="str">
            <v>SEDANG</v>
          </cell>
          <cell r="F2920" t="str">
            <v>Tidak</v>
          </cell>
          <cell r="G2920" t="str">
            <v>Tidak</v>
          </cell>
          <cell r="H2920" t="str">
            <v>Tidak</v>
          </cell>
          <cell r="I2920" t="str">
            <v>Bandar Judol Withdrawal</v>
          </cell>
          <cell r="J2920">
            <v>50</v>
          </cell>
          <cell r="K2920" t="str">
            <v>86,88,87</v>
          </cell>
          <cell r="L2920" t="str">
            <v>Judi Online</v>
          </cell>
          <cell r="M2920" t="str">
            <v xml:space="preserve">Kas Kanpus                              </v>
          </cell>
          <cell r="N2920" t="str">
            <v xml:space="preserve">Kas Kanpus                              </v>
          </cell>
          <cell r="O2920" t="str">
            <v xml:space="preserve">KAS KANPUS                              </v>
          </cell>
          <cell r="P2920" t="str">
            <v>Ya</v>
          </cell>
          <cell r="R2920" t="str">
            <v>Done</v>
          </cell>
          <cell r="S2920" t="str">
            <v>Belum TL</v>
          </cell>
          <cell r="T2920" t="str">
            <v>90150130 - Intan Aida Pratiwi</v>
          </cell>
          <cell r="U2920" t="str">
            <v>"-"</v>
          </cell>
        </row>
        <row r="2921">
          <cell r="A2921">
            <v>46265</v>
          </cell>
          <cell r="B2921" t="str">
            <v xml:space="preserve">MAKMUR ABADI SELALU                     </v>
          </cell>
          <cell r="C2921" t="str">
            <v>MQGD741</v>
          </cell>
          <cell r="D2921">
            <v>33801001348305</v>
          </cell>
          <cell r="E2921" t="str">
            <v>SEDANG</v>
          </cell>
          <cell r="F2921" t="str">
            <v>Tidak</v>
          </cell>
          <cell r="G2921" t="str">
            <v>Tidak</v>
          </cell>
          <cell r="H2921" t="str">
            <v>Tidak</v>
          </cell>
          <cell r="I2921" t="str">
            <v>Perpajakan</v>
          </cell>
          <cell r="J2921">
            <v>50</v>
          </cell>
          <cell r="K2921">
            <v>41</v>
          </cell>
          <cell r="L2921" t="str">
            <v>Perpajakan</v>
          </cell>
          <cell r="M2921" t="str">
            <v xml:space="preserve">KC JAKARTA ROXI                         </v>
          </cell>
          <cell r="N2921" t="str">
            <v xml:space="preserve">KC JAKARTA ROXI                         </v>
          </cell>
          <cell r="O2921" t="str">
            <v xml:space="preserve">DKI                                     </v>
          </cell>
          <cell r="P2921" t="str">
            <v>Tidak</v>
          </cell>
          <cell r="R2921" t="str">
            <v>Done</v>
          </cell>
          <cell r="S2921" t="str">
            <v>Belum TL</v>
          </cell>
          <cell r="T2921" t="str">
            <v>00336949 - Mochammad Al Farabi</v>
          </cell>
          <cell r="U2921" t="str">
            <v>"-"</v>
          </cell>
        </row>
        <row r="2922">
          <cell r="A2922">
            <v>46265</v>
          </cell>
          <cell r="B2922" t="str">
            <v xml:space="preserve">MARWAH                                  </v>
          </cell>
          <cell r="C2922" t="str">
            <v>MMWI026</v>
          </cell>
          <cell r="D2922">
            <v>496101024513538</v>
          </cell>
          <cell r="E2922" t="str">
            <v>SEDANG</v>
          </cell>
          <cell r="F2922" t="str">
            <v>Tidak</v>
          </cell>
          <cell r="G2922" t="str">
            <v>Tidak</v>
          </cell>
          <cell r="H2922" t="str">
            <v>Tidak</v>
          </cell>
          <cell r="I2922" t="str">
            <v>Bandar Judol Withdrawal</v>
          </cell>
          <cell r="J2922">
            <v>50</v>
          </cell>
          <cell r="K2922" t="str">
            <v>86,88,87</v>
          </cell>
          <cell r="L2922" t="str">
            <v>Judi Online</v>
          </cell>
          <cell r="M2922" t="str">
            <v xml:space="preserve">Kas Kanpus                              </v>
          </cell>
          <cell r="N2922" t="str">
            <v xml:space="preserve">Kas Kanpus                              </v>
          </cell>
          <cell r="O2922" t="str">
            <v xml:space="preserve">KAS KANPUS                              </v>
          </cell>
          <cell r="P2922" t="str">
            <v>Tidak</v>
          </cell>
          <cell r="R2922" t="str">
            <v>Done</v>
          </cell>
          <cell r="S2922" t="str">
            <v>Belum TL</v>
          </cell>
          <cell r="T2922" t="str">
            <v>00394521 - Muhammad Hibbanduta</v>
          </cell>
          <cell r="U2922" t="str">
            <v>"-"</v>
          </cell>
        </row>
        <row r="2923">
          <cell r="A2923">
            <v>46265</v>
          </cell>
          <cell r="B2923" t="str">
            <v xml:space="preserve">MUHAMAD FAUZI                           </v>
          </cell>
          <cell r="C2923" t="str">
            <v>MTQD050</v>
          </cell>
          <cell r="D2923">
            <v>1201030385532</v>
          </cell>
          <cell r="E2923" t="str">
            <v>RENDAH</v>
          </cell>
          <cell r="F2923" t="str">
            <v>Tidak</v>
          </cell>
          <cell r="G2923" t="str">
            <v>Tidak</v>
          </cell>
          <cell r="H2923" t="str">
            <v>Tidak</v>
          </cell>
          <cell r="I2923" t="str">
            <v>Bandar Judol Depo</v>
          </cell>
          <cell r="J2923">
            <v>35</v>
          </cell>
          <cell r="K2923" t="str">
            <v>86,74,87</v>
          </cell>
          <cell r="L2923" t="str">
            <v>Judi Online</v>
          </cell>
          <cell r="M2923" t="str">
            <v xml:space="preserve">Kas Kanpus                              </v>
          </cell>
          <cell r="N2923" t="str">
            <v xml:space="preserve">Kas Kanpus                              </v>
          </cell>
          <cell r="O2923" t="str">
            <v xml:space="preserve">KAS KANPUS                              </v>
          </cell>
          <cell r="P2923" t="str">
            <v>Ya</v>
          </cell>
          <cell r="R2923" t="str">
            <v>Done</v>
          </cell>
          <cell r="S2923" t="str">
            <v>Belum TL</v>
          </cell>
          <cell r="T2923" t="str">
            <v>90186790 - Muhammad Alfin Farha</v>
          </cell>
          <cell r="U2923" t="str">
            <v>"-"</v>
          </cell>
        </row>
        <row r="2924">
          <cell r="A2924">
            <v>46265</v>
          </cell>
          <cell r="B2924" t="str">
            <v xml:space="preserve">MUHAMMAD SAJIE                          </v>
          </cell>
          <cell r="C2924" t="str">
            <v>MTNS190</v>
          </cell>
          <cell r="D2924">
            <v>12101001930561</v>
          </cell>
          <cell r="E2924" t="str">
            <v>TINGGI</v>
          </cell>
          <cell r="F2924" t="str">
            <v>Tidak</v>
          </cell>
          <cell r="G2924" t="str">
            <v>Tidak</v>
          </cell>
          <cell r="H2924" t="str">
            <v>Tidak</v>
          </cell>
          <cell r="I2924" t="str">
            <v>Terorisme - SIPENDAR</v>
          </cell>
          <cell r="J2924">
            <v>188</v>
          </cell>
          <cell r="K2924">
            <v>36</v>
          </cell>
          <cell r="L2924" t="str">
            <v>Terorisme</v>
          </cell>
          <cell r="M2924" t="str">
            <v xml:space="preserve">Kas Kanpus                              </v>
          </cell>
          <cell r="N2924" t="str">
            <v xml:space="preserve">Kas Kanpus                              </v>
          </cell>
          <cell r="O2924" t="str">
            <v xml:space="preserve">KAS KANPUS                              </v>
          </cell>
          <cell r="P2924" t="str">
            <v>Tidak</v>
          </cell>
          <cell r="R2924" t="str">
            <v>Done</v>
          </cell>
          <cell r="S2924" t="str">
            <v>Belum TL</v>
          </cell>
          <cell r="T2924" t="str">
            <v>00336949 - Mochammad Al Farabi</v>
          </cell>
          <cell r="U2924" t="str">
            <v>"-"</v>
          </cell>
        </row>
        <row r="2925">
          <cell r="A2925">
            <v>46265</v>
          </cell>
          <cell r="B2925" t="str">
            <v xml:space="preserve">MONETA PEMBAYARAN TEKNOLOGI             </v>
          </cell>
          <cell r="C2925" t="str">
            <v>MSSR364</v>
          </cell>
          <cell r="D2925">
            <v>34001003389308</v>
          </cell>
          <cell r="E2925" t="str">
            <v>SEDANG</v>
          </cell>
          <cell r="F2925" t="str">
            <v>Tidak</v>
          </cell>
          <cell r="G2925" t="str">
            <v>Tidak</v>
          </cell>
          <cell r="H2925" t="str">
            <v>Tidak</v>
          </cell>
          <cell r="I2925" t="str">
            <v>Perpajakan</v>
          </cell>
          <cell r="J2925">
            <v>50</v>
          </cell>
          <cell r="K2925">
            <v>1.33</v>
          </cell>
          <cell r="L2925" t="str">
            <v>Perpajakan</v>
          </cell>
          <cell r="M2925" t="str">
            <v xml:space="preserve">KC JAKARTA OTISTA                       </v>
          </cell>
          <cell r="N2925" t="str">
            <v xml:space="preserve">KC JAKARTA OTISTA                       </v>
          </cell>
          <cell r="O2925" t="str">
            <v xml:space="preserve">DKI                                     </v>
          </cell>
          <cell r="P2925" t="str">
            <v>Tidak</v>
          </cell>
          <cell r="R2925" t="str">
            <v>Done</v>
          </cell>
          <cell r="S2925" t="str">
            <v>Belum TL</v>
          </cell>
          <cell r="T2925" t="str">
            <v>90186796 - Devito Arya Wiradila</v>
          </cell>
          <cell r="U2925" t="str">
            <v>"-"</v>
          </cell>
        </row>
        <row r="2926">
          <cell r="A2926">
            <v>46265</v>
          </cell>
          <cell r="B2926" t="str">
            <v xml:space="preserve">MOHAMAD SAID RIZAL                      </v>
          </cell>
          <cell r="C2926" t="str">
            <v>MSR7951</v>
          </cell>
          <cell r="D2926">
            <v>5801007306565</v>
          </cell>
          <cell r="E2926" t="str">
            <v>SEDANG</v>
          </cell>
          <cell r="F2926" t="str">
            <v>Tidak</v>
          </cell>
          <cell r="G2926" t="str">
            <v>Tidak</v>
          </cell>
          <cell r="H2926" t="str">
            <v>Tidak</v>
          </cell>
          <cell r="I2926" t="str">
            <v>Bandar Judol Depo</v>
          </cell>
          <cell r="J2926">
            <v>50</v>
          </cell>
          <cell r="K2926" t="str">
            <v>86,74,87</v>
          </cell>
          <cell r="L2926" t="str">
            <v>Judi Online</v>
          </cell>
          <cell r="M2926" t="str">
            <v xml:space="preserve">Kas Kanpus                              </v>
          </cell>
          <cell r="N2926" t="str">
            <v xml:space="preserve">Kas Kanpus                              </v>
          </cell>
          <cell r="O2926" t="str">
            <v xml:space="preserve">KAS KANPUS                              </v>
          </cell>
          <cell r="P2926" t="str">
            <v>Ya</v>
          </cell>
          <cell r="R2926" t="str">
            <v>Done</v>
          </cell>
          <cell r="S2926" t="str">
            <v>Belum TL</v>
          </cell>
          <cell r="T2926" t="str">
            <v>90185537 - Moh.Khoerul Fajar Ar</v>
          </cell>
          <cell r="U2926" t="str">
            <v>"-"</v>
          </cell>
        </row>
        <row r="2927">
          <cell r="A2927">
            <v>46265</v>
          </cell>
          <cell r="B2927" t="str">
            <v xml:space="preserve">MUFITA HERLAENI                         </v>
          </cell>
          <cell r="C2927" t="str">
            <v>MQYE955</v>
          </cell>
          <cell r="D2927">
            <v>19301126476506</v>
          </cell>
          <cell r="E2927" t="str">
            <v>SEDANG</v>
          </cell>
          <cell r="F2927" t="str">
            <v>Tidak</v>
          </cell>
          <cell r="G2927" t="str">
            <v>Tidak</v>
          </cell>
          <cell r="H2927" t="str">
            <v>Tidak</v>
          </cell>
          <cell r="I2927" t="str">
            <v>Bandar Judol Withdrawal</v>
          </cell>
          <cell r="J2927">
            <v>50</v>
          </cell>
          <cell r="K2927" t="str">
            <v>86,88,87</v>
          </cell>
          <cell r="L2927" t="str">
            <v>Judi Online</v>
          </cell>
          <cell r="M2927" t="str">
            <v xml:space="preserve">Kas Kanpus                              </v>
          </cell>
          <cell r="N2927" t="str">
            <v xml:space="preserve">Kas Kanpus                              </v>
          </cell>
          <cell r="O2927" t="str">
            <v xml:space="preserve">KAS KANPUS                              </v>
          </cell>
          <cell r="P2927" t="str">
            <v>Ya</v>
          </cell>
          <cell r="R2927" t="str">
            <v>Done</v>
          </cell>
          <cell r="S2927" t="str">
            <v>Belum TL</v>
          </cell>
          <cell r="T2927" t="str">
            <v>90186796 - Devito Arya Wiradila</v>
          </cell>
          <cell r="U2927" t="str">
            <v>"-"</v>
          </cell>
        </row>
        <row r="2928">
          <cell r="A2928">
            <v>46265</v>
          </cell>
          <cell r="B2928" t="str">
            <v xml:space="preserve">MUNA MEI ING                            </v>
          </cell>
          <cell r="C2928" t="str">
            <v>MRGD274</v>
          </cell>
          <cell r="D2928">
            <v>332101000034563</v>
          </cell>
          <cell r="E2928" t="str">
            <v>TINGGI</v>
          </cell>
          <cell r="F2928" t="str">
            <v>Tidak</v>
          </cell>
          <cell r="G2928" t="str">
            <v>Tidak</v>
          </cell>
          <cell r="H2928" t="str">
            <v>Tidak</v>
          </cell>
          <cell r="I2928" t="str">
            <v>Bandar Judol Depo</v>
          </cell>
          <cell r="J2928">
            <v>65</v>
          </cell>
          <cell r="K2928" t="str">
            <v>86,74,87</v>
          </cell>
          <cell r="L2928" t="str">
            <v>Judi Online</v>
          </cell>
          <cell r="M2928" t="str">
            <v xml:space="preserve">Kas Kanpus                              </v>
          </cell>
          <cell r="N2928" t="str">
            <v xml:space="preserve">Kas Kanpus                              </v>
          </cell>
          <cell r="O2928" t="str">
            <v xml:space="preserve">KAS KANPUS                              </v>
          </cell>
          <cell r="P2928" t="str">
            <v>Ya</v>
          </cell>
          <cell r="R2928" t="str">
            <v>Done</v>
          </cell>
          <cell r="S2928" t="str">
            <v>Belum TL</v>
          </cell>
          <cell r="T2928" t="str">
            <v>90171841 - Rifqi Aziz</v>
          </cell>
          <cell r="U2928" t="str">
            <v>"-"</v>
          </cell>
        </row>
        <row r="2929">
          <cell r="A2929">
            <v>46265</v>
          </cell>
          <cell r="B2929" t="str">
            <v xml:space="preserve">NOVA MAULANA                            </v>
          </cell>
          <cell r="C2929" t="str">
            <v>NATU534</v>
          </cell>
          <cell r="D2929">
            <v>486301007882508</v>
          </cell>
          <cell r="E2929" t="str">
            <v>SEDANG</v>
          </cell>
          <cell r="F2929" t="str">
            <v>Tidak</v>
          </cell>
          <cell r="G2929" t="str">
            <v>Tidak</v>
          </cell>
          <cell r="H2929" t="str">
            <v>Tidak</v>
          </cell>
          <cell r="I2929" t="str">
            <v>Bandar Judol Withdrawal</v>
          </cell>
          <cell r="J2929">
            <v>50</v>
          </cell>
          <cell r="K2929" t="str">
            <v>86,88,87</v>
          </cell>
          <cell r="L2929" t="str">
            <v>Judi Online</v>
          </cell>
          <cell r="M2929" t="str">
            <v xml:space="preserve">Kas Kanpus                              </v>
          </cell>
          <cell r="N2929" t="str">
            <v xml:space="preserve">Kas Kanpus                              </v>
          </cell>
          <cell r="O2929" t="str">
            <v xml:space="preserve">KAS KANPUS                              </v>
          </cell>
          <cell r="P2929" t="str">
            <v>Ya</v>
          </cell>
          <cell r="R2929" t="str">
            <v>Done</v>
          </cell>
          <cell r="S2929" t="str">
            <v>Belum TL</v>
          </cell>
          <cell r="T2929" t="str">
            <v>90185537 - Moh.Khoerul Fajar Ar</v>
          </cell>
          <cell r="U2929" t="str">
            <v>"-"</v>
          </cell>
        </row>
        <row r="2930">
          <cell r="A2930">
            <v>46265</v>
          </cell>
          <cell r="B2930" t="str">
            <v xml:space="preserve">MUNAPSIYAH                              </v>
          </cell>
          <cell r="C2930" t="str">
            <v>MZC5782</v>
          </cell>
          <cell r="D2930">
            <v>219901009094502</v>
          </cell>
          <cell r="E2930" t="str">
            <v>SEDANG</v>
          </cell>
          <cell r="F2930" t="str">
            <v>Tidak</v>
          </cell>
          <cell r="G2930" t="str">
            <v>Tidak</v>
          </cell>
          <cell r="H2930" t="str">
            <v>Ya</v>
          </cell>
          <cell r="I2930" t="str">
            <v>Bandar Judol Withdrawal</v>
          </cell>
          <cell r="J2930">
            <v>50</v>
          </cell>
          <cell r="K2930" t="str">
            <v>86,88,87</v>
          </cell>
          <cell r="L2930" t="str">
            <v>Judi Online</v>
          </cell>
          <cell r="M2930" t="str">
            <v xml:space="preserve">Kas Kanpus                              </v>
          </cell>
          <cell r="N2930" t="str">
            <v xml:space="preserve">Kas Kanpus                              </v>
          </cell>
          <cell r="O2930" t="str">
            <v xml:space="preserve">KAS KANPUS                              </v>
          </cell>
          <cell r="P2930" t="str">
            <v>Tidak</v>
          </cell>
          <cell r="R2930" t="str">
            <v>Done</v>
          </cell>
          <cell r="S2930" t="str">
            <v>Belum TL</v>
          </cell>
          <cell r="T2930" t="str">
            <v>90185537 - Moh.Khoerul Fajar Ar</v>
          </cell>
          <cell r="U2930" t="str">
            <v>"-"</v>
          </cell>
        </row>
        <row r="2931">
          <cell r="A2931">
            <v>46265</v>
          </cell>
          <cell r="B2931" t="str">
            <v xml:space="preserve">NI NYOMAN TALUH                         </v>
          </cell>
          <cell r="C2931" t="str">
            <v>NCFE888</v>
          </cell>
          <cell r="D2931">
            <v>469701002407506</v>
          </cell>
          <cell r="E2931" t="str">
            <v>SEDANG</v>
          </cell>
          <cell r="F2931" t="str">
            <v>Tidak</v>
          </cell>
          <cell r="G2931" t="str">
            <v>Tidak</v>
          </cell>
          <cell r="H2931" t="str">
            <v>Tidak</v>
          </cell>
          <cell r="I2931" t="str">
            <v>Bandar Judol Withdrawal</v>
          </cell>
          <cell r="J2931">
            <v>50</v>
          </cell>
          <cell r="K2931" t="str">
            <v>86,88,87</v>
          </cell>
          <cell r="L2931" t="str">
            <v>Judi Online</v>
          </cell>
          <cell r="M2931" t="str">
            <v xml:space="preserve">Kas Kanpus                              </v>
          </cell>
          <cell r="N2931" t="str">
            <v xml:space="preserve">Kas Kanpus                              </v>
          </cell>
          <cell r="O2931" t="str">
            <v xml:space="preserve">KAS KANPUS                              </v>
          </cell>
          <cell r="P2931" t="str">
            <v>Tidak</v>
          </cell>
          <cell r="R2931" t="str">
            <v>Done</v>
          </cell>
          <cell r="S2931" t="str">
            <v>Belum TL</v>
          </cell>
          <cell r="T2931" t="str">
            <v>00394520 - Frida Akbar Rani</v>
          </cell>
          <cell r="U2931" t="str">
            <v>"-"</v>
          </cell>
        </row>
        <row r="2932">
          <cell r="A2932">
            <v>46265</v>
          </cell>
          <cell r="B2932" t="str">
            <v xml:space="preserve">NILA APRILLA                            </v>
          </cell>
          <cell r="C2932" t="str">
            <v>NFUQ914</v>
          </cell>
          <cell r="D2932">
            <v>69301018579509</v>
          </cell>
          <cell r="E2932" t="str">
            <v>TINGGI</v>
          </cell>
          <cell r="F2932" t="str">
            <v>Tidak</v>
          </cell>
          <cell r="G2932" t="str">
            <v>Tidak</v>
          </cell>
          <cell r="H2932" t="str">
            <v>Tidak</v>
          </cell>
          <cell r="I2932" t="str">
            <v>Bandar Judol Withdrawal</v>
          </cell>
          <cell r="J2932">
            <v>65</v>
          </cell>
          <cell r="K2932" t="str">
            <v>86,88,87</v>
          </cell>
          <cell r="L2932" t="str">
            <v>Judi Online</v>
          </cell>
          <cell r="M2932" t="str">
            <v xml:space="preserve">Kas Kanpus                              </v>
          </cell>
          <cell r="N2932" t="str">
            <v xml:space="preserve">Kas Kanpus                              </v>
          </cell>
          <cell r="O2932" t="str">
            <v xml:space="preserve">KAS KANPUS                              </v>
          </cell>
          <cell r="P2932" t="str">
            <v>Ya</v>
          </cell>
          <cell r="R2932" t="str">
            <v>Done</v>
          </cell>
          <cell r="S2932" t="str">
            <v>Belum TL</v>
          </cell>
          <cell r="T2932" t="str">
            <v>00394520 - Frida Akbar Rani</v>
          </cell>
          <cell r="U2932" t="str">
            <v>"-"</v>
          </cell>
        </row>
        <row r="2933">
          <cell r="A2933">
            <v>46265</v>
          </cell>
          <cell r="B2933" t="str">
            <v xml:space="preserve">NURASIYAH RAMADANI                      </v>
          </cell>
          <cell r="C2933" t="str">
            <v>NFYW620</v>
          </cell>
          <cell r="D2933">
            <v>109101044496500</v>
          </cell>
          <cell r="E2933" t="str">
            <v>SEDANG</v>
          </cell>
          <cell r="F2933" t="str">
            <v>Tidak</v>
          </cell>
          <cell r="G2933" t="str">
            <v>Tidak</v>
          </cell>
          <cell r="H2933" t="str">
            <v>Tidak</v>
          </cell>
          <cell r="I2933" t="str">
            <v>Bandar Judol Depo</v>
          </cell>
          <cell r="J2933">
            <v>50</v>
          </cell>
          <cell r="K2933" t="str">
            <v>86,74,87</v>
          </cell>
          <cell r="L2933" t="str">
            <v>Judi Online</v>
          </cell>
          <cell r="M2933" t="str">
            <v xml:space="preserve">Kas Kanpus                              </v>
          </cell>
          <cell r="N2933" t="str">
            <v xml:space="preserve">Kas Kanpus                              </v>
          </cell>
          <cell r="O2933" t="str">
            <v xml:space="preserve">KAS KANPUS                              </v>
          </cell>
          <cell r="P2933" t="str">
            <v>Ya</v>
          </cell>
          <cell r="R2933" t="str">
            <v>Done</v>
          </cell>
          <cell r="S2933" t="str">
            <v>Belum TL</v>
          </cell>
          <cell r="T2933" t="str">
            <v>90186796 - Devito Arya Wiradila</v>
          </cell>
          <cell r="U2933" t="str">
            <v>"-"</v>
          </cell>
        </row>
        <row r="2934">
          <cell r="A2934">
            <v>46265</v>
          </cell>
          <cell r="B2934" t="str">
            <v xml:space="preserve">NURAINI DEWI                            </v>
          </cell>
          <cell r="C2934" t="str">
            <v>NFZR217</v>
          </cell>
          <cell r="D2934">
            <v>540301037985535</v>
          </cell>
          <cell r="E2934" t="str">
            <v>SEDANG</v>
          </cell>
          <cell r="F2934" t="str">
            <v>Tidak</v>
          </cell>
          <cell r="G2934" t="str">
            <v>Tidak</v>
          </cell>
          <cell r="H2934" t="str">
            <v>Tidak</v>
          </cell>
          <cell r="I2934" t="str">
            <v>Bandar Judol Withdrawal</v>
          </cell>
          <cell r="J2934">
            <v>50</v>
          </cell>
          <cell r="K2934" t="str">
            <v>86,88,87</v>
          </cell>
          <cell r="L2934" t="str">
            <v>Judi Online</v>
          </cell>
          <cell r="M2934" t="str">
            <v xml:space="preserve">Kas Kanpus                              </v>
          </cell>
          <cell r="N2934" t="str">
            <v xml:space="preserve">Kas Kanpus                              </v>
          </cell>
          <cell r="O2934" t="str">
            <v xml:space="preserve">KAS KANPUS                              </v>
          </cell>
          <cell r="P2934" t="str">
            <v>Ya</v>
          </cell>
          <cell r="R2934" t="str">
            <v>Done</v>
          </cell>
          <cell r="S2934" t="str">
            <v>Belum TL</v>
          </cell>
          <cell r="T2934" t="str">
            <v>90185537 - Moh.Khoerul Fajar Ar</v>
          </cell>
          <cell r="U2934" t="str">
            <v>"-"</v>
          </cell>
        </row>
        <row r="2935">
          <cell r="A2935">
            <v>46265</v>
          </cell>
          <cell r="B2935" t="str">
            <v xml:space="preserve">NOURMA DWI YULIANINGSIH                 </v>
          </cell>
          <cell r="C2935" t="str">
            <v>NECP427</v>
          </cell>
          <cell r="D2935">
            <v>44201002609565</v>
          </cell>
          <cell r="E2935" t="str">
            <v>SEDANG</v>
          </cell>
          <cell r="F2935" t="str">
            <v>Tidak</v>
          </cell>
          <cell r="G2935" t="str">
            <v>Tidak</v>
          </cell>
          <cell r="H2935" t="str">
            <v>Tidak</v>
          </cell>
          <cell r="I2935" t="str">
            <v>Bandar Judol Withdrawal</v>
          </cell>
          <cell r="J2935">
            <v>50</v>
          </cell>
          <cell r="K2935" t="str">
            <v>86,88,87</v>
          </cell>
          <cell r="L2935" t="str">
            <v>Judi Online</v>
          </cell>
          <cell r="M2935" t="str">
            <v xml:space="preserve">Kas Kanpus                              </v>
          </cell>
          <cell r="N2935" t="str">
            <v xml:space="preserve">Kas Kanpus                              </v>
          </cell>
          <cell r="O2935" t="str">
            <v xml:space="preserve">KAS KANPUS                              </v>
          </cell>
          <cell r="P2935" t="str">
            <v>Ya</v>
          </cell>
          <cell r="R2935" t="str">
            <v>Done</v>
          </cell>
          <cell r="S2935" t="str">
            <v>Belum TL</v>
          </cell>
          <cell r="T2935" t="str">
            <v>90186796 - Devito Arya Wiradila</v>
          </cell>
          <cell r="U2935" t="str">
            <v>"-"</v>
          </cell>
        </row>
        <row r="2936">
          <cell r="A2936">
            <v>46265</v>
          </cell>
          <cell r="B2936" t="str">
            <v xml:space="preserve">NURHAENI                                </v>
          </cell>
          <cell r="C2936" t="str">
            <v>NDFU948</v>
          </cell>
          <cell r="D2936">
            <v>6901099213505</v>
          </cell>
          <cell r="E2936" t="str">
            <v>SEDANG</v>
          </cell>
          <cell r="F2936" t="str">
            <v>Tidak</v>
          </cell>
          <cell r="G2936" t="str">
            <v>Tidak</v>
          </cell>
          <cell r="H2936" t="str">
            <v>Tidak</v>
          </cell>
          <cell r="I2936" t="str">
            <v>Bandar Judol Withdrawal</v>
          </cell>
          <cell r="J2936">
            <v>50</v>
          </cell>
          <cell r="K2936" t="str">
            <v>86,88,87</v>
          </cell>
          <cell r="L2936" t="str">
            <v>Judi Online</v>
          </cell>
          <cell r="M2936" t="str">
            <v xml:space="preserve">Kas Kanpus                              </v>
          </cell>
          <cell r="N2936" t="str">
            <v xml:space="preserve">Kas Kanpus                              </v>
          </cell>
          <cell r="O2936" t="str">
            <v xml:space="preserve">KAS KANPUS                              </v>
          </cell>
          <cell r="P2936" t="str">
            <v>Ya</v>
          </cell>
          <cell r="R2936" t="str">
            <v>Done</v>
          </cell>
          <cell r="S2936" t="str">
            <v>Belum TL</v>
          </cell>
          <cell r="T2936" t="str">
            <v>90150130 - Intan Aida Pratiwi</v>
          </cell>
          <cell r="U2936" t="str">
            <v>"-"</v>
          </cell>
        </row>
        <row r="2937">
          <cell r="A2937">
            <v>46265</v>
          </cell>
          <cell r="B2937" t="str">
            <v xml:space="preserve">NUSA ENERGI SOLUSI                      </v>
          </cell>
          <cell r="C2937" t="str">
            <v>NHYT601</v>
          </cell>
          <cell r="D2937">
            <v>1801004327308</v>
          </cell>
          <cell r="E2937" t="str">
            <v>SEDANG</v>
          </cell>
          <cell r="F2937" t="str">
            <v>Tidak</v>
          </cell>
          <cell r="G2937" t="str">
            <v>Tidak</v>
          </cell>
          <cell r="H2937" t="str">
            <v>Tidak</v>
          </cell>
          <cell r="I2937" t="str">
            <v>Perpajakan</v>
          </cell>
          <cell r="J2937">
            <v>48</v>
          </cell>
          <cell r="K2937">
            <v>41</v>
          </cell>
          <cell r="L2937" t="str">
            <v>Perpajakan</v>
          </cell>
          <cell r="M2937" t="str">
            <v xml:space="preserve">KC Jakarta Tanah Abang                  </v>
          </cell>
          <cell r="N2937" t="str">
            <v xml:space="preserve">KC Jakarta Tanah Abang                  </v>
          </cell>
          <cell r="O2937" t="str">
            <v xml:space="preserve">DKI                                     </v>
          </cell>
          <cell r="P2937" t="str">
            <v>Tidak</v>
          </cell>
          <cell r="R2937" t="str">
            <v>Done</v>
          </cell>
          <cell r="S2937" t="str">
            <v>Belum TL</v>
          </cell>
          <cell r="T2937" t="str">
            <v>90171841 - Rifqi Aziz</v>
          </cell>
          <cell r="U2937" t="str">
            <v>"-"</v>
          </cell>
        </row>
        <row r="2938">
          <cell r="A2938">
            <v>46265</v>
          </cell>
          <cell r="B2938" t="str">
            <v xml:space="preserve">NURMALA SEPTIANI                        </v>
          </cell>
          <cell r="C2938" t="str">
            <v>NIIL838</v>
          </cell>
          <cell r="D2938">
            <v>43801061543503</v>
          </cell>
          <cell r="E2938" t="str">
            <v>SEDANG</v>
          </cell>
          <cell r="F2938" t="str">
            <v>Tidak</v>
          </cell>
          <cell r="G2938" t="str">
            <v>Tidak</v>
          </cell>
          <cell r="H2938" t="str">
            <v>Tidak</v>
          </cell>
          <cell r="I2938" t="str">
            <v>Bandar Judol Withdrawal</v>
          </cell>
          <cell r="J2938">
            <v>50</v>
          </cell>
          <cell r="K2938" t="str">
            <v>86,88,87</v>
          </cell>
          <cell r="L2938" t="str">
            <v>Judi Online</v>
          </cell>
          <cell r="M2938" t="str">
            <v xml:space="preserve">Kas Kanpus                              </v>
          </cell>
          <cell r="N2938" t="str">
            <v xml:space="preserve">Kas Kanpus                              </v>
          </cell>
          <cell r="O2938" t="str">
            <v xml:space="preserve">KAS KANPUS                              </v>
          </cell>
          <cell r="P2938" t="str">
            <v>Ya</v>
          </cell>
          <cell r="R2938" t="str">
            <v>Done</v>
          </cell>
          <cell r="S2938" t="str">
            <v>Belum TL</v>
          </cell>
          <cell r="T2938" t="str">
            <v>90185538 - Muhammad Fahikal Auz</v>
          </cell>
          <cell r="U2938" t="str">
            <v>"-"</v>
          </cell>
        </row>
        <row r="2939">
          <cell r="A2939">
            <v>46265</v>
          </cell>
          <cell r="B2939" t="str">
            <v xml:space="preserve">NAFISA NADYA FATHIN                     </v>
          </cell>
          <cell r="C2939" t="str">
            <v>NIK0109</v>
          </cell>
          <cell r="D2939">
            <v>4801002084563</v>
          </cell>
          <cell r="E2939" t="str">
            <v>SEDANG</v>
          </cell>
          <cell r="F2939" t="str">
            <v>Tidak</v>
          </cell>
          <cell r="G2939" t="str">
            <v>Tidak</v>
          </cell>
          <cell r="H2939" t="str">
            <v>Tidak</v>
          </cell>
          <cell r="I2939" t="str">
            <v>Bandar Judol Depo</v>
          </cell>
          <cell r="J2939">
            <v>60</v>
          </cell>
          <cell r="K2939" t="str">
            <v>86,74,87</v>
          </cell>
          <cell r="L2939" t="str">
            <v>Judi Online</v>
          </cell>
          <cell r="M2939" t="str">
            <v xml:space="preserve">Kas Kanpus                              </v>
          </cell>
          <cell r="N2939" t="str">
            <v xml:space="preserve">Kas Kanpus                              </v>
          </cell>
          <cell r="O2939" t="str">
            <v xml:space="preserve">KAS KANPUS                              </v>
          </cell>
          <cell r="P2939" t="str">
            <v>Tidak</v>
          </cell>
          <cell r="R2939" t="str">
            <v>Done</v>
          </cell>
          <cell r="S2939" t="str">
            <v>Belum TL</v>
          </cell>
          <cell r="T2939" t="str">
            <v>90170665 - Mutiara Ayuningtyas</v>
          </cell>
          <cell r="U2939" t="str">
            <v>"-"</v>
          </cell>
        </row>
        <row r="2940">
          <cell r="A2940">
            <v>46265</v>
          </cell>
          <cell r="B2940" t="str">
            <v xml:space="preserve">NURMAIDA BR. SIHALOHO                   </v>
          </cell>
          <cell r="C2940" t="str">
            <v>NHS3501</v>
          </cell>
          <cell r="D2940">
            <v>28301093933503</v>
          </cell>
          <cell r="E2940" t="str">
            <v>SEDANG</v>
          </cell>
          <cell r="F2940" t="str">
            <v>Tidak</v>
          </cell>
          <cell r="G2940" t="str">
            <v>Tidak</v>
          </cell>
          <cell r="H2940" t="str">
            <v>Tidak</v>
          </cell>
          <cell r="I2940" t="str">
            <v>Bandar Judol Withdrawal</v>
          </cell>
          <cell r="J2940">
            <v>50</v>
          </cell>
          <cell r="K2940" t="str">
            <v>86,88,87</v>
          </cell>
          <cell r="L2940" t="str">
            <v>Judi Online</v>
          </cell>
          <cell r="M2940" t="str">
            <v xml:space="preserve">Kas Kanpus                              </v>
          </cell>
          <cell r="N2940" t="str">
            <v xml:space="preserve">Kas Kanpus                              </v>
          </cell>
          <cell r="O2940" t="str">
            <v xml:space="preserve">KAS KANPUS                              </v>
          </cell>
          <cell r="P2940" t="str">
            <v>Ya</v>
          </cell>
          <cell r="R2940" t="str">
            <v>Done</v>
          </cell>
          <cell r="S2940" t="str">
            <v>Belum TL</v>
          </cell>
          <cell r="T2940" t="str">
            <v>90171841 - Rifqi Aziz</v>
          </cell>
          <cell r="U2940" t="str">
            <v>"-"</v>
          </cell>
        </row>
        <row r="2941">
          <cell r="A2941">
            <v>46265</v>
          </cell>
          <cell r="B2941" t="str">
            <v xml:space="preserve">NURHALISMAH                             </v>
          </cell>
          <cell r="C2941" t="str">
            <v>NHCA897</v>
          </cell>
          <cell r="D2941">
            <v>63301044693501</v>
          </cell>
          <cell r="E2941" t="str">
            <v>SEDANG</v>
          </cell>
          <cell r="F2941" t="str">
            <v>Tidak</v>
          </cell>
          <cell r="G2941" t="str">
            <v>Tidak</v>
          </cell>
          <cell r="H2941" t="str">
            <v>Tidak</v>
          </cell>
          <cell r="I2941" t="str">
            <v>Bandar Judol Withdrawal</v>
          </cell>
          <cell r="J2941">
            <v>50</v>
          </cell>
          <cell r="K2941" t="str">
            <v>86,88,87</v>
          </cell>
          <cell r="L2941" t="str">
            <v>Judi Online</v>
          </cell>
          <cell r="M2941" t="str">
            <v xml:space="preserve">Kas Kanpus                              </v>
          </cell>
          <cell r="N2941" t="str">
            <v xml:space="preserve">Kas Kanpus                              </v>
          </cell>
          <cell r="O2941" t="str">
            <v xml:space="preserve">KAS KANPUS                              </v>
          </cell>
          <cell r="P2941" t="str">
            <v>Ya</v>
          </cell>
          <cell r="R2941" t="str">
            <v>Done</v>
          </cell>
          <cell r="S2941" t="str">
            <v>Belum TL</v>
          </cell>
          <cell r="T2941" t="str">
            <v>90171841 - Rifqi Aziz</v>
          </cell>
          <cell r="U2941" t="str">
            <v>"-"</v>
          </cell>
        </row>
        <row r="2942">
          <cell r="A2942">
            <v>46265</v>
          </cell>
          <cell r="B2942" t="str">
            <v xml:space="preserve">NURAINI OKTAVIANI                       </v>
          </cell>
          <cell r="C2942" t="str">
            <v>NHK7761</v>
          </cell>
          <cell r="D2942">
            <v>43801069753500</v>
          </cell>
          <cell r="E2942" t="str">
            <v>SEDANG</v>
          </cell>
          <cell r="F2942" t="str">
            <v>Tidak</v>
          </cell>
          <cell r="G2942" t="str">
            <v>Tidak</v>
          </cell>
          <cell r="H2942" t="str">
            <v>Tidak</v>
          </cell>
          <cell r="I2942" t="str">
            <v>Bandar Judol Withdrawal</v>
          </cell>
          <cell r="J2942">
            <v>50</v>
          </cell>
          <cell r="K2942" t="str">
            <v>86,88,87</v>
          </cell>
          <cell r="L2942" t="str">
            <v>Judi Online</v>
          </cell>
          <cell r="M2942" t="str">
            <v xml:space="preserve">Kas Kanpus                              </v>
          </cell>
          <cell r="N2942" t="str">
            <v xml:space="preserve">Kas Kanpus                              </v>
          </cell>
          <cell r="O2942" t="str">
            <v xml:space="preserve">KAS KANPUS                              </v>
          </cell>
          <cell r="P2942" t="str">
            <v>Ya</v>
          </cell>
          <cell r="R2942" t="str">
            <v>Done</v>
          </cell>
          <cell r="S2942" t="str">
            <v>Belum TL</v>
          </cell>
          <cell r="T2942" t="str">
            <v>90170665 - Mutiara Ayuningtyas</v>
          </cell>
          <cell r="U2942" t="str">
            <v>"-"</v>
          </cell>
        </row>
        <row r="2943">
          <cell r="A2943">
            <v>46265</v>
          </cell>
          <cell r="B2943" t="str">
            <v xml:space="preserve">NANI MULYATI                            </v>
          </cell>
          <cell r="C2943" t="str">
            <v>NFJF536</v>
          </cell>
          <cell r="D2943">
            <v>34501053959501</v>
          </cell>
          <cell r="E2943" t="str">
            <v>SEDANG</v>
          </cell>
          <cell r="F2943" t="str">
            <v>Tidak</v>
          </cell>
          <cell r="G2943" t="str">
            <v>Tidak</v>
          </cell>
          <cell r="H2943" t="str">
            <v>Tidak</v>
          </cell>
          <cell r="I2943" t="str">
            <v>Bandar Judol Withdrawal</v>
          </cell>
          <cell r="J2943">
            <v>50</v>
          </cell>
          <cell r="K2943" t="str">
            <v>86,88,87</v>
          </cell>
          <cell r="L2943" t="str">
            <v>Judi Online</v>
          </cell>
          <cell r="M2943" t="str">
            <v xml:space="preserve">Kas Kanpus                              </v>
          </cell>
          <cell r="N2943" t="str">
            <v xml:space="preserve">Kas Kanpus                              </v>
          </cell>
          <cell r="O2943" t="str">
            <v xml:space="preserve">KAS KANPUS                              </v>
          </cell>
          <cell r="P2943" t="str">
            <v>Ya</v>
          </cell>
          <cell r="R2943" t="str">
            <v>Done</v>
          </cell>
          <cell r="S2943" t="str">
            <v>Belum TL</v>
          </cell>
          <cell r="T2943" t="str">
            <v>90171841 - Rifqi Aziz</v>
          </cell>
          <cell r="U2943" t="str">
            <v>"-"</v>
          </cell>
        </row>
        <row r="2944">
          <cell r="A2944">
            <v>46265</v>
          </cell>
          <cell r="B2944" t="str">
            <v xml:space="preserve">MICHAEL                                 </v>
          </cell>
          <cell r="C2944" t="str">
            <v>MYJH013</v>
          </cell>
          <cell r="D2944">
            <v>32001038578502</v>
          </cell>
          <cell r="E2944" t="str">
            <v>SEDANG</v>
          </cell>
          <cell r="F2944" t="str">
            <v>Tidak</v>
          </cell>
          <cell r="G2944" t="str">
            <v>Tidak</v>
          </cell>
          <cell r="H2944" t="str">
            <v>Tidak</v>
          </cell>
          <cell r="I2944" t="str">
            <v>Bandar Judol Withdrawal</v>
          </cell>
          <cell r="J2944">
            <v>50</v>
          </cell>
          <cell r="K2944" t="str">
            <v>86,88,87</v>
          </cell>
          <cell r="L2944" t="str">
            <v>Judi Online</v>
          </cell>
          <cell r="M2944" t="str">
            <v xml:space="preserve">Kas Kanpus                              </v>
          </cell>
          <cell r="N2944" t="str">
            <v xml:space="preserve">Kas Kanpus                              </v>
          </cell>
          <cell r="O2944" t="str">
            <v xml:space="preserve">KAS KANPUS                              </v>
          </cell>
          <cell r="P2944" t="str">
            <v>Ya</v>
          </cell>
          <cell r="R2944" t="str">
            <v>Done</v>
          </cell>
          <cell r="S2944" t="str">
            <v>Belum TL</v>
          </cell>
          <cell r="T2944" t="str">
            <v>00394521 - Muhammad Hibbanduta</v>
          </cell>
          <cell r="U2944" t="str">
            <v>"-"</v>
          </cell>
        </row>
        <row r="2945">
          <cell r="A2945">
            <v>46265</v>
          </cell>
          <cell r="B2945" t="str">
            <v xml:space="preserve">M SAHRUL RAMADHAN                       </v>
          </cell>
          <cell r="C2945" t="str">
            <v>MXEK102</v>
          </cell>
          <cell r="D2945">
            <v>42101158426506</v>
          </cell>
          <cell r="E2945" t="str">
            <v>SEDANG</v>
          </cell>
          <cell r="F2945" t="str">
            <v>Tidak</v>
          </cell>
          <cell r="G2945" t="str">
            <v>Tidak</v>
          </cell>
          <cell r="H2945" t="str">
            <v>Tidak</v>
          </cell>
          <cell r="I2945" t="str">
            <v>Bandar Judol Depo</v>
          </cell>
          <cell r="J2945">
            <v>50</v>
          </cell>
          <cell r="K2945" t="str">
            <v>86,74,87</v>
          </cell>
          <cell r="L2945" t="str">
            <v>Judi Online</v>
          </cell>
          <cell r="M2945" t="str">
            <v xml:space="preserve">Kas Kanpus                              </v>
          </cell>
          <cell r="N2945" t="str">
            <v xml:space="preserve">Kas Kanpus                              </v>
          </cell>
          <cell r="O2945" t="str">
            <v xml:space="preserve">KAS KANPUS                              </v>
          </cell>
          <cell r="P2945" t="str">
            <v>Ya</v>
          </cell>
          <cell r="R2945" t="str">
            <v>Done</v>
          </cell>
          <cell r="S2945" t="str">
            <v>Belum TL</v>
          </cell>
          <cell r="T2945" t="str">
            <v>90186796 - Devito Arya Wiradila</v>
          </cell>
          <cell r="U2945" t="str">
            <v>"-"</v>
          </cell>
        </row>
        <row r="2946">
          <cell r="A2946">
            <v>46265</v>
          </cell>
          <cell r="B2946" t="str">
            <v xml:space="preserve">M. SYAHRIL                              </v>
          </cell>
          <cell r="C2946" t="str">
            <v>MYQ8623</v>
          </cell>
          <cell r="D2946">
            <v>23801039778534</v>
          </cell>
          <cell r="E2946" t="str">
            <v>SEDANG</v>
          </cell>
          <cell r="F2946" t="str">
            <v>Tidak</v>
          </cell>
          <cell r="G2946" t="str">
            <v>Tidak</v>
          </cell>
          <cell r="H2946" t="str">
            <v>Tidak</v>
          </cell>
          <cell r="I2946" t="str">
            <v>Bandar Judol Withdrawal</v>
          </cell>
          <cell r="J2946">
            <v>50</v>
          </cell>
          <cell r="K2946" t="str">
            <v>86,88,87</v>
          </cell>
          <cell r="L2946" t="str">
            <v>Judi Online</v>
          </cell>
          <cell r="M2946" t="str">
            <v xml:space="preserve">Kas Kanpus                              </v>
          </cell>
          <cell r="N2946" t="str">
            <v xml:space="preserve">Kas Kanpus                              </v>
          </cell>
          <cell r="O2946" t="str">
            <v xml:space="preserve">KAS KANPUS                              </v>
          </cell>
          <cell r="P2946" t="str">
            <v>Ya</v>
          </cell>
          <cell r="R2946" t="str">
            <v>Done</v>
          </cell>
          <cell r="S2946" t="str">
            <v>Belum TL</v>
          </cell>
          <cell r="T2946" t="str">
            <v>00394520 - Frida Akbar Rani</v>
          </cell>
          <cell r="U2946" t="str">
            <v>"-"</v>
          </cell>
        </row>
        <row r="2947">
          <cell r="A2947">
            <v>46265</v>
          </cell>
          <cell r="B2947" t="str">
            <v xml:space="preserve">MUHAMMAD MELANDRI DWI SAP               </v>
          </cell>
          <cell r="C2947" t="str">
            <v>MZTW032</v>
          </cell>
          <cell r="D2947">
            <v>50501022114506</v>
          </cell>
          <cell r="E2947" t="str">
            <v>SEDANG</v>
          </cell>
          <cell r="F2947" t="str">
            <v>Tidak</v>
          </cell>
          <cell r="G2947" t="str">
            <v>Tidak</v>
          </cell>
          <cell r="H2947" t="str">
            <v>Tidak</v>
          </cell>
          <cell r="I2947" t="str">
            <v>Bandar Judol Withdrawal</v>
          </cell>
          <cell r="J2947">
            <v>50</v>
          </cell>
          <cell r="K2947" t="str">
            <v>86,88,87</v>
          </cell>
          <cell r="L2947" t="str">
            <v>Judi Online</v>
          </cell>
          <cell r="M2947" t="str">
            <v xml:space="preserve">Kas Kanpus                              </v>
          </cell>
          <cell r="N2947" t="str">
            <v xml:space="preserve">Kas Kanpus                              </v>
          </cell>
          <cell r="O2947" t="str">
            <v xml:space="preserve">KAS KANPUS                              </v>
          </cell>
          <cell r="P2947" t="str">
            <v>Ya</v>
          </cell>
          <cell r="R2947" t="str">
            <v>Done</v>
          </cell>
          <cell r="S2947" t="str">
            <v>Belum TL</v>
          </cell>
          <cell r="T2947" t="str">
            <v>90185537 - Moh.Khoerul Fajar Ar</v>
          </cell>
          <cell r="U2947" t="str">
            <v>"-"</v>
          </cell>
        </row>
        <row r="2948">
          <cell r="A2948">
            <v>46265</v>
          </cell>
          <cell r="B2948" t="str">
            <v xml:space="preserve">MARWAN                                  </v>
          </cell>
          <cell r="C2948" t="str">
            <v>MZUM222</v>
          </cell>
          <cell r="D2948">
            <v>109201054217500</v>
          </cell>
          <cell r="E2948" t="str">
            <v>SEDANG</v>
          </cell>
          <cell r="F2948" t="str">
            <v>Tidak</v>
          </cell>
          <cell r="G2948" t="str">
            <v>Tidak</v>
          </cell>
          <cell r="H2948" t="str">
            <v>Tidak</v>
          </cell>
          <cell r="I2948" t="str">
            <v>Bandar Judol Withdrawal</v>
          </cell>
          <cell r="J2948">
            <v>50</v>
          </cell>
          <cell r="K2948" t="str">
            <v>86,88,87</v>
          </cell>
          <cell r="L2948" t="str">
            <v>Judi Online</v>
          </cell>
          <cell r="M2948" t="str">
            <v xml:space="preserve">Kas Kanpus                              </v>
          </cell>
          <cell r="N2948" t="str">
            <v xml:space="preserve">Kas Kanpus                              </v>
          </cell>
          <cell r="O2948" t="str">
            <v xml:space="preserve">KAS KANPUS                              </v>
          </cell>
          <cell r="P2948" t="str">
            <v>Ya</v>
          </cell>
          <cell r="R2948" t="str">
            <v>Done</v>
          </cell>
          <cell r="S2948" t="str">
            <v>Belum TL</v>
          </cell>
          <cell r="T2948" t="str">
            <v>00336949 - Mochammad Al Farabi</v>
          </cell>
          <cell r="U2948" t="str">
            <v>"-"</v>
          </cell>
        </row>
        <row r="2949">
          <cell r="A2949">
            <v>46265</v>
          </cell>
          <cell r="B2949" t="str">
            <v xml:space="preserve">MERRY SISWOYO                           </v>
          </cell>
          <cell r="C2949" t="str">
            <v>MZOO907</v>
          </cell>
          <cell r="D2949">
            <v>5301004301566</v>
          </cell>
          <cell r="E2949" t="str">
            <v>SEDANG</v>
          </cell>
          <cell r="F2949" t="str">
            <v>Tidak</v>
          </cell>
          <cell r="G2949" t="str">
            <v>Tidak</v>
          </cell>
          <cell r="H2949" t="str">
            <v>Tidak</v>
          </cell>
          <cell r="I2949" t="str">
            <v>Bandar Judol Withdrawal</v>
          </cell>
          <cell r="J2949">
            <v>50</v>
          </cell>
          <cell r="K2949" t="str">
            <v>86,88,87</v>
          </cell>
          <cell r="L2949" t="str">
            <v>Judi Online</v>
          </cell>
          <cell r="M2949" t="str">
            <v xml:space="preserve">Kas Kanpus                              </v>
          </cell>
          <cell r="N2949" t="str">
            <v xml:space="preserve">Kas Kanpus                              </v>
          </cell>
          <cell r="O2949" t="str">
            <v xml:space="preserve">KAS KANPUS                              </v>
          </cell>
          <cell r="P2949" t="str">
            <v>Ya</v>
          </cell>
          <cell r="R2949" t="str">
            <v>Done</v>
          </cell>
          <cell r="S2949" t="str">
            <v>Belum TL</v>
          </cell>
          <cell r="T2949" t="str">
            <v>00394520 - Frida Akbar Rani</v>
          </cell>
          <cell r="U2949" t="str">
            <v>"-"</v>
          </cell>
        </row>
        <row r="2950">
          <cell r="A2950">
            <v>46265</v>
          </cell>
          <cell r="B2950" t="str">
            <v xml:space="preserve">MOHAMAD SODIK                           </v>
          </cell>
          <cell r="C2950" t="str">
            <v>MXT1638</v>
          </cell>
          <cell r="D2950">
            <v>43401048910505</v>
          </cell>
          <cell r="E2950" t="str">
            <v>SEDANG</v>
          </cell>
          <cell r="F2950" t="str">
            <v>Tidak</v>
          </cell>
          <cell r="G2950" t="str">
            <v>Tidak</v>
          </cell>
          <cell r="H2950" t="str">
            <v>Tidak</v>
          </cell>
          <cell r="I2950" t="str">
            <v>Bandar Judol Withdrawal</v>
          </cell>
          <cell r="J2950">
            <v>50</v>
          </cell>
          <cell r="K2950" t="str">
            <v>86,88,87</v>
          </cell>
          <cell r="L2950" t="str">
            <v>Judi Online</v>
          </cell>
          <cell r="M2950" t="str">
            <v xml:space="preserve">Kas Kanpus                              </v>
          </cell>
          <cell r="N2950" t="str">
            <v xml:space="preserve">Kas Kanpus                              </v>
          </cell>
          <cell r="O2950" t="str">
            <v xml:space="preserve">KAS KANPUS                              </v>
          </cell>
          <cell r="P2950" t="str">
            <v>Ya</v>
          </cell>
          <cell r="R2950" t="str">
            <v>Done</v>
          </cell>
          <cell r="S2950" t="str">
            <v>Belum TL</v>
          </cell>
          <cell r="T2950" t="str">
            <v>90185537 - Moh.Khoerul Fajar Ar</v>
          </cell>
          <cell r="U2950" t="str">
            <v>"-"</v>
          </cell>
        </row>
        <row r="2951">
          <cell r="A2951">
            <v>46265</v>
          </cell>
          <cell r="B2951" t="str">
            <v xml:space="preserve">MUHAMMAD FAEDULLAH                      </v>
          </cell>
          <cell r="C2951" t="str">
            <v>MXHQ662</v>
          </cell>
          <cell r="D2951">
            <v>41501044654503</v>
          </cell>
          <cell r="E2951" t="str">
            <v>SEDANG</v>
          </cell>
          <cell r="F2951" t="str">
            <v>Tidak</v>
          </cell>
          <cell r="G2951" t="str">
            <v>Tidak</v>
          </cell>
          <cell r="H2951" t="str">
            <v>Tidak</v>
          </cell>
          <cell r="I2951" t="str">
            <v>Bandar Judol Withdrawal</v>
          </cell>
          <cell r="J2951">
            <v>50</v>
          </cell>
          <cell r="K2951" t="str">
            <v>86,88,87</v>
          </cell>
          <cell r="L2951" t="str">
            <v>Judi Online</v>
          </cell>
          <cell r="M2951" t="str">
            <v xml:space="preserve">Kas Kanpus                              </v>
          </cell>
          <cell r="N2951" t="str">
            <v xml:space="preserve">Kas Kanpus                              </v>
          </cell>
          <cell r="O2951" t="str">
            <v xml:space="preserve">KAS KANPUS                              </v>
          </cell>
          <cell r="P2951" t="str">
            <v>Ya</v>
          </cell>
          <cell r="R2951" t="str">
            <v>Done</v>
          </cell>
          <cell r="S2951" t="str">
            <v>Belum TL</v>
          </cell>
          <cell r="T2951" t="str">
            <v>00394520 - Frida Akbar Rani</v>
          </cell>
          <cell r="U2951" t="str">
            <v>"-"</v>
          </cell>
        </row>
        <row r="2952">
          <cell r="A2952">
            <v>46265</v>
          </cell>
          <cell r="B2952" t="str">
            <v xml:space="preserve">MARSINI SURYANTI                        </v>
          </cell>
          <cell r="C2952" t="str">
            <v>MXFJ588</v>
          </cell>
          <cell r="D2952">
            <v>370501002488508</v>
          </cell>
          <cell r="E2952" t="str">
            <v>SEDANG</v>
          </cell>
          <cell r="F2952" t="str">
            <v>Tidak</v>
          </cell>
          <cell r="G2952" t="str">
            <v>Tidak</v>
          </cell>
          <cell r="H2952" t="str">
            <v>Tidak</v>
          </cell>
          <cell r="I2952" t="str">
            <v>Bandar Judol Withdrawal</v>
          </cell>
          <cell r="J2952">
            <v>50</v>
          </cell>
          <cell r="K2952" t="str">
            <v>86,88,87</v>
          </cell>
          <cell r="L2952" t="str">
            <v>Judi Online</v>
          </cell>
          <cell r="M2952" t="str">
            <v xml:space="preserve">Kas Kanpus                              </v>
          </cell>
          <cell r="N2952" t="str">
            <v xml:space="preserve">Kas Kanpus                              </v>
          </cell>
          <cell r="O2952" t="str">
            <v xml:space="preserve">KAS KANPUS                              </v>
          </cell>
          <cell r="P2952" t="str">
            <v>Ya</v>
          </cell>
          <cell r="R2952" t="str">
            <v>Done</v>
          </cell>
          <cell r="S2952" t="str">
            <v>Belum TL</v>
          </cell>
          <cell r="T2952" t="str">
            <v>90171841 - Rifqi Aziz</v>
          </cell>
          <cell r="U2952" t="str">
            <v>"-"</v>
          </cell>
        </row>
        <row r="2953">
          <cell r="A2953">
            <v>46265</v>
          </cell>
          <cell r="B2953" t="str">
            <v xml:space="preserve">MERANI                                  </v>
          </cell>
          <cell r="C2953" t="str">
            <v>MVL1099</v>
          </cell>
          <cell r="D2953">
            <v>804201038460535</v>
          </cell>
          <cell r="E2953" t="str">
            <v>SEDANG</v>
          </cell>
          <cell r="F2953" t="str">
            <v>Tidak</v>
          </cell>
          <cell r="G2953" t="str">
            <v>Tidak</v>
          </cell>
          <cell r="H2953" t="str">
            <v>Tidak</v>
          </cell>
          <cell r="I2953" t="str">
            <v>Bandar Judol Withdrawal</v>
          </cell>
          <cell r="J2953">
            <v>50</v>
          </cell>
          <cell r="K2953" t="str">
            <v>86,88,87</v>
          </cell>
          <cell r="L2953" t="str">
            <v>Judi Online</v>
          </cell>
          <cell r="M2953" t="str">
            <v xml:space="preserve">Kas Kanpus                              </v>
          </cell>
          <cell r="N2953" t="str">
            <v xml:space="preserve">Kas Kanpus                              </v>
          </cell>
          <cell r="O2953" t="str">
            <v xml:space="preserve">KAS KANPUS                              </v>
          </cell>
          <cell r="P2953" t="str">
            <v>Ya</v>
          </cell>
          <cell r="R2953" t="str">
            <v>Done</v>
          </cell>
          <cell r="S2953" t="str">
            <v>Belum TL</v>
          </cell>
          <cell r="T2953" t="str">
            <v>90186796 - Devito Arya Wiradila</v>
          </cell>
          <cell r="U2953" t="str">
            <v>"-"</v>
          </cell>
        </row>
        <row r="2954">
          <cell r="A2954">
            <v>46265</v>
          </cell>
          <cell r="B2954" t="str">
            <v xml:space="preserve">MUHAMMAD RIVAL FAHLEVI SAGALA           </v>
          </cell>
          <cell r="C2954" t="str">
            <v>MUWM589</v>
          </cell>
          <cell r="D2954">
            <v>22801067603506</v>
          </cell>
          <cell r="E2954" t="str">
            <v>SEDANG</v>
          </cell>
          <cell r="F2954" t="str">
            <v>Tidak</v>
          </cell>
          <cell r="G2954" t="str">
            <v>Tidak</v>
          </cell>
          <cell r="H2954" t="str">
            <v>Tidak</v>
          </cell>
          <cell r="I2954" t="str">
            <v>Bandar Judol Withdrawal</v>
          </cell>
          <cell r="J2954">
            <v>50</v>
          </cell>
          <cell r="K2954" t="str">
            <v>86,88,87</v>
          </cell>
          <cell r="L2954" t="str">
            <v>Judi Online</v>
          </cell>
          <cell r="M2954" t="str">
            <v xml:space="preserve">Kas Kanpus                              </v>
          </cell>
          <cell r="N2954" t="str">
            <v xml:space="preserve">Kas Kanpus                              </v>
          </cell>
          <cell r="O2954" t="str">
            <v xml:space="preserve">KAS KANPUS                              </v>
          </cell>
          <cell r="P2954" t="str">
            <v>Ya</v>
          </cell>
          <cell r="R2954" t="str">
            <v>Done</v>
          </cell>
          <cell r="S2954" t="str">
            <v>Belum TL</v>
          </cell>
          <cell r="T2954" t="str">
            <v>00336949 - Mochammad Al Farabi</v>
          </cell>
          <cell r="U2954" t="str">
            <v>"-"</v>
          </cell>
        </row>
        <row r="2955">
          <cell r="A2955">
            <v>46265</v>
          </cell>
          <cell r="B2955" t="str">
            <v xml:space="preserve">MARIANA AGUSTIN ASSA                    </v>
          </cell>
          <cell r="C2955" t="str">
            <v>MUTF831</v>
          </cell>
          <cell r="D2955">
            <v>1201303266506</v>
          </cell>
          <cell r="E2955" t="str">
            <v>SEDANG</v>
          </cell>
          <cell r="F2955" t="str">
            <v>Tidak</v>
          </cell>
          <cell r="G2955" t="str">
            <v>Tidak</v>
          </cell>
          <cell r="H2955" t="str">
            <v>Tidak</v>
          </cell>
          <cell r="I2955" t="str">
            <v>Bandar Judol Withdrawal</v>
          </cell>
          <cell r="J2955">
            <v>50</v>
          </cell>
          <cell r="K2955" t="str">
            <v>86,88,87</v>
          </cell>
          <cell r="L2955" t="str">
            <v>Judi Online</v>
          </cell>
          <cell r="M2955" t="str">
            <v xml:space="preserve">Kas Kanpus                              </v>
          </cell>
          <cell r="N2955" t="str">
            <v xml:space="preserve">Kas Kanpus                              </v>
          </cell>
          <cell r="O2955" t="str">
            <v xml:space="preserve">KAS KANPUS                              </v>
          </cell>
          <cell r="P2955" t="str">
            <v>Ya</v>
          </cell>
          <cell r="R2955" t="str">
            <v>Done</v>
          </cell>
          <cell r="S2955" t="str">
            <v>Belum TL</v>
          </cell>
          <cell r="T2955" t="str">
            <v>90171841 - Rifqi Aziz</v>
          </cell>
          <cell r="U2955" t="str">
            <v>"-"</v>
          </cell>
        </row>
        <row r="2956">
          <cell r="A2956">
            <v>46265</v>
          </cell>
          <cell r="B2956" t="str">
            <v xml:space="preserve">MARNI DAHIBA                            </v>
          </cell>
          <cell r="C2956" t="str">
            <v>MULL236</v>
          </cell>
          <cell r="D2956">
            <v>2701003808562</v>
          </cell>
          <cell r="E2956" t="str">
            <v>SEDANG</v>
          </cell>
          <cell r="F2956" t="str">
            <v>Ya</v>
          </cell>
          <cell r="G2956" t="str">
            <v>Tidak</v>
          </cell>
          <cell r="I2956" t="str">
            <v>Transaksi Agen BRILink terindikasi Judi Online</v>
          </cell>
          <cell r="J2956">
            <v>50</v>
          </cell>
          <cell r="K2956">
            <v>105</v>
          </cell>
          <cell r="L2956" t="str">
            <v>Agen BRILink</v>
          </cell>
          <cell r="M2956" t="str">
            <v xml:space="preserve">Kas Kanpus                              </v>
          </cell>
          <cell r="N2956" t="str">
            <v xml:space="preserve">Kas Kanpus                              </v>
          </cell>
          <cell r="O2956" t="str">
            <v xml:space="preserve">KAS KANPUS                              </v>
          </cell>
          <cell r="P2956" t="str">
            <v>Tidak</v>
          </cell>
          <cell r="R2956" t="str">
            <v>Done</v>
          </cell>
          <cell r="S2956" t="str">
            <v>Belum TL</v>
          </cell>
          <cell r="T2956" t="str">
            <v>90185538 - Muhammad Fahikal Auz</v>
          </cell>
          <cell r="U2956" t="str">
            <v>"-"</v>
          </cell>
        </row>
        <row r="2957">
          <cell r="A2957">
            <v>46265</v>
          </cell>
          <cell r="B2957" t="str">
            <v xml:space="preserve">MARSELLINO MARSELL TUMBELAKA            </v>
          </cell>
          <cell r="C2957" t="str">
            <v>MDCBM88</v>
          </cell>
          <cell r="D2957">
            <v>226001009014539</v>
          </cell>
          <cell r="F2957" t="str">
            <v>Tidak</v>
          </cell>
          <cell r="G2957" t="str">
            <v>Tidak</v>
          </cell>
          <cell r="H2957" t="str">
            <v>Tidak</v>
          </cell>
          <cell r="I2957" t="str">
            <v>Bandar Judol Depo</v>
          </cell>
          <cell r="J2957">
            <v>35</v>
          </cell>
          <cell r="K2957" t="str">
            <v>86,74,87</v>
          </cell>
          <cell r="L2957" t="str">
            <v>Judi Online</v>
          </cell>
          <cell r="M2957" t="str">
            <v xml:space="preserve">Kas Kanpus                              </v>
          </cell>
          <cell r="N2957" t="str">
            <v xml:space="preserve">Kas Kanpus                              </v>
          </cell>
          <cell r="O2957" t="str">
            <v xml:space="preserve">KAS KANPUS                              </v>
          </cell>
          <cell r="P2957" t="str">
            <v>Ya</v>
          </cell>
          <cell r="R2957" t="str">
            <v>Done</v>
          </cell>
          <cell r="S2957" t="str">
            <v>Belum TL</v>
          </cell>
          <cell r="T2957" t="str">
            <v>90186790 - Muhammad Alfin Farha</v>
          </cell>
          <cell r="U2957" t="str">
            <v>"-"</v>
          </cell>
        </row>
        <row r="2958">
          <cell r="A2958">
            <v>46265</v>
          </cell>
          <cell r="B2958" t="str">
            <v xml:space="preserve">MUHAMMAD RIDHO                          </v>
          </cell>
          <cell r="C2958" t="str">
            <v>MDJGE64</v>
          </cell>
          <cell r="D2958">
            <v>530301055260539</v>
          </cell>
          <cell r="F2958" t="str">
            <v>Tidak</v>
          </cell>
          <cell r="G2958" t="str">
            <v>Tidak</v>
          </cell>
          <cell r="H2958" t="str">
            <v>Tidak</v>
          </cell>
          <cell r="I2958" t="str">
            <v>Bandar Judol Depo</v>
          </cell>
          <cell r="J2958">
            <v>35</v>
          </cell>
          <cell r="K2958" t="str">
            <v>86,74,87</v>
          </cell>
          <cell r="L2958" t="str">
            <v>Judi Online</v>
          </cell>
          <cell r="M2958" t="str">
            <v xml:space="preserve">Kas Kanpus                              </v>
          </cell>
          <cell r="N2958" t="str">
            <v xml:space="preserve">Kas Kanpus                              </v>
          </cell>
          <cell r="O2958" t="str">
            <v xml:space="preserve">KAS KANPUS                              </v>
          </cell>
          <cell r="P2958" t="str">
            <v>Ya</v>
          </cell>
          <cell r="R2958" t="str">
            <v>Done</v>
          </cell>
          <cell r="S2958" t="str">
            <v>Belum TL</v>
          </cell>
          <cell r="T2958" t="str">
            <v>90186796 - Devito Arya Wiradila</v>
          </cell>
          <cell r="U2958" t="str">
            <v>"-"</v>
          </cell>
        </row>
        <row r="2959">
          <cell r="A2959">
            <v>46265</v>
          </cell>
          <cell r="B2959" t="str">
            <v xml:space="preserve">MUHAMAD AZMALUDIN                       </v>
          </cell>
          <cell r="C2959" t="str">
            <v>MDMDU32</v>
          </cell>
          <cell r="D2959">
            <v>92101029133503</v>
          </cell>
          <cell r="F2959" t="str">
            <v>Tidak</v>
          </cell>
          <cell r="G2959" t="str">
            <v>Tidak</v>
          </cell>
          <cell r="H2959" t="str">
            <v>Tidak</v>
          </cell>
          <cell r="I2959" t="str">
            <v>Bandar Judol Withdrawal</v>
          </cell>
          <cell r="J2959">
            <v>35</v>
          </cell>
          <cell r="K2959" t="str">
            <v>86,88,87</v>
          </cell>
          <cell r="L2959" t="str">
            <v>Judi Online</v>
          </cell>
          <cell r="M2959" t="str">
            <v xml:space="preserve">Kas Kanpus                              </v>
          </cell>
          <cell r="N2959" t="str">
            <v xml:space="preserve">Kas Kanpus                              </v>
          </cell>
          <cell r="O2959" t="str">
            <v xml:space="preserve">KAS KANPUS                              </v>
          </cell>
          <cell r="P2959" t="str">
            <v>Ya</v>
          </cell>
          <cell r="R2959" t="str">
            <v>Done</v>
          </cell>
          <cell r="S2959" t="str">
            <v>Belum TL</v>
          </cell>
          <cell r="T2959" t="str">
            <v>90186796 - Devito Arya Wiradila</v>
          </cell>
          <cell r="U2959" t="str">
            <v>"-"</v>
          </cell>
        </row>
        <row r="2960">
          <cell r="A2960">
            <v>46265</v>
          </cell>
          <cell r="B2960" t="str">
            <v xml:space="preserve">MUHAMMAD RIFQI RAMADHAN                 </v>
          </cell>
          <cell r="C2960" t="str">
            <v>MDMGH28</v>
          </cell>
          <cell r="D2960">
            <v>11201130310508</v>
          </cell>
          <cell r="F2960" t="str">
            <v>Tidak</v>
          </cell>
          <cell r="G2960" t="str">
            <v>Tidak</v>
          </cell>
          <cell r="H2960" t="str">
            <v>Tidak</v>
          </cell>
          <cell r="I2960" t="str">
            <v>Bandar Judol Withdrawal</v>
          </cell>
          <cell r="J2960">
            <v>35</v>
          </cell>
          <cell r="K2960" t="str">
            <v>86,88,87</v>
          </cell>
          <cell r="L2960" t="str">
            <v>Judi Online</v>
          </cell>
          <cell r="M2960" t="str">
            <v xml:space="preserve">Kas Kanpus                              </v>
          </cell>
          <cell r="N2960" t="str">
            <v xml:space="preserve">Kas Kanpus                              </v>
          </cell>
          <cell r="O2960" t="str">
            <v xml:space="preserve">KAS KANPUS                              </v>
          </cell>
          <cell r="P2960" t="str">
            <v>Ya</v>
          </cell>
          <cell r="R2960" t="str">
            <v>Done</v>
          </cell>
          <cell r="S2960" t="str">
            <v>Belum TL</v>
          </cell>
          <cell r="T2960" t="str">
            <v>90185538 - Muhammad Fahikal Auz</v>
          </cell>
          <cell r="U2960" t="str">
            <v>"-"</v>
          </cell>
        </row>
        <row r="2961">
          <cell r="A2961">
            <v>46265</v>
          </cell>
          <cell r="B2961" t="str">
            <v xml:space="preserve">MUHAMAD ICHSAN RAMADHAN                 </v>
          </cell>
          <cell r="C2961" t="str">
            <v>MDKAM37</v>
          </cell>
          <cell r="D2961">
            <v>563201000061565</v>
          </cell>
          <cell r="F2961" t="str">
            <v>Tidak</v>
          </cell>
          <cell r="G2961" t="str">
            <v>Tidak</v>
          </cell>
          <cell r="H2961" t="str">
            <v>Tidak</v>
          </cell>
          <cell r="I2961" t="str">
            <v>Bandar Judol Withdrawal</v>
          </cell>
          <cell r="J2961">
            <v>35</v>
          </cell>
          <cell r="K2961" t="str">
            <v>86,88,87</v>
          </cell>
          <cell r="L2961" t="str">
            <v>Judi Online</v>
          </cell>
          <cell r="M2961" t="str">
            <v xml:space="preserve">Kas Kanpus                              </v>
          </cell>
          <cell r="N2961" t="str">
            <v xml:space="preserve">Kas Kanpus                              </v>
          </cell>
          <cell r="O2961" t="str">
            <v xml:space="preserve">KAS KANPUS                              </v>
          </cell>
          <cell r="P2961" t="str">
            <v>Ya</v>
          </cell>
          <cell r="R2961" t="str">
            <v>Done</v>
          </cell>
          <cell r="S2961" t="str">
            <v>Belum TL</v>
          </cell>
          <cell r="T2961" t="str">
            <v>90171841 - Rifqi Aziz</v>
          </cell>
          <cell r="U2961" t="str">
            <v>"-"</v>
          </cell>
        </row>
        <row r="2962">
          <cell r="A2962">
            <v>46265</v>
          </cell>
          <cell r="B2962" t="str">
            <v xml:space="preserve">MULYADI                                 </v>
          </cell>
          <cell r="C2962" t="str">
            <v>MCYNH46</v>
          </cell>
          <cell r="D2962">
            <v>1201265856502</v>
          </cell>
          <cell r="F2962" t="str">
            <v>Tidak</v>
          </cell>
          <cell r="G2962" t="str">
            <v>Tidak</v>
          </cell>
          <cell r="H2962" t="str">
            <v>Tidak</v>
          </cell>
          <cell r="I2962" t="str">
            <v>Bandar Judol Withdrawal</v>
          </cell>
          <cell r="J2962">
            <v>35</v>
          </cell>
          <cell r="K2962" t="str">
            <v>86,88,87</v>
          </cell>
          <cell r="L2962" t="str">
            <v>Judi Online</v>
          </cell>
          <cell r="M2962" t="str">
            <v xml:space="preserve">Kas Kanpus                              </v>
          </cell>
          <cell r="N2962" t="str">
            <v xml:space="preserve">Kas Kanpus                              </v>
          </cell>
          <cell r="O2962" t="str">
            <v xml:space="preserve">KAS KANPUS                              </v>
          </cell>
          <cell r="P2962" t="str">
            <v>Ya</v>
          </cell>
          <cell r="R2962" t="str">
            <v>Done</v>
          </cell>
          <cell r="S2962" t="str">
            <v>Belum TL</v>
          </cell>
          <cell r="T2962" t="str">
            <v>90185537 - Moh.Khoerul Fajar Ar</v>
          </cell>
          <cell r="U2962" t="str">
            <v>"-"</v>
          </cell>
        </row>
        <row r="2963">
          <cell r="A2963">
            <v>46265</v>
          </cell>
          <cell r="B2963" t="str">
            <v xml:space="preserve">MUHAMAD YOGI APRIAN                     </v>
          </cell>
          <cell r="C2963" t="str">
            <v>MDNJV10</v>
          </cell>
          <cell r="D2963">
            <v>65301020935503</v>
          </cell>
          <cell r="F2963" t="str">
            <v>Tidak</v>
          </cell>
          <cell r="G2963" t="str">
            <v>Tidak</v>
          </cell>
          <cell r="H2963" t="str">
            <v>Tidak</v>
          </cell>
          <cell r="I2963" t="str">
            <v>Bandar Judol Withdrawal</v>
          </cell>
          <cell r="J2963">
            <v>35</v>
          </cell>
          <cell r="K2963" t="str">
            <v>86,88,87</v>
          </cell>
          <cell r="L2963" t="str">
            <v>Judi Online</v>
          </cell>
          <cell r="M2963" t="str">
            <v xml:space="preserve">Kas Kanpus                              </v>
          </cell>
          <cell r="N2963" t="str">
            <v xml:space="preserve">Kas Kanpus                              </v>
          </cell>
          <cell r="O2963" t="str">
            <v xml:space="preserve">KAS KANPUS                              </v>
          </cell>
          <cell r="P2963" t="str">
            <v>Ya</v>
          </cell>
          <cell r="R2963" t="str">
            <v>Done</v>
          </cell>
          <cell r="S2963" t="str">
            <v>Belum TL</v>
          </cell>
          <cell r="T2963" t="str">
            <v>90186796 - Devito Arya Wiradila</v>
          </cell>
          <cell r="U2963" t="str">
            <v>"-"</v>
          </cell>
        </row>
        <row r="2964">
          <cell r="A2964">
            <v>46265</v>
          </cell>
          <cell r="B2964" t="str">
            <v xml:space="preserve">MUHAMMAD IMAM                           </v>
          </cell>
          <cell r="C2964" t="str">
            <v>MDNDA71</v>
          </cell>
          <cell r="D2964">
            <v>539501057209534</v>
          </cell>
          <cell r="F2964" t="str">
            <v>Tidak</v>
          </cell>
          <cell r="G2964" t="str">
            <v>Tidak</v>
          </cell>
          <cell r="H2964" t="str">
            <v>Tidak</v>
          </cell>
          <cell r="I2964" t="str">
            <v>Bandar Judol Depo</v>
          </cell>
          <cell r="J2964">
            <v>35</v>
          </cell>
          <cell r="K2964" t="str">
            <v>86,74,87</v>
          </cell>
          <cell r="L2964" t="str">
            <v>Judi Online</v>
          </cell>
          <cell r="M2964" t="str">
            <v xml:space="preserve">Kas Kanpus                              </v>
          </cell>
          <cell r="N2964" t="str">
            <v xml:space="preserve">Kas Kanpus                              </v>
          </cell>
          <cell r="O2964" t="str">
            <v xml:space="preserve">KAS KANPUS                              </v>
          </cell>
          <cell r="P2964" t="str">
            <v>Ya</v>
          </cell>
          <cell r="R2964" t="str">
            <v>Done</v>
          </cell>
          <cell r="S2964" t="str">
            <v>Belum TL</v>
          </cell>
          <cell r="T2964" t="str">
            <v>90186790 - Muhammad Alfin Farha</v>
          </cell>
          <cell r="U2964" t="str">
            <v>"-"</v>
          </cell>
        </row>
        <row r="2965">
          <cell r="A2965">
            <v>46265</v>
          </cell>
          <cell r="B2965" t="str">
            <v xml:space="preserve">MARCELLYNA FAHMI                        </v>
          </cell>
          <cell r="C2965" t="str">
            <v>MDNLQ78</v>
          </cell>
          <cell r="D2965">
            <v>547701005812501</v>
          </cell>
          <cell r="F2965" t="str">
            <v>Tidak</v>
          </cell>
          <cell r="G2965" t="str">
            <v>Tidak</v>
          </cell>
          <cell r="H2965" t="str">
            <v>Tidak</v>
          </cell>
          <cell r="I2965" t="str">
            <v>Bandar Judol Withdrawal</v>
          </cell>
          <cell r="J2965">
            <v>35</v>
          </cell>
          <cell r="K2965" t="str">
            <v>86,88,87</v>
          </cell>
          <cell r="L2965" t="str">
            <v>Judi Online</v>
          </cell>
          <cell r="M2965" t="str">
            <v xml:space="preserve">Kas Kanpus                              </v>
          </cell>
          <cell r="N2965" t="str">
            <v xml:space="preserve">Kas Kanpus                              </v>
          </cell>
          <cell r="O2965" t="str">
            <v xml:space="preserve">KAS KANPUS                              </v>
          </cell>
          <cell r="P2965" t="str">
            <v>Ya</v>
          </cell>
          <cell r="R2965" t="str">
            <v>Done</v>
          </cell>
          <cell r="S2965" t="str">
            <v>Belum TL</v>
          </cell>
          <cell r="T2965" t="str">
            <v>00394520 - Frida Akbar Rani</v>
          </cell>
          <cell r="U2965" t="str">
            <v>"-"</v>
          </cell>
        </row>
        <row r="2966">
          <cell r="A2966">
            <v>46265</v>
          </cell>
          <cell r="B2966" t="str">
            <v xml:space="preserve">MUSTIKA EKA UNGGUL                      </v>
          </cell>
          <cell r="C2966" t="str">
            <v>MDMQS43</v>
          </cell>
          <cell r="D2966">
            <v>20601222202303</v>
          </cell>
          <cell r="F2966" t="str">
            <v>Tidak</v>
          </cell>
          <cell r="G2966" t="str">
            <v>Tidak</v>
          </cell>
          <cell r="H2966" t="str">
            <v>Tidak</v>
          </cell>
          <cell r="I2966" t="str">
            <v>Perpajakan</v>
          </cell>
          <cell r="J2966">
            <v>33</v>
          </cell>
          <cell r="K2966">
            <v>41</v>
          </cell>
          <cell r="L2966" t="str">
            <v>Perpajakan</v>
          </cell>
          <cell r="M2966" t="str">
            <v xml:space="preserve">KC SUDIRMAN SEMANGGI                    </v>
          </cell>
          <cell r="N2966" t="str">
            <v xml:space="preserve">KC SUDIRMAN SEMANGGI                    </v>
          </cell>
          <cell r="O2966" t="str">
            <v xml:space="preserve">DKI                                     </v>
          </cell>
          <cell r="P2966" t="str">
            <v>Tidak</v>
          </cell>
          <cell r="R2966" t="str">
            <v>Done</v>
          </cell>
          <cell r="S2966" t="str">
            <v>Belum TL</v>
          </cell>
          <cell r="T2966" t="str">
            <v>90185537 - Moh.Khoerul Fajar Ar</v>
          </cell>
          <cell r="U2966" t="str">
            <v>"-"</v>
          </cell>
        </row>
        <row r="2967">
          <cell r="A2967">
            <v>46265</v>
          </cell>
          <cell r="B2967" t="str">
            <v xml:space="preserve">M RASYA RISKI PRATAMA                   </v>
          </cell>
          <cell r="C2967" t="str">
            <v>MDMWY55</v>
          </cell>
          <cell r="D2967">
            <v>33601034438537</v>
          </cell>
          <cell r="F2967" t="str">
            <v>Tidak</v>
          </cell>
          <cell r="G2967" t="str">
            <v>Tidak</v>
          </cell>
          <cell r="H2967" t="str">
            <v>Tidak</v>
          </cell>
          <cell r="I2967" t="str">
            <v>Bandar Judol Withdrawal</v>
          </cell>
          <cell r="J2967">
            <v>35</v>
          </cell>
          <cell r="K2967" t="str">
            <v>86,88,87</v>
          </cell>
          <cell r="L2967" t="str">
            <v>Judi Online</v>
          </cell>
          <cell r="M2967" t="str">
            <v xml:space="preserve">Kas Kanpus                              </v>
          </cell>
          <cell r="N2967" t="str">
            <v xml:space="preserve">Kas Kanpus                              </v>
          </cell>
          <cell r="O2967" t="str">
            <v xml:space="preserve">KAS KANPUS                              </v>
          </cell>
          <cell r="P2967" t="str">
            <v>Ya</v>
          </cell>
          <cell r="R2967" t="str">
            <v>Done</v>
          </cell>
          <cell r="S2967" t="str">
            <v>Belum TL</v>
          </cell>
          <cell r="T2967" t="str">
            <v>90150130 - Intan Aida Pratiwi</v>
          </cell>
          <cell r="U2967" t="str">
            <v>"-"</v>
          </cell>
        </row>
        <row r="2968">
          <cell r="A2968">
            <v>46265</v>
          </cell>
          <cell r="B2968" t="str">
            <v xml:space="preserve">MUSTIKA EKA UNGGUL                      </v>
          </cell>
          <cell r="C2968" t="str">
            <v>MDMYV88</v>
          </cell>
          <cell r="D2968">
            <v>20602114444300</v>
          </cell>
          <cell r="F2968" t="str">
            <v>Tidak</v>
          </cell>
          <cell r="G2968" t="str">
            <v>Tidak</v>
          </cell>
          <cell r="H2968" t="str">
            <v>Tidak</v>
          </cell>
          <cell r="I2968" t="str">
            <v>Perpajakan</v>
          </cell>
          <cell r="J2968">
            <v>33</v>
          </cell>
          <cell r="K2968">
            <v>41</v>
          </cell>
          <cell r="L2968" t="str">
            <v>Perpajakan</v>
          </cell>
          <cell r="M2968" t="str">
            <v xml:space="preserve">KC SUDIRMAN SEMANGGI                    </v>
          </cell>
          <cell r="N2968" t="str">
            <v xml:space="preserve">KC SUDIRMAN SEMANGGI                    </v>
          </cell>
          <cell r="O2968" t="str">
            <v xml:space="preserve">DKI                                     </v>
          </cell>
          <cell r="P2968" t="str">
            <v>Tidak</v>
          </cell>
          <cell r="R2968" t="str">
            <v>Done</v>
          </cell>
          <cell r="S2968" t="str">
            <v>Belum TL</v>
          </cell>
          <cell r="T2968" t="str">
            <v>00336949 - Mochammad Al Farabi</v>
          </cell>
          <cell r="U2968" t="str">
            <v>"-"</v>
          </cell>
        </row>
        <row r="2969">
          <cell r="A2969">
            <v>46265</v>
          </cell>
          <cell r="B2969" t="str">
            <v xml:space="preserve">M AJI PUTRA HSB                         </v>
          </cell>
          <cell r="C2969" t="str">
            <v>MCUXE50</v>
          </cell>
          <cell r="D2969">
            <v>63301051656508</v>
          </cell>
          <cell r="F2969" t="str">
            <v>Tidak</v>
          </cell>
          <cell r="G2969" t="str">
            <v>Tidak</v>
          </cell>
          <cell r="H2969" t="str">
            <v>Tidak</v>
          </cell>
          <cell r="I2969" t="str">
            <v>Bandar Judol Withdrawal</v>
          </cell>
          <cell r="J2969">
            <v>35</v>
          </cell>
          <cell r="K2969" t="str">
            <v>86,88,87</v>
          </cell>
          <cell r="L2969" t="str">
            <v>Judi Online</v>
          </cell>
          <cell r="M2969" t="str">
            <v xml:space="preserve">Kas Kanpus                              </v>
          </cell>
          <cell r="N2969" t="str">
            <v xml:space="preserve">Kas Kanpus                              </v>
          </cell>
          <cell r="O2969" t="str">
            <v xml:space="preserve">KAS KANPUS                              </v>
          </cell>
          <cell r="P2969" t="str">
            <v>Ya</v>
          </cell>
          <cell r="R2969" t="str">
            <v>Done</v>
          </cell>
          <cell r="S2969" t="str">
            <v>Belum TL</v>
          </cell>
          <cell r="T2969" t="str">
            <v>90170665 - Mutiara Ayuningtyas</v>
          </cell>
          <cell r="U2969" t="str">
            <v>"-"</v>
          </cell>
        </row>
        <row r="2970">
          <cell r="A2970">
            <v>46265</v>
          </cell>
          <cell r="B2970" t="str">
            <v xml:space="preserve">MASLIYANA                               </v>
          </cell>
          <cell r="C2970" t="str">
            <v>MCW4678</v>
          </cell>
          <cell r="D2970">
            <v>53801137998503</v>
          </cell>
          <cell r="E2970" t="str">
            <v>SEDANG</v>
          </cell>
          <cell r="F2970" t="str">
            <v>Tidak</v>
          </cell>
          <cell r="G2970" t="str">
            <v>Tidak</v>
          </cell>
          <cell r="H2970" t="str">
            <v>Tidak</v>
          </cell>
          <cell r="I2970" t="str">
            <v>Bandar Judol Withdrawal</v>
          </cell>
          <cell r="J2970">
            <v>50</v>
          </cell>
          <cell r="K2970" t="str">
            <v>86,88,87</v>
          </cell>
          <cell r="L2970" t="str">
            <v>Judi Online</v>
          </cell>
          <cell r="M2970" t="str">
            <v xml:space="preserve">Kas Kanpus                              </v>
          </cell>
          <cell r="N2970" t="str">
            <v xml:space="preserve">Kas Kanpus                              </v>
          </cell>
          <cell r="O2970" t="str">
            <v xml:space="preserve">KAS KANPUS                              </v>
          </cell>
          <cell r="P2970" t="str">
            <v>Ya</v>
          </cell>
          <cell r="R2970" t="str">
            <v>Done</v>
          </cell>
          <cell r="S2970" t="str">
            <v>Belum TL</v>
          </cell>
          <cell r="T2970" t="str">
            <v>00336949 - Mochammad Al Farabi</v>
          </cell>
          <cell r="U2970" t="str">
            <v>"-"</v>
          </cell>
        </row>
        <row r="2971">
          <cell r="A2971">
            <v>46265</v>
          </cell>
          <cell r="B2971" t="str">
            <v xml:space="preserve">MUHAMAD ARIPIN                          </v>
          </cell>
          <cell r="C2971" t="str">
            <v>MCWKZ48</v>
          </cell>
          <cell r="D2971">
            <v>112901001274566</v>
          </cell>
          <cell r="F2971" t="str">
            <v>Tidak</v>
          </cell>
          <cell r="G2971" t="str">
            <v>Tidak</v>
          </cell>
          <cell r="H2971" t="str">
            <v>Tidak</v>
          </cell>
          <cell r="I2971" t="str">
            <v>Bandar Judol Depo</v>
          </cell>
          <cell r="J2971">
            <v>35</v>
          </cell>
          <cell r="K2971" t="str">
            <v>86,74,87</v>
          </cell>
          <cell r="L2971" t="str">
            <v>Judi Online</v>
          </cell>
          <cell r="M2971" t="str">
            <v xml:space="preserve">Kas Kanpus                              </v>
          </cell>
          <cell r="N2971" t="str">
            <v xml:space="preserve">Kas Kanpus                              </v>
          </cell>
          <cell r="O2971" t="str">
            <v xml:space="preserve">KAS KANPUS                              </v>
          </cell>
          <cell r="P2971" t="str">
            <v>Ya</v>
          </cell>
          <cell r="R2971" t="str">
            <v>Done</v>
          </cell>
          <cell r="S2971" t="str">
            <v>Belum TL</v>
          </cell>
          <cell r="T2971" t="str">
            <v>00394521 - Muhammad Hibbanduta</v>
          </cell>
          <cell r="U2971" t="str">
            <v>"-"</v>
          </cell>
        </row>
        <row r="2972">
          <cell r="A2972">
            <v>46265</v>
          </cell>
          <cell r="B2972" t="str">
            <v xml:space="preserve">MUGIYANA                                </v>
          </cell>
          <cell r="C2972" t="str">
            <v>MCTGV79</v>
          </cell>
          <cell r="D2972">
            <v>43801003692562</v>
          </cell>
          <cell r="F2972" t="str">
            <v>Tidak</v>
          </cell>
          <cell r="G2972" t="str">
            <v>Tidak</v>
          </cell>
          <cell r="H2972" t="str">
            <v>Tidak</v>
          </cell>
          <cell r="I2972" t="str">
            <v>Bandar Judol Withdrawal</v>
          </cell>
          <cell r="J2972">
            <v>35</v>
          </cell>
          <cell r="K2972" t="str">
            <v>86,88,87</v>
          </cell>
          <cell r="L2972" t="str">
            <v>Judi Online</v>
          </cell>
          <cell r="M2972" t="str">
            <v xml:space="preserve">Kas Kanpus                              </v>
          </cell>
          <cell r="N2972" t="str">
            <v xml:space="preserve">Kas Kanpus                              </v>
          </cell>
          <cell r="O2972" t="str">
            <v xml:space="preserve">KAS KANPUS                              </v>
          </cell>
          <cell r="P2972" t="str">
            <v>Ya</v>
          </cell>
          <cell r="R2972" t="str">
            <v>Done</v>
          </cell>
          <cell r="S2972" t="str">
            <v>Belum TL</v>
          </cell>
          <cell r="T2972" t="str">
            <v>90185537 - Moh.Khoerul Fajar Ar</v>
          </cell>
          <cell r="U2972" t="str">
            <v>"-"</v>
          </cell>
        </row>
        <row r="2973">
          <cell r="A2973">
            <v>46265</v>
          </cell>
          <cell r="B2973" t="str">
            <v xml:space="preserve">MUARA TALENTA MERR                      </v>
          </cell>
          <cell r="C2973" t="str">
            <v>MCTBT47</v>
          </cell>
          <cell r="D2973">
            <v>8101011207568</v>
          </cell>
          <cell r="F2973" t="str">
            <v>Tidak</v>
          </cell>
          <cell r="G2973" t="str">
            <v>Tidak</v>
          </cell>
          <cell r="H2973" t="str">
            <v>Tidak</v>
          </cell>
          <cell r="I2973" t="str">
            <v>Perpajakan</v>
          </cell>
          <cell r="J2973">
            <v>38</v>
          </cell>
          <cell r="K2973">
            <v>41</v>
          </cell>
          <cell r="L2973" t="str">
            <v>Perpajakan</v>
          </cell>
          <cell r="M2973" t="str">
            <v xml:space="preserve">KC Salatiga                             </v>
          </cell>
          <cell r="N2973" t="str">
            <v xml:space="preserve">KC Salatiga                             </v>
          </cell>
          <cell r="O2973" t="str">
            <v xml:space="preserve">Semarang                                </v>
          </cell>
          <cell r="P2973" t="str">
            <v>Tidak</v>
          </cell>
          <cell r="R2973" t="str">
            <v>Done</v>
          </cell>
          <cell r="S2973" t="str">
            <v>Belum TL</v>
          </cell>
          <cell r="T2973" t="str">
            <v>00394521 - Muhammad Hibbanduta</v>
          </cell>
          <cell r="U2973" t="str">
            <v>"-"</v>
          </cell>
        </row>
        <row r="2974">
          <cell r="A2974">
            <v>46265</v>
          </cell>
          <cell r="B2974" t="str">
            <v xml:space="preserve">MIFTAHUDIN                              </v>
          </cell>
          <cell r="C2974" t="str">
            <v>MCQW673</v>
          </cell>
          <cell r="D2974">
            <v>33801067266509</v>
          </cell>
          <cell r="E2974" t="str">
            <v>SEDANG</v>
          </cell>
          <cell r="F2974" t="str">
            <v>Tidak</v>
          </cell>
          <cell r="G2974" t="str">
            <v>Tidak</v>
          </cell>
          <cell r="H2974" t="str">
            <v>Tidak</v>
          </cell>
          <cell r="I2974" t="str">
            <v>Bandar Judol Withdrawal</v>
          </cell>
          <cell r="J2974">
            <v>50</v>
          </cell>
          <cell r="K2974" t="str">
            <v>86,88,87</v>
          </cell>
          <cell r="L2974" t="str">
            <v>Judi Online</v>
          </cell>
          <cell r="M2974" t="str">
            <v xml:space="preserve">Kas Kanpus                              </v>
          </cell>
          <cell r="N2974" t="str">
            <v xml:space="preserve">Kas Kanpus                              </v>
          </cell>
          <cell r="O2974" t="str">
            <v xml:space="preserve">KAS KANPUS                              </v>
          </cell>
          <cell r="P2974" t="str">
            <v>Ya</v>
          </cell>
          <cell r="R2974" t="str">
            <v>Done</v>
          </cell>
          <cell r="S2974" t="str">
            <v>Belum TL</v>
          </cell>
          <cell r="T2974" t="str">
            <v>00394520 - Frida Akbar Rani</v>
          </cell>
          <cell r="U2974" t="str">
            <v>"-"</v>
          </cell>
        </row>
        <row r="2975">
          <cell r="A2975">
            <v>46265</v>
          </cell>
          <cell r="B2975" t="str">
            <v xml:space="preserve">MISNO                                   </v>
          </cell>
          <cell r="C2975" t="str">
            <v>MCQAR44</v>
          </cell>
          <cell r="D2975">
            <v>335301012660501</v>
          </cell>
          <cell r="F2975" t="str">
            <v>Tidak</v>
          </cell>
          <cell r="G2975" t="str">
            <v>Tidak</v>
          </cell>
          <cell r="H2975" t="str">
            <v>Tidak</v>
          </cell>
          <cell r="I2975" t="str">
            <v>Bandar Judol Withdrawal</v>
          </cell>
          <cell r="J2975">
            <v>35</v>
          </cell>
          <cell r="K2975" t="str">
            <v>86,88,87</v>
          </cell>
          <cell r="L2975" t="str">
            <v>Judi Online</v>
          </cell>
          <cell r="M2975" t="str">
            <v xml:space="preserve">Kas Kanpus                              </v>
          </cell>
          <cell r="N2975" t="str">
            <v xml:space="preserve">Kas Kanpus                              </v>
          </cell>
          <cell r="O2975" t="str">
            <v xml:space="preserve">KAS KANPUS                              </v>
          </cell>
          <cell r="P2975" t="str">
            <v>Ya</v>
          </cell>
          <cell r="R2975" t="str">
            <v>Done</v>
          </cell>
          <cell r="S2975" t="str">
            <v>Belum TL</v>
          </cell>
          <cell r="T2975" t="str">
            <v>90171841 - Rifqi Aziz</v>
          </cell>
          <cell r="U2975" t="str">
            <v>"-"</v>
          </cell>
        </row>
        <row r="2976">
          <cell r="A2976">
            <v>46265</v>
          </cell>
          <cell r="B2976" t="str">
            <v xml:space="preserve">MUHAMMAD BIZAR LAZUARDI HAFI            </v>
          </cell>
          <cell r="C2976" t="str">
            <v>MCRVE14</v>
          </cell>
          <cell r="D2976">
            <v>39301004172565</v>
          </cell>
          <cell r="F2976" t="str">
            <v>Tidak</v>
          </cell>
          <cell r="G2976" t="str">
            <v>Tidak</v>
          </cell>
          <cell r="H2976" t="str">
            <v>Tidak</v>
          </cell>
          <cell r="I2976" t="str">
            <v>Bandar Judol Withdrawal</v>
          </cell>
          <cell r="J2976">
            <v>35</v>
          </cell>
          <cell r="K2976" t="str">
            <v>86,88,87</v>
          </cell>
          <cell r="L2976" t="str">
            <v>Judi Online</v>
          </cell>
          <cell r="M2976" t="str">
            <v xml:space="preserve">Kas Kanpus                              </v>
          </cell>
          <cell r="N2976" t="str">
            <v xml:space="preserve">Kas Kanpus                              </v>
          </cell>
          <cell r="O2976" t="str">
            <v xml:space="preserve">KAS KANPUS                              </v>
          </cell>
          <cell r="P2976" t="str">
            <v>Ya</v>
          </cell>
          <cell r="R2976" t="str">
            <v>Done</v>
          </cell>
          <cell r="S2976" t="str">
            <v>Belum TL</v>
          </cell>
          <cell r="T2976" t="str">
            <v>90170665 - Mutiara Ayuningtyas</v>
          </cell>
          <cell r="U2976" t="str">
            <v>"-"</v>
          </cell>
        </row>
        <row r="2977">
          <cell r="A2977">
            <v>46265</v>
          </cell>
          <cell r="B2977" t="str">
            <v xml:space="preserve">MITHA SUCI AMANAH                       </v>
          </cell>
          <cell r="C2977" t="str">
            <v>MCRXP76</v>
          </cell>
          <cell r="D2977">
            <v>750901019017508</v>
          </cell>
          <cell r="F2977" t="str">
            <v>Tidak</v>
          </cell>
          <cell r="G2977" t="str">
            <v>Tidak</v>
          </cell>
          <cell r="H2977" t="str">
            <v>Tidak</v>
          </cell>
          <cell r="I2977" t="str">
            <v>Bandar Judol Withdrawal</v>
          </cell>
          <cell r="J2977">
            <v>35</v>
          </cell>
          <cell r="K2977" t="str">
            <v>86,88,87</v>
          </cell>
          <cell r="L2977" t="str">
            <v>Judi Online</v>
          </cell>
          <cell r="M2977" t="str">
            <v xml:space="preserve">Kas Kanpus                              </v>
          </cell>
          <cell r="N2977" t="str">
            <v xml:space="preserve">Kas Kanpus                              </v>
          </cell>
          <cell r="O2977" t="str">
            <v xml:space="preserve">KAS KANPUS                              </v>
          </cell>
          <cell r="P2977" t="str">
            <v>Ya</v>
          </cell>
          <cell r="R2977" t="str">
            <v>Done</v>
          </cell>
          <cell r="S2977" t="str">
            <v>Belum TL</v>
          </cell>
          <cell r="T2977" t="str">
            <v>00336949 - Mochammad Al Farabi</v>
          </cell>
          <cell r="U2977" t="str">
            <v>"-"</v>
          </cell>
        </row>
        <row r="2978">
          <cell r="A2978">
            <v>46265</v>
          </cell>
          <cell r="B2978" t="str">
            <v xml:space="preserve">MHD AYUP                                </v>
          </cell>
          <cell r="C2978" t="str">
            <v>MBHXB58</v>
          </cell>
          <cell r="D2978">
            <v>108801019542501</v>
          </cell>
          <cell r="E2978" t="str">
            <v>SEDANG</v>
          </cell>
          <cell r="F2978" t="str">
            <v>Tidak</v>
          </cell>
          <cell r="G2978" t="str">
            <v>Tidak</v>
          </cell>
          <cell r="H2978" t="str">
            <v>Tidak</v>
          </cell>
          <cell r="I2978" t="str">
            <v>Bandar Judol Depo</v>
          </cell>
          <cell r="J2978">
            <v>50</v>
          </cell>
          <cell r="K2978" t="str">
            <v>86,74,87</v>
          </cell>
          <cell r="L2978" t="str">
            <v>Judi Online</v>
          </cell>
          <cell r="M2978" t="str">
            <v xml:space="preserve">Kas Kanpus                              </v>
          </cell>
          <cell r="N2978" t="str">
            <v xml:space="preserve">Kas Kanpus                              </v>
          </cell>
          <cell r="O2978" t="str">
            <v xml:space="preserve">KAS KANPUS                              </v>
          </cell>
          <cell r="P2978" t="str">
            <v>Ya</v>
          </cell>
          <cell r="R2978" t="str">
            <v>Done</v>
          </cell>
          <cell r="S2978" t="str">
            <v>Belum TL</v>
          </cell>
          <cell r="T2978" t="str">
            <v>90186790 - Muhammad Alfin Farha</v>
          </cell>
          <cell r="U2978" t="str">
            <v>"-"</v>
          </cell>
        </row>
        <row r="2979">
          <cell r="A2979">
            <v>46265</v>
          </cell>
          <cell r="B2979" t="str">
            <v xml:space="preserve">MUHAMMAD ANGGA SYAHPUTRA                </v>
          </cell>
          <cell r="C2979" t="str">
            <v>MCGBD49</v>
          </cell>
          <cell r="D2979">
            <v>334401068649538</v>
          </cell>
          <cell r="E2979" t="str">
            <v>SEDANG</v>
          </cell>
          <cell r="F2979" t="str">
            <v>Tidak</v>
          </cell>
          <cell r="G2979" t="str">
            <v>Tidak</v>
          </cell>
          <cell r="H2979" t="str">
            <v>Tidak</v>
          </cell>
          <cell r="I2979" t="str">
            <v>Bandar Judol Withdrawal</v>
          </cell>
          <cell r="J2979">
            <v>50</v>
          </cell>
          <cell r="K2979" t="str">
            <v>86,88,87</v>
          </cell>
          <cell r="L2979" t="str">
            <v>Judi Online</v>
          </cell>
          <cell r="M2979" t="str">
            <v xml:space="preserve">Kas Kanpus                              </v>
          </cell>
          <cell r="N2979" t="str">
            <v xml:space="preserve">Kas Kanpus                              </v>
          </cell>
          <cell r="O2979" t="str">
            <v xml:space="preserve">KAS KANPUS                              </v>
          </cell>
          <cell r="P2979" t="str">
            <v>Ya</v>
          </cell>
          <cell r="R2979" t="str">
            <v>Done</v>
          </cell>
          <cell r="S2979" t="str">
            <v>Belum TL</v>
          </cell>
          <cell r="T2979" t="str">
            <v>90170665 - Mutiara Ayuningtyas</v>
          </cell>
          <cell r="U2979" t="str">
            <v>"-"</v>
          </cell>
        </row>
        <row r="2980">
          <cell r="A2980">
            <v>46265</v>
          </cell>
          <cell r="B2980" t="str">
            <v xml:space="preserve">MUHAMAD ALFIN                           </v>
          </cell>
          <cell r="C2980" t="str">
            <v>MCIWA31</v>
          </cell>
          <cell r="D2980">
            <v>92501009314507</v>
          </cell>
          <cell r="E2980" t="str">
            <v>SEDANG</v>
          </cell>
          <cell r="F2980" t="str">
            <v>Tidak</v>
          </cell>
          <cell r="G2980" t="str">
            <v>Tidak</v>
          </cell>
          <cell r="H2980" t="str">
            <v>Tidak</v>
          </cell>
          <cell r="I2980" t="str">
            <v>Bandar Judol Withdrawal</v>
          </cell>
          <cell r="J2980">
            <v>50</v>
          </cell>
          <cell r="K2980" t="str">
            <v>86,88,87</v>
          </cell>
          <cell r="L2980" t="str">
            <v>Judi Online</v>
          </cell>
          <cell r="M2980" t="str">
            <v xml:space="preserve">Kas Kanpus                              </v>
          </cell>
          <cell r="N2980" t="str">
            <v xml:space="preserve">Kas Kanpus                              </v>
          </cell>
          <cell r="O2980" t="str">
            <v xml:space="preserve">KAS KANPUS                              </v>
          </cell>
          <cell r="P2980" t="str">
            <v>Tidak</v>
          </cell>
          <cell r="R2980" t="str">
            <v>Done</v>
          </cell>
          <cell r="S2980" t="str">
            <v>Belum TL</v>
          </cell>
          <cell r="T2980" t="str">
            <v>00394520 - Frida Akbar Rani</v>
          </cell>
          <cell r="U2980" t="str">
            <v>"-"</v>
          </cell>
        </row>
        <row r="2981">
          <cell r="A2981">
            <v>46265</v>
          </cell>
          <cell r="B2981" t="str">
            <v xml:space="preserve">MERRY WEDO                              </v>
          </cell>
          <cell r="C2981" t="str">
            <v>MEBJW25</v>
          </cell>
          <cell r="D2981">
            <v>511801011885502</v>
          </cell>
          <cell r="F2981" t="str">
            <v>Tidak</v>
          </cell>
          <cell r="G2981" t="str">
            <v>Tidak</v>
          </cell>
          <cell r="H2981" t="str">
            <v>Tidak</v>
          </cell>
          <cell r="I2981" t="str">
            <v>Bandar Judol Depo</v>
          </cell>
          <cell r="J2981">
            <v>35</v>
          </cell>
          <cell r="K2981" t="str">
            <v>86,74,87</v>
          </cell>
          <cell r="L2981" t="str">
            <v>Judi Online</v>
          </cell>
          <cell r="M2981" t="str">
            <v xml:space="preserve">Kas Kanpus                              </v>
          </cell>
          <cell r="N2981" t="str">
            <v xml:space="preserve">Kas Kanpus                              </v>
          </cell>
          <cell r="O2981" t="str">
            <v xml:space="preserve">KAS KANPUS                              </v>
          </cell>
          <cell r="P2981" t="str">
            <v>Tidak</v>
          </cell>
          <cell r="R2981" t="str">
            <v>Done</v>
          </cell>
          <cell r="S2981" t="str">
            <v>Belum TL</v>
          </cell>
          <cell r="T2981" t="str">
            <v>90150130 - Intan Aida Pratiwi</v>
          </cell>
          <cell r="U2981" t="str">
            <v>"-"</v>
          </cell>
        </row>
        <row r="2982">
          <cell r="A2982">
            <v>46265</v>
          </cell>
          <cell r="B2982" t="str">
            <v xml:space="preserve">MITA JUNITA WEDO                        </v>
          </cell>
          <cell r="C2982" t="str">
            <v>MEBJV51</v>
          </cell>
          <cell r="D2982">
            <v>511801011884506</v>
          </cell>
          <cell r="F2982" t="str">
            <v>Tidak</v>
          </cell>
          <cell r="G2982" t="str">
            <v>Tidak</v>
          </cell>
          <cell r="H2982" t="str">
            <v>Tidak</v>
          </cell>
          <cell r="I2982" t="str">
            <v>Bandar Judol Depo</v>
          </cell>
          <cell r="J2982">
            <v>35</v>
          </cell>
          <cell r="K2982" t="str">
            <v>86,74,87</v>
          </cell>
          <cell r="L2982" t="str">
            <v>Judi Online</v>
          </cell>
          <cell r="M2982" t="str">
            <v xml:space="preserve">Kas Kanpus                              </v>
          </cell>
          <cell r="N2982" t="str">
            <v xml:space="preserve">Kas Kanpus                              </v>
          </cell>
          <cell r="O2982" t="str">
            <v xml:space="preserve">KAS KANPUS                              </v>
          </cell>
          <cell r="P2982" t="str">
            <v>Tidak</v>
          </cell>
          <cell r="R2982" t="str">
            <v>Done</v>
          </cell>
          <cell r="S2982" t="str">
            <v>Belum TL</v>
          </cell>
          <cell r="T2982" t="str">
            <v>00336949 - Mochammad Al Farabi</v>
          </cell>
          <cell r="U2982" t="str">
            <v>"-"</v>
          </cell>
        </row>
        <row r="2983">
          <cell r="A2983">
            <v>46265</v>
          </cell>
          <cell r="B2983" t="str">
            <v xml:space="preserve">MUHAMAD AJI RIZQIRRIFA'I                </v>
          </cell>
          <cell r="C2983" t="str">
            <v>MEAUX60</v>
          </cell>
          <cell r="D2983">
            <v>43801004189562</v>
          </cell>
          <cell r="F2983" t="str">
            <v>Tidak</v>
          </cell>
          <cell r="G2983" t="str">
            <v>Tidak</v>
          </cell>
          <cell r="H2983" t="str">
            <v>Tidak</v>
          </cell>
          <cell r="I2983" t="str">
            <v>Bandar Judol Withdrawal</v>
          </cell>
          <cell r="J2983">
            <v>35</v>
          </cell>
          <cell r="K2983" t="str">
            <v>86,88,87</v>
          </cell>
          <cell r="L2983" t="str">
            <v>Judi Online</v>
          </cell>
          <cell r="M2983" t="str">
            <v xml:space="preserve">Kas Kanpus                              </v>
          </cell>
          <cell r="N2983" t="str">
            <v xml:space="preserve">Kas Kanpus                              </v>
          </cell>
          <cell r="O2983" t="str">
            <v xml:space="preserve">KAS KANPUS                              </v>
          </cell>
          <cell r="P2983" t="str">
            <v>Ya</v>
          </cell>
          <cell r="R2983" t="str">
            <v>Done</v>
          </cell>
          <cell r="S2983" t="str">
            <v>Belum TL</v>
          </cell>
          <cell r="T2983" t="str">
            <v>90185538 - Muhammad Fahikal Auz</v>
          </cell>
          <cell r="U2983" t="str">
            <v>"-"</v>
          </cell>
        </row>
        <row r="2984">
          <cell r="A2984">
            <v>46265</v>
          </cell>
          <cell r="B2984" t="str">
            <v xml:space="preserve">MUTIARA                                 </v>
          </cell>
          <cell r="C2984" t="str">
            <v>MDRTK45</v>
          </cell>
          <cell r="D2984">
            <v>762601002202504</v>
          </cell>
          <cell r="F2984" t="str">
            <v>Tidak</v>
          </cell>
          <cell r="G2984" t="str">
            <v>Tidak</v>
          </cell>
          <cell r="H2984" t="str">
            <v>Tidak</v>
          </cell>
          <cell r="I2984" t="str">
            <v>Bandar Judol Withdrawal</v>
          </cell>
          <cell r="J2984">
            <v>35</v>
          </cell>
          <cell r="K2984" t="str">
            <v>86,88,87</v>
          </cell>
          <cell r="L2984" t="str">
            <v>Judi Online</v>
          </cell>
          <cell r="M2984" t="str">
            <v xml:space="preserve">Kas Kanpus                              </v>
          </cell>
          <cell r="N2984" t="str">
            <v xml:space="preserve">Kas Kanpus                              </v>
          </cell>
          <cell r="O2984" t="str">
            <v xml:space="preserve">KAS KANPUS                              </v>
          </cell>
          <cell r="P2984" t="str">
            <v>Ya</v>
          </cell>
          <cell r="R2984" t="str">
            <v>Done</v>
          </cell>
          <cell r="S2984" t="str">
            <v>Belum TL</v>
          </cell>
          <cell r="T2984" t="str">
            <v>90186790 - Muhammad Alfin Farha</v>
          </cell>
          <cell r="U2984" t="str">
            <v>"-"</v>
          </cell>
        </row>
        <row r="2985">
          <cell r="A2985">
            <v>46265</v>
          </cell>
          <cell r="B2985" t="str">
            <v xml:space="preserve">M ALBAHROKHI                            </v>
          </cell>
          <cell r="C2985" t="str">
            <v>MEAKC76</v>
          </cell>
          <cell r="D2985">
            <v>56001068832500</v>
          </cell>
          <cell r="F2985" t="str">
            <v>Tidak</v>
          </cell>
          <cell r="G2985" t="str">
            <v>Tidak</v>
          </cell>
          <cell r="H2985" t="str">
            <v>Tidak</v>
          </cell>
          <cell r="I2985" t="str">
            <v>Bandar Judol Withdrawal</v>
          </cell>
          <cell r="J2985">
            <v>35</v>
          </cell>
          <cell r="K2985" t="str">
            <v>86,88,87</v>
          </cell>
          <cell r="L2985" t="str">
            <v>Judi Online</v>
          </cell>
          <cell r="M2985" t="str">
            <v xml:space="preserve">Kas Kanpus                              </v>
          </cell>
          <cell r="N2985" t="str">
            <v xml:space="preserve">Kas Kanpus                              </v>
          </cell>
          <cell r="O2985" t="str">
            <v xml:space="preserve">KAS KANPUS                              </v>
          </cell>
          <cell r="P2985" t="str">
            <v>Ya</v>
          </cell>
          <cell r="R2985" t="str">
            <v>Done</v>
          </cell>
          <cell r="S2985" t="str">
            <v>Belum TL</v>
          </cell>
          <cell r="T2985" t="str">
            <v>00336949 - Mochammad Al Farabi</v>
          </cell>
          <cell r="U2985" t="str">
            <v>"-"</v>
          </cell>
        </row>
        <row r="2986">
          <cell r="A2986">
            <v>46265</v>
          </cell>
          <cell r="B2986" t="str">
            <v xml:space="preserve">M FARHAN                                </v>
          </cell>
          <cell r="C2986" t="str">
            <v>MDSMN49</v>
          </cell>
          <cell r="D2986">
            <v>385401006484505</v>
          </cell>
          <cell r="F2986" t="str">
            <v>Tidak</v>
          </cell>
          <cell r="G2986" t="str">
            <v>Tidak</v>
          </cell>
          <cell r="H2986" t="str">
            <v>Tidak</v>
          </cell>
          <cell r="I2986" t="str">
            <v>Bandar Judol Withdrawal</v>
          </cell>
          <cell r="J2986">
            <v>35</v>
          </cell>
          <cell r="K2986" t="str">
            <v>86,88,87</v>
          </cell>
          <cell r="L2986" t="str">
            <v>Judi Online</v>
          </cell>
          <cell r="M2986" t="str">
            <v xml:space="preserve">Kas Kanpus                              </v>
          </cell>
          <cell r="N2986" t="str">
            <v xml:space="preserve">Kas Kanpus                              </v>
          </cell>
          <cell r="O2986" t="str">
            <v xml:space="preserve">KAS KANPUS                              </v>
          </cell>
          <cell r="P2986" t="str">
            <v>Ya</v>
          </cell>
          <cell r="R2986" t="str">
            <v>Done</v>
          </cell>
          <cell r="S2986" t="str">
            <v>Belum TL</v>
          </cell>
          <cell r="T2986" t="str">
            <v>90171841 - Rifqi Aziz</v>
          </cell>
          <cell r="U2986" t="str">
            <v>"-"</v>
          </cell>
        </row>
        <row r="2987">
          <cell r="A2987">
            <v>46265</v>
          </cell>
          <cell r="B2987" t="str">
            <v xml:space="preserve">MUHAMAD TAUFIK HIDAYAT                  </v>
          </cell>
          <cell r="C2987" t="str">
            <v>MDURR76</v>
          </cell>
          <cell r="D2987">
            <v>714401017899506</v>
          </cell>
          <cell r="F2987" t="str">
            <v>Tidak</v>
          </cell>
          <cell r="G2987" t="str">
            <v>Tidak</v>
          </cell>
          <cell r="H2987" t="str">
            <v>Tidak</v>
          </cell>
          <cell r="I2987" t="str">
            <v>Bandar Judol Withdrawal</v>
          </cell>
          <cell r="J2987">
            <v>35</v>
          </cell>
          <cell r="K2987" t="str">
            <v>86,88,87</v>
          </cell>
          <cell r="L2987" t="str">
            <v>Judi Online</v>
          </cell>
          <cell r="M2987" t="str">
            <v xml:space="preserve">Kas Kanpus                              </v>
          </cell>
          <cell r="N2987" t="str">
            <v xml:space="preserve">Kas Kanpus                              </v>
          </cell>
          <cell r="O2987" t="str">
            <v xml:space="preserve">KAS KANPUS                              </v>
          </cell>
          <cell r="P2987" t="str">
            <v>Ya</v>
          </cell>
          <cell r="R2987" t="str">
            <v>Done</v>
          </cell>
          <cell r="S2987" t="str">
            <v>Belum TL</v>
          </cell>
          <cell r="T2987" t="str">
            <v>90186796 - Devito Arya Wiradila</v>
          </cell>
          <cell r="U2987" t="str">
            <v>"-"</v>
          </cell>
        </row>
        <row r="2988">
          <cell r="A2988">
            <v>46265</v>
          </cell>
          <cell r="B2988" t="str">
            <v xml:space="preserve">M. PAUJI NASUTION                       </v>
          </cell>
          <cell r="C2988" t="str">
            <v>MDOMN93</v>
          </cell>
          <cell r="D2988">
            <v>804201024903509</v>
          </cell>
          <cell r="F2988" t="str">
            <v>Tidak</v>
          </cell>
          <cell r="G2988" t="str">
            <v>Tidak</v>
          </cell>
          <cell r="H2988" t="str">
            <v>Tidak</v>
          </cell>
          <cell r="I2988" t="str">
            <v>Bandar Judol Withdrawal</v>
          </cell>
          <cell r="J2988">
            <v>35</v>
          </cell>
          <cell r="K2988" t="str">
            <v>86,88,87</v>
          </cell>
          <cell r="L2988" t="str">
            <v>Judi Online</v>
          </cell>
          <cell r="M2988" t="str">
            <v xml:space="preserve">Kas Kanpus                              </v>
          </cell>
          <cell r="N2988" t="str">
            <v xml:space="preserve">Kas Kanpus                              </v>
          </cell>
          <cell r="O2988" t="str">
            <v xml:space="preserve">KAS KANPUS                              </v>
          </cell>
          <cell r="P2988" t="str">
            <v>Ya</v>
          </cell>
          <cell r="R2988" t="str">
            <v>Done</v>
          </cell>
          <cell r="S2988" t="str">
            <v>Belum TL</v>
          </cell>
          <cell r="T2988" t="str">
            <v>90186790 - Muhammad Alfin Farha</v>
          </cell>
          <cell r="U2988" t="str">
            <v>"-"</v>
          </cell>
        </row>
        <row r="2989">
          <cell r="A2989">
            <v>46265</v>
          </cell>
          <cell r="B2989" t="str">
            <v xml:space="preserve">MIMI SUPRIANI                           </v>
          </cell>
          <cell r="C2989" t="str">
            <v>MDOPY91</v>
          </cell>
          <cell r="D2989">
            <v>23801093548507</v>
          </cell>
          <cell r="F2989" t="str">
            <v>Tidak</v>
          </cell>
          <cell r="G2989" t="str">
            <v>Tidak</v>
          </cell>
          <cell r="H2989" t="str">
            <v>Tidak</v>
          </cell>
          <cell r="I2989" t="str">
            <v>Bandar Judol Withdrawal</v>
          </cell>
          <cell r="J2989">
            <v>35</v>
          </cell>
          <cell r="K2989" t="str">
            <v>86,88,87</v>
          </cell>
          <cell r="L2989" t="str">
            <v>Judi Online</v>
          </cell>
          <cell r="M2989" t="str">
            <v xml:space="preserve">Kas Kanpus                              </v>
          </cell>
          <cell r="N2989" t="str">
            <v xml:space="preserve">Kas Kanpus                              </v>
          </cell>
          <cell r="O2989" t="str">
            <v xml:space="preserve">KAS KANPUS                              </v>
          </cell>
          <cell r="P2989" t="str">
            <v>Ya</v>
          </cell>
          <cell r="R2989" t="str">
            <v>Done</v>
          </cell>
          <cell r="S2989" t="str">
            <v>Belum TL</v>
          </cell>
          <cell r="T2989" t="str">
            <v>90150130 - Intan Aida Pratiwi</v>
          </cell>
          <cell r="U2989" t="str">
            <v>"-"</v>
          </cell>
        </row>
        <row r="2990">
          <cell r="A2990">
            <v>46265</v>
          </cell>
          <cell r="B2990" t="str">
            <v xml:space="preserve">M SYAHRI SA'BAN                         </v>
          </cell>
          <cell r="C2990" t="str">
            <v>MDPRG09</v>
          </cell>
          <cell r="D2990">
            <v>720901015805507</v>
          </cell>
          <cell r="F2990" t="str">
            <v>Tidak</v>
          </cell>
          <cell r="G2990" t="str">
            <v>Tidak</v>
          </cell>
          <cell r="H2990" t="str">
            <v>Tidak</v>
          </cell>
          <cell r="I2990" t="str">
            <v>Bandar Judol Withdrawal</v>
          </cell>
          <cell r="J2990">
            <v>35</v>
          </cell>
          <cell r="K2990" t="str">
            <v>86,88,87</v>
          </cell>
          <cell r="L2990" t="str">
            <v>Judi Online</v>
          </cell>
          <cell r="M2990" t="str">
            <v xml:space="preserve">Kas Kanpus                              </v>
          </cell>
          <cell r="N2990" t="str">
            <v xml:space="preserve">Kas Kanpus                              </v>
          </cell>
          <cell r="O2990" t="str">
            <v xml:space="preserve">KAS KANPUS                              </v>
          </cell>
          <cell r="P2990" t="str">
            <v>Ya</v>
          </cell>
          <cell r="R2990" t="str">
            <v>Done</v>
          </cell>
          <cell r="S2990" t="str">
            <v>Belum TL</v>
          </cell>
          <cell r="T2990" t="str">
            <v>90185537 - Moh.Khoerul Fajar Ar</v>
          </cell>
          <cell r="U2990" t="str">
            <v>"-"</v>
          </cell>
        </row>
        <row r="2991">
          <cell r="A2991">
            <v>46265</v>
          </cell>
          <cell r="B2991" t="str">
            <v xml:space="preserve">MUHAMMAD ALVIN ALZIDN                   </v>
          </cell>
          <cell r="C2991" t="str">
            <v>MDNPV74</v>
          </cell>
          <cell r="D2991">
            <v>100701017348505</v>
          </cell>
          <cell r="F2991" t="str">
            <v>Tidak</v>
          </cell>
          <cell r="G2991" t="str">
            <v>Tidak</v>
          </cell>
          <cell r="H2991" t="str">
            <v>Tidak</v>
          </cell>
          <cell r="I2991" t="str">
            <v>Bandar Judol Withdrawal</v>
          </cell>
          <cell r="J2991">
            <v>35</v>
          </cell>
          <cell r="K2991" t="str">
            <v>86,88,87</v>
          </cell>
          <cell r="L2991" t="str">
            <v>Judi Online</v>
          </cell>
          <cell r="M2991" t="str">
            <v xml:space="preserve">Kas Kanpus                              </v>
          </cell>
          <cell r="N2991" t="str">
            <v xml:space="preserve">Kas Kanpus                              </v>
          </cell>
          <cell r="O2991" t="str">
            <v xml:space="preserve">KAS KANPUS                              </v>
          </cell>
          <cell r="P2991" t="str">
            <v>Ya</v>
          </cell>
          <cell r="R2991" t="str">
            <v>Done</v>
          </cell>
          <cell r="S2991" t="str">
            <v>Belum TL</v>
          </cell>
          <cell r="T2991" t="str">
            <v>90185537 - Moh.Khoerul Fajar Ar</v>
          </cell>
          <cell r="U2991" t="str">
            <v>"-"</v>
          </cell>
        </row>
        <row r="2992">
          <cell r="A2992">
            <v>46265</v>
          </cell>
          <cell r="B2992" t="str">
            <v xml:space="preserve">MUHAMMAD BAMBANG WAHYUDI                </v>
          </cell>
          <cell r="C2992" t="str">
            <v>MDNU173</v>
          </cell>
          <cell r="D2992">
            <v>593401049806534</v>
          </cell>
          <cell r="E2992" t="str">
            <v>SEDANG</v>
          </cell>
          <cell r="F2992" t="str">
            <v>Tidak</v>
          </cell>
          <cell r="G2992" t="str">
            <v>Tidak</v>
          </cell>
          <cell r="H2992" t="str">
            <v>Tidak</v>
          </cell>
          <cell r="I2992" t="str">
            <v>Bandar Judol Depo</v>
          </cell>
          <cell r="J2992">
            <v>50</v>
          </cell>
          <cell r="K2992" t="str">
            <v>86,74,87</v>
          </cell>
          <cell r="L2992" t="str">
            <v>Judi Online</v>
          </cell>
          <cell r="M2992" t="str">
            <v xml:space="preserve">Kas Kanpus                              </v>
          </cell>
          <cell r="N2992" t="str">
            <v xml:space="preserve">Kas Kanpus                              </v>
          </cell>
          <cell r="O2992" t="str">
            <v xml:space="preserve">KAS KANPUS                              </v>
          </cell>
          <cell r="P2992" t="str">
            <v>Tidak</v>
          </cell>
          <cell r="R2992" t="str">
            <v>Done</v>
          </cell>
          <cell r="S2992" t="str">
            <v>Belum TL</v>
          </cell>
          <cell r="T2992" t="str">
            <v>00394521 - Muhammad Hibbanduta</v>
          </cell>
          <cell r="U2992" t="str">
            <v>"-"</v>
          </cell>
        </row>
        <row r="2993">
          <cell r="A2993">
            <v>46265</v>
          </cell>
          <cell r="B2993" t="str">
            <v xml:space="preserve">MUHAMMAD ZUWANDA PRAMANA                </v>
          </cell>
          <cell r="C2993" t="str">
            <v>MEITZ46</v>
          </cell>
          <cell r="D2993">
            <v>33601160952506</v>
          </cell>
          <cell r="F2993" t="str">
            <v>Tidak</v>
          </cell>
          <cell r="G2993" t="str">
            <v>Tidak</v>
          </cell>
          <cell r="H2993" t="str">
            <v>Tidak</v>
          </cell>
          <cell r="I2993" t="str">
            <v>Bandar Judol Withdrawal</v>
          </cell>
          <cell r="J2993">
            <v>35</v>
          </cell>
          <cell r="K2993" t="str">
            <v>86,88,87</v>
          </cell>
          <cell r="L2993" t="str">
            <v>Judi Online</v>
          </cell>
          <cell r="M2993" t="str">
            <v xml:space="preserve">Kas Kanpus                              </v>
          </cell>
          <cell r="N2993" t="str">
            <v xml:space="preserve">Kas Kanpus                              </v>
          </cell>
          <cell r="O2993" t="str">
            <v xml:space="preserve">KAS KANPUS                              </v>
          </cell>
          <cell r="P2993" t="str">
            <v>Ya</v>
          </cell>
          <cell r="R2993" t="str">
            <v>Done</v>
          </cell>
          <cell r="S2993" t="str">
            <v>Belum TL</v>
          </cell>
          <cell r="T2993" t="str">
            <v>00336949 - Mochammad Al Farabi</v>
          </cell>
          <cell r="U2993" t="str">
            <v>"-"</v>
          </cell>
        </row>
        <row r="2994">
          <cell r="A2994">
            <v>46265</v>
          </cell>
          <cell r="B2994" t="str">
            <v xml:space="preserve">MUHAMMAD RASYA ANUGRAH                  </v>
          </cell>
          <cell r="C2994" t="str">
            <v>MELRV30</v>
          </cell>
          <cell r="D2994">
            <v>44501079109506</v>
          </cell>
          <cell r="F2994" t="str">
            <v>Tidak</v>
          </cell>
          <cell r="G2994" t="str">
            <v>Tidak</v>
          </cell>
          <cell r="H2994" t="str">
            <v>Tidak</v>
          </cell>
          <cell r="I2994" t="str">
            <v>Bandar Judol Withdrawal</v>
          </cell>
          <cell r="J2994">
            <v>35</v>
          </cell>
          <cell r="K2994" t="str">
            <v>86,88,87</v>
          </cell>
          <cell r="L2994" t="str">
            <v>Judi Online</v>
          </cell>
          <cell r="M2994" t="str">
            <v xml:space="preserve">Kas Kanpus                              </v>
          </cell>
          <cell r="N2994" t="str">
            <v xml:space="preserve">Kas Kanpus                              </v>
          </cell>
          <cell r="O2994" t="str">
            <v xml:space="preserve">KAS KANPUS                              </v>
          </cell>
          <cell r="P2994" t="str">
            <v>Ya</v>
          </cell>
          <cell r="R2994" t="str">
            <v>Done</v>
          </cell>
          <cell r="S2994" t="str">
            <v>Belum TL</v>
          </cell>
          <cell r="T2994" t="str">
            <v>90185538 - Muhammad Fahikal Auz</v>
          </cell>
          <cell r="U2994" t="str">
            <v>"-"</v>
          </cell>
        </row>
        <row r="2995">
          <cell r="A2995">
            <v>46265</v>
          </cell>
          <cell r="B2995" t="str">
            <v xml:space="preserve">M RIANDI LUBIS                          </v>
          </cell>
          <cell r="C2995" t="str">
            <v>MELYW10</v>
          </cell>
          <cell r="D2995">
            <v>69301025892508</v>
          </cell>
          <cell r="F2995" t="str">
            <v>Tidak</v>
          </cell>
          <cell r="G2995" t="str">
            <v>Tidak</v>
          </cell>
          <cell r="H2995" t="str">
            <v>Tidak</v>
          </cell>
          <cell r="I2995" t="str">
            <v>Bandar Judol Depo</v>
          </cell>
          <cell r="J2995">
            <v>35</v>
          </cell>
          <cell r="K2995" t="str">
            <v>86,74,87</v>
          </cell>
          <cell r="L2995" t="str">
            <v>Judi Online</v>
          </cell>
          <cell r="M2995" t="str">
            <v xml:space="preserve">Kas Kanpus                              </v>
          </cell>
          <cell r="N2995" t="str">
            <v xml:space="preserve">Kas Kanpus                              </v>
          </cell>
          <cell r="O2995" t="str">
            <v xml:space="preserve">KAS KANPUS                              </v>
          </cell>
          <cell r="P2995" t="str">
            <v>Ya</v>
          </cell>
          <cell r="R2995" t="str">
            <v>Done</v>
          </cell>
          <cell r="S2995" t="str">
            <v>Belum TL</v>
          </cell>
          <cell r="T2995" t="str">
            <v>90170665 - Mutiara Ayuningtyas</v>
          </cell>
          <cell r="U2995" t="str">
            <v>"-"</v>
          </cell>
        </row>
        <row r="2996">
          <cell r="A2996">
            <v>46265</v>
          </cell>
          <cell r="B2996" t="str">
            <v xml:space="preserve">MUHAMMAD AZIZI                          </v>
          </cell>
          <cell r="C2996" t="str">
            <v>MEFRA18</v>
          </cell>
          <cell r="D2996">
            <v>33601004078561</v>
          </cell>
          <cell r="F2996" t="str">
            <v>Tidak</v>
          </cell>
          <cell r="G2996" t="str">
            <v>Tidak</v>
          </cell>
          <cell r="H2996" t="str">
            <v>Tidak</v>
          </cell>
          <cell r="I2996" t="str">
            <v>Bandar Judol Depo</v>
          </cell>
          <cell r="J2996">
            <v>35</v>
          </cell>
          <cell r="K2996" t="str">
            <v>86,74,87</v>
          </cell>
          <cell r="L2996" t="str">
            <v>Judi Online</v>
          </cell>
          <cell r="M2996" t="str">
            <v xml:space="preserve">Kas Kanpus                              </v>
          </cell>
          <cell r="N2996" t="str">
            <v xml:space="preserve">Kas Kanpus                              </v>
          </cell>
          <cell r="O2996" t="str">
            <v xml:space="preserve">KAS KANPUS                              </v>
          </cell>
          <cell r="P2996" t="str">
            <v>Ya</v>
          </cell>
          <cell r="R2996" t="str">
            <v>Done</v>
          </cell>
          <cell r="S2996" t="str">
            <v>Belum TL</v>
          </cell>
          <cell r="T2996" t="str">
            <v>00394520 - Frida Akbar Rani</v>
          </cell>
          <cell r="U2996" t="str">
            <v>"-"</v>
          </cell>
        </row>
        <row r="2997">
          <cell r="A2997">
            <v>46265</v>
          </cell>
          <cell r="B2997" t="str">
            <v xml:space="preserve">MUHAMAD RIDWAN                          </v>
          </cell>
          <cell r="C2997" t="str">
            <v>MEKKO95</v>
          </cell>
          <cell r="D2997">
            <v>748701000080562</v>
          </cell>
          <cell r="F2997" t="str">
            <v>Tidak</v>
          </cell>
          <cell r="G2997" t="str">
            <v>Tidak</v>
          </cell>
          <cell r="H2997" t="str">
            <v>Tidak</v>
          </cell>
          <cell r="I2997" t="str">
            <v>Bandar Judol Depo</v>
          </cell>
          <cell r="J2997">
            <v>35</v>
          </cell>
          <cell r="K2997" t="str">
            <v>86,74,87</v>
          </cell>
          <cell r="L2997" t="str">
            <v>Judi Online</v>
          </cell>
          <cell r="M2997" t="str">
            <v xml:space="preserve">Kas Kanpus                              </v>
          </cell>
          <cell r="N2997" t="str">
            <v xml:space="preserve">Kas Kanpus                              </v>
          </cell>
          <cell r="O2997" t="str">
            <v xml:space="preserve">KAS KANPUS                              </v>
          </cell>
          <cell r="P2997" t="str">
            <v>Tidak</v>
          </cell>
          <cell r="R2997" t="str">
            <v>Done</v>
          </cell>
          <cell r="S2997" t="str">
            <v>Belum TL</v>
          </cell>
          <cell r="T2997" t="str">
            <v>90186796 - Devito Arya Wiradila</v>
          </cell>
          <cell r="U2997" t="str">
            <v>"-"</v>
          </cell>
        </row>
        <row r="2998">
          <cell r="A2998">
            <v>46265</v>
          </cell>
          <cell r="B2998" t="str">
            <v xml:space="preserve">MARNI MARNIKA KAMLASI                   </v>
          </cell>
          <cell r="C2998" t="str">
            <v>MEGPO03</v>
          </cell>
          <cell r="D2998">
            <v>472301005419503</v>
          </cell>
          <cell r="F2998" t="str">
            <v>Tidak</v>
          </cell>
          <cell r="G2998" t="str">
            <v>Tidak</v>
          </cell>
          <cell r="H2998" t="str">
            <v>Tidak</v>
          </cell>
          <cell r="I2998" t="str">
            <v>Bandar Judol Withdrawal</v>
          </cell>
          <cell r="J2998">
            <v>35</v>
          </cell>
          <cell r="K2998" t="str">
            <v>86,88,87</v>
          </cell>
          <cell r="L2998" t="str">
            <v>Judi Online</v>
          </cell>
          <cell r="M2998" t="str">
            <v xml:space="preserve">Kas Kanpus                              </v>
          </cell>
          <cell r="N2998" t="str">
            <v xml:space="preserve">Kas Kanpus                              </v>
          </cell>
          <cell r="O2998" t="str">
            <v xml:space="preserve">KAS KANPUS                              </v>
          </cell>
          <cell r="P2998" t="str">
            <v>Ya</v>
          </cell>
          <cell r="R2998" t="str">
            <v>Done</v>
          </cell>
          <cell r="S2998" t="str">
            <v>Belum TL</v>
          </cell>
          <cell r="T2998" t="str">
            <v>90150130 - Intan Aida Pratiwi</v>
          </cell>
          <cell r="U2998" t="str">
            <v>"-"</v>
          </cell>
        </row>
        <row r="2999">
          <cell r="A2999">
            <v>46265</v>
          </cell>
          <cell r="B2999" t="str">
            <v xml:space="preserve">MUHAMMAD FAJAR                          </v>
          </cell>
          <cell r="C2999" t="str">
            <v>MEFN168</v>
          </cell>
          <cell r="D2999">
            <v>109101045851509</v>
          </cell>
          <cell r="E2999" t="str">
            <v>SEDANG</v>
          </cell>
          <cell r="F2999" t="str">
            <v>Tidak</v>
          </cell>
          <cell r="G2999" t="str">
            <v>Tidak</v>
          </cell>
          <cell r="H2999" t="str">
            <v>Tidak</v>
          </cell>
          <cell r="I2999" t="str">
            <v>Bandar Judol Withdrawal</v>
          </cell>
          <cell r="J2999">
            <v>50</v>
          </cell>
          <cell r="K2999" t="str">
            <v>86,88,87</v>
          </cell>
          <cell r="L2999" t="str">
            <v>Judi Online</v>
          </cell>
          <cell r="M2999" t="str">
            <v xml:space="preserve">Kas Kanpus                              </v>
          </cell>
          <cell r="N2999" t="str">
            <v xml:space="preserve">Kas Kanpus                              </v>
          </cell>
          <cell r="O2999" t="str">
            <v xml:space="preserve">KAS KANPUS                              </v>
          </cell>
          <cell r="P2999" t="str">
            <v>Ya</v>
          </cell>
          <cell r="R2999" t="str">
            <v>Done</v>
          </cell>
          <cell r="S2999" t="str">
            <v>Belum TL</v>
          </cell>
          <cell r="T2999" t="str">
            <v>90186790 - Muhammad Alfin Farha</v>
          </cell>
          <cell r="U2999" t="str">
            <v>"-"</v>
          </cell>
        </row>
        <row r="3000">
          <cell r="A3000">
            <v>46265</v>
          </cell>
          <cell r="B3000" t="str">
            <v xml:space="preserve">MUHAMMAD FERDIANSYAH                    </v>
          </cell>
          <cell r="C3000" t="str">
            <v>MEFCE48</v>
          </cell>
          <cell r="D3000">
            <v>204601014023509</v>
          </cell>
          <cell r="F3000" t="str">
            <v>Tidak</v>
          </cell>
          <cell r="G3000" t="str">
            <v>Tidak</v>
          </cell>
          <cell r="H3000" t="str">
            <v>Tidak</v>
          </cell>
          <cell r="I3000" t="str">
            <v>Bandar Judol Withdrawal</v>
          </cell>
          <cell r="J3000">
            <v>35</v>
          </cell>
          <cell r="K3000" t="str">
            <v>86,88,87</v>
          </cell>
          <cell r="L3000" t="str">
            <v>Judi Online</v>
          </cell>
          <cell r="M3000" t="str">
            <v xml:space="preserve">Kas Kanpus                              </v>
          </cell>
          <cell r="N3000" t="str">
            <v xml:space="preserve">Kas Kanpus                              </v>
          </cell>
          <cell r="O3000" t="str">
            <v xml:space="preserve">KAS KANPUS                              </v>
          </cell>
          <cell r="P3000" t="str">
            <v>Ya</v>
          </cell>
          <cell r="R3000" t="str">
            <v>Done</v>
          </cell>
          <cell r="S3000" t="str">
            <v>Belum TL</v>
          </cell>
          <cell r="T3000" t="str">
            <v>90186790 - Muhammad Alfin Farha</v>
          </cell>
          <cell r="U3000" t="str">
            <v>"-"</v>
          </cell>
        </row>
        <row r="3001">
          <cell r="A3001">
            <v>46265</v>
          </cell>
          <cell r="B3001" t="str">
            <v xml:space="preserve">MARIZA SUKMA AYU HUDODO                 </v>
          </cell>
          <cell r="C3001" t="str">
            <v>MEELI72</v>
          </cell>
          <cell r="D3001">
            <v>531201011426504</v>
          </cell>
          <cell r="F3001" t="str">
            <v>Tidak</v>
          </cell>
          <cell r="G3001" t="str">
            <v>Tidak</v>
          </cell>
          <cell r="H3001" t="str">
            <v>Tidak</v>
          </cell>
          <cell r="I3001" t="str">
            <v>Bandar Judol Withdrawal</v>
          </cell>
          <cell r="J3001">
            <v>35</v>
          </cell>
          <cell r="K3001" t="str">
            <v>86,88,87</v>
          </cell>
          <cell r="L3001" t="str">
            <v>Judi Online</v>
          </cell>
          <cell r="M3001" t="str">
            <v xml:space="preserve">Kas Kanpus                              </v>
          </cell>
          <cell r="N3001" t="str">
            <v xml:space="preserve">Kas Kanpus                              </v>
          </cell>
          <cell r="O3001" t="str">
            <v xml:space="preserve">KAS KANPUS                              </v>
          </cell>
          <cell r="P3001" t="str">
            <v>Ya</v>
          </cell>
          <cell r="R3001" t="str">
            <v>Done</v>
          </cell>
          <cell r="S3001" t="str">
            <v>Belum TL</v>
          </cell>
          <cell r="T3001" t="str">
            <v>90171841 - Rifqi Aziz</v>
          </cell>
          <cell r="U3001" t="str">
            <v>"-"</v>
          </cell>
        </row>
        <row r="3002">
          <cell r="A3002">
            <v>46265</v>
          </cell>
          <cell r="B3002" t="str">
            <v xml:space="preserve">MUHAMMAD SAID KANDIVAS                  </v>
          </cell>
          <cell r="C3002" t="str">
            <v>MEDXB59</v>
          </cell>
          <cell r="D3002">
            <v>118301016640502</v>
          </cell>
          <cell r="F3002" t="str">
            <v>Tidak</v>
          </cell>
          <cell r="G3002" t="str">
            <v>Tidak</v>
          </cell>
          <cell r="H3002" t="str">
            <v>Tidak</v>
          </cell>
          <cell r="I3002" t="str">
            <v>Bandar Judol Depo</v>
          </cell>
          <cell r="J3002">
            <v>35</v>
          </cell>
          <cell r="K3002" t="str">
            <v>86,74,87</v>
          </cell>
          <cell r="L3002" t="str">
            <v>Judi Online</v>
          </cell>
          <cell r="M3002" t="str">
            <v xml:space="preserve">Kas Kanpus                              </v>
          </cell>
          <cell r="N3002" t="str">
            <v xml:space="preserve">Kas Kanpus                              </v>
          </cell>
          <cell r="O3002" t="str">
            <v xml:space="preserve">KAS KANPUS                              </v>
          </cell>
          <cell r="P3002" t="str">
            <v>Ya</v>
          </cell>
          <cell r="R3002" t="str">
            <v>Done</v>
          </cell>
          <cell r="S3002" t="str">
            <v>Belum TL</v>
          </cell>
          <cell r="T3002" t="str">
            <v>00394520 - Frida Akbar Rani</v>
          </cell>
          <cell r="U3002" t="str">
            <v>"-"</v>
          </cell>
        </row>
        <row r="3003">
          <cell r="A3003">
            <v>46265</v>
          </cell>
          <cell r="B3003" t="str">
            <v xml:space="preserve">MHD. ILHAM                              </v>
          </cell>
          <cell r="C3003" t="str">
            <v>MEEBV83</v>
          </cell>
          <cell r="D3003">
            <v>40401083541508</v>
          </cell>
          <cell r="F3003" t="str">
            <v>Tidak</v>
          </cell>
          <cell r="G3003" t="str">
            <v>Tidak</v>
          </cell>
          <cell r="H3003" t="str">
            <v>Tidak</v>
          </cell>
          <cell r="I3003" t="str">
            <v>Bandar Judol Withdrawal</v>
          </cell>
          <cell r="J3003">
            <v>35</v>
          </cell>
          <cell r="K3003" t="str">
            <v>86,88,87</v>
          </cell>
          <cell r="L3003" t="str">
            <v>Judi Online</v>
          </cell>
          <cell r="M3003" t="str">
            <v xml:space="preserve">Kas Kanpus                              </v>
          </cell>
          <cell r="N3003" t="str">
            <v xml:space="preserve">Kas Kanpus                              </v>
          </cell>
          <cell r="O3003" t="str">
            <v xml:space="preserve">KAS KANPUS                              </v>
          </cell>
          <cell r="P3003" t="str">
            <v>Ya</v>
          </cell>
          <cell r="R3003" t="str">
            <v>Done</v>
          </cell>
          <cell r="S3003" t="str">
            <v>Belum TL</v>
          </cell>
          <cell r="T3003" t="str">
            <v>90186790 - Muhammad Alfin Farha</v>
          </cell>
          <cell r="U3003" t="str">
            <v>"-"</v>
          </cell>
        </row>
        <row r="3004">
          <cell r="A3004">
            <v>46265</v>
          </cell>
          <cell r="B3004" t="str">
            <v xml:space="preserve">MUHAMMAD NUR                            </v>
          </cell>
          <cell r="C3004" t="str">
            <v>MEEFA75</v>
          </cell>
          <cell r="D3004">
            <v>108801000832561</v>
          </cell>
          <cell r="F3004" t="str">
            <v>Tidak</v>
          </cell>
          <cell r="G3004" t="str">
            <v>Tidak</v>
          </cell>
          <cell r="H3004" t="str">
            <v>Tidak</v>
          </cell>
          <cell r="I3004" t="str">
            <v>Bandar Judol Depo</v>
          </cell>
          <cell r="J3004">
            <v>35</v>
          </cell>
          <cell r="K3004" t="str">
            <v>86,74,87</v>
          </cell>
          <cell r="L3004" t="str">
            <v>Judi Online</v>
          </cell>
          <cell r="M3004" t="str">
            <v xml:space="preserve">Kas Kanpus                              </v>
          </cell>
          <cell r="N3004" t="str">
            <v xml:space="preserve">Kas Kanpus                              </v>
          </cell>
          <cell r="O3004" t="str">
            <v xml:space="preserve">KAS KANPUS                              </v>
          </cell>
          <cell r="P3004" t="str">
            <v>Ya</v>
          </cell>
          <cell r="R3004" t="str">
            <v>Done</v>
          </cell>
          <cell r="S3004" t="str">
            <v>Belum TL</v>
          </cell>
          <cell r="T3004" t="str">
            <v>00336949 - Mochammad Al Farabi</v>
          </cell>
          <cell r="U3004" t="str">
            <v>"-"</v>
          </cell>
        </row>
        <row r="3005">
          <cell r="A3005">
            <v>46265</v>
          </cell>
          <cell r="B3005" t="str">
            <v xml:space="preserve">MUHAMAD RAFI AL AQLY                    </v>
          </cell>
          <cell r="C3005" t="str">
            <v>MEEIE05</v>
          </cell>
          <cell r="D3005">
            <v>384801027816500</v>
          </cell>
          <cell r="F3005" t="str">
            <v>Tidak</v>
          </cell>
          <cell r="G3005" t="str">
            <v>Tidak</v>
          </cell>
          <cell r="H3005" t="str">
            <v>Tidak</v>
          </cell>
          <cell r="I3005" t="str">
            <v>Bandar Judol Withdrawal</v>
          </cell>
          <cell r="J3005">
            <v>35</v>
          </cell>
          <cell r="K3005" t="str">
            <v>86,88,87</v>
          </cell>
          <cell r="L3005" t="str">
            <v>Judi Online</v>
          </cell>
          <cell r="M3005" t="str">
            <v xml:space="preserve">Kas Kanpus                              </v>
          </cell>
          <cell r="N3005" t="str">
            <v xml:space="preserve">Kas Kanpus                              </v>
          </cell>
          <cell r="O3005" t="str">
            <v xml:space="preserve">KAS KANPUS                              </v>
          </cell>
          <cell r="P3005" t="str">
            <v>Ya</v>
          </cell>
          <cell r="R3005" t="str">
            <v>Done</v>
          </cell>
          <cell r="S3005" t="str">
            <v>Belum TL</v>
          </cell>
          <cell r="T3005" t="str">
            <v>90171841 - Rifqi Aziz</v>
          </cell>
          <cell r="U3005" t="str">
            <v>"-"</v>
          </cell>
        </row>
        <row r="3006">
          <cell r="A3006">
            <v>46265</v>
          </cell>
          <cell r="B3006" t="str">
            <v xml:space="preserve">MOHAMMAD RIZAL                          </v>
          </cell>
          <cell r="C3006" t="str">
            <v>MEYNI86</v>
          </cell>
          <cell r="D3006">
            <v>23801100570500</v>
          </cell>
          <cell r="F3006" t="str">
            <v>Tidak</v>
          </cell>
          <cell r="G3006" t="str">
            <v>Tidak</v>
          </cell>
          <cell r="H3006" t="str">
            <v>Tidak</v>
          </cell>
          <cell r="I3006" t="str">
            <v>Bandar Judol Withdrawal</v>
          </cell>
          <cell r="J3006">
            <v>35</v>
          </cell>
          <cell r="K3006" t="str">
            <v>86,88,87</v>
          </cell>
          <cell r="L3006" t="str">
            <v>Judi Online</v>
          </cell>
          <cell r="M3006" t="str">
            <v xml:space="preserve">Kas Kanpus                              </v>
          </cell>
          <cell r="N3006" t="str">
            <v xml:space="preserve">Kas Kanpus                              </v>
          </cell>
          <cell r="O3006" t="str">
            <v xml:space="preserve">KAS KANPUS                              </v>
          </cell>
          <cell r="P3006" t="str">
            <v>Ya</v>
          </cell>
          <cell r="R3006" t="str">
            <v>Done</v>
          </cell>
          <cell r="S3006" t="str">
            <v>Belum TL</v>
          </cell>
          <cell r="T3006" t="str">
            <v>90185537 - Moh.Khoerul Fajar Ar</v>
          </cell>
          <cell r="U3006" t="str">
            <v>"-"</v>
          </cell>
        </row>
        <row r="3007">
          <cell r="A3007">
            <v>46265</v>
          </cell>
          <cell r="B3007" t="str">
            <v xml:space="preserve">M. RAMZY FERNANDA                       </v>
          </cell>
          <cell r="C3007" t="str">
            <v>MEPAS51</v>
          </cell>
          <cell r="D3007">
            <v>158501007850500</v>
          </cell>
          <cell r="F3007" t="str">
            <v>Tidak</v>
          </cell>
          <cell r="G3007" t="str">
            <v>Tidak</v>
          </cell>
          <cell r="H3007" t="str">
            <v>Tidak</v>
          </cell>
          <cell r="I3007" t="str">
            <v>Bandar Judol Withdrawal</v>
          </cell>
          <cell r="J3007">
            <v>35</v>
          </cell>
          <cell r="K3007" t="str">
            <v>86,88,87</v>
          </cell>
          <cell r="L3007" t="str">
            <v>Judi Online</v>
          </cell>
          <cell r="M3007" t="str">
            <v xml:space="preserve">Kas Kanpus                              </v>
          </cell>
          <cell r="N3007" t="str">
            <v xml:space="preserve">Kas Kanpus                              </v>
          </cell>
          <cell r="O3007" t="str">
            <v xml:space="preserve">KAS KANPUS                              </v>
          </cell>
          <cell r="P3007" t="str">
            <v>Ya</v>
          </cell>
          <cell r="R3007" t="str">
            <v>Done</v>
          </cell>
          <cell r="S3007" t="str">
            <v>Belum TL</v>
          </cell>
          <cell r="T3007" t="str">
            <v>90171841 - Rifqi Aziz</v>
          </cell>
          <cell r="U3007" t="str">
            <v>"-"</v>
          </cell>
        </row>
        <row r="3008">
          <cell r="A3008">
            <v>46265</v>
          </cell>
          <cell r="B3008" t="str">
            <v xml:space="preserve">MHD HUSNAIN                             </v>
          </cell>
          <cell r="C3008" t="str">
            <v>MESUU39</v>
          </cell>
          <cell r="D3008">
            <v>337901094867535</v>
          </cell>
          <cell r="F3008" t="str">
            <v>Tidak</v>
          </cell>
          <cell r="G3008" t="str">
            <v>Tidak</v>
          </cell>
          <cell r="H3008" t="str">
            <v>Tidak</v>
          </cell>
          <cell r="I3008" t="str">
            <v>Bandar Judol Withdrawal</v>
          </cell>
          <cell r="J3008">
            <v>35</v>
          </cell>
          <cell r="K3008" t="str">
            <v>86,88,87</v>
          </cell>
          <cell r="L3008" t="str">
            <v>Judi Online</v>
          </cell>
          <cell r="M3008" t="str">
            <v xml:space="preserve">Kas Kanpus                              </v>
          </cell>
          <cell r="N3008" t="str">
            <v xml:space="preserve">Kas Kanpus                              </v>
          </cell>
          <cell r="O3008" t="str">
            <v xml:space="preserve">KAS KANPUS                              </v>
          </cell>
          <cell r="P3008" t="str">
            <v>Ya</v>
          </cell>
          <cell r="R3008" t="str">
            <v>Done</v>
          </cell>
          <cell r="S3008" t="str">
            <v>Belum TL</v>
          </cell>
          <cell r="T3008" t="str">
            <v>90185538 - Muhammad Fahikal Auz</v>
          </cell>
          <cell r="U3008" t="str">
            <v>"-"</v>
          </cell>
        </row>
        <row r="3009">
          <cell r="A3009">
            <v>46265</v>
          </cell>
          <cell r="B3009" t="str">
            <v xml:space="preserve">MUHAMMAD KEVIN                          </v>
          </cell>
          <cell r="C3009" t="str">
            <v>MEROO25</v>
          </cell>
          <cell r="D3009">
            <v>1901004463564</v>
          </cell>
          <cell r="F3009" t="str">
            <v>Tidak</v>
          </cell>
          <cell r="G3009" t="str">
            <v>Tidak</v>
          </cell>
          <cell r="H3009" t="str">
            <v>Tidak</v>
          </cell>
          <cell r="I3009" t="str">
            <v>Bandar Judol Withdrawal</v>
          </cell>
          <cell r="J3009">
            <v>35</v>
          </cell>
          <cell r="K3009" t="str">
            <v>86,88,87</v>
          </cell>
          <cell r="L3009" t="str">
            <v>Judi Online</v>
          </cell>
          <cell r="M3009" t="str">
            <v xml:space="preserve">Kas Kanpus                              </v>
          </cell>
          <cell r="N3009" t="str">
            <v xml:space="preserve">Kas Kanpus                              </v>
          </cell>
          <cell r="O3009" t="str">
            <v xml:space="preserve">KAS KANPUS                              </v>
          </cell>
          <cell r="P3009" t="str">
            <v>Ya</v>
          </cell>
          <cell r="R3009" t="str">
            <v>Done</v>
          </cell>
          <cell r="S3009" t="str">
            <v>Belum TL</v>
          </cell>
          <cell r="T3009" t="str">
            <v>00394521 - Muhammad Hibbanduta</v>
          </cell>
          <cell r="U3009" t="str">
            <v>"-"</v>
          </cell>
        </row>
        <row r="3010">
          <cell r="A3010">
            <v>46265</v>
          </cell>
          <cell r="B3010" t="str">
            <v xml:space="preserve">MIRA AGUSTINA HARAHAP                   </v>
          </cell>
          <cell r="C3010" t="str">
            <v>MEPLE35</v>
          </cell>
          <cell r="D3010">
            <v>69401036093507</v>
          </cell>
          <cell r="F3010" t="str">
            <v>Tidak</v>
          </cell>
          <cell r="G3010" t="str">
            <v>Tidak</v>
          </cell>
          <cell r="H3010" t="str">
            <v>Tidak</v>
          </cell>
          <cell r="I3010" t="str">
            <v>Bandar Judol Withdrawal</v>
          </cell>
          <cell r="J3010">
            <v>35</v>
          </cell>
          <cell r="K3010" t="str">
            <v>86,88,87</v>
          </cell>
          <cell r="L3010" t="str">
            <v>Judi Online</v>
          </cell>
          <cell r="M3010" t="str">
            <v xml:space="preserve">Kas Kanpus                              </v>
          </cell>
          <cell r="N3010" t="str">
            <v xml:space="preserve">Kas Kanpus                              </v>
          </cell>
          <cell r="O3010" t="str">
            <v xml:space="preserve">KAS KANPUS                              </v>
          </cell>
          <cell r="P3010" t="str">
            <v>Ya</v>
          </cell>
          <cell r="R3010" t="str">
            <v>Done</v>
          </cell>
          <cell r="S3010" t="str">
            <v>Belum TL</v>
          </cell>
          <cell r="T3010" t="str">
            <v>00336949 - Mochammad Al Farabi</v>
          </cell>
          <cell r="U3010" t="str">
            <v>"-"</v>
          </cell>
        </row>
        <row r="3011">
          <cell r="A3011">
            <v>46265</v>
          </cell>
          <cell r="B3011" t="str">
            <v xml:space="preserve">M.IKBAL FADILLAH                        </v>
          </cell>
          <cell r="C3011" t="str">
            <v>MEPML31</v>
          </cell>
          <cell r="D3011">
            <v>112201017699502</v>
          </cell>
          <cell r="F3011" t="str">
            <v>Tidak</v>
          </cell>
          <cell r="G3011" t="str">
            <v>Tidak</v>
          </cell>
          <cell r="H3011" t="str">
            <v>Tidak</v>
          </cell>
          <cell r="I3011" t="str">
            <v>Bandar Judol Depo</v>
          </cell>
          <cell r="J3011">
            <v>35</v>
          </cell>
          <cell r="K3011" t="str">
            <v>86,74,87</v>
          </cell>
          <cell r="L3011" t="str">
            <v>Judi Online</v>
          </cell>
          <cell r="M3011" t="str">
            <v xml:space="preserve">Kas Kanpus                              </v>
          </cell>
          <cell r="N3011" t="str">
            <v xml:space="preserve">Kas Kanpus                              </v>
          </cell>
          <cell r="O3011" t="str">
            <v xml:space="preserve">KAS KANPUS                              </v>
          </cell>
          <cell r="P3011" t="str">
            <v>Ya</v>
          </cell>
          <cell r="R3011" t="str">
            <v>Done</v>
          </cell>
          <cell r="S3011" t="str">
            <v>Belum TL</v>
          </cell>
          <cell r="T3011" t="str">
            <v>90185538 - Muhammad Fahikal Auz</v>
          </cell>
          <cell r="U3011" t="str">
            <v>"-"</v>
          </cell>
        </row>
        <row r="3012">
          <cell r="A3012">
            <v>46265</v>
          </cell>
          <cell r="B3012" t="str">
            <v xml:space="preserve">MUHAMAD TOHA                            </v>
          </cell>
          <cell r="C3012" t="str">
            <v>MEOJ077</v>
          </cell>
          <cell r="D3012">
            <v>31901001197566</v>
          </cell>
          <cell r="E3012" t="str">
            <v>SEDANG</v>
          </cell>
          <cell r="F3012" t="str">
            <v>Ya</v>
          </cell>
          <cell r="G3012" t="str">
            <v>Tidak</v>
          </cell>
          <cell r="H3012" t="str">
            <v>Tidak</v>
          </cell>
          <cell r="I3012" t="str">
            <v>Bandar Judol Depo</v>
          </cell>
          <cell r="J3012">
            <v>50</v>
          </cell>
          <cell r="K3012" t="str">
            <v>86,74,87</v>
          </cell>
          <cell r="L3012" t="str">
            <v>Judi Online</v>
          </cell>
          <cell r="M3012" t="str">
            <v xml:space="preserve">Kas Kanpus                              </v>
          </cell>
          <cell r="N3012" t="str">
            <v xml:space="preserve">Kas Kanpus                              </v>
          </cell>
          <cell r="O3012" t="str">
            <v xml:space="preserve">KAS KANPUS                              </v>
          </cell>
          <cell r="P3012" t="str">
            <v>Tidak</v>
          </cell>
          <cell r="R3012" t="str">
            <v>Done</v>
          </cell>
          <cell r="S3012" t="str">
            <v>Belum TL</v>
          </cell>
          <cell r="T3012" t="str">
            <v>90171841 - Rifqi Aziz</v>
          </cell>
          <cell r="U3012" t="str">
            <v>"-"</v>
          </cell>
        </row>
        <row r="3013">
          <cell r="A3013">
            <v>46265</v>
          </cell>
          <cell r="B3013" t="str">
            <v xml:space="preserve">M IDRAS                                 </v>
          </cell>
          <cell r="C3013" t="str">
            <v>MEOLM03</v>
          </cell>
          <cell r="D3013">
            <v>529301005250509</v>
          </cell>
          <cell r="F3013" t="str">
            <v>Tidak</v>
          </cell>
          <cell r="G3013" t="str">
            <v>Tidak</v>
          </cell>
          <cell r="H3013" t="str">
            <v>Tidak</v>
          </cell>
          <cell r="I3013" t="str">
            <v>Bandar Judol Withdrawal</v>
          </cell>
          <cell r="J3013">
            <v>35</v>
          </cell>
          <cell r="K3013" t="str">
            <v>86,88,87</v>
          </cell>
          <cell r="L3013" t="str">
            <v>Judi Online</v>
          </cell>
          <cell r="M3013" t="str">
            <v xml:space="preserve">Kas Kanpus                              </v>
          </cell>
          <cell r="N3013" t="str">
            <v xml:space="preserve">Kas Kanpus                              </v>
          </cell>
          <cell r="O3013" t="str">
            <v xml:space="preserve">KAS KANPUS                              </v>
          </cell>
          <cell r="P3013" t="str">
            <v>Ya</v>
          </cell>
          <cell r="R3013" t="str">
            <v>Done</v>
          </cell>
          <cell r="S3013" t="str">
            <v>Belum TL</v>
          </cell>
          <cell r="T3013" t="str">
            <v>00394521 - Muhammad Hibbanduta</v>
          </cell>
          <cell r="U3013" t="str">
            <v>"-"</v>
          </cell>
        </row>
        <row r="3014">
          <cell r="A3014">
            <v>46265</v>
          </cell>
          <cell r="B3014" t="str">
            <v xml:space="preserve">MUHAMAD ARTHA ANDI WIJAYA               </v>
          </cell>
          <cell r="C3014" t="str">
            <v>MENTR48</v>
          </cell>
          <cell r="D3014">
            <v>44501079243504</v>
          </cell>
          <cell r="F3014" t="str">
            <v>Tidak</v>
          </cell>
          <cell r="G3014" t="str">
            <v>Tidak</v>
          </cell>
          <cell r="H3014" t="str">
            <v>Tidak</v>
          </cell>
          <cell r="I3014" t="str">
            <v>Bandar Judol Withdrawal</v>
          </cell>
          <cell r="J3014">
            <v>35</v>
          </cell>
          <cell r="K3014" t="str">
            <v>86,88,87</v>
          </cell>
          <cell r="L3014" t="str">
            <v>Judi Online</v>
          </cell>
          <cell r="M3014" t="str">
            <v xml:space="preserve">Kas Kanpus                              </v>
          </cell>
          <cell r="N3014" t="str">
            <v xml:space="preserve">Kas Kanpus                              </v>
          </cell>
          <cell r="O3014" t="str">
            <v xml:space="preserve">KAS KANPUS                              </v>
          </cell>
          <cell r="P3014" t="str">
            <v>Ya</v>
          </cell>
          <cell r="R3014" t="str">
            <v>Done</v>
          </cell>
          <cell r="S3014" t="str">
            <v>Belum TL</v>
          </cell>
          <cell r="T3014" t="str">
            <v>00394520 - Frida Akbar Rani</v>
          </cell>
          <cell r="U3014" t="str">
            <v>"-"</v>
          </cell>
        </row>
        <row r="3015">
          <cell r="A3015">
            <v>46265</v>
          </cell>
          <cell r="B3015" t="str">
            <v xml:space="preserve">MAULANA ISAK                            </v>
          </cell>
          <cell r="C3015" t="str">
            <v>MENTS25</v>
          </cell>
          <cell r="D3015">
            <v>176701017238500</v>
          </cell>
          <cell r="F3015" t="str">
            <v>Tidak</v>
          </cell>
          <cell r="G3015" t="str">
            <v>Tidak</v>
          </cell>
          <cell r="H3015" t="str">
            <v>Tidak</v>
          </cell>
          <cell r="I3015" t="str">
            <v>Bandar Judol Withdrawal</v>
          </cell>
          <cell r="J3015">
            <v>35</v>
          </cell>
          <cell r="K3015" t="str">
            <v>86,88,87</v>
          </cell>
          <cell r="L3015" t="str">
            <v>Judi Online</v>
          </cell>
          <cell r="M3015" t="str">
            <v xml:space="preserve">Kas Kanpus                              </v>
          </cell>
          <cell r="N3015" t="str">
            <v xml:space="preserve">Kas Kanpus                              </v>
          </cell>
          <cell r="O3015" t="str">
            <v xml:space="preserve">KAS KANPUS                              </v>
          </cell>
          <cell r="P3015" t="str">
            <v>Ya</v>
          </cell>
          <cell r="R3015" t="str">
            <v>Done</v>
          </cell>
          <cell r="S3015" t="str">
            <v>Belum TL</v>
          </cell>
          <cell r="T3015" t="str">
            <v>00394521 - Muhammad Hibbanduta</v>
          </cell>
          <cell r="U3015" t="str">
            <v>"-"</v>
          </cell>
        </row>
        <row r="3016">
          <cell r="A3016">
            <v>46265</v>
          </cell>
          <cell r="B3016" t="str">
            <v xml:space="preserve">M.FARU RIANDA                           </v>
          </cell>
          <cell r="C3016" t="str">
            <v>MENVX80</v>
          </cell>
          <cell r="D3016">
            <v>26601128547508</v>
          </cell>
          <cell r="F3016" t="str">
            <v>Tidak</v>
          </cell>
          <cell r="G3016" t="str">
            <v>Tidak</v>
          </cell>
          <cell r="H3016" t="str">
            <v>Tidak</v>
          </cell>
          <cell r="I3016" t="str">
            <v>Bandar Judol Depo</v>
          </cell>
          <cell r="J3016">
            <v>35</v>
          </cell>
          <cell r="K3016" t="str">
            <v>86,74,87</v>
          </cell>
          <cell r="L3016" t="str">
            <v>Judi Online</v>
          </cell>
          <cell r="M3016" t="str">
            <v xml:space="preserve">Kas Kanpus                              </v>
          </cell>
          <cell r="N3016" t="str">
            <v xml:space="preserve">Kas Kanpus                              </v>
          </cell>
          <cell r="O3016" t="str">
            <v xml:space="preserve">KAS KANPUS                              </v>
          </cell>
          <cell r="P3016" t="str">
            <v>Ya</v>
          </cell>
          <cell r="R3016" t="str">
            <v>Done</v>
          </cell>
          <cell r="S3016" t="str">
            <v>Belum TL</v>
          </cell>
          <cell r="T3016" t="str">
            <v>90170665 - Mutiara Ayuningtyas</v>
          </cell>
          <cell r="U3016" t="str">
            <v>"-"</v>
          </cell>
        </row>
        <row r="3017">
          <cell r="A3017">
            <v>46265</v>
          </cell>
          <cell r="B3017" t="str">
            <v xml:space="preserve">MUKHLISIN                               </v>
          </cell>
          <cell r="C3017" t="str">
            <v>MEMJE40</v>
          </cell>
          <cell r="D3017">
            <v>50901005968564</v>
          </cell>
          <cell r="F3017" t="str">
            <v>Tidak</v>
          </cell>
          <cell r="G3017" t="str">
            <v>Tidak</v>
          </cell>
          <cell r="H3017" t="str">
            <v>Tidak</v>
          </cell>
          <cell r="I3017" t="str">
            <v>Bandar Judol Depo</v>
          </cell>
          <cell r="J3017">
            <v>35</v>
          </cell>
          <cell r="K3017" t="str">
            <v>86,74,87</v>
          </cell>
          <cell r="L3017" t="str">
            <v>Judi Online</v>
          </cell>
          <cell r="M3017" t="str">
            <v xml:space="preserve">Kas Kanpus                              </v>
          </cell>
          <cell r="N3017" t="str">
            <v xml:space="preserve">Kas Kanpus                              </v>
          </cell>
          <cell r="O3017" t="str">
            <v xml:space="preserve">KAS KANPUS                              </v>
          </cell>
          <cell r="P3017" t="str">
            <v>Ya</v>
          </cell>
          <cell r="R3017" t="str">
            <v>Done</v>
          </cell>
          <cell r="S3017" t="str">
            <v>Belum TL</v>
          </cell>
          <cell r="T3017" t="str">
            <v>90185537 - Moh.Khoerul Fajar Ar</v>
          </cell>
          <cell r="U3017" t="str">
            <v>"-"</v>
          </cell>
        </row>
        <row r="3018">
          <cell r="A3018">
            <v>46265</v>
          </cell>
          <cell r="B3018" t="str">
            <v xml:space="preserve">PRIHATININGSIH                          </v>
          </cell>
          <cell r="C3018" t="str">
            <v>PHG2356</v>
          </cell>
          <cell r="D3018">
            <v>44401002157566</v>
          </cell>
          <cell r="E3018" t="str">
            <v>SEDANG</v>
          </cell>
          <cell r="F3018" t="str">
            <v>Tidak</v>
          </cell>
          <cell r="G3018" t="str">
            <v>Tidak</v>
          </cell>
          <cell r="H3018" t="str">
            <v>Tidak</v>
          </cell>
          <cell r="I3018" t="str">
            <v>Bandar Judol Withdrawal</v>
          </cell>
          <cell r="J3018">
            <v>50</v>
          </cell>
          <cell r="K3018" t="str">
            <v>86,88,87</v>
          </cell>
          <cell r="L3018" t="str">
            <v>Judi Online</v>
          </cell>
          <cell r="M3018" t="str">
            <v xml:space="preserve">Kas Kanpus                              </v>
          </cell>
          <cell r="N3018" t="str">
            <v xml:space="preserve">Kas Kanpus                              </v>
          </cell>
          <cell r="O3018" t="str">
            <v xml:space="preserve">KAS KANPUS                              </v>
          </cell>
          <cell r="P3018" t="str">
            <v>Ya</v>
          </cell>
          <cell r="R3018" t="str">
            <v>Done</v>
          </cell>
          <cell r="S3018" t="str">
            <v>Belum TL</v>
          </cell>
          <cell r="T3018" t="str">
            <v>00394521 - Muhammad Hibbanduta</v>
          </cell>
          <cell r="U3018" t="str">
            <v>"-"</v>
          </cell>
        </row>
        <row r="3019">
          <cell r="A3019">
            <v>46265</v>
          </cell>
          <cell r="B3019" t="str">
            <v xml:space="preserve">PUJA TRI SUCI                           </v>
          </cell>
          <cell r="C3019" t="str">
            <v>PIR7875</v>
          </cell>
          <cell r="D3019">
            <v>203901000830565</v>
          </cell>
          <cell r="E3019" t="str">
            <v>SEDANG</v>
          </cell>
          <cell r="F3019" t="str">
            <v>Tidak</v>
          </cell>
          <cell r="G3019" t="str">
            <v>Tidak</v>
          </cell>
          <cell r="H3019" t="str">
            <v>Tidak</v>
          </cell>
          <cell r="I3019" t="str">
            <v>Bandar Judol Withdrawal</v>
          </cell>
          <cell r="J3019">
            <v>50</v>
          </cell>
          <cell r="K3019" t="str">
            <v>86,88,87</v>
          </cell>
          <cell r="L3019" t="str">
            <v>Judi Online</v>
          </cell>
          <cell r="M3019" t="str">
            <v xml:space="preserve">Kas Kanpus                              </v>
          </cell>
          <cell r="N3019" t="str">
            <v xml:space="preserve">Kas Kanpus                              </v>
          </cell>
          <cell r="O3019" t="str">
            <v xml:space="preserve">KAS KANPUS                              </v>
          </cell>
          <cell r="P3019" t="str">
            <v>Ya</v>
          </cell>
          <cell r="R3019" t="str">
            <v>Done</v>
          </cell>
          <cell r="S3019" t="str">
            <v>Belum TL</v>
          </cell>
          <cell r="T3019" t="str">
            <v>00394521 - Muhammad Hibbanduta</v>
          </cell>
          <cell r="U3019" t="str">
            <v>"-"</v>
          </cell>
        </row>
        <row r="3020">
          <cell r="A3020">
            <v>46265</v>
          </cell>
          <cell r="B3020" t="str">
            <v xml:space="preserve">PERINTIS LESTARI TALANGDUKU             </v>
          </cell>
          <cell r="C3020" t="str">
            <v>PH81021</v>
          </cell>
          <cell r="D3020">
            <v>2001002996306</v>
          </cell>
          <cell r="E3020" t="str">
            <v>TINGGI</v>
          </cell>
          <cell r="F3020" t="str">
            <v>Tidak</v>
          </cell>
          <cell r="G3020" t="str">
            <v>Tidak</v>
          </cell>
          <cell r="H3020" t="str">
            <v>Tidak</v>
          </cell>
          <cell r="I3020" t="str">
            <v>Perpajakan</v>
          </cell>
          <cell r="J3020">
            <v>63</v>
          </cell>
          <cell r="K3020">
            <v>1.33</v>
          </cell>
          <cell r="L3020" t="str">
            <v>Perpajakan</v>
          </cell>
          <cell r="M3020" t="str">
            <v xml:space="preserve">KC Jambi                                </v>
          </cell>
          <cell r="N3020" t="str">
            <v xml:space="preserve">KC Jambi                                </v>
          </cell>
          <cell r="O3020" t="str">
            <v xml:space="preserve">Palembang                               </v>
          </cell>
          <cell r="P3020" t="str">
            <v>Tidak</v>
          </cell>
          <cell r="R3020" t="str">
            <v>Done</v>
          </cell>
          <cell r="S3020" t="str">
            <v>Belum TL</v>
          </cell>
          <cell r="T3020" t="str">
            <v>90171841 - Rifqi Aziz</v>
          </cell>
          <cell r="U3020" t="str">
            <v>"-"</v>
          </cell>
        </row>
        <row r="3021">
          <cell r="A3021">
            <v>46265</v>
          </cell>
          <cell r="B3021" t="str">
            <v xml:space="preserve">PONI                                    </v>
          </cell>
          <cell r="C3021" t="str">
            <v>PLZ4037</v>
          </cell>
          <cell r="D3021">
            <v>26601099374509</v>
          </cell>
          <cell r="E3021" t="str">
            <v>SEDANG</v>
          </cell>
          <cell r="F3021" t="str">
            <v>Tidak</v>
          </cell>
          <cell r="G3021" t="str">
            <v>Tidak</v>
          </cell>
          <cell r="H3021" t="str">
            <v>Tidak</v>
          </cell>
          <cell r="I3021" t="str">
            <v>Bandar Judol Withdrawal</v>
          </cell>
          <cell r="J3021">
            <v>50</v>
          </cell>
          <cell r="K3021" t="str">
            <v>86,88,87</v>
          </cell>
          <cell r="L3021" t="str">
            <v>Judi Online</v>
          </cell>
          <cell r="M3021" t="str">
            <v xml:space="preserve">Kas Kanpus                              </v>
          </cell>
          <cell r="N3021" t="str">
            <v xml:space="preserve">Kas Kanpus                              </v>
          </cell>
          <cell r="O3021" t="str">
            <v xml:space="preserve">KAS KANPUS                              </v>
          </cell>
          <cell r="P3021" t="str">
            <v>Ya</v>
          </cell>
          <cell r="R3021" t="str">
            <v>Done</v>
          </cell>
          <cell r="S3021" t="str">
            <v>Belum TL</v>
          </cell>
          <cell r="T3021" t="str">
            <v>90170665 - Mutiara Ayuningtyas</v>
          </cell>
          <cell r="U3021" t="str">
            <v>"-"</v>
          </cell>
        </row>
        <row r="3022">
          <cell r="A3022">
            <v>46265</v>
          </cell>
          <cell r="B3022" t="str">
            <v xml:space="preserve">PITASARI AGUSTINA SARAGIH               </v>
          </cell>
          <cell r="C3022" t="str">
            <v>PJS9868</v>
          </cell>
          <cell r="D3022">
            <v>26601089156505</v>
          </cell>
          <cell r="E3022" t="str">
            <v>SEDANG</v>
          </cell>
          <cell r="F3022" t="str">
            <v>Tidak</v>
          </cell>
          <cell r="G3022" t="str">
            <v>Tidak</v>
          </cell>
          <cell r="H3022" t="str">
            <v>Tidak</v>
          </cell>
          <cell r="I3022" t="str">
            <v>Bandar Judol Depo</v>
          </cell>
          <cell r="J3022">
            <v>50</v>
          </cell>
          <cell r="K3022" t="str">
            <v>86,74,87</v>
          </cell>
          <cell r="L3022" t="str">
            <v>Judi Online</v>
          </cell>
          <cell r="M3022" t="str">
            <v xml:space="preserve">Kas Kanpus                              </v>
          </cell>
          <cell r="N3022" t="str">
            <v xml:space="preserve">Kas Kanpus                              </v>
          </cell>
          <cell r="O3022" t="str">
            <v xml:space="preserve">KAS KANPUS                              </v>
          </cell>
          <cell r="P3022" t="str">
            <v>Ya</v>
          </cell>
          <cell r="R3022" t="str">
            <v>Done</v>
          </cell>
          <cell r="S3022" t="str">
            <v>Belum TL</v>
          </cell>
          <cell r="T3022" t="str">
            <v>90186796 - Devito Arya Wiradila</v>
          </cell>
          <cell r="U3022" t="str">
            <v>"-"</v>
          </cell>
        </row>
        <row r="3023">
          <cell r="A3023">
            <v>46265</v>
          </cell>
          <cell r="B3023" t="str">
            <v xml:space="preserve">PUTRI SHERLI OKTAVIANI                  </v>
          </cell>
          <cell r="C3023" t="str">
            <v>PLG1761</v>
          </cell>
          <cell r="D3023">
            <v>26601122685502</v>
          </cell>
          <cell r="E3023" t="str">
            <v>SEDANG</v>
          </cell>
          <cell r="F3023" t="str">
            <v>Tidak</v>
          </cell>
          <cell r="G3023" t="str">
            <v>Tidak</v>
          </cell>
          <cell r="H3023" t="str">
            <v>Tidak</v>
          </cell>
          <cell r="I3023" t="str">
            <v>Bandar Judol Depo</v>
          </cell>
          <cell r="J3023">
            <v>50</v>
          </cell>
          <cell r="K3023" t="str">
            <v>86,74,87</v>
          </cell>
          <cell r="L3023" t="str">
            <v>Judi Online</v>
          </cell>
          <cell r="M3023" t="str">
            <v xml:space="preserve">Kas Kanpus                              </v>
          </cell>
          <cell r="N3023" t="str">
            <v xml:space="preserve">Kas Kanpus                              </v>
          </cell>
          <cell r="O3023" t="str">
            <v xml:space="preserve">KAS KANPUS                              </v>
          </cell>
          <cell r="P3023" t="str">
            <v>Ya</v>
          </cell>
          <cell r="R3023" t="str">
            <v>Done</v>
          </cell>
          <cell r="S3023" t="str">
            <v>Belum TL</v>
          </cell>
          <cell r="T3023" t="str">
            <v>00394520 - Frida Akbar Rani</v>
          </cell>
          <cell r="U3023" t="str">
            <v>"-"</v>
          </cell>
        </row>
        <row r="3024">
          <cell r="A3024">
            <v>46265</v>
          </cell>
          <cell r="B3024" t="str">
            <v xml:space="preserve">PIPIH PATMALA                           </v>
          </cell>
          <cell r="C3024" t="str">
            <v>PLD0314</v>
          </cell>
          <cell r="D3024">
            <v>75101026607530</v>
          </cell>
          <cell r="E3024" t="str">
            <v>SEDANG</v>
          </cell>
          <cell r="F3024" t="str">
            <v>Tidak</v>
          </cell>
          <cell r="G3024" t="str">
            <v>Tidak</v>
          </cell>
          <cell r="H3024" t="str">
            <v>Tidak</v>
          </cell>
          <cell r="I3024" t="str">
            <v>Bandar Judol Depo</v>
          </cell>
          <cell r="J3024">
            <v>50</v>
          </cell>
          <cell r="K3024" t="str">
            <v>86,74,87</v>
          </cell>
          <cell r="L3024" t="str">
            <v>Judi Online</v>
          </cell>
          <cell r="M3024" t="str">
            <v xml:space="preserve">Kas Kanpus                              </v>
          </cell>
          <cell r="N3024" t="str">
            <v xml:space="preserve">Kas Kanpus                              </v>
          </cell>
          <cell r="O3024" t="str">
            <v xml:space="preserve">KAS KANPUS                              </v>
          </cell>
          <cell r="P3024" t="str">
            <v>Tidak</v>
          </cell>
          <cell r="R3024" t="str">
            <v>Done</v>
          </cell>
          <cell r="S3024" t="str">
            <v>Belum TL</v>
          </cell>
          <cell r="T3024" t="str">
            <v>90185538 - Muhammad Fahikal Auz</v>
          </cell>
          <cell r="U3024" t="str">
            <v>"-"</v>
          </cell>
        </row>
        <row r="3025">
          <cell r="A3025">
            <v>46265</v>
          </cell>
          <cell r="B3025" t="str">
            <v xml:space="preserve">PANJI KUNAZI PANA                       </v>
          </cell>
          <cell r="C3025" t="str">
            <v>PCN0706</v>
          </cell>
          <cell r="D3025">
            <v>5901003439564</v>
          </cell>
          <cell r="E3025" t="str">
            <v>SEDANG</v>
          </cell>
          <cell r="F3025" t="str">
            <v>Tidak</v>
          </cell>
          <cell r="G3025" t="str">
            <v>Tidak</v>
          </cell>
          <cell r="H3025" t="str">
            <v>Tidak</v>
          </cell>
          <cell r="I3025" t="str">
            <v>Bandar Judol Withdrawal</v>
          </cell>
          <cell r="J3025">
            <v>50</v>
          </cell>
          <cell r="K3025" t="str">
            <v>86,88,87</v>
          </cell>
          <cell r="L3025" t="str">
            <v>Judi Online</v>
          </cell>
          <cell r="M3025" t="str">
            <v xml:space="preserve">Kas Kanpus                              </v>
          </cell>
          <cell r="N3025" t="str">
            <v xml:space="preserve">Kas Kanpus                              </v>
          </cell>
          <cell r="O3025" t="str">
            <v xml:space="preserve">KAS KANPUS                              </v>
          </cell>
          <cell r="P3025" t="str">
            <v>Ya</v>
          </cell>
          <cell r="R3025" t="str">
            <v>Done</v>
          </cell>
          <cell r="S3025" t="str">
            <v>Belum TL</v>
          </cell>
          <cell r="T3025" t="str">
            <v>90186790 - Muhammad Alfin Farha</v>
          </cell>
          <cell r="U3025" t="str">
            <v>"-"</v>
          </cell>
        </row>
        <row r="3026">
          <cell r="A3026">
            <v>46265</v>
          </cell>
          <cell r="B3026" t="str">
            <v xml:space="preserve">PIPIT SUGIHARTI                         </v>
          </cell>
          <cell r="C3026" t="str">
            <v>PCN2477</v>
          </cell>
          <cell r="D3026">
            <v>110901014846500</v>
          </cell>
          <cell r="E3026" t="str">
            <v>SEDANG</v>
          </cell>
          <cell r="F3026" t="str">
            <v>Tidak</v>
          </cell>
          <cell r="G3026" t="str">
            <v>Tidak</v>
          </cell>
          <cell r="H3026" t="str">
            <v>Tidak</v>
          </cell>
          <cell r="I3026" t="str">
            <v>Bandar Judol Depo</v>
          </cell>
          <cell r="J3026">
            <v>50</v>
          </cell>
          <cell r="K3026" t="str">
            <v>86,74,87</v>
          </cell>
          <cell r="L3026" t="str">
            <v>Judi Online</v>
          </cell>
          <cell r="M3026" t="str">
            <v xml:space="preserve">Kas Kanpus                              </v>
          </cell>
          <cell r="N3026" t="str">
            <v xml:space="preserve">Kas Kanpus                              </v>
          </cell>
          <cell r="O3026" t="str">
            <v xml:space="preserve">KAS KANPUS                              </v>
          </cell>
          <cell r="P3026" t="str">
            <v>Ya</v>
          </cell>
          <cell r="R3026" t="str">
            <v>Done</v>
          </cell>
          <cell r="S3026" t="str">
            <v>Belum TL</v>
          </cell>
          <cell r="T3026" t="str">
            <v>90185538 - Muhammad Fahikal Auz</v>
          </cell>
          <cell r="U3026" t="str">
            <v>"-"</v>
          </cell>
        </row>
        <row r="3027">
          <cell r="A3027">
            <v>46265</v>
          </cell>
          <cell r="B3027" t="str">
            <v xml:space="preserve">PUTRI SALSABILA                         </v>
          </cell>
          <cell r="C3027" t="str">
            <v>PAM0351</v>
          </cell>
          <cell r="D3027">
            <v>33601003820567</v>
          </cell>
          <cell r="E3027" t="str">
            <v>RENDAH</v>
          </cell>
          <cell r="F3027" t="str">
            <v>Tidak</v>
          </cell>
          <cell r="G3027" t="str">
            <v>Tidak</v>
          </cell>
          <cell r="H3027" t="str">
            <v>Tidak</v>
          </cell>
          <cell r="I3027" t="str">
            <v>Bandar Judol Withdrawal</v>
          </cell>
          <cell r="J3027">
            <v>35</v>
          </cell>
          <cell r="K3027" t="str">
            <v>86,88,87</v>
          </cell>
          <cell r="L3027" t="str">
            <v>Judi Online</v>
          </cell>
          <cell r="M3027" t="str">
            <v xml:space="preserve">Kas Kanpus                              </v>
          </cell>
          <cell r="N3027" t="str">
            <v xml:space="preserve">Kas Kanpus                              </v>
          </cell>
          <cell r="O3027" t="str">
            <v xml:space="preserve">KAS KANPUS                              </v>
          </cell>
          <cell r="P3027" t="str">
            <v>Ya</v>
          </cell>
          <cell r="R3027" t="str">
            <v>Done</v>
          </cell>
          <cell r="S3027" t="str">
            <v>Belum TL</v>
          </cell>
          <cell r="T3027" t="str">
            <v>90150130 - Intan Aida Pratiwi</v>
          </cell>
          <cell r="U3027" t="str">
            <v>"-"</v>
          </cell>
        </row>
        <row r="3028">
          <cell r="A3028">
            <v>46265</v>
          </cell>
          <cell r="B3028" t="str">
            <v xml:space="preserve">OKY SEPTIAN                             </v>
          </cell>
          <cell r="C3028" t="str">
            <v>O407806</v>
          </cell>
          <cell r="D3028">
            <v>44101045948500</v>
          </cell>
          <cell r="E3028" t="str">
            <v>SEDANG</v>
          </cell>
          <cell r="F3028" t="str">
            <v>Tidak</v>
          </cell>
          <cell r="G3028" t="str">
            <v>Tidak</v>
          </cell>
          <cell r="H3028" t="str">
            <v>Tidak</v>
          </cell>
          <cell r="I3028" t="str">
            <v>Bandar Judol Withdrawal</v>
          </cell>
          <cell r="J3028">
            <v>50</v>
          </cell>
          <cell r="K3028" t="str">
            <v>86,88,87</v>
          </cell>
          <cell r="L3028" t="str">
            <v>Judi Online</v>
          </cell>
          <cell r="M3028" t="str">
            <v xml:space="preserve">Kas Kanpus                              </v>
          </cell>
          <cell r="N3028" t="str">
            <v xml:space="preserve">Kas Kanpus                              </v>
          </cell>
          <cell r="O3028" t="str">
            <v xml:space="preserve">KAS KANPUS                              </v>
          </cell>
          <cell r="P3028" t="str">
            <v>Ya</v>
          </cell>
          <cell r="R3028" t="str">
            <v>Done</v>
          </cell>
          <cell r="S3028" t="str">
            <v>Belum TL</v>
          </cell>
          <cell r="T3028" t="str">
            <v>00336949 - Mochammad Al Farabi</v>
          </cell>
          <cell r="U3028" t="str">
            <v>"-"</v>
          </cell>
        </row>
        <row r="3029">
          <cell r="A3029">
            <v>46265</v>
          </cell>
          <cell r="B3029" t="str">
            <v xml:space="preserve">NAYSIA KINANTI                          </v>
          </cell>
          <cell r="C3029" t="str">
            <v>NRK6085</v>
          </cell>
          <cell r="D3029">
            <v>112701077110506</v>
          </cell>
          <cell r="E3029" t="str">
            <v>RENDAH</v>
          </cell>
          <cell r="F3029" t="str">
            <v>Tidak</v>
          </cell>
          <cell r="G3029" t="str">
            <v>Tidak</v>
          </cell>
          <cell r="H3029" t="str">
            <v>Tidak</v>
          </cell>
          <cell r="I3029" t="str">
            <v>Bandar Judol Withdrawal</v>
          </cell>
          <cell r="J3029">
            <v>35</v>
          </cell>
          <cell r="K3029" t="str">
            <v>86,88,87</v>
          </cell>
          <cell r="L3029" t="str">
            <v>Judi Online</v>
          </cell>
          <cell r="M3029" t="str">
            <v xml:space="preserve">Kas Kanpus                              </v>
          </cell>
          <cell r="N3029" t="str">
            <v xml:space="preserve">Kas Kanpus                              </v>
          </cell>
          <cell r="O3029" t="str">
            <v xml:space="preserve">KAS KANPUS                              </v>
          </cell>
          <cell r="P3029" t="str">
            <v>Ya</v>
          </cell>
          <cell r="R3029" t="str">
            <v>Done</v>
          </cell>
          <cell r="S3029" t="str">
            <v>Belum TL</v>
          </cell>
          <cell r="T3029" t="str">
            <v>00394521 - Muhammad Hibbanduta</v>
          </cell>
          <cell r="U3029" t="str">
            <v>"-"</v>
          </cell>
        </row>
        <row r="3030">
          <cell r="A3030">
            <v>46265</v>
          </cell>
          <cell r="B3030" t="str">
            <v xml:space="preserve">NINA MARLINA                            </v>
          </cell>
          <cell r="C3030" t="str">
            <v>NNZ9752</v>
          </cell>
          <cell r="D3030">
            <v>65601040477503</v>
          </cell>
          <cell r="E3030" t="str">
            <v>TINGGI</v>
          </cell>
          <cell r="F3030" t="str">
            <v>Tidak</v>
          </cell>
          <cell r="G3030" t="str">
            <v>Tidak</v>
          </cell>
          <cell r="H3030" t="str">
            <v>Tidak</v>
          </cell>
          <cell r="I3030" t="str">
            <v>Bandar Judol Withdrawal</v>
          </cell>
          <cell r="J3030">
            <v>65</v>
          </cell>
          <cell r="K3030" t="str">
            <v>86,88,87</v>
          </cell>
          <cell r="L3030" t="str">
            <v>Judi Online</v>
          </cell>
          <cell r="M3030" t="str">
            <v xml:space="preserve">Kas Kanpus                              </v>
          </cell>
          <cell r="N3030" t="str">
            <v xml:space="preserve">Kas Kanpus                              </v>
          </cell>
          <cell r="O3030" t="str">
            <v xml:space="preserve">KAS KANPUS                              </v>
          </cell>
          <cell r="P3030" t="str">
            <v>Ya</v>
          </cell>
          <cell r="R3030" t="str">
            <v>Done</v>
          </cell>
          <cell r="S3030" t="str">
            <v>Belum TL</v>
          </cell>
          <cell r="T3030" t="str">
            <v>90186790 - Muhammad Alfin Farha</v>
          </cell>
          <cell r="U3030" t="str">
            <v>"-"</v>
          </cell>
        </row>
        <row r="3031">
          <cell r="A3031">
            <v>46265</v>
          </cell>
          <cell r="B3031" t="str">
            <v xml:space="preserve">NUR FITRIYANI                           </v>
          </cell>
          <cell r="C3031" t="str">
            <v>NMWD915</v>
          </cell>
          <cell r="D3031">
            <v>78401012295504</v>
          </cell>
          <cell r="F3031" t="str">
            <v>Tidak</v>
          </cell>
          <cell r="G3031" t="str">
            <v>Tidak</v>
          </cell>
          <cell r="H3031" t="str">
            <v>Tidak</v>
          </cell>
          <cell r="I3031" t="str">
            <v>Bandar Judol Withdrawal</v>
          </cell>
          <cell r="J3031">
            <v>35</v>
          </cell>
          <cell r="K3031" t="str">
            <v>86,88,87</v>
          </cell>
          <cell r="L3031" t="str">
            <v>Judi Online</v>
          </cell>
          <cell r="M3031" t="str">
            <v xml:space="preserve">Kas Kanpus                              </v>
          </cell>
          <cell r="N3031" t="str">
            <v xml:space="preserve">Kas Kanpus                              </v>
          </cell>
          <cell r="O3031" t="str">
            <v xml:space="preserve">KAS KANPUS                              </v>
          </cell>
          <cell r="P3031" t="str">
            <v>Ya</v>
          </cell>
          <cell r="R3031" t="str">
            <v>Done</v>
          </cell>
          <cell r="S3031" t="str">
            <v>Belum TL</v>
          </cell>
          <cell r="T3031" t="str">
            <v>00336949 - Mochammad Al Farabi</v>
          </cell>
          <cell r="U3031" t="str">
            <v>"-"</v>
          </cell>
        </row>
        <row r="3032">
          <cell r="A3032">
            <v>46265</v>
          </cell>
          <cell r="B3032" t="str">
            <v xml:space="preserve">NABILLA ANA TASYA                       </v>
          </cell>
          <cell r="C3032" t="str">
            <v>NMNK316</v>
          </cell>
          <cell r="D3032">
            <v>120601011022501</v>
          </cell>
          <cell r="F3032" t="str">
            <v>Tidak</v>
          </cell>
          <cell r="G3032" t="str">
            <v>Tidak</v>
          </cell>
          <cell r="H3032" t="str">
            <v>Tidak</v>
          </cell>
          <cell r="I3032" t="str">
            <v>Bandar Judol Withdrawal</v>
          </cell>
          <cell r="J3032">
            <v>35</v>
          </cell>
          <cell r="K3032" t="str">
            <v>86,88,87</v>
          </cell>
          <cell r="L3032" t="str">
            <v>Judi Online</v>
          </cell>
          <cell r="M3032" t="str">
            <v xml:space="preserve">Kas Kanpus                              </v>
          </cell>
          <cell r="N3032" t="str">
            <v xml:space="preserve">Kas Kanpus                              </v>
          </cell>
          <cell r="O3032" t="str">
            <v xml:space="preserve">KAS KANPUS                              </v>
          </cell>
          <cell r="P3032" t="str">
            <v>Ya</v>
          </cell>
          <cell r="R3032" t="str">
            <v>Done</v>
          </cell>
          <cell r="S3032" t="str">
            <v>Belum TL</v>
          </cell>
          <cell r="T3032" t="str">
            <v>90185537 - Moh.Khoerul Fajar Ar</v>
          </cell>
          <cell r="U3032" t="str">
            <v>"-"</v>
          </cell>
        </row>
        <row r="3033">
          <cell r="A3033">
            <v>46265</v>
          </cell>
          <cell r="B3033" t="str">
            <v xml:space="preserve">NURUL QOMARIYAH                         </v>
          </cell>
          <cell r="C3033" t="str">
            <v>NMNT222</v>
          </cell>
          <cell r="D3033">
            <v>817701026684506</v>
          </cell>
          <cell r="F3033" t="str">
            <v>Tidak</v>
          </cell>
          <cell r="G3033" t="str">
            <v>Tidak</v>
          </cell>
          <cell r="H3033" t="str">
            <v>Tidak</v>
          </cell>
          <cell r="I3033" t="str">
            <v>Bandar Judol Withdrawal</v>
          </cell>
          <cell r="J3033">
            <v>35</v>
          </cell>
          <cell r="K3033" t="str">
            <v>86,88,87</v>
          </cell>
          <cell r="L3033" t="str">
            <v>Judi Online</v>
          </cell>
          <cell r="M3033" t="str">
            <v xml:space="preserve">Kas Kanpus                              </v>
          </cell>
          <cell r="N3033" t="str">
            <v xml:space="preserve">Kas Kanpus                              </v>
          </cell>
          <cell r="O3033" t="str">
            <v xml:space="preserve">KAS KANPUS                              </v>
          </cell>
          <cell r="P3033" t="str">
            <v>Ya</v>
          </cell>
          <cell r="R3033" t="str">
            <v>Done</v>
          </cell>
          <cell r="S3033" t="str">
            <v>Belum TL</v>
          </cell>
          <cell r="T3033" t="str">
            <v>90185538 - Muhammad Fahikal Auz</v>
          </cell>
          <cell r="U3033" t="str">
            <v>"-"</v>
          </cell>
        </row>
        <row r="3034">
          <cell r="A3034">
            <v>46265</v>
          </cell>
          <cell r="B3034" t="str">
            <v xml:space="preserve">NOVIKA STIAWATI                         </v>
          </cell>
          <cell r="C3034" t="str">
            <v>NMJR203</v>
          </cell>
          <cell r="D3034">
            <v>370501002720502</v>
          </cell>
          <cell r="F3034" t="str">
            <v>Tidak</v>
          </cell>
          <cell r="G3034" t="str">
            <v>Tidak</v>
          </cell>
          <cell r="H3034" t="str">
            <v>Tidak</v>
          </cell>
          <cell r="I3034" t="str">
            <v>Bandar Judol Withdrawal</v>
          </cell>
          <cell r="J3034">
            <v>35</v>
          </cell>
          <cell r="K3034" t="str">
            <v>86,88,87</v>
          </cell>
          <cell r="L3034" t="str">
            <v>Judi Online</v>
          </cell>
          <cell r="M3034" t="str">
            <v xml:space="preserve">Kas Kanpus                              </v>
          </cell>
          <cell r="N3034" t="str">
            <v xml:space="preserve">Kas Kanpus                              </v>
          </cell>
          <cell r="O3034" t="str">
            <v xml:space="preserve">KAS KANPUS                              </v>
          </cell>
          <cell r="P3034" t="str">
            <v>Ya</v>
          </cell>
          <cell r="R3034" t="str">
            <v>Done</v>
          </cell>
          <cell r="S3034" t="str">
            <v>Belum TL</v>
          </cell>
          <cell r="T3034" t="str">
            <v>90186796 - Devito Arya Wiradila</v>
          </cell>
          <cell r="U3034" t="str">
            <v>"-"</v>
          </cell>
        </row>
        <row r="3035">
          <cell r="A3035">
            <v>46265</v>
          </cell>
          <cell r="B3035" t="str">
            <v xml:space="preserve">NADIA AMELIA                            </v>
          </cell>
          <cell r="C3035" t="str">
            <v>NMDO575</v>
          </cell>
          <cell r="D3035">
            <v>204601014022503</v>
          </cell>
          <cell r="F3035" t="str">
            <v>Tidak</v>
          </cell>
          <cell r="G3035" t="str">
            <v>Tidak</v>
          </cell>
          <cell r="H3035" t="str">
            <v>Tidak</v>
          </cell>
          <cell r="I3035" t="str">
            <v>Bandar Judol Withdrawal</v>
          </cell>
          <cell r="J3035">
            <v>35</v>
          </cell>
          <cell r="K3035" t="str">
            <v>86,88,87</v>
          </cell>
          <cell r="L3035" t="str">
            <v>Judi Online</v>
          </cell>
          <cell r="M3035" t="str">
            <v xml:space="preserve">Kas Kanpus                              </v>
          </cell>
          <cell r="N3035" t="str">
            <v xml:space="preserve">Kas Kanpus                              </v>
          </cell>
          <cell r="O3035" t="str">
            <v xml:space="preserve">KAS KANPUS                              </v>
          </cell>
          <cell r="P3035" t="str">
            <v>Ya</v>
          </cell>
          <cell r="R3035" t="str">
            <v>Done</v>
          </cell>
          <cell r="S3035" t="str">
            <v>Belum TL</v>
          </cell>
          <cell r="T3035" t="str">
            <v>90186796 - Devito Arya Wiradila</v>
          </cell>
          <cell r="U3035" t="str">
            <v>"-"</v>
          </cell>
        </row>
        <row r="3036">
          <cell r="A3036">
            <v>46265</v>
          </cell>
          <cell r="B3036" t="str">
            <v xml:space="preserve">NURWANTO                                </v>
          </cell>
          <cell r="C3036" t="str">
            <v>NLKT563</v>
          </cell>
          <cell r="D3036">
            <v>1901145151509</v>
          </cell>
          <cell r="F3036" t="str">
            <v>Tidak</v>
          </cell>
          <cell r="G3036" t="str">
            <v>Tidak</v>
          </cell>
          <cell r="H3036" t="str">
            <v>Tidak</v>
          </cell>
          <cell r="I3036" t="str">
            <v>Bandar Judol Withdrawal</v>
          </cell>
          <cell r="J3036">
            <v>35</v>
          </cell>
          <cell r="K3036" t="str">
            <v>86,88,87</v>
          </cell>
          <cell r="L3036" t="str">
            <v>Judi Online</v>
          </cell>
          <cell r="M3036" t="str">
            <v xml:space="preserve">Kas Kanpus                              </v>
          </cell>
          <cell r="N3036" t="str">
            <v xml:space="preserve">Kas Kanpus                              </v>
          </cell>
          <cell r="O3036" t="str">
            <v xml:space="preserve">KAS KANPUS                              </v>
          </cell>
          <cell r="P3036" t="str">
            <v>Ya</v>
          </cell>
          <cell r="R3036" t="str">
            <v>Done</v>
          </cell>
          <cell r="S3036" t="str">
            <v>Belum TL</v>
          </cell>
          <cell r="T3036" t="str">
            <v>00394521 - Muhammad Hibbanduta</v>
          </cell>
          <cell r="U3036" t="str">
            <v>"-"</v>
          </cell>
        </row>
        <row r="3037">
          <cell r="A3037">
            <v>46265</v>
          </cell>
          <cell r="B3037" t="str">
            <v xml:space="preserve">NURUL MULYAHASANAH                      </v>
          </cell>
          <cell r="C3037" t="str">
            <v>NLNV095</v>
          </cell>
          <cell r="D3037">
            <v>91101013827501</v>
          </cell>
          <cell r="F3037" t="str">
            <v>Tidak</v>
          </cell>
          <cell r="G3037" t="str">
            <v>Tidak</v>
          </cell>
          <cell r="H3037" t="str">
            <v>Tidak</v>
          </cell>
          <cell r="I3037" t="str">
            <v>Bandar Judol Withdrawal</v>
          </cell>
          <cell r="J3037">
            <v>35</v>
          </cell>
          <cell r="K3037" t="str">
            <v>86,88,87</v>
          </cell>
          <cell r="L3037" t="str">
            <v>Judi Online</v>
          </cell>
          <cell r="M3037" t="str">
            <v xml:space="preserve">Kas Kanpus                              </v>
          </cell>
          <cell r="N3037" t="str">
            <v xml:space="preserve">Kas Kanpus                              </v>
          </cell>
          <cell r="O3037" t="str">
            <v xml:space="preserve">KAS KANPUS                              </v>
          </cell>
          <cell r="P3037" t="str">
            <v>Tidak</v>
          </cell>
          <cell r="R3037" t="str">
            <v>Done</v>
          </cell>
          <cell r="S3037" t="str">
            <v>Belum TL</v>
          </cell>
          <cell r="T3037" t="str">
            <v>00336949 - Mochammad Al Farabi</v>
          </cell>
          <cell r="U3037" t="str">
            <v>"-"</v>
          </cell>
        </row>
        <row r="3038">
          <cell r="A3038">
            <v>46265</v>
          </cell>
          <cell r="B3038" t="str">
            <v xml:space="preserve">NICO GUNAWAN                            </v>
          </cell>
          <cell r="C3038" t="str">
            <v>NLJD379</v>
          </cell>
          <cell r="D3038">
            <v>34201134912501</v>
          </cell>
          <cell r="F3038" t="str">
            <v>Tidak</v>
          </cell>
          <cell r="G3038" t="str">
            <v>Tidak</v>
          </cell>
          <cell r="H3038" t="str">
            <v>Tidak</v>
          </cell>
          <cell r="I3038" t="str">
            <v>Bandar Judol Withdrawal</v>
          </cell>
          <cell r="J3038">
            <v>35</v>
          </cell>
          <cell r="K3038" t="str">
            <v>86,88,87</v>
          </cell>
          <cell r="L3038" t="str">
            <v>Judi Online</v>
          </cell>
          <cell r="M3038" t="str">
            <v xml:space="preserve">Kas Kanpus                              </v>
          </cell>
          <cell r="N3038" t="str">
            <v xml:space="preserve">Kas Kanpus                              </v>
          </cell>
          <cell r="O3038" t="str">
            <v xml:space="preserve">KAS KANPUS                              </v>
          </cell>
          <cell r="P3038" t="str">
            <v>Ya</v>
          </cell>
          <cell r="R3038" t="str">
            <v>Done</v>
          </cell>
          <cell r="S3038" t="str">
            <v>Belum TL</v>
          </cell>
          <cell r="T3038" t="str">
            <v>00394521 - Muhammad Hibbanduta</v>
          </cell>
          <cell r="U3038" t="str">
            <v>"-"</v>
          </cell>
        </row>
        <row r="3039">
          <cell r="A3039">
            <v>46265</v>
          </cell>
          <cell r="B3039" t="str">
            <v xml:space="preserve">NURHASANAH                              </v>
          </cell>
          <cell r="C3039" t="str">
            <v>NKZU256</v>
          </cell>
          <cell r="D3039">
            <v>34501051630509</v>
          </cell>
          <cell r="F3039" t="str">
            <v>Tidak</v>
          </cell>
          <cell r="G3039" t="str">
            <v>Tidak</v>
          </cell>
          <cell r="H3039" t="str">
            <v>Tidak</v>
          </cell>
          <cell r="I3039" t="str">
            <v>Bandar Judol Withdrawal</v>
          </cell>
          <cell r="J3039">
            <v>35</v>
          </cell>
          <cell r="K3039" t="str">
            <v>86,88,87</v>
          </cell>
          <cell r="L3039" t="str">
            <v>Judi Online</v>
          </cell>
          <cell r="M3039" t="str">
            <v xml:space="preserve">Kas Kanpus                              </v>
          </cell>
          <cell r="N3039" t="str">
            <v xml:space="preserve">Kas Kanpus                              </v>
          </cell>
          <cell r="O3039" t="str">
            <v xml:space="preserve">KAS KANPUS                              </v>
          </cell>
          <cell r="P3039" t="str">
            <v>Ya</v>
          </cell>
          <cell r="R3039" t="str">
            <v>Done</v>
          </cell>
          <cell r="S3039" t="str">
            <v>Belum TL</v>
          </cell>
          <cell r="T3039" t="str">
            <v>00394520 - Frida Akbar Rani</v>
          </cell>
          <cell r="U3039" t="str">
            <v>"-"</v>
          </cell>
        </row>
        <row r="3040">
          <cell r="A3040">
            <v>46265</v>
          </cell>
          <cell r="B3040" t="str">
            <v xml:space="preserve">NURWAHYUNI                              </v>
          </cell>
          <cell r="C3040" t="str">
            <v>NLHH434</v>
          </cell>
          <cell r="D3040">
            <v>531801005783506</v>
          </cell>
          <cell r="F3040" t="str">
            <v>Tidak</v>
          </cell>
          <cell r="G3040" t="str">
            <v>Tidak</v>
          </cell>
          <cell r="H3040" t="str">
            <v>Tidak</v>
          </cell>
          <cell r="I3040" t="str">
            <v>Bandar Judol Withdrawal</v>
          </cell>
          <cell r="J3040">
            <v>35</v>
          </cell>
          <cell r="K3040" t="str">
            <v>86,88,87</v>
          </cell>
          <cell r="L3040" t="str">
            <v>Judi Online</v>
          </cell>
          <cell r="M3040" t="str">
            <v xml:space="preserve">Kas Kanpus                              </v>
          </cell>
          <cell r="N3040" t="str">
            <v xml:space="preserve">Kas Kanpus                              </v>
          </cell>
          <cell r="O3040" t="str">
            <v xml:space="preserve">KAS KANPUS                              </v>
          </cell>
          <cell r="P3040" t="str">
            <v>Ya</v>
          </cell>
          <cell r="R3040" t="str">
            <v>Done</v>
          </cell>
          <cell r="S3040" t="str">
            <v>Belum TL</v>
          </cell>
          <cell r="T3040" t="str">
            <v>90186796 - Devito Arya Wiradila</v>
          </cell>
          <cell r="U3040" t="str">
            <v>"-"</v>
          </cell>
        </row>
        <row r="3041">
          <cell r="A3041">
            <v>46265</v>
          </cell>
          <cell r="B3041" t="str">
            <v xml:space="preserve">NEISKA EMMA MAULITA                     </v>
          </cell>
          <cell r="C3041" t="str">
            <v>NLCX157</v>
          </cell>
          <cell r="D3041">
            <v>731101003528508</v>
          </cell>
          <cell r="F3041" t="str">
            <v>Tidak</v>
          </cell>
          <cell r="G3041" t="str">
            <v>Tidak</v>
          </cell>
          <cell r="H3041" t="str">
            <v>Tidak</v>
          </cell>
          <cell r="I3041" t="str">
            <v>Bandar Judol Withdrawal</v>
          </cell>
          <cell r="J3041">
            <v>35</v>
          </cell>
          <cell r="K3041" t="str">
            <v>86,88,87</v>
          </cell>
          <cell r="L3041" t="str">
            <v>Judi Online</v>
          </cell>
          <cell r="M3041" t="str">
            <v xml:space="preserve">Kas Kanpus                              </v>
          </cell>
          <cell r="N3041" t="str">
            <v xml:space="preserve">Kas Kanpus                              </v>
          </cell>
          <cell r="O3041" t="str">
            <v xml:space="preserve">KAS KANPUS                              </v>
          </cell>
          <cell r="P3041" t="str">
            <v>Ya</v>
          </cell>
          <cell r="R3041" t="str">
            <v>Done</v>
          </cell>
          <cell r="S3041" t="str">
            <v>Belum TL</v>
          </cell>
          <cell r="T3041" t="str">
            <v>00394520 - Frida Akbar Rani</v>
          </cell>
          <cell r="U3041" t="str">
            <v>"-"</v>
          </cell>
        </row>
        <row r="3042">
          <cell r="A3042">
            <v>46265</v>
          </cell>
          <cell r="B3042" t="str">
            <v xml:space="preserve">NIA SUPRIATIN                           </v>
          </cell>
          <cell r="C3042" t="str">
            <v>NLDJ931</v>
          </cell>
          <cell r="D3042">
            <v>38501085405504</v>
          </cell>
          <cell r="F3042" t="str">
            <v>Tidak</v>
          </cell>
          <cell r="G3042" t="str">
            <v>Tidak</v>
          </cell>
          <cell r="H3042" t="str">
            <v>Tidak</v>
          </cell>
          <cell r="I3042" t="str">
            <v>Bandar Judol Withdrawal</v>
          </cell>
          <cell r="J3042">
            <v>35</v>
          </cell>
          <cell r="K3042" t="str">
            <v>86,88,87</v>
          </cell>
          <cell r="L3042" t="str">
            <v>Judi Online</v>
          </cell>
          <cell r="M3042" t="str">
            <v xml:space="preserve">Kas Kanpus                              </v>
          </cell>
          <cell r="N3042" t="str">
            <v xml:space="preserve">Kas Kanpus                              </v>
          </cell>
          <cell r="O3042" t="str">
            <v xml:space="preserve">KAS KANPUS                              </v>
          </cell>
          <cell r="P3042" t="str">
            <v>Ya</v>
          </cell>
          <cell r="R3042" t="str">
            <v>Done</v>
          </cell>
          <cell r="S3042" t="str">
            <v>Belum TL</v>
          </cell>
          <cell r="T3042" t="str">
            <v>90186796 - Devito Arya Wiradila</v>
          </cell>
          <cell r="U3042" t="str">
            <v>"-"</v>
          </cell>
        </row>
        <row r="3043">
          <cell r="A3043">
            <v>46265</v>
          </cell>
          <cell r="B3043" t="str">
            <v xml:space="preserve">NAUFAL FARAJ ARDANI                     </v>
          </cell>
          <cell r="C3043" t="str">
            <v>NLDO885</v>
          </cell>
          <cell r="D3043">
            <v>51701006932537</v>
          </cell>
          <cell r="F3043" t="str">
            <v>Tidak</v>
          </cell>
          <cell r="G3043" t="str">
            <v>Tidak</v>
          </cell>
          <cell r="H3043" t="str">
            <v>Tidak</v>
          </cell>
          <cell r="I3043" t="str">
            <v>Bandar Judol Withdrawal</v>
          </cell>
          <cell r="J3043">
            <v>35</v>
          </cell>
          <cell r="K3043" t="str">
            <v>86,88,87</v>
          </cell>
          <cell r="L3043" t="str">
            <v>Judi Online</v>
          </cell>
          <cell r="M3043" t="str">
            <v xml:space="preserve">Kas Kanpus                              </v>
          </cell>
          <cell r="N3043" t="str">
            <v xml:space="preserve">Kas Kanpus                              </v>
          </cell>
          <cell r="O3043" t="str">
            <v xml:space="preserve">KAS KANPUS                              </v>
          </cell>
          <cell r="P3043" t="str">
            <v>Ya</v>
          </cell>
          <cell r="R3043" t="str">
            <v>Done</v>
          </cell>
          <cell r="S3043" t="str">
            <v>Belum TL</v>
          </cell>
          <cell r="T3043" t="str">
            <v>90171841 - Rifqi Aziz</v>
          </cell>
          <cell r="U3043" t="str">
            <v>"-"</v>
          </cell>
        </row>
        <row r="3044">
          <cell r="A3044">
            <v>46265</v>
          </cell>
          <cell r="B3044" t="str">
            <v xml:space="preserve">NI KOMANG AYU TRIASHARI DEWI            </v>
          </cell>
          <cell r="C3044" t="str">
            <v>NKTG695</v>
          </cell>
          <cell r="D3044">
            <v>779401003586504</v>
          </cell>
          <cell r="F3044" t="str">
            <v>Tidak</v>
          </cell>
          <cell r="G3044" t="str">
            <v>Tidak</v>
          </cell>
          <cell r="H3044" t="str">
            <v>Tidak</v>
          </cell>
          <cell r="I3044" t="str">
            <v>Bandar Judol Withdrawal</v>
          </cell>
          <cell r="J3044">
            <v>35</v>
          </cell>
          <cell r="K3044" t="str">
            <v>86,88,87</v>
          </cell>
          <cell r="L3044" t="str">
            <v>Judi Online</v>
          </cell>
          <cell r="M3044" t="str">
            <v xml:space="preserve">Kas Kanpus                              </v>
          </cell>
          <cell r="N3044" t="str">
            <v xml:space="preserve">Kas Kanpus                              </v>
          </cell>
          <cell r="O3044" t="str">
            <v xml:space="preserve">KAS KANPUS                              </v>
          </cell>
          <cell r="P3044" t="str">
            <v>Tidak</v>
          </cell>
          <cell r="R3044" t="str">
            <v>Done</v>
          </cell>
          <cell r="S3044" t="str">
            <v>Belum TL</v>
          </cell>
          <cell r="T3044" t="str">
            <v>90171841 - Rifqi Aziz</v>
          </cell>
          <cell r="U3044" t="str">
            <v>"-"</v>
          </cell>
        </row>
        <row r="3045">
          <cell r="A3045">
            <v>46265</v>
          </cell>
          <cell r="B3045" t="str">
            <v xml:space="preserve">NABILA AGUSTINA                         </v>
          </cell>
          <cell r="C3045" t="str">
            <v>NJBC317</v>
          </cell>
          <cell r="D3045">
            <v>574201000036561</v>
          </cell>
          <cell r="E3045" t="str">
            <v>SEDANG</v>
          </cell>
          <cell r="F3045" t="str">
            <v>Tidak</v>
          </cell>
          <cell r="G3045" t="str">
            <v>Tidak</v>
          </cell>
          <cell r="H3045" t="str">
            <v>Tidak</v>
          </cell>
          <cell r="I3045" t="str">
            <v>Bandar Judol Withdrawal</v>
          </cell>
          <cell r="J3045">
            <v>50</v>
          </cell>
          <cell r="K3045" t="str">
            <v>86,88,87</v>
          </cell>
          <cell r="L3045" t="str">
            <v>Judi Online</v>
          </cell>
          <cell r="M3045" t="str">
            <v xml:space="preserve">Kas Kanpus                              </v>
          </cell>
          <cell r="N3045" t="str">
            <v xml:space="preserve">Kas Kanpus                              </v>
          </cell>
          <cell r="O3045" t="str">
            <v xml:space="preserve">KAS KANPUS                              </v>
          </cell>
          <cell r="P3045" t="str">
            <v>Ya</v>
          </cell>
          <cell r="R3045" t="str">
            <v>Done</v>
          </cell>
          <cell r="S3045" t="str">
            <v>Belum TL</v>
          </cell>
          <cell r="T3045" t="str">
            <v>00394521 - Muhammad Hibbanduta</v>
          </cell>
          <cell r="U3045" t="str">
            <v>"-"</v>
          </cell>
        </row>
        <row r="3046">
          <cell r="A3046">
            <v>46265</v>
          </cell>
          <cell r="B3046" t="str">
            <v xml:space="preserve">RIYANDRA IVAN SAPUTRA                   </v>
          </cell>
          <cell r="C3046" t="str">
            <v>ROHU405</v>
          </cell>
          <cell r="D3046">
            <v>204501011033501</v>
          </cell>
          <cell r="F3046" t="str">
            <v>Tidak</v>
          </cell>
          <cell r="G3046" t="str">
            <v>Tidak</v>
          </cell>
          <cell r="H3046" t="str">
            <v>Tidak</v>
          </cell>
          <cell r="I3046" t="str">
            <v>Bandar Judol Withdrawal</v>
          </cell>
          <cell r="J3046">
            <v>35</v>
          </cell>
          <cell r="K3046" t="str">
            <v>86,88,87</v>
          </cell>
          <cell r="L3046" t="str">
            <v>Judi Online</v>
          </cell>
          <cell r="M3046" t="str">
            <v xml:space="preserve">Kas Kanpus                              </v>
          </cell>
          <cell r="N3046" t="str">
            <v xml:space="preserve">Kas Kanpus                              </v>
          </cell>
          <cell r="O3046" t="str">
            <v xml:space="preserve">KAS KANPUS                              </v>
          </cell>
          <cell r="P3046" t="str">
            <v>Ya</v>
          </cell>
          <cell r="R3046" t="str">
            <v>Done</v>
          </cell>
          <cell r="S3046" t="str">
            <v>Belum TL</v>
          </cell>
          <cell r="T3046" t="str">
            <v>90171841 - Rifqi Aziz</v>
          </cell>
          <cell r="U3046" t="str">
            <v>"-"</v>
          </cell>
        </row>
        <row r="3047">
          <cell r="A3047">
            <v>46265</v>
          </cell>
          <cell r="B3047" t="str">
            <v xml:space="preserve">ROY ANGGARA                             </v>
          </cell>
          <cell r="C3047" t="str">
            <v>RNBS094</v>
          </cell>
          <cell r="D3047">
            <v>26601090785509</v>
          </cell>
          <cell r="E3047" t="str">
            <v>SEDANG</v>
          </cell>
          <cell r="F3047" t="str">
            <v>Tidak</v>
          </cell>
          <cell r="G3047" t="str">
            <v>Tidak</v>
          </cell>
          <cell r="H3047" t="str">
            <v>Tidak</v>
          </cell>
          <cell r="I3047" t="str">
            <v>Bandar Judol Withdrawal</v>
          </cell>
          <cell r="J3047">
            <v>50</v>
          </cell>
          <cell r="K3047" t="str">
            <v>86,88,87</v>
          </cell>
          <cell r="L3047" t="str">
            <v>Judi Online</v>
          </cell>
          <cell r="M3047" t="str">
            <v xml:space="preserve">Kas Kanpus                              </v>
          </cell>
          <cell r="N3047" t="str">
            <v xml:space="preserve">Kas Kanpus                              </v>
          </cell>
          <cell r="O3047" t="str">
            <v xml:space="preserve">KAS KANPUS                              </v>
          </cell>
          <cell r="P3047" t="str">
            <v>Ya</v>
          </cell>
          <cell r="R3047" t="str">
            <v>Done</v>
          </cell>
          <cell r="S3047" t="str">
            <v>Belum TL</v>
          </cell>
          <cell r="T3047" t="str">
            <v>90171841 - Rifqi Aziz</v>
          </cell>
          <cell r="U3047" t="str">
            <v>"-"</v>
          </cell>
        </row>
        <row r="3048">
          <cell r="A3048">
            <v>46265</v>
          </cell>
          <cell r="B3048" t="str">
            <v xml:space="preserve">RUBEN OKTO FERNANDO                     </v>
          </cell>
          <cell r="C3048" t="str">
            <v>ROML310</v>
          </cell>
          <cell r="D3048">
            <v>742701010511505</v>
          </cell>
          <cell r="F3048" t="str">
            <v>Tidak</v>
          </cell>
          <cell r="G3048" t="str">
            <v>Tidak</v>
          </cell>
          <cell r="H3048" t="str">
            <v>Tidak</v>
          </cell>
          <cell r="I3048" t="str">
            <v>Bandar Judol Withdrawal</v>
          </cell>
          <cell r="J3048">
            <v>35</v>
          </cell>
          <cell r="K3048" t="str">
            <v>86,88,87</v>
          </cell>
          <cell r="L3048" t="str">
            <v>Judi Online</v>
          </cell>
          <cell r="M3048" t="str">
            <v xml:space="preserve">Kas Kanpus                              </v>
          </cell>
          <cell r="N3048" t="str">
            <v xml:space="preserve">Kas Kanpus                              </v>
          </cell>
          <cell r="O3048" t="str">
            <v xml:space="preserve">KAS KANPUS                              </v>
          </cell>
          <cell r="P3048" t="str">
            <v>Ya</v>
          </cell>
          <cell r="R3048" t="str">
            <v>Done</v>
          </cell>
          <cell r="S3048" t="str">
            <v>Belum TL</v>
          </cell>
          <cell r="T3048" t="str">
            <v>90186796 - Devito Arya Wiradila</v>
          </cell>
          <cell r="U3048" t="str">
            <v>"-"</v>
          </cell>
        </row>
        <row r="3049">
          <cell r="A3049">
            <v>46265</v>
          </cell>
          <cell r="B3049" t="str">
            <v xml:space="preserve">RAHMA AZHARI                            </v>
          </cell>
          <cell r="C3049" t="str">
            <v>RNXB240</v>
          </cell>
          <cell r="D3049">
            <v>44501002016560</v>
          </cell>
          <cell r="F3049" t="str">
            <v>Tidak</v>
          </cell>
          <cell r="G3049" t="str">
            <v>Tidak</v>
          </cell>
          <cell r="H3049" t="str">
            <v>Tidak</v>
          </cell>
          <cell r="I3049" t="str">
            <v>Bandar Judol Withdrawal</v>
          </cell>
          <cell r="J3049">
            <v>35</v>
          </cell>
          <cell r="K3049" t="str">
            <v>86,88,87</v>
          </cell>
          <cell r="L3049" t="str">
            <v>Judi Online</v>
          </cell>
          <cell r="M3049" t="str">
            <v xml:space="preserve">Kas Kanpus                              </v>
          </cell>
          <cell r="N3049" t="str">
            <v xml:space="preserve">Kas Kanpus                              </v>
          </cell>
          <cell r="O3049" t="str">
            <v xml:space="preserve">KAS KANPUS                              </v>
          </cell>
          <cell r="P3049" t="str">
            <v>Ya</v>
          </cell>
          <cell r="R3049" t="str">
            <v>Done</v>
          </cell>
          <cell r="S3049" t="str">
            <v>Belum TL</v>
          </cell>
          <cell r="T3049" t="str">
            <v>90185538 - Muhammad Fahikal Auz</v>
          </cell>
          <cell r="U3049" t="str">
            <v>"-"</v>
          </cell>
        </row>
        <row r="3050">
          <cell r="A3050">
            <v>46265</v>
          </cell>
          <cell r="B3050" t="str">
            <v xml:space="preserve">RICHARD BERTRANDO                       </v>
          </cell>
          <cell r="C3050" t="str">
            <v>RNPQ426</v>
          </cell>
          <cell r="D3050">
            <v>119101023047504</v>
          </cell>
          <cell r="E3050" t="str">
            <v>SEDANG</v>
          </cell>
          <cell r="F3050" t="str">
            <v>Tidak</v>
          </cell>
          <cell r="G3050" t="str">
            <v>Tidak</v>
          </cell>
          <cell r="H3050" t="str">
            <v>Tidak</v>
          </cell>
          <cell r="I3050" t="str">
            <v>Bandar Judol Withdrawal</v>
          </cell>
          <cell r="J3050">
            <v>50</v>
          </cell>
          <cell r="K3050" t="str">
            <v>86,88,87</v>
          </cell>
          <cell r="L3050" t="str">
            <v>Judi Online</v>
          </cell>
          <cell r="M3050" t="str">
            <v xml:space="preserve">Kas Kanpus                              </v>
          </cell>
          <cell r="N3050" t="str">
            <v xml:space="preserve">Kas Kanpus                              </v>
          </cell>
          <cell r="O3050" t="str">
            <v xml:space="preserve">KAS KANPUS                              </v>
          </cell>
          <cell r="P3050" t="str">
            <v>Ya</v>
          </cell>
          <cell r="R3050" t="str">
            <v>Done</v>
          </cell>
          <cell r="S3050" t="str">
            <v>Belum TL</v>
          </cell>
          <cell r="T3050" t="str">
            <v>90170665 - Mutiara Ayuningtyas</v>
          </cell>
          <cell r="U3050" t="str">
            <v>"-"</v>
          </cell>
        </row>
        <row r="3051">
          <cell r="A3051">
            <v>46265</v>
          </cell>
          <cell r="B3051" t="str">
            <v xml:space="preserve">RINA SIREGAR                            </v>
          </cell>
          <cell r="C3051" t="str">
            <v>RNDV284</v>
          </cell>
          <cell r="D3051">
            <v>335001004097500</v>
          </cell>
          <cell r="E3051" t="str">
            <v>SEDANG</v>
          </cell>
          <cell r="F3051" t="str">
            <v>Tidak</v>
          </cell>
          <cell r="G3051" t="str">
            <v>Tidak</v>
          </cell>
          <cell r="H3051" t="str">
            <v>Tidak</v>
          </cell>
          <cell r="I3051" t="str">
            <v>Bandar Judol Depo</v>
          </cell>
          <cell r="J3051">
            <v>50</v>
          </cell>
          <cell r="K3051" t="str">
            <v>86,74,87</v>
          </cell>
          <cell r="L3051" t="str">
            <v>Judi Online</v>
          </cell>
          <cell r="M3051" t="str">
            <v xml:space="preserve">Kas Kanpus                              </v>
          </cell>
          <cell r="N3051" t="str">
            <v xml:space="preserve">Kas Kanpus                              </v>
          </cell>
          <cell r="O3051" t="str">
            <v xml:space="preserve">KAS KANPUS                              </v>
          </cell>
          <cell r="P3051" t="str">
            <v>Ya</v>
          </cell>
          <cell r="R3051" t="str">
            <v>Done</v>
          </cell>
          <cell r="S3051" t="str">
            <v>Belum TL</v>
          </cell>
          <cell r="T3051" t="str">
            <v>90150130 - Intan Aida Pratiwi</v>
          </cell>
          <cell r="U3051" t="str">
            <v>"-"</v>
          </cell>
        </row>
        <row r="3052">
          <cell r="A3052">
            <v>46265</v>
          </cell>
          <cell r="B3052" t="str">
            <v xml:space="preserve">REGHY NORALDI IRAWAN                    </v>
          </cell>
          <cell r="C3052" t="str">
            <v>RNJD420</v>
          </cell>
          <cell r="D3052">
            <v>44501021341536</v>
          </cell>
          <cell r="E3052" t="str">
            <v>SEDANG</v>
          </cell>
          <cell r="F3052" t="str">
            <v>Tidak</v>
          </cell>
          <cell r="G3052" t="str">
            <v>Tidak</v>
          </cell>
          <cell r="H3052" t="str">
            <v>Tidak</v>
          </cell>
          <cell r="I3052" t="str">
            <v>Bandar Judol Depo</v>
          </cell>
          <cell r="J3052">
            <v>50</v>
          </cell>
          <cell r="K3052" t="str">
            <v>86,74,87</v>
          </cell>
          <cell r="L3052" t="str">
            <v>Judi Online</v>
          </cell>
          <cell r="M3052" t="str">
            <v xml:space="preserve">Kas Kanpus                              </v>
          </cell>
          <cell r="N3052" t="str">
            <v xml:space="preserve">Kas Kanpus                              </v>
          </cell>
          <cell r="O3052" t="str">
            <v xml:space="preserve">KAS KANPUS                              </v>
          </cell>
          <cell r="P3052" t="str">
            <v>Ya</v>
          </cell>
          <cell r="R3052" t="str">
            <v>Done</v>
          </cell>
          <cell r="S3052" t="str">
            <v>Belum TL</v>
          </cell>
          <cell r="T3052" t="str">
            <v>90185537 - Moh.Khoerul Fajar Ar</v>
          </cell>
          <cell r="U3052" t="str">
            <v>"-"</v>
          </cell>
        </row>
        <row r="3053">
          <cell r="A3053">
            <v>46265</v>
          </cell>
          <cell r="B3053" t="str">
            <v xml:space="preserve">RANDA KUSUMA                            </v>
          </cell>
          <cell r="C3053" t="str">
            <v>RLU6060</v>
          </cell>
          <cell r="D3053">
            <v>214501015581504</v>
          </cell>
          <cell r="E3053" t="str">
            <v>RENDAH</v>
          </cell>
          <cell r="F3053" t="str">
            <v>Tidak</v>
          </cell>
          <cell r="G3053" t="str">
            <v>Tidak</v>
          </cell>
          <cell r="H3053" t="str">
            <v>Tidak</v>
          </cell>
          <cell r="I3053" t="str">
            <v>Bandar Judol Withdrawal</v>
          </cell>
          <cell r="J3053">
            <v>35</v>
          </cell>
          <cell r="K3053" t="str">
            <v>86,88,87</v>
          </cell>
          <cell r="L3053" t="str">
            <v>Judi Online</v>
          </cell>
          <cell r="M3053" t="str">
            <v xml:space="preserve">Kas Kanpus                              </v>
          </cell>
          <cell r="N3053" t="str">
            <v xml:space="preserve">Kas Kanpus                              </v>
          </cell>
          <cell r="O3053" t="str">
            <v xml:space="preserve">KAS KANPUS                              </v>
          </cell>
          <cell r="P3053" t="str">
            <v>Ya</v>
          </cell>
          <cell r="R3053" t="str">
            <v>Done</v>
          </cell>
          <cell r="S3053" t="str">
            <v>Belum TL</v>
          </cell>
          <cell r="T3053" t="str">
            <v>90150130 - Intan Aida Pratiwi</v>
          </cell>
          <cell r="U3053" t="str">
            <v>"-"</v>
          </cell>
        </row>
        <row r="3054">
          <cell r="A3054">
            <v>46265</v>
          </cell>
          <cell r="B3054" t="str">
            <v xml:space="preserve">RAFID FAUZAN GUNAWAN                    </v>
          </cell>
          <cell r="C3054" t="str">
            <v>RIBB138</v>
          </cell>
          <cell r="D3054">
            <v>42101158430505</v>
          </cell>
          <cell r="E3054" t="str">
            <v>SEDANG</v>
          </cell>
          <cell r="F3054" t="str">
            <v>Tidak</v>
          </cell>
          <cell r="G3054" t="str">
            <v>Tidak</v>
          </cell>
          <cell r="H3054" t="str">
            <v>Tidak</v>
          </cell>
          <cell r="I3054" t="str">
            <v>Bandar Judol Withdrawal</v>
          </cell>
          <cell r="J3054">
            <v>50</v>
          </cell>
          <cell r="K3054" t="str">
            <v>86,88,87</v>
          </cell>
          <cell r="L3054" t="str">
            <v>Judi Online</v>
          </cell>
          <cell r="M3054" t="str">
            <v xml:space="preserve">Kas Kanpus                              </v>
          </cell>
          <cell r="N3054" t="str">
            <v xml:space="preserve">Kas Kanpus                              </v>
          </cell>
          <cell r="O3054" t="str">
            <v xml:space="preserve">KAS KANPUS                              </v>
          </cell>
          <cell r="P3054" t="str">
            <v>Ya</v>
          </cell>
          <cell r="R3054" t="str">
            <v>Done</v>
          </cell>
          <cell r="S3054" t="str">
            <v>Belum TL</v>
          </cell>
          <cell r="T3054" t="str">
            <v>00336949 - Mochammad Al Farabi</v>
          </cell>
          <cell r="U3054" t="str">
            <v>"-"</v>
          </cell>
        </row>
        <row r="3055">
          <cell r="A3055">
            <v>46265</v>
          </cell>
          <cell r="B3055" t="str">
            <v xml:space="preserve">RIKI PUTRA SAKRIA                       </v>
          </cell>
          <cell r="C3055" t="str">
            <v>RMD6363</v>
          </cell>
          <cell r="D3055">
            <v>7601097394500</v>
          </cell>
          <cell r="E3055" t="str">
            <v>SEDANG</v>
          </cell>
          <cell r="F3055" t="str">
            <v>Tidak</v>
          </cell>
          <cell r="G3055" t="str">
            <v>Tidak</v>
          </cell>
          <cell r="H3055" t="str">
            <v>Tidak</v>
          </cell>
          <cell r="I3055" t="str">
            <v>Bandar Judol Withdrawal</v>
          </cell>
          <cell r="J3055">
            <v>50</v>
          </cell>
          <cell r="K3055" t="str">
            <v>86,88,87</v>
          </cell>
          <cell r="L3055" t="str">
            <v>Judi Online</v>
          </cell>
          <cell r="M3055" t="str">
            <v xml:space="preserve">Kas Kanpus                              </v>
          </cell>
          <cell r="N3055" t="str">
            <v xml:space="preserve">Kas Kanpus                              </v>
          </cell>
          <cell r="O3055" t="str">
            <v xml:space="preserve">KAS KANPUS                              </v>
          </cell>
          <cell r="P3055" t="str">
            <v>Tidak</v>
          </cell>
          <cell r="R3055" t="str">
            <v>Done</v>
          </cell>
          <cell r="S3055" t="str">
            <v>Belum TL</v>
          </cell>
          <cell r="T3055" t="str">
            <v>00394521 - Muhammad Hibbanduta</v>
          </cell>
          <cell r="U3055" t="str">
            <v>"-"</v>
          </cell>
        </row>
        <row r="3056">
          <cell r="A3056">
            <v>46265</v>
          </cell>
          <cell r="B3056" t="str">
            <v xml:space="preserve">RAMA YANTI BR TARIGAN                   </v>
          </cell>
          <cell r="C3056" t="str">
            <v>RMKU034</v>
          </cell>
          <cell r="D3056">
            <v>525601038102539</v>
          </cell>
          <cell r="E3056" t="str">
            <v>SEDANG</v>
          </cell>
          <cell r="F3056" t="str">
            <v>Tidak</v>
          </cell>
          <cell r="G3056" t="str">
            <v>Tidak</v>
          </cell>
          <cell r="H3056" t="str">
            <v>Tidak</v>
          </cell>
          <cell r="I3056" t="str">
            <v>Bandar Judol Depo</v>
          </cell>
          <cell r="J3056">
            <v>50</v>
          </cell>
          <cell r="K3056" t="str">
            <v>86,74,87</v>
          </cell>
          <cell r="L3056" t="str">
            <v>Judi Online</v>
          </cell>
          <cell r="M3056" t="str">
            <v xml:space="preserve">Kas Kanpus                              </v>
          </cell>
          <cell r="N3056" t="str">
            <v xml:space="preserve">Kas Kanpus                              </v>
          </cell>
          <cell r="O3056" t="str">
            <v xml:space="preserve">KAS KANPUS                              </v>
          </cell>
          <cell r="P3056" t="str">
            <v>Ya</v>
          </cell>
          <cell r="R3056" t="str">
            <v>Done</v>
          </cell>
          <cell r="S3056" t="str">
            <v>Belum TL</v>
          </cell>
          <cell r="T3056" t="str">
            <v>90186790 - Muhammad Alfin Farha</v>
          </cell>
          <cell r="U3056" t="str">
            <v>"-"</v>
          </cell>
        </row>
        <row r="3057">
          <cell r="A3057">
            <v>46265</v>
          </cell>
          <cell r="B3057" t="str">
            <v xml:space="preserve">RIPKI ABDILLAH                          </v>
          </cell>
          <cell r="C3057" t="str">
            <v>RMN3823</v>
          </cell>
          <cell r="D3057">
            <v>12201015736539</v>
          </cell>
          <cell r="E3057" t="str">
            <v>SEDANG</v>
          </cell>
          <cell r="F3057" t="str">
            <v>Tidak</v>
          </cell>
          <cell r="G3057" t="str">
            <v>Tidak</v>
          </cell>
          <cell r="H3057" t="str">
            <v>Tidak</v>
          </cell>
          <cell r="I3057" t="str">
            <v>Bandar Judol Withdrawal</v>
          </cell>
          <cell r="J3057">
            <v>50</v>
          </cell>
          <cell r="K3057" t="str">
            <v>86,88,87</v>
          </cell>
          <cell r="L3057" t="str">
            <v>Judi Online</v>
          </cell>
          <cell r="M3057" t="str">
            <v xml:space="preserve">Kas Kanpus                              </v>
          </cell>
          <cell r="N3057" t="str">
            <v xml:space="preserve">Kas Kanpus                              </v>
          </cell>
          <cell r="O3057" t="str">
            <v xml:space="preserve">KAS KANPUS                              </v>
          </cell>
          <cell r="P3057" t="str">
            <v>Ya</v>
          </cell>
          <cell r="R3057" t="str">
            <v>Done</v>
          </cell>
          <cell r="S3057" t="str">
            <v>Belum TL</v>
          </cell>
          <cell r="T3057" t="str">
            <v>90170665 - Mutiara Ayuningtyas</v>
          </cell>
          <cell r="U3057" t="str">
            <v>"-"</v>
          </cell>
        </row>
        <row r="3058">
          <cell r="A3058">
            <v>46265</v>
          </cell>
          <cell r="B3058" t="str">
            <v xml:space="preserve">REFI DWIJULIAN SANDY                    </v>
          </cell>
          <cell r="C3058" t="str">
            <v>RHRQ484</v>
          </cell>
          <cell r="D3058">
            <v>34501056315502</v>
          </cell>
          <cell r="E3058" t="str">
            <v>SEDANG</v>
          </cell>
          <cell r="F3058" t="str">
            <v>Tidak</v>
          </cell>
          <cell r="G3058" t="str">
            <v>Tidak</v>
          </cell>
          <cell r="H3058" t="str">
            <v>Tidak</v>
          </cell>
          <cell r="I3058" t="str">
            <v>Bandar Judol Withdrawal</v>
          </cell>
          <cell r="J3058">
            <v>50</v>
          </cell>
          <cell r="K3058" t="str">
            <v>86,88,87</v>
          </cell>
          <cell r="L3058" t="str">
            <v>Judi Online</v>
          </cell>
          <cell r="M3058" t="str">
            <v xml:space="preserve">Kas Kanpus                              </v>
          </cell>
          <cell r="N3058" t="str">
            <v xml:space="preserve">Kas Kanpus                              </v>
          </cell>
          <cell r="O3058" t="str">
            <v xml:space="preserve">KAS KANPUS                              </v>
          </cell>
          <cell r="P3058" t="str">
            <v>Ya</v>
          </cell>
          <cell r="R3058" t="str">
            <v>Done</v>
          </cell>
          <cell r="S3058" t="str">
            <v>Belum TL</v>
          </cell>
          <cell r="T3058" t="str">
            <v>00394521 - Muhammad Hibbanduta</v>
          </cell>
          <cell r="U3058" t="str">
            <v>"-"</v>
          </cell>
        </row>
        <row r="3059">
          <cell r="A3059">
            <v>46265</v>
          </cell>
          <cell r="B3059" t="str">
            <v xml:space="preserve">RACHMA FITRI OKTAVIANI                  </v>
          </cell>
          <cell r="C3059" t="str">
            <v>RHVV943</v>
          </cell>
          <cell r="D3059">
            <v>86801007565506</v>
          </cell>
          <cell r="E3059" t="str">
            <v>RENDAH</v>
          </cell>
          <cell r="F3059" t="str">
            <v>Tidak</v>
          </cell>
          <cell r="G3059" t="str">
            <v>Tidak</v>
          </cell>
          <cell r="H3059" t="str">
            <v>Tidak</v>
          </cell>
          <cell r="I3059" t="str">
            <v>Bandar Judol Withdrawal</v>
          </cell>
          <cell r="J3059">
            <v>35</v>
          </cell>
          <cell r="K3059" t="str">
            <v>86,88,87</v>
          </cell>
          <cell r="L3059" t="str">
            <v>Judi Online</v>
          </cell>
          <cell r="M3059" t="str">
            <v xml:space="preserve">Kas Kanpus                              </v>
          </cell>
          <cell r="N3059" t="str">
            <v xml:space="preserve">Kas Kanpus                              </v>
          </cell>
          <cell r="O3059" t="str">
            <v xml:space="preserve">KAS KANPUS                              </v>
          </cell>
          <cell r="P3059" t="str">
            <v>Ya</v>
          </cell>
          <cell r="R3059" t="str">
            <v>Done</v>
          </cell>
          <cell r="S3059" t="str">
            <v>Belum TL</v>
          </cell>
          <cell r="T3059" t="str">
            <v>00394520 - Frida Akbar Rani</v>
          </cell>
          <cell r="U3059" t="str">
            <v>"-"</v>
          </cell>
        </row>
        <row r="3060">
          <cell r="A3060">
            <v>46265</v>
          </cell>
          <cell r="B3060" t="str">
            <v xml:space="preserve">RIA UTAMI                               </v>
          </cell>
          <cell r="C3060" t="str">
            <v>RITH721</v>
          </cell>
          <cell r="D3060">
            <v>530401000045564</v>
          </cell>
          <cell r="E3060" t="str">
            <v>SEDANG</v>
          </cell>
          <cell r="F3060" t="str">
            <v>Tidak</v>
          </cell>
          <cell r="G3060" t="str">
            <v>Tidak</v>
          </cell>
          <cell r="H3060" t="str">
            <v>Tidak</v>
          </cell>
          <cell r="I3060" t="str">
            <v>Bandar Judol Withdrawal</v>
          </cell>
          <cell r="J3060">
            <v>50</v>
          </cell>
          <cell r="K3060" t="str">
            <v>86,88,87</v>
          </cell>
          <cell r="L3060" t="str">
            <v>Judi Online</v>
          </cell>
          <cell r="M3060" t="str">
            <v xml:space="preserve">Kas Kanpus                              </v>
          </cell>
          <cell r="N3060" t="str">
            <v xml:space="preserve">Kas Kanpus                              </v>
          </cell>
          <cell r="O3060" t="str">
            <v xml:space="preserve">KAS KANPUS                              </v>
          </cell>
          <cell r="P3060" t="str">
            <v>Tidak</v>
          </cell>
          <cell r="R3060" t="str">
            <v>Done</v>
          </cell>
          <cell r="S3060" t="str">
            <v>Belum TL</v>
          </cell>
          <cell r="T3060" t="str">
            <v>90186790 - Muhammad Alfin Farha</v>
          </cell>
          <cell r="U3060" t="str">
            <v>"-"</v>
          </cell>
        </row>
        <row r="3061">
          <cell r="A3061">
            <v>46265</v>
          </cell>
          <cell r="B3061" t="str">
            <v xml:space="preserve">RIKY HAMDANI                            </v>
          </cell>
          <cell r="C3061" t="str">
            <v>RHGW250</v>
          </cell>
          <cell r="D3061">
            <v>530101000095567</v>
          </cell>
          <cell r="E3061" t="str">
            <v>SEDANG</v>
          </cell>
          <cell r="F3061" t="str">
            <v>Tidak</v>
          </cell>
          <cell r="G3061" t="str">
            <v>Tidak</v>
          </cell>
          <cell r="H3061" t="str">
            <v>Tidak</v>
          </cell>
          <cell r="I3061" t="str">
            <v>Bandar Judol Withdrawal</v>
          </cell>
          <cell r="J3061">
            <v>50</v>
          </cell>
          <cell r="K3061" t="str">
            <v>86,88,87</v>
          </cell>
          <cell r="L3061" t="str">
            <v>Judi Online</v>
          </cell>
          <cell r="M3061" t="str">
            <v xml:space="preserve">Kas Kanpus                              </v>
          </cell>
          <cell r="N3061" t="str">
            <v xml:space="preserve">Kas Kanpus                              </v>
          </cell>
          <cell r="O3061" t="str">
            <v xml:space="preserve">KAS KANPUS                              </v>
          </cell>
          <cell r="P3061" t="str">
            <v>Ya</v>
          </cell>
          <cell r="R3061" t="str">
            <v>Done</v>
          </cell>
          <cell r="S3061" t="str">
            <v>Belum TL</v>
          </cell>
          <cell r="T3061" t="str">
            <v>90150130 - Intan Aida Pratiwi</v>
          </cell>
          <cell r="U3061" t="str">
            <v>"-"</v>
          </cell>
        </row>
        <row r="3062">
          <cell r="A3062">
            <v>46265</v>
          </cell>
          <cell r="B3062" t="str">
            <v xml:space="preserve">RIYAN ANUGRAH PUTRA                     </v>
          </cell>
          <cell r="C3062" t="str">
            <v>RGIB502</v>
          </cell>
          <cell r="D3062">
            <v>37901057215506</v>
          </cell>
          <cell r="E3062" t="str">
            <v>SEDANG</v>
          </cell>
          <cell r="F3062" t="str">
            <v>Tidak</v>
          </cell>
          <cell r="G3062" t="str">
            <v>Tidak</v>
          </cell>
          <cell r="H3062" t="str">
            <v>Tidak</v>
          </cell>
          <cell r="I3062" t="str">
            <v>Bandar Judol Withdrawal</v>
          </cell>
          <cell r="J3062">
            <v>50</v>
          </cell>
          <cell r="K3062" t="str">
            <v>86,88,87</v>
          </cell>
          <cell r="L3062" t="str">
            <v>Judi Online</v>
          </cell>
          <cell r="M3062" t="str">
            <v xml:space="preserve">Kas Kanpus                              </v>
          </cell>
          <cell r="N3062" t="str">
            <v xml:space="preserve">Kas Kanpus                              </v>
          </cell>
          <cell r="O3062" t="str">
            <v xml:space="preserve">KAS KANPUS                              </v>
          </cell>
          <cell r="P3062" t="str">
            <v>Ya</v>
          </cell>
          <cell r="R3062" t="str">
            <v>Done</v>
          </cell>
          <cell r="S3062" t="str">
            <v>Belum TL</v>
          </cell>
          <cell r="T3062" t="str">
            <v>90186790 - Muhammad Alfin Farha</v>
          </cell>
          <cell r="U3062" t="str">
            <v>"-"</v>
          </cell>
        </row>
        <row r="3063">
          <cell r="A3063">
            <v>46265</v>
          </cell>
          <cell r="B3063" t="str">
            <v xml:space="preserve">RYAN ISKANDAR                           </v>
          </cell>
          <cell r="C3063" t="str">
            <v>RIZ9685</v>
          </cell>
          <cell r="D3063">
            <v>35901173353503</v>
          </cell>
          <cell r="E3063" t="str">
            <v>SEDANG</v>
          </cell>
          <cell r="F3063" t="str">
            <v>Tidak</v>
          </cell>
          <cell r="G3063" t="str">
            <v>Tidak</v>
          </cell>
          <cell r="H3063" t="str">
            <v>Tidak</v>
          </cell>
          <cell r="I3063" t="str">
            <v>Bandar Judol Withdrawal</v>
          </cell>
          <cell r="J3063">
            <v>50</v>
          </cell>
          <cell r="K3063" t="str">
            <v>86,88,87</v>
          </cell>
          <cell r="L3063" t="str">
            <v>Judi Online</v>
          </cell>
          <cell r="M3063" t="str">
            <v xml:space="preserve">Kas Kanpus                              </v>
          </cell>
          <cell r="N3063" t="str">
            <v xml:space="preserve">Kas Kanpus                              </v>
          </cell>
          <cell r="O3063" t="str">
            <v xml:space="preserve">KAS KANPUS                              </v>
          </cell>
          <cell r="P3063" t="str">
            <v>Ya</v>
          </cell>
          <cell r="R3063" t="str">
            <v>Done</v>
          </cell>
          <cell r="S3063" t="str">
            <v>Belum TL</v>
          </cell>
          <cell r="T3063" t="str">
            <v>90185537 - Moh.Khoerul Fajar Ar</v>
          </cell>
          <cell r="U3063" t="str">
            <v>"-"</v>
          </cell>
        </row>
        <row r="3064">
          <cell r="A3064">
            <v>46265</v>
          </cell>
          <cell r="B3064" t="str">
            <v xml:space="preserve">REFI DWI LESTARI                        </v>
          </cell>
          <cell r="C3064" t="str">
            <v>RKFY953</v>
          </cell>
          <cell r="D3064">
            <v>17701075200507</v>
          </cell>
          <cell r="E3064" t="str">
            <v>SEDANG</v>
          </cell>
          <cell r="F3064" t="str">
            <v>Tidak</v>
          </cell>
          <cell r="G3064" t="str">
            <v>Tidak</v>
          </cell>
          <cell r="H3064" t="str">
            <v>Tidak</v>
          </cell>
          <cell r="I3064" t="str">
            <v>Bandar Judol Depo</v>
          </cell>
          <cell r="J3064">
            <v>50</v>
          </cell>
          <cell r="K3064" t="str">
            <v>86,74,87</v>
          </cell>
          <cell r="L3064" t="str">
            <v>Judi Online</v>
          </cell>
          <cell r="M3064" t="str">
            <v xml:space="preserve">Kas Kanpus                              </v>
          </cell>
          <cell r="N3064" t="str">
            <v xml:space="preserve">Kas Kanpus                              </v>
          </cell>
          <cell r="O3064" t="str">
            <v xml:space="preserve">KAS KANPUS                              </v>
          </cell>
          <cell r="P3064" t="str">
            <v>Tidak</v>
          </cell>
          <cell r="R3064" t="str">
            <v>Done</v>
          </cell>
          <cell r="S3064" t="str">
            <v>Belum TL</v>
          </cell>
          <cell r="T3064" t="str">
            <v>90170665 - Mutiara Ayuningtyas</v>
          </cell>
          <cell r="U3064" t="str">
            <v>"-"</v>
          </cell>
        </row>
        <row r="3065">
          <cell r="A3065">
            <v>46265</v>
          </cell>
          <cell r="B3065" t="str">
            <v xml:space="preserve">RINI PRIHATIN                           </v>
          </cell>
          <cell r="C3065" t="str">
            <v>RKMP018</v>
          </cell>
          <cell r="D3065">
            <v>34501053318501</v>
          </cell>
          <cell r="E3065" t="str">
            <v>SEDANG</v>
          </cell>
          <cell r="F3065" t="str">
            <v>Tidak</v>
          </cell>
          <cell r="G3065" t="str">
            <v>Tidak</v>
          </cell>
          <cell r="H3065" t="str">
            <v>Tidak</v>
          </cell>
          <cell r="I3065" t="str">
            <v>Bandar Judol Withdrawal</v>
          </cell>
          <cell r="J3065">
            <v>50</v>
          </cell>
          <cell r="K3065" t="str">
            <v>86,88,87</v>
          </cell>
          <cell r="L3065" t="str">
            <v>Judi Online</v>
          </cell>
          <cell r="M3065" t="str">
            <v xml:space="preserve">Kas Kanpus                              </v>
          </cell>
          <cell r="N3065" t="str">
            <v xml:space="preserve">Kas Kanpus                              </v>
          </cell>
          <cell r="O3065" t="str">
            <v xml:space="preserve">KAS KANPUS                              </v>
          </cell>
          <cell r="P3065" t="str">
            <v>Ya</v>
          </cell>
          <cell r="R3065" t="str">
            <v>Done</v>
          </cell>
          <cell r="S3065" t="str">
            <v>Belum TL</v>
          </cell>
          <cell r="T3065" t="str">
            <v>00336949 - Mochammad Al Farabi</v>
          </cell>
          <cell r="U3065" t="str">
            <v>"-"</v>
          </cell>
        </row>
        <row r="3066">
          <cell r="A3066">
            <v>46265</v>
          </cell>
          <cell r="B3066" t="str">
            <v xml:space="preserve">RAMI                                    </v>
          </cell>
          <cell r="C3066" t="str">
            <v>RLHV976</v>
          </cell>
          <cell r="D3066">
            <v>720201015840509</v>
          </cell>
          <cell r="E3066" t="str">
            <v>SEDANG</v>
          </cell>
          <cell r="F3066" t="str">
            <v>Tidak</v>
          </cell>
          <cell r="G3066" t="str">
            <v>Tidak</v>
          </cell>
          <cell r="H3066" t="str">
            <v>Tidak</v>
          </cell>
          <cell r="I3066" t="str">
            <v>Bandar Judol Withdrawal</v>
          </cell>
          <cell r="J3066">
            <v>50</v>
          </cell>
          <cell r="K3066" t="str">
            <v>86,88,87</v>
          </cell>
          <cell r="L3066" t="str">
            <v>Judi Online</v>
          </cell>
          <cell r="M3066" t="str">
            <v xml:space="preserve">Kas Kanpus                              </v>
          </cell>
          <cell r="N3066" t="str">
            <v xml:space="preserve">Kas Kanpus                              </v>
          </cell>
          <cell r="O3066" t="str">
            <v xml:space="preserve">KAS KANPUS                              </v>
          </cell>
          <cell r="P3066" t="str">
            <v>Ya</v>
          </cell>
          <cell r="R3066" t="str">
            <v>Done</v>
          </cell>
          <cell r="S3066" t="str">
            <v>Belum TL</v>
          </cell>
          <cell r="T3066" t="str">
            <v>90186790 - Muhammad Alfin Farha</v>
          </cell>
          <cell r="U3066" t="str">
            <v>"-"</v>
          </cell>
        </row>
        <row r="3067">
          <cell r="A3067">
            <v>46265</v>
          </cell>
          <cell r="B3067" t="str">
            <v xml:space="preserve">ROMIANA BR PANJAITAN                    </v>
          </cell>
          <cell r="C3067" t="str">
            <v>RLIX579</v>
          </cell>
          <cell r="D3067">
            <v>532101049918532</v>
          </cell>
          <cell r="E3067" t="str">
            <v>SEDANG</v>
          </cell>
          <cell r="F3067" t="str">
            <v>Tidak</v>
          </cell>
          <cell r="G3067" t="str">
            <v>Tidak</v>
          </cell>
          <cell r="H3067" t="str">
            <v>Tidak</v>
          </cell>
          <cell r="I3067" t="str">
            <v>Bandar Judol Withdrawal</v>
          </cell>
          <cell r="J3067">
            <v>50</v>
          </cell>
          <cell r="K3067" t="str">
            <v>86,88,87</v>
          </cell>
          <cell r="L3067" t="str">
            <v>Judi Online</v>
          </cell>
          <cell r="M3067" t="str">
            <v xml:space="preserve">Kas Kanpus                              </v>
          </cell>
          <cell r="N3067" t="str">
            <v xml:space="preserve">Kas Kanpus                              </v>
          </cell>
          <cell r="O3067" t="str">
            <v xml:space="preserve">KAS KANPUS                              </v>
          </cell>
          <cell r="P3067" t="str">
            <v>Ya</v>
          </cell>
          <cell r="R3067" t="str">
            <v>Done</v>
          </cell>
          <cell r="S3067" t="str">
            <v>Belum TL</v>
          </cell>
          <cell r="T3067" t="str">
            <v>90170665 - Mutiara Ayuningtyas</v>
          </cell>
          <cell r="U3067" t="str">
            <v>"-"</v>
          </cell>
        </row>
        <row r="3068">
          <cell r="A3068">
            <v>46265</v>
          </cell>
          <cell r="B3068" t="str">
            <v xml:space="preserve">PADLURROHMAN                            </v>
          </cell>
          <cell r="C3068" t="str">
            <v>PNW6027</v>
          </cell>
          <cell r="D3068">
            <v>721101025644502</v>
          </cell>
          <cell r="F3068" t="str">
            <v>Tidak</v>
          </cell>
          <cell r="G3068" t="str">
            <v>Tidak</v>
          </cell>
          <cell r="H3068" t="str">
            <v>Tidak</v>
          </cell>
          <cell r="I3068" t="str">
            <v>Bandar Judol Withdrawal</v>
          </cell>
          <cell r="J3068">
            <v>35</v>
          </cell>
          <cell r="K3068" t="str">
            <v>86,88,87</v>
          </cell>
          <cell r="L3068" t="str">
            <v>Judi Online</v>
          </cell>
          <cell r="M3068" t="str">
            <v xml:space="preserve">Kas Kanpus                              </v>
          </cell>
          <cell r="N3068" t="str">
            <v xml:space="preserve">Kas Kanpus                              </v>
          </cell>
          <cell r="O3068" t="str">
            <v xml:space="preserve">KAS KANPUS                              </v>
          </cell>
          <cell r="P3068" t="str">
            <v>Ya</v>
          </cell>
          <cell r="R3068" t="str">
            <v>Done</v>
          </cell>
          <cell r="S3068" t="str">
            <v>Belum TL</v>
          </cell>
          <cell r="T3068" t="str">
            <v>90186796 - Devito Arya Wiradila</v>
          </cell>
          <cell r="U3068" t="str">
            <v>"-"</v>
          </cell>
        </row>
        <row r="3069">
          <cell r="A3069">
            <v>46265</v>
          </cell>
          <cell r="B3069" t="str">
            <v xml:space="preserve">PURI AGUSTINI                           </v>
          </cell>
          <cell r="C3069" t="str">
            <v>POB3214</v>
          </cell>
          <cell r="D3069">
            <v>80101017636503</v>
          </cell>
          <cell r="F3069" t="str">
            <v>Tidak</v>
          </cell>
          <cell r="G3069" t="str">
            <v>Tidak</v>
          </cell>
          <cell r="H3069" t="str">
            <v>Tidak</v>
          </cell>
          <cell r="I3069" t="str">
            <v>Bandar Judol Withdrawal</v>
          </cell>
          <cell r="J3069">
            <v>35</v>
          </cell>
          <cell r="K3069" t="str">
            <v>86,88,87</v>
          </cell>
          <cell r="L3069" t="str">
            <v>Judi Online</v>
          </cell>
          <cell r="M3069" t="str">
            <v xml:space="preserve">Kas Kanpus                              </v>
          </cell>
          <cell r="N3069" t="str">
            <v xml:space="preserve">Kas Kanpus                              </v>
          </cell>
          <cell r="O3069" t="str">
            <v xml:space="preserve">KAS KANPUS                              </v>
          </cell>
          <cell r="P3069" t="str">
            <v>Ya</v>
          </cell>
          <cell r="R3069" t="str">
            <v>Done</v>
          </cell>
          <cell r="S3069" t="str">
            <v>Belum TL</v>
          </cell>
          <cell r="T3069" t="str">
            <v>90185537 - Moh.Khoerul Fajar Ar</v>
          </cell>
          <cell r="U3069" t="str">
            <v>"-"</v>
          </cell>
        </row>
        <row r="3070">
          <cell r="A3070">
            <v>46265</v>
          </cell>
          <cell r="B3070" t="str">
            <v xml:space="preserve">PRISKA AGUSTIANI BR TARIGAN             </v>
          </cell>
          <cell r="C3070" t="str">
            <v>POI5954</v>
          </cell>
          <cell r="D3070">
            <v>530601014999509</v>
          </cell>
          <cell r="F3070" t="str">
            <v>Tidak</v>
          </cell>
          <cell r="G3070" t="str">
            <v>Tidak</v>
          </cell>
          <cell r="H3070" t="str">
            <v>Tidak</v>
          </cell>
          <cell r="I3070" t="str">
            <v>Bandar Judol Withdrawal</v>
          </cell>
          <cell r="J3070">
            <v>35</v>
          </cell>
          <cell r="K3070" t="str">
            <v>86,88,87</v>
          </cell>
          <cell r="L3070" t="str">
            <v>Judi Online</v>
          </cell>
          <cell r="M3070" t="str">
            <v xml:space="preserve">Kas Kanpus                              </v>
          </cell>
          <cell r="N3070" t="str">
            <v xml:space="preserve">Kas Kanpus                              </v>
          </cell>
          <cell r="O3070" t="str">
            <v xml:space="preserve">KAS KANPUS                              </v>
          </cell>
          <cell r="P3070" t="str">
            <v>Ya</v>
          </cell>
          <cell r="R3070" t="str">
            <v>Done</v>
          </cell>
          <cell r="S3070" t="str">
            <v>Belum TL</v>
          </cell>
          <cell r="T3070" t="str">
            <v>90150130 - Intan Aida Pratiwi</v>
          </cell>
          <cell r="U3070" t="str">
            <v>"-"</v>
          </cell>
        </row>
        <row r="3071">
          <cell r="A3071">
            <v>46265</v>
          </cell>
          <cell r="B3071" t="str">
            <v xml:space="preserve">PERI IRAWAN                             </v>
          </cell>
          <cell r="C3071" t="str">
            <v>PNT8735</v>
          </cell>
          <cell r="D3071">
            <v>334501009384501</v>
          </cell>
          <cell r="F3071" t="str">
            <v>Tidak</v>
          </cell>
          <cell r="G3071" t="str">
            <v>Tidak</v>
          </cell>
          <cell r="H3071" t="str">
            <v>Tidak</v>
          </cell>
          <cell r="I3071" t="str">
            <v>Bandar Judol Withdrawal</v>
          </cell>
          <cell r="J3071">
            <v>35</v>
          </cell>
          <cell r="K3071" t="str">
            <v>86,88,87</v>
          </cell>
          <cell r="L3071" t="str">
            <v>Judi Online</v>
          </cell>
          <cell r="M3071" t="str">
            <v xml:space="preserve">Kas Kanpus                              </v>
          </cell>
          <cell r="N3071" t="str">
            <v xml:space="preserve">Kas Kanpus                              </v>
          </cell>
          <cell r="O3071" t="str">
            <v xml:space="preserve">KAS KANPUS                              </v>
          </cell>
          <cell r="P3071" t="str">
            <v>Ya</v>
          </cell>
          <cell r="R3071" t="str">
            <v>Done</v>
          </cell>
          <cell r="S3071" t="str">
            <v>Belum TL</v>
          </cell>
          <cell r="T3071" t="str">
            <v>90186790 - Muhammad Alfin Farha</v>
          </cell>
          <cell r="U3071" t="str">
            <v>"-"</v>
          </cell>
        </row>
        <row r="3072">
          <cell r="A3072">
            <v>46265</v>
          </cell>
          <cell r="B3072" t="str">
            <v xml:space="preserve">PRADANA ALFREDO GUNAWAN                 </v>
          </cell>
          <cell r="C3072" t="str">
            <v>PNV0138</v>
          </cell>
          <cell r="D3072">
            <v>188701003238504</v>
          </cell>
          <cell r="F3072" t="str">
            <v>Tidak</v>
          </cell>
          <cell r="G3072" t="str">
            <v>Tidak</v>
          </cell>
          <cell r="H3072" t="str">
            <v>Tidak</v>
          </cell>
          <cell r="I3072" t="str">
            <v>Bandar Judol Withdrawal</v>
          </cell>
          <cell r="J3072">
            <v>35</v>
          </cell>
          <cell r="K3072" t="str">
            <v>86,88,87</v>
          </cell>
          <cell r="L3072" t="str">
            <v>Judi Online</v>
          </cell>
          <cell r="M3072" t="str">
            <v xml:space="preserve">Kas Kanpus                              </v>
          </cell>
          <cell r="N3072" t="str">
            <v xml:space="preserve">Kas Kanpus                              </v>
          </cell>
          <cell r="O3072" t="str">
            <v xml:space="preserve">KAS KANPUS                              </v>
          </cell>
          <cell r="P3072" t="str">
            <v>Ya</v>
          </cell>
          <cell r="R3072" t="str">
            <v>Done</v>
          </cell>
          <cell r="S3072" t="str">
            <v>Belum TL</v>
          </cell>
          <cell r="T3072" t="str">
            <v>00336949 - Mochammad Al Farabi</v>
          </cell>
          <cell r="U3072" t="str">
            <v>"-"</v>
          </cell>
        </row>
        <row r="3073">
          <cell r="A3073">
            <v>46265</v>
          </cell>
          <cell r="B3073" t="str">
            <v xml:space="preserve">ROBERTH MANDOSIR                        </v>
          </cell>
          <cell r="C3073" t="str">
            <v>RFG0725</v>
          </cell>
          <cell r="D3073">
            <v>491801006259535</v>
          </cell>
          <cell r="E3073" t="str">
            <v>TINGGI</v>
          </cell>
          <cell r="F3073" t="str">
            <v>Tidak</v>
          </cell>
          <cell r="G3073" t="str">
            <v>Tidak</v>
          </cell>
          <cell r="H3073" t="str">
            <v>Tidak</v>
          </cell>
          <cell r="I3073" t="str">
            <v>Terorisme - SIPENDAR</v>
          </cell>
          <cell r="J3073">
            <v>186</v>
          </cell>
          <cell r="K3073">
            <v>36</v>
          </cell>
          <cell r="L3073" t="str">
            <v>Terorisme</v>
          </cell>
          <cell r="M3073" t="str">
            <v xml:space="preserve">Kas Kanpus                              </v>
          </cell>
          <cell r="N3073" t="str">
            <v xml:space="preserve">Kas Kanpus                              </v>
          </cell>
          <cell r="O3073" t="str">
            <v xml:space="preserve">KAS KANPUS                              </v>
          </cell>
          <cell r="P3073" t="str">
            <v>Tidak</v>
          </cell>
          <cell r="R3073" t="str">
            <v>Done</v>
          </cell>
          <cell r="S3073" t="str">
            <v>Belum TL</v>
          </cell>
          <cell r="T3073" t="str">
            <v>90186796 - Devito Arya Wiradila</v>
          </cell>
          <cell r="U3073" t="str">
            <v>"-"</v>
          </cell>
        </row>
        <row r="3074">
          <cell r="A3074">
            <v>46265</v>
          </cell>
          <cell r="B3074" t="str">
            <v xml:space="preserve">RATRI                                   </v>
          </cell>
          <cell r="C3074" t="str">
            <v>RFM3817</v>
          </cell>
          <cell r="D3074">
            <v>675001013719532</v>
          </cell>
          <cell r="E3074" t="str">
            <v>SEDANG</v>
          </cell>
          <cell r="F3074" t="str">
            <v>Tidak</v>
          </cell>
          <cell r="G3074" t="str">
            <v>Tidak</v>
          </cell>
          <cell r="H3074" t="str">
            <v>Tidak</v>
          </cell>
          <cell r="I3074" t="str">
            <v>Bandar Judol Depo</v>
          </cell>
          <cell r="J3074">
            <v>50</v>
          </cell>
          <cell r="K3074" t="str">
            <v>86,74,87</v>
          </cell>
          <cell r="L3074" t="str">
            <v>Judi Online</v>
          </cell>
          <cell r="M3074" t="str">
            <v xml:space="preserve">Kas Kanpus                              </v>
          </cell>
          <cell r="N3074" t="str">
            <v xml:space="preserve">Kas Kanpus                              </v>
          </cell>
          <cell r="O3074" t="str">
            <v xml:space="preserve">KAS KANPUS                              </v>
          </cell>
          <cell r="P3074" t="str">
            <v>Tidak</v>
          </cell>
          <cell r="R3074" t="str">
            <v>Done</v>
          </cell>
          <cell r="S3074" t="str">
            <v>Belum TL</v>
          </cell>
          <cell r="T3074" t="str">
            <v>90185538 - Muhammad Fahikal Auz</v>
          </cell>
          <cell r="U3074" t="str">
            <v>"-"</v>
          </cell>
        </row>
        <row r="3075">
          <cell r="A3075">
            <v>46265</v>
          </cell>
          <cell r="B3075" t="str">
            <v xml:space="preserve">RENDDY EKASATYA HERMAN                  </v>
          </cell>
          <cell r="C3075" t="str">
            <v>RFC0879</v>
          </cell>
          <cell r="D3075">
            <v>117701006856506</v>
          </cell>
          <cell r="E3075" t="str">
            <v>SEDANG</v>
          </cell>
          <cell r="F3075" t="str">
            <v>Tidak</v>
          </cell>
          <cell r="G3075" t="str">
            <v>Ya</v>
          </cell>
          <cell r="H3075" t="str">
            <v>Ya</v>
          </cell>
          <cell r="I3075" t="str">
            <v>Bandar Judol Withdrawal</v>
          </cell>
          <cell r="J3075">
            <v>60</v>
          </cell>
          <cell r="K3075" t="str">
            <v>86,88,87</v>
          </cell>
          <cell r="L3075" t="str">
            <v>Judi Online</v>
          </cell>
          <cell r="M3075" t="str">
            <v xml:space="preserve">Kas Kanpus                              </v>
          </cell>
          <cell r="N3075" t="str">
            <v xml:space="preserve">Kas Kanpus                              </v>
          </cell>
          <cell r="O3075" t="str">
            <v xml:space="preserve">KAS KANPUS                              </v>
          </cell>
          <cell r="P3075" t="str">
            <v>Ya</v>
          </cell>
          <cell r="R3075" t="str">
            <v>Done</v>
          </cell>
          <cell r="S3075" t="str">
            <v>Belum TL</v>
          </cell>
          <cell r="T3075" t="str">
            <v>90185538 - Muhammad Fahikal Auz</v>
          </cell>
          <cell r="U3075" t="str">
            <v>"-"</v>
          </cell>
        </row>
        <row r="3076">
          <cell r="A3076">
            <v>46265</v>
          </cell>
          <cell r="B3076" t="str">
            <v xml:space="preserve">RAHMA WATI                              </v>
          </cell>
          <cell r="C3076" t="str">
            <v>RFCL154</v>
          </cell>
          <cell r="D3076">
            <v>732501031392530</v>
          </cell>
          <cell r="E3076" t="str">
            <v>SEDANG</v>
          </cell>
          <cell r="F3076" t="str">
            <v>Tidak</v>
          </cell>
          <cell r="G3076" t="str">
            <v>Tidak</v>
          </cell>
          <cell r="H3076" t="str">
            <v>Tidak</v>
          </cell>
          <cell r="I3076" t="str">
            <v>Bandar Judol Withdrawal</v>
          </cell>
          <cell r="J3076">
            <v>50</v>
          </cell>
          <cell r="K3076" t="str">
            <v>86,88,87</v>
          </cell>
          <cell r="L3076" t="str">
            <v>Judi Online</v>
          </cell>
          <cell r="M3076" t="str">
            <v xml:space="preserve">Kas Kanpus                              </v>
          </cell>
          <cell r="N3076" t="str">
            <v xml:space="preserve">Kas Kanpus                              </v>
          </cell>
          <cell r="O3076" t="str">
            <v xml:space="preserve">KAS KANPUS                              </v>
          </cell>
          <cell r="P3076" t="str">
            <v>Ya</v>
          </cell>
          <cell r="R3076" t="str">
            <v>Done</v>
          </cell>
          <cell r="S3076" t="str">
            <v>Belum TL</v>
          </cell>
          <cell r="T3076" t="str">
            <v>00336949 - Mochammad Al Farabi</v>
          </cell>
          <cell r="U3076" t="str">
            <v>"-"</v>
          </cell>
        </row>
        <row r="3077">
          <cell r="A3077">
            <v>46265</v>
          </cell>
          <cell r="B3077" t="str">
            <v xml:space="preserve">RIZANO AR.                              </v>
          </cell>
          <cell r="C3077" t="str">
            <v>RDTZ411</v>
          </cell>
          <cell r="D3077">
            <v>9801005898568</v>
          </cell>
          <cell r="E3077" t="str">
            <v>SEDANG</v>
          </cell>
          <cell r="F3077" t="str">
            <v>Tidak</v>
          </cell>
          <cell r="G3077" t="str">
            <v>Tidak</v>
          </cell>
          <cell r="H3077" t="str">
            <v>Tidak</v>
          </cell>
          <cell r="I3077" t="str">
            <v>Bandar Judol Depo</v>
          </cell>
          <cell r="J3077">
            <v>50</v>
          </cell>
          <cell r="K3077" t="str">
            <v>86,74,87</v>
          </cell>
          <cell r="L3077" t="str">
            <v>Judi Online</v>
          </cell>
          <cell r="M3077" t="str">
            <v xml:space="preserve">Kas Kanpus                              </v>
          </cell>
          <cell r="N3077" t="str">
            <v xml:space="preserve">Kas Kanpus                              </v>
          </cell>
          <cell r="O3077" t="str">
            <v xml:space="preserve">KAS KANPUS                              </v>
          </cell>
          <cell r="P3077" t="str">
            <v>Ya</v>
          </cell>
          <cell r="R3077" t="str">
            <v>Done</v>
          </cell>
          <cell r="S3077" t="str">
            <v>Belum TL</v>
          </cell>
          <cell r="T3077" t="str">
            <v>00336949 - Mochammad Al Farabi</v>
          </cell>
          <cell r="U3077" t="str">
            <v>"-"</v>
          </cell>
        </row>
        <row r="3078">
          <cell r="A3078">
            <v>46265</v>
          </cell>
          <cell r="B3078" t="str">
            <v xml:space="preserve">RIA AGMIKAVITA                          </v>
          </cell>
          <cell r="C3078" t="str">
            <v>RCMJ142</v>
          </cell>
          <cell r="D3078">
            <v>713301008696508</v>
          </cell>
          <cell r="E3078" t="str">
            <v>SEDANG</v>
          </cell>
          <cell r="F3078" t="str">
            <v>Ya</v>
          </cell>
          <cell r="G3078" t="str">
            <v>Ya</v>
          </cell>
          <cell r="H3078" t="str">
            <v>Tidak</v>
          </cell>
          <cell r="I3078" t="str">
            <v>Bandar Judol Depo</v>
          </cell>
          <cell r="J3078">
            <v>60</v>
          </cell>
          <cell r="K3078" t="str">
            <v>86,74,87</v>
          </cell>
          <cell r="L3078" t="str">
            <v>Judi Online</v>
          </cell>
          <cell r="M3078" t="str">
            <v xml:space="preserve">Kas Kanpus                              </v>
          </cell>
          <cell r="N3078" t="str">
            <v xml:space="preserve">Kas Kanpus                              </v>
          </cell>
          <cell r="O3078" t="str">
            <v xml:space="preserve">KAS KANPUS                              </v>
          </cell>
          <cell r="P3078" t="str">
            <v>Tidak</v>
          </cell>
          <cell r="R3078" t="str">
            <v>Done</v>
          </cell>
          <cell r="S3078" t="str">
            <v>Belum TL</v>
          </cell>
          <cell r="T3078" t="str">
            <v>00336949 - Mochammad Al Farabi</v>
          </cell>
          <cell r="U3078" t="str">
            <v>"-"</v>
          </cell>
        </row>
        <row r="3079">
          <cell r="A3079">
            <v>46265</v>
          </cell>
          <cell r="B3079" t="str">
            <v xml:space="preserve">QUANTUM FATTEHAH                        </v>
          </cell>
          <cell r="C3079" t="str">
            <v>Q178607</v>
          </cell>
          <cell r="D3079">
            <v>42101004882567</v>
          </cell>
          <cell r="E3079" t="str">
            <v>SEDANG</v>
          </cell>
          <cell r="F3079" t="str">
            <v>Tidak</v>
          </cell>
          <cell r="G3079" t="str">
            <v>Tidak</v>
          </cell>
          <cell r="H3079" t="str">
            <v>Tidak</v>
          </cell>
          <cell r="I3079" t="str">
            <v>Bandar Judol Withdrawal</v>
          </cell>
          <cell r="J3079">
            <v>50</v>
          </cell>
          <cell r="K3079" t="str">
            <v>86,88,87</v>
          </cell>
          <cell r="L3079" t="str">
            <v>Judi Online</v>
          </cell>
          <cell r="M3079" t="str">
            <v xml:space="preserve">Kas Kanpus                              </v>
          </cell>
          <cell r="N3079" t="str">
            <v xml:space="preserve">Kas Kanpus                              </v>
          </cell>
          <cell r="O3079" t="str">
            <v xml:space="preserve">KAS KANPUS                              </v>
          </cell>
          <cell r="P3079" t="str">
            <v>Ya</v>
          </cell>
          <cell r="R3079" t="str">
            <v>Done</v>
          </cell>
          <cell r="S3079" t="str">
            <v>Belum TL</v>
          </cell>
          <cell r="T3079" t="str">
            <v>00336949 - Mochammad Al Farabi</v>
          </cell>
          <cell r="U3079" t="str">
            <v>"-"</v>
          </cell>
        </row>
        <row r="3080">
          <cell r="A3080">
            <v>46265</v>
          </cell>
          <cell r="B3080" t="str">
            <v xml:space="preserve">RAHAYUNINGTYAS                          </v>
          </cell>
          <cell r="C3080" t="str">
            <v>RAQA714</v>
          </cell>
          <cell r="D3080">
            <v>41601037076506</v>
          </cell>
          <cell r="E3080" t="str">
            <v>SEDANG</v>
          </cell>
          <cell r="F3080" t="str">
            <v>Tidak</v>
          </cell>
          <cell r="G3080" t="str">
            <v>Tidak</v>
          </cell>
          <cell r="H3080" t="str">
            <v>Tidak</v>
          </cell>
          <cell r="I3080" t="str">
            <v>Bandar Judol Withdrawal</v>
          </cell>
          <cell r="J3080">
            <v>50</v>
          </cell>
          <cell r="K3080" t="str">
            <v>86,88,87</v>
          </cell>
          <cell r="L3080" t="str">
            <v>Judi Online</v>
          </cell>
          <cell r="M3080" t="str">
            <v xml:space="preserve">Kas Kanpus                              </v>
          </cell>
          <cell r="N3080" t="str">
            <v xml:space="preserve">Kas Kanpus                              </v>
          </cell>
          <cell r="O3080" t="str">
            <v xml:space="preserve">KAS KANPUS                              </v>
          </cell>
          <cell r="P3080" t="str">
            <v>Ya</v>
          </cell>
          <cell r="R3080" t="str">
            <v>Done</v>
          </cell>
          <cell r="S3080" t="str">
            <v>Belum TL</v>
          </cell>
          <cell r="T3080" t="str">
            <v>90171841 - Rifqi Aziz</v>
          </cell>
          <cell r="U3080" t="str">
            <v>"-"</v>
          </cell>
        </row>
        <row r="3081">
          <cell r="A3081">
            <v>46265</v>
          </cell>
          <cell r="B3081" t="str">
            <v xml:space="preserve">RESTIANAH AMANDA                        </v>
          </cell>
          <cell r="C3081" t="str">
            <v>RAKC108</v>
          </cell>
          <cell r="D3081">
            <v>34501053964506</v>
          </cell>
          <cell r="E3081" t="str">
            <v>SEDANG</v>
          </cell>
          <cell r="F3081" t="str">
            <v>Tidak</v>
          </cell>
          <cell r="G3081" t="str">
            <v>Tidak</v>
          </cell>
          <cell r="H3081" t="str">
            <v>Tidak</v>
          </cell>
          <cell r="I3081" t="str">
            <v>Bandar Judol Depo</v>
          </cell>
          <cell r="J3081">
            <v>50</v>
          </cell>
          <cell r="K3081" t="str">
            <v>86,74,87</v>
          </cell>
          <cell r="L3081" t="str">
            <v>Judi Online</v>
          </cell>
          <cell r="M3081" t="str">
            <v xml:space="preserve">Kas Kanpus                              </v>
          </cell>
          <cell r="N3081" t="str">
            <v xml:space="preserve">Kas Kanpus                              </v>
          </cell>
          <cell r="O3081" t="str">
            <v xml:space="preserve">KAS KANPUS                              </v>
          </cell>
          <cell r="P3081" t="str">
            <v>Ya</v>
          </cell>
          <cell r="R3081" t="str">
            <v>Done</v>
          </cell>
          <cell r="S3081" t="str">
            <v>Belum TL</v>
          </cell>
          <cell r="T3081" t="str">
            <v>90185537 - Moh.Khoerul Fajar Ar</v>
          </cell>
          <cell r="U3081" t="str">
            <v>"-"</v>
          </cell>
        </row>
        <row r="3082">
          <cell r="A3082">
            <v>46265</v>
          </cell>
          <cell r="B3082" t="str">
            <v xml:space="preserve">RENO NUR FITRIYANSYAH                   </v>
          </cell>
          <cell r="C3082" t="str">
            <v>RAMR734</v>
          </cell>
          <cell r="D3082">
            <v>12001291114507</v>
          </cell>
          <cell r="E3082" t="str">
            <v>SEDANG</v>
          </cell>
          <cell r="F3082" t="str">
            <v>Tidak</v>
          </cell>
          <cell r="G3082" t="str">
            <v>Tidak</v>
          </cell>
          <cell r="H3082" t="str">
            <v>Tidak</v>
          </cell>
          <cell r="I3082" t="str">
            <v>Bandar Judol Withdrawal</v>
          </cell>
          <cell r="J3082">
            <v>50</v>
          </cell>
          <cell r="K3082" t="str">
            <v>86,88,87</v>
          </cell>
          <cell r="L3082" t="str">
            <v>Judi Online</v>
          </cell>
          <cell r="M3082" t="str">
            <v xml:space="preserve">Kas Kanpus                              </v>
          </cell>
          <cell r="N3082" t="str">
            <v xml:space="preserve">Kas Kanpus                              </v>
          </cell>
          <cell r="O3082" t="str">
            <v xml:space="preserve">KAS KANPUS                              </v>
          </cell>
          <cell r="P3082" t="str">
            <v>Ya</v>
          </cell>
          <cell r="R3082" t="str">
            <v>Done</v>
          </cell>
          <cell r="S3082" t="str">
            <v>Belum TL</v>
          </cell>
          <cell r="T3082" t="str">
            <v>00394521 - Muhammad Hibbanduta</v>
          </cell>
          <cell r="U3082" t="str">
            <v>"-"</v>
          </cell>
        </row>
        <row r="3083">
          <cell r="A3083">
            <v>46265</v>
          </cell>
          <cell r="B3083" t="str">
            <v xml:space="preserve">RKK DITJEN PERBENDAHARAAN               </v>
          </cell>
          <cell r="C3083" t="str">
            <v>RBZW189</v>
          </cell>
          <cell r="D3083">
            <v>32901004183307</v>
          </cell>
          <cell r="E3083" t="str">
            <v>SEDANG</v>
          </cell>
          <cell r="F3083" t="str">
            <v>Tidak</v>
          </cell>
          <cell r="G3083" t="str">
            <v>Tidak</v>
          </cell>
          <cell r="H3083" t="str">
            <v>Tidak</v>
          </cell>
          <cell r="I3083" t="str">
            <v>Narkotika - Area Lapas</v>
          </cell>
          <cell r="J3083">
            <v>50</v>
          </cell>
          <cell r="K3083">
            <v>46</v>
          </cell>
          <cell r="L3083" t="str">
            <v>Narkotika</v>
          </cell>
          <cell r="M3083" t="str">
            <v>KC Jakarta Veteran</v>
          </cell>
          <cell r="N3083" t="str">
            <v>KC Jakarta Veteran</v>
          </cell>
          <cell r="O3083" t="str">
            <v>DKI</v>
          </cell>
          <cell r="P3083" t="str">
            <v>Tidak</v>
          </cell>
          <cell r="R3083" t="str">
            <v>Done</v>
          </cell>
          <cell r="S3083" t="str">
            <v>Belum TL</v>
          </cell>
          <cell r="T3083" t="str">
            <v>90170665 - Mutiara Ayuningtyas</v>
          </cell>
          <cell r="U3083" t="str">
            <v>"-"</v>
          </cell>
        </row>
        <row r="3084">
          <cell r="A3084">
            <v>46265</v>
          </cell>
          <cell r="B3084" t="str">
            <v xml:space="preserve">RATNA YUNINGSIH                         </v>
          </cell>
          <cell r="C3084" t="str">
            <v>RBN3904</v>
          </cell>
          <cell r="D3084">
            <v>12001002159562</v>
          </cell>
          <cell r="E3084" t="str">
            <v>SEDANG</v>
          </cell>
          <cell r="F3084" t="str">
            <v>Tidak</v>
          </cell>
          <cell r="G3084" t="str">
            <v>Tidak</v>
          </cell>
          <cell r="H3084" t="str">
            <v>Tidak</v>
          </cell>
          <cell r="I3084" t="str">
            <v>Judi Online</v>
          </cell>
          <cell r="J3084">
            <v>50</v>
          </cell>
          <cell r="K3084" t="str">
            <v>73,76,34,74,6</v>
          </cell>
          <cell r="L3084" t="str">
            <v>Judi Online</v>
          </cell>
          <cell r="M3084" t="str">
            <v xml:space="preserve">Kas Kanpus                              </v>
          </cell>
          <cell r="N3084" t="str">
            <v xml:space="preserve">Kas Kanpus                              </v>
          </cell>
          <cell r="O3084" t="str">
            <v xml:space="preserve">KAS KANPUS                              </v>
          </cell>
          <cell r="P3084" t="str">
            <v>Ya</v>
          </cell>
          <cell r="R3084" t="str">
            <v>Done</v>
          </cell>
          <cell r="S3084" t="str">
            <v>Belum TL</v>
          </cell>
          <cell r="T3084" t="str">
            <v>90150130 - Intan Aida Pratiwi</v>
          </cell>
          <cell r="U3084" t="str">
            <v>"-"</v>
          </cell>
        </row>
        <row r="3085">
          <cell r="A3085">
            <v>46265</v>
          </cell>
          <cell r="B3085" t="str">
            <v xml:space="preserve">RATNA YUNINGSIH                         </v>
          </cell>
          <cell r="C3085" t="str">
            <v>RBN3904</v>
          </cell>
          <cell r="D3085">
            <v>12001002159562</v>
          </cell>
          <cell r="E3085" t="str">
            <v>SEDANG</v>
          </cell>
          <cell r="F3085" t="str">
            <v>Tidak</v>
          </cell>
          <cell r="G3085" t="str">
            <v>Tidak</v>
          </cell>
          <cell r="H3085" t="str">
            <v>Tidak</v>
          </cell>
          <cell r="I3085" t="str">
            <v>Bandar Judol Depo</v>
          </cell>
          <cell r="J3085">
            <v>50</v>
          </cell>
          <cell r="K3085" t="str">
            <v>86,74,87</v>
          </cell>
          <cell r="L3085" t="str">
            <v>Judi Online</v>
          </cell>
          <cell r="M3085" t="str">
            <v xml:space="preserve">Kas Kanpus                              </v>
          </cell>
          <cell r="N3085" t="str">
            <v xml:space="preserve">Kas Kanpus                              </v>
          </cell>
          <cell r="O3085" t="str">
            <v xml:space="preserve">KAS KANPUS                              </v>
          </cell>
          <cell r="P3085" t="str">
            <v>Ya</v>
          </cell>
          <cell r="R3085" t="str">
            <v>Done</v>
          </cell>
          <cell r="S3085" t="str">
            <v>Belum TL</v>
          </cell>
          <cell r="T3085" t="str">
            <v>90170665 - Mutiara Ayuningtyas</v>
          </cell>
          <cell r="U3085" t="str">
            <v>"-"</v>
          </cell>
        </row>
        <row r="3086">
          <cell r="A3086">
            <v>46265</v>
          </cell>
          <cell r="B3086" t="str">
            <v xml:space="preserve">MARIA SOVIA LAU                         </v>
          </cell>
          <cell r="C3086" t="str">
            <v>MDPEB73</v>
          </cell>
          <cell r="D3086">
            <v>69201001086561</v>
          </cell>
          <cell r="F3086" t="str">
            <v>Tidak</v>
          </cell>
          <cell r="G3086" t="str">
            <v>Tidak</v>
          </cell>
          <cell r="H3086" t="str">
            <v>Tidak</v>
          </cell>
          <cell r="I3086" t="str">
            <v>Perpajakan</v>
          </cell>
          <cell r="J3086">
            <v>45</v>
          </cell>
          <cell r="K3086">
            <v>1.33</v>
          </cell>
          <cell r="L3086" t="str">
            <v>Perpajakan</v>
          </cell>
          <cell r="M3086" t="str">
            <v xml:space="preserve">KCP MEDAN MALL                          </v>
          </cell>
          <cell r="N3086" t="str">
            <v xml:space="preserve">KC Medan Thamrin                        </v>
          </cell>
          <cell r="O3086" t="str">
            <v xml:space="preserve">Medan                                   </v>
          </cell>
          <cell r="P3086" t="str">
            <v>Tidak</v>
          </cell>
          <cell r="Q3086" t="str">
            <v>Ya</v>
          </cell>
          <cell r="R3086" t="str">
            <v>Done</v>
          </cell>
          <cell r="S3086" t="str">
            <v>On Progress</v>
          </cell>
          <cell r="T3086" t="str">
            <v>90171841 - Rifqi Aziz</v>
          </cell>
          <cell r="U3086" t="str">
            <v>"-"</v>
          </cell>
        </row>
        <row r="3087">
          <cell r="A3087">
            <v>46265</v>
          </cell>
          <cell r="B3087" t="str">
            <v xml:space="preserve">MAHAJAYA ENERGI PRATAMA                 </v>
          </cell>
          <cell r="C3087" t="str">
            <v>MEZBH61</v>
          </cell>
          <cell r="D3087">
            <v>5001005609567</v>
          </cell>
          <cell r="F3087" t="str">
            <v>Tidak</v>
          </cell>
          <cell r="G3087" t="str">
            <v>Tidak</v>
          </cell>
          <cell r="H3087" t="str">
            <v>Tidak</v>
          </cell>
          <cell r="I3087" t="str">
            <v>Perpajakan</v>
          </cell>
          <cell r="J3087">
            <v>33</v>
          </cell>
          <cell r="K3087">
            <v>41</v>
          </cell>
          <cell r="L3087" t="str">
            <v>Perpajakan</v>
          </cell>
          <cell r="M3087" t="str">
            <v xml:space="preserve">KC Makassar Ahmad Yani                  </v>
          </cell>
          <cell r="N3087" t="str">
            <v xml:space="preserve">KC Makassar Ahmad Yani                  </v>
          </cell>
          <cell r="O3087" t="str">
            <v xml:space="preserve">Makassar                                </v>
          </cell>
          <cell r="P3087" t="str">
            <v>Tidak</v>
          </cell>
          <cell r="Q3087" t="str">
            <v>Tidak</v>
          </cell>
          <cell r="R3087" t="str">
            <v>Done</v>
          </cell>
          <cell r="S3087" t="str">
            <v>Pending Checker</v>
          </cell>
          <cell r="T3087" t="str">
            <v>90170665 - Mutiara Ayuningtyas</v>
          </cell>
          <cell r="U3087" t="str">
            <v>"-"</v>
          </cell>
        </row>
        <row r="3088">
          <cell r="A3088">
            <v>46265</v>
          </cell>
          <cell r="B3088" t="str">
            <v xml:space="preserve">MULIA ABADI SEMARANG                    </v>
          </cell>
          <cell r="C3088" t="str">
            <v>MCTBV50</v>
          </cell>
          <cell r="D3088">
            <v>8101010208561</v>
          </cell>
          <cell r="F3088" t="str">
            <v>Tidak</v>
          </cell>
          <cell r="G3088" t="str">
            <v>Tidak</v>
          </cell>
          <cell r="H3088" t="str">
            <v>Tidak</v>
          </cell>
          <cell r="I3088" t="str">
            <v>Perpajakan</v>
          </cell>
          <cell r="J3088">
            <v>38</v>
          </cell>
          <cell r="K3088">
            <v>41</v>
          </cell>
          <cell r="L3088" t="str">
            <v>Perpajakan</v>
          </cell>
          <cell r="M3088" t="str">
            <v xml:space="preserve">KC Salatiga                             </v>
          </cell>
          <cell r="N3088" t="str">
            <v xml:space="preserve">KC Salatiga                             </v>
          </cell>
          <cell r="O3088" t="str">
            <v xml:space="preserve">Semarang                                </v>
          </cell>
          <cell r="P3088" t="str">
            <v>Tidak</v>
          </cell>
          <cell r="Q3088" t="str">
            <v>Tidak</v>
          </cell>
          <cell r="R3088" t="str">
            <v>Done</v>
          </cell>
          <cell r="S3088" t="str">
            <v>Pending Checker</v>
          </cell>
          <cell r="T3088" t="str">
            <v>90185538 - Muhammad Fahikal Auz</v>
          </cell>
          <cell r="U3088" t="str">
            <v>"-"</v>
          </cell>
        </row>
        <row r="3089">
          <cell r="A3089">
            <v>46265</v>
          </cell>
          <cell r="B3089" t="str">
            <v xml:space="preserve">MULTI PESONA SURABAYA                   </v>
          </cell>
          <cell r="C3089" t="str">
            <v>MCTBV76</v>
          </cell>
          <cell r="D3089">
            <v>8101010506561</v>
          </cell>
          <cell r="F3089" t="str">
            <v>Tidak</v>
          </cell>
          <cell r="G3089" t="str">
            <v>Tidak</v>
          </cell>
          <cell r="H3089" t="str">
            <v>Tidak</v>
          </cell>
          <cell r="I3089" t="str">
            <v>Perpajakan</v>
          </cell>
          <cell r="J3089">
            <v>34</v>
          </cell>
          <cell r="K3089">
            <v>41</v>
          </cell>
          <cell r="L3089" t="str">
            <v>Perpajakan</v>
          </cell>
          <cell r="M3089" t="str">
            <v xml:space="preserve">KC Salatiga                             </v>
          </cell>
          <cell r="N3089" t="str">
            <v xml:space="preserve">KC Salatiga                             </v>
          </cell>
          <cell r="O3089" t="str">
            <v xml:space="preserve">Semarang                                </v>
          </cell>
          <cell r="P3089" t="str">
            <v>Tidak</v>
          </cell>
          <cell r="Q3089" t="str">
            <v>Tidak</v>
          </cell>
          <cell r="R3089" t="str">
            <v>Done</v>
          </cell>
          <cell r="S3089" t="str">
            <v>Pending Checker</v>
          </cell>
          <cell r="T3089" t="str">
            <v>90186790 - Muhammad Alfin Farha</v>
          </cell>
          <cell r="U3089" t="str">
            <v>"-"</v>
          </cell>
        </row>
        <row r="3090">
          <cell r="A3090">
            <v>46265</v>
          </cell>
          <cell r="B3090" t="str">
            <v xml:space="preserve">MULTI PESONA SIDOARJO                   </v>
          </cell>
          <cell r="C3090" t="str">
            <v>MCTCQ09</v>
          </cell>
          <cell r="D3090">
            <v>8101010608567</v>
          </cell>
          <cell r="F3090" t="str">
            <v>Tidak</v>
          </cell>
          <cell r="G3090" t="str">
            <v>Tidak</v>
          </cell>
          <cell r="H3090" t="str">
            <v>Tidak</v>
          </cell>
          <cell r="I3090" t="str">
            <v>Perpajakan</v>
          </cell>
          <cell r="J3090">
            <v>38</v>
          </cell>
          <cell r="K3090">
            <v>41</v>
          </cell>
          <cell r="L3090" t="str">
            <v>Perpajakan</v>
          </cell>
          <cell r="M3090" t="str">
            <v xml:space="preserve">KC Salatiga                             </v>
          </cell>
          <cell r="N3090" t="str">
            <v xml:space="preserve">KC Salatiga                             </v>
          </cell>
          <cell r="O3090" t="str">
            <v xml:space="preserve">Semarang                                </v>
          </cell>
          <cell r="P3090" t="str">
            <v>Tidak</v>
          </cell>
          <cell r="Q3090" t="str">
            <v>Tidak</v>
          </cell>
          <cell r="R3090" t="str">
            <v>Done</v>
          </cell>
          <cell r="S3090" t="str">
            <v>Pending Checker</v>
          </cell>
          <cell r="T3090" t="str">
            <v>90150130 - Intan Aida Pratiwi</v>
          </cell>
          <cell r="U3090" t="str">
            <v>"-"</v>
          </cell>
        </row>
        <row r="3091">
          <cell r="A3091">
            <v>46265</v>
          </cell>
          <cell r="B3091" t="str">
            <v xml:space="preserve">MULIA ABADI SALATIGA                    </v>
          </cell>
          <cell r="C3091" t="str">
            <v>MCTCU74</v>
          </cell>
          <cell r="D3091">
            <v>8101010108567</v>
          </cell>
          <cell r="F3091" t="str">
            <v>Tidak</v>
          </cell>
          <cell r="G3091" t="str">
            <v>Tidak</v>
          </cell>
          <cell r="H3091" t="str">
            <v>Tidak</v>
          </cell>
          <cell r="I3091" t="str">
            <v>Perpajakan</v>
          </cell>
          <cell r="J3091">
            <v>38</v>
          </cell>
          <cell r="K3091">
            <v>41</v>
          </cell>
          <cell r="L3091" t="str">
            <v>Perpajakan</v>
          </cell>
          <cell r="M3091" t="str">
            <v xml:space="preserve">KC Salatiga                             </v>
          </cell>
          <cell r="N3091" t="str">
            <v xml:space="preserve">KC Salatiga                             </v>
          </cell>
          <cell r="O3091" t="str">
            <v xml:space="preserve">Semarang                                </v>
          </cell>
          <cell r="P3091" t="str">
            <v>Tidak</v>
          </cell>
          <cell r="Q3091" t="str">
            <v>Tidak</v>
          </cell>
          <cell r="R3091" t="str">
            <v>Done</v>
          </cell>
          <cell r="S3091" t="str">
            <v>Pending Checker</v>
          </cell>
          <cell r="T3091" t="str">
            <v>90150130 - Intan Aida Pratiwi</v>
          </cell>
          <cell r="U3091" t="str">
            <v>"-"</v>
          </cell>
        </row>
        <row r="3092">
          <cell r="A3092">
            <v>46265</v>
          </cell>
          <cell r="B3092" t="str">
            <v xml:space="preserve">MULIA ABADI SIDOARJO                    </v>
          </cell>
          <cell r="C3092" t="str">
            <v>MCTCU84</v>
          </cell>
          <cell r="D3092">
            <v>8101010607561</v>
          </cell>
          <cell r="F3092" t="str">
            <v>Tidak</v>
          </cell>
          <cell r="G3092" t="str">
            <v>Tidak</v>
          </cell>
          <cell r="H3092" t="str">
            <v>Tidak</v>
          </cell>
          <cell r="I3092" t="str">
            <v>Perpajakan</v>
          </cell>
          <cell r="J3092">
            <v>36</v>
          </cell>
          <cell r="K3092">
            <v>41</v>
          </cell>
          <cell r="L3092" t="str">
            <v>Perpajakan</v>
          </cell>
          <cell r="M3092" t="str">
            <v xml:space="preserve">KC Salatiga                             </v>
          </cell>
          <cell r="N3092" t="str">
            <v xml:space="preserve">KC Salatiga                             </v>
          </cell>
          <cell r="O3092" t="str">
            <v xml:space="preserve">Semarang                                </v>
          </cell>
          <cell r="P3092" t="str">
            <v>Tidak</v>
          </cell>
          <cell r="Q3092" t="str">
            <v>Tidak</v>
          </cell>
          <cell r="R3092" t="str">
            <v>Done</v>
          </cell>
          <cell r="S3092" t="str">
            <v>Pending Checker</v>
          </cell>
          <cell r="T3092" t="str">
            <v>90170665 - Mutiara Ayuningtyas</v>
          </cell>
          <cell r="U3092" t="str">
            <v>"-"</v>
          </cell>
        </row>
        <row r="3093">
          <cell r="A3093">
            <v>46265</v>
          </cell>
          <cell r="B3093" t="str">
            <v xml:space="preserve">MULTI PESONA KUDUS                      </v>
          </cell>
          <cell r="C3093" t="str">
            <v>MCTCU98</v>
          </cell>
          <cell r="D3093">
            <v>8101010707565</v>
          </cell>
          <cell r="F3093" t="str">
            <v>Tidak</v>
          </cell>
          <cell r="G3093" t="str">
            <v>Tidak</v>
          </cell>
          <cell r="H3093" t="str">
            <v>Tidak</v>
          </cell>
          <cell r="I3093" t="str">
            <v>Perpajakan</v>
          </cell>
          <cell r="J3093">
            <v>38</v>
          </cell>
          <cell r="K3093">
            <v>41</v>
          </cell>
          <cell r="L3093" t="str">
            <v>Perpajakan</v>
          </cell>
          <cell r="M3093" t="str">
            <v xml:space="preserve">KC Salatiga                             </v>
          </cell>
          <cell r="N3093" t="str">
            <v xml:space="preserve">KC Salatiga                             </v>
          </cell>
          <cell r="O3093" t="str">
            <v xml:space="preserve">Semarang                                </v>
          </cell>
          <cell r="P3093" t="str">
            <v>Tidak</v>
          </cell>
          <cell r="Q3093" t="str">
            <v>Tidak</v>
          </cell>
          <cell r="R3093" t="str">
            <v>Done</v>
          </cell>
          <cell r="S3093" t="str">
            <v>Pending Checker</v>
          </cell>
          <cell r="T3093" t="str">
            <v>90171841 - Rifqi Aziz</v>
          </cell>
          <cell r="U3093" t="str">
            <v>"-"</v>
          </cell>
        </row>
        <row r="3094">
          <cell r="A3094">
            <v>46265</v>
          </cell>
          <cell r="B3094" t="str">
            <v xml:space="preserve">MULTI PESONA MOJOKERTO                  </v>
          </cell>
          <cell r="C3094" t="str">
            <v>MCTDD93</v>
          </cell>
          <cell r="D3094">
            <v>8101011106568</v>
          </cell>
          <cell r="F3094" t="str">
            <v>Tidak</v>
          </cell>
          <cell r="G3094" t="str">
            <v>Tidak</v>
          </cell>
          <cell r="H3094" t="str">
            <v>Tidak</v>
          </cell>
          <cell r="I3094" t="str">
            <v>Perpajakan</v>
          </cell>
          <cell r="J3094">
            <v>38</v>
          </cell>
          <cell r="K3094">
            <v>41</v>
          </cell>
          <cell r="L3094" t="str">
            <v>Perpajakan</v>
          </cell>
          <cell r="M3094" t="str">
            <v xml:space="preserve">KC Salatiga                             </v>
          </cell>
          <cell r="N3094" t="str">
            <v xml:space="preserve">KC Salatiga                             </v>
          </cell>
          <cell r="O3094" t="str">
            <v xml:space="preserve">Semarang                                </v>
          </cell>
          <cell r="P3094" t="str">
            <v>Tidak</v>
          </cell>
          <cell r="Q3094" t="str">
            <v>Tidak</v>
          </cell>
          <cell r="R3094" t="str">
            <v>Done</v>
          </cell>
          <cell r="S3094" t="str">
            <v>Pending Checker</v>
          </cell>
          <cell r="T3094" t="str">
            <v>90186796 - Devito Arya Wiradila</v>
          </cell>
          <cell r="U3094" t="str">
            <v>"-"</v>
          </cell>
        </row>
        <row r="3095">
          <cell r="A3095">
            <v>46265</v>
          </cell>
          <cell r="B3095" t="str">
            <v xml:space="preserve">MULIA ABADI MALANG                      </v>
          </cell>
          <cell r="C3095" t="str">
            <v>MCTDU21</v>
          </cell>
          <cell r="D3095">
            <v>8101010809561</v>
          </cell>
          <cell r="F3095" t="str">
            <v>Tidak</v>
          </cell>
          <cell r="G3095" t="str">
            <v>Tidak</v>
          </cell>
          <cell r="H3095" t="str">
            <v>Tidak</v>
          </cell>
          <cell r="I3095" t="str">
            <v>Perpajakan</v>
          </cell>
          <cell r="J3095">
            <v>38</v>
          </cell>
          <cell r="K3095">
            <v>41</v>
          </cell>
          <cell r="L3095" t="str">
            <v>Perpajakan</v>
          </cell>
          <cell r="M3095" t="str">
            <v xml:space="preserve">KC Salatiga                             </v>
          </cell>
          <cell r="N3095" t="str">
            <v xml:space="preserve">KC Salatiga                             </v>
          </cell>
          <cell r="O3095" t="str">
            <v xml:space="preserve">Semarang                                </v>
          </cell>
          <cell r="P3095" t="str">
            <v>Tidak</v>
          </cell>
          <cell r="Q3095" t="str">
            <v>Tidak</v>
          </cell>
          <cell r="R3095" t="str">
            <v>Done</v>
          </cell>
          <cell r="S3095" t="str">
            <v>Pending Checker</v>
          </cell>
          <cell r="T3095" t="str">
            <v>00336949 - Mochammad Al Farabi</v>
          </cell>
          <cell r="U3095" t="str">
            <v>"-"</v>
          </cell>
        </row>
        <row r="3096">
          <cell r="A3096">
            <v>46265</v>
          </cell>
          <cell r="B3096" t="str">
            <v xml:space="preserve">MULTI PESONA MERR                       </v>
          </cell>
          <cell r="C3096" t="str">
            <v>MCSNR34</v>
          </cell>
          <cell r="D3096">
            <v>8101011201562</v>
          </cell>
          <cell r="F3096" t="str">
            <v>Tidak</v>
          </cell>
          <cell r="G3096" t="str">
            <v>Tidak</v>
          </cell>
          <cell r="H3096" t="str">
            <v>Tidak</v>
          </cell>
          <cell r="I3096" t="str">
            <v>Perpajakan</v>
          </cell>
          <cell r="J3096">
            <v>38</v>
          </cell>
          <cell r="K3096">
            <v>41</v>
          </cell>
          <cell r="L3096" t="str">
            <v>Perpajakan</v>
          </cell>
          <cell r="M3096" t="str">
            <v xml:space="preserve">KC Salatiga                             </v>
          </cell>
          <cell r="N3096" t="str">
            <v xml:space="preserve">KC Salatiga                             </v>
          </cell>
          <cell r="O3096" t="str">
            <v xml:space="preserve">Semarang                                </v>
          </cell>
          <cell r="P3096" t="str">
            <v>Tidak</v>
          </cell>
          <cell r="Q3096" t="str">
            <v>Tidak</v>
          </cell>
          <cell r="R3096" t="str">
            <v>Done</v>
          </cell>
          <cell r="S3096" t="str">
            <v>Pending Checker</v>
          </cell>
          <cell r="T3096" t="str">
            <v>90150130 - Intan Aida Pratiwi</v>
          </cell>
          <cell r="U3096" t="str">
            <v>"-"</v>
          </cell>
        </row>
        <row r="3097">
          <cell r="A3097">
            <v>46265</v>
          </cell>
          <cell r="B3097" t="str">
            <v xml:space="preserve">MEGA GEMILANG INDOPRIMA PLANT 1         </v>
          </cell>
          <cell r="C3097" t="str">
            <v>MDJY811</v>
          </cell>
          <cell r="D3097">
            <v>201801000080306</v>
          </cell>
          <cell r="E3097" t="str">
            <v>SEDANG</v>
          </cell>
          <cell r="F3097" t="str">
            <v>Tidak</v>
          </cell>
          <cell r="G3097" t="str">
            <v>Tidak</v>
          </cell>
          <cell r="H3097" t="str">
            <v>Tidak</v>
          </cell>
          <cell r="I3097" t="str">
            <v>Perpajakan</v>
          </cell>
          <cell r="J3097">
            <v>50</v>
          </cell>
          <cell r="K3097">
            <v>41</v>
          </cell>
          <cell r="L3097" t="str">
            <v>Perpajakan</v>
          </cell>
          <cell r="M3097" t="str">
            <v xml:space="preserve">KCP MABES POLRI                         </v>
          </cell>
          <cell r="N3097" t="str">
            <v xml:space="preserve">KC Jakarta Kebayoran Baru               </v>
          </cell>
          <cell r="O3097" t="str">
            <v xml:space="preserve">DKI2                                    </v>
          </cell>
          <cell r="P3097" t="str">
            <v>Tidak</v>
          </cell>
          <cell r="Q3097" t="str">
            <v>Tidak</v>
          </cell>
          <cell r="R3097" t="str">
            <v>Done</v>
          </cell>
          <cell r="S3097" t="str">
            <v>Pending Checker</v>
          </cell>
          <cell r="T3097" t="str">
            <v>90185537 - Moh.Khoerul Fajar Ar</v>
          </cell>
          <cell r="U3097" t="str">
            <v>"-"</v>
          </cell>
        </row>
        <row r="3098">
          <cell r="A3098">
            <v>46265</v>
          </cell>
          <cell r="B3098" t="str">
            <v xml:space="preserve">MARGA CIPTA RESTAREA                    </v>
          </cell>
          <cell r="C3098" t="str">
            <v>MKH4468</v>
          </cell>
          <cell r="D3098">
            <v>39801002771567</v>
          </cell>
          <cell r="E3098" t="str">
            <v>SEDANG</v>
          </cell>
          <cell r="F3098" t="str">
            <v>Tidak</v>
          </cell>
          <cell r="G3098" t="str">
            <v>Tidak</v>
          </cell>
          <cell r="H3098" t="str">
            <v>Tidak</v>
          </cell>
          <cell r="I3098" t="str">
            <v>Perpajakan</v>
          </cell>
          <cell r="J3098">
            <v>48</v>
          </cell>
          <cell r="K3098">
            <v>1.33</v>
          </cell>
          <cell r="L3098" t="str">
            <v>Perpajakan</v>
          </cell>
          <cell r="M3098" t="str">
            <v xml:space="preserve">KC Jakarta Puri Niaga                   </v>
          </cell>
          <cell r="N3098" t="str">
            <v xml:space="preserve">KC Jakarta Puri Niaga                   </v>
          </cell>
          <cell r="O3098" t="str">
            <v xml:space="preserve">KANWIL JAKARTA 3                        </v>
          </cell>
          <cell r="P3098" t="str">
            <v>Tidak</v>
          </cell>
          <cell r="Q3098" t="str">
            <v>Tidak</v>
          </cell>
          <cell r="R3098" t="str">
            <v>Done</v>
          </cell>
          <cell r="S3098" t="str">
            <v>Pending Checker</v>
          </cell>
          <cell r="T3098" t="str">
            <v>00336949 - Mochammad Al Farabi</v>
          </cell>
          <cell r="U3098" t="str">
            <v>"-"</v>
          </cell>
        </row>
        <row r="3099">
          <cell r="A3099">
            <v>46265</v>
          </cell>
          <cell r="B3099" t="str">
            <v xml:space="preserve">PT PARAMA PANGAN PAPUA                  </v>
          </cell>
          <cell r="C3099" t="str">
            <v>PW02628</v>
          </cell>
          <cell r="D3099">
            <v>35201001853302</v>
          </cell>
          <cell r="E3099" t="str">
            <v>SEDANG</v>
          </cell>
          <cell r="F3099" t="str">
            <v>Tidak</v>
          </cell>
          <cell r="G3099" t="str">
            <v>Tidak</v>
          </cell>
          <cell r="H3099" t="str">
            <v>Tidak</v>
          </cell>
          <cell r="I3099" t="str">
            <v>Perpajakan</v>
          </cell>
          <cell r="J3099">
            <v>48</v>
          </cell>
          <cell r="K3099">
            <v>41</v>
          </cell>
          <cell r="L3099" t="str">
            <v>Perpajakan</v>
          </cell>
          <cell r="M3099" t="str">
            <v xml:space="preserve">KC Merauke                              </v>
          </cell>
          <cell r="N3099" t="str">
            <v xml:space="preserve">KC Merauke                              </v>
          </cell>
          <cell r="O3099" t="str">
            <v xml:space="preserve">KANWIL JAYAPURA                         </v>
          </cell>
          <cell r="P3099" t="str">
            <v>Tidak</v>
          </cell>
          <cell r="Q3099" t="str">
            <v>Tidak</v>
          </cell>
          <cell r="R3099" t="str">
            <v>Done</v>
          </cell>
          <cell r="S3099" t="str">
            <v>Pending Checker</v>
          </cell>
          <cell r="T3099" t="str">
            <v>90185538 - Muhammad Fahikal Auz</v>
          </cell>
          <cell r="U3099" t="str">
            <v>"-"</v>
          </cell>
        </row>
        <row r="3100">
          <cell r="A3100">
            <v>46265</v>
          </cell>
          <cell r="B3100" t="str">
            <v xml:space="preserve">ROSITA                                  </v>
          </cell>
          <cell r="C3100" t="str">
            <v>RAXB697</v>
          </cell>
          <cell r="D3100">
            <v>62701081505500</v>
          </cell>
          <cell r="E3100" t="str">
            <v>SEDANG</v>
          </cell>
          <cell r="F3100" t="str">
            <v>Tidak</v>
          </cell>
          <cell r="G3100" t="str">
            <v>Tidak</v>
          </cell>
          <cell r="H3100" t="str">
            <v>Tidak</v>
          </cell>
          <cell r="I3100" t="str">
            <v>Narkotika - Area Lapas</v>
          </cell>
          <cell r="J3100">
            <v>50</v>
          </cell>
          <cell r="K3100">
            <v>46</v>
          </cell>
          <cell r="L3100" t="str">
            <v>Narkotika</v>
          </cell>
          <cell r="M3100" t="str">
            <v>KC Nunukan</v>
          </cell>
          <cell r="N3100" t="str">
            <v>KC Nunukan</v>
          </cell>
          <cell r="O3100" t="str">
            <v>Banjarmasin</v>
          </cell>
          <cell r="P3100" t="str">
            <v>Tidak</v>
          </cell>
          <cell r="Q3100" t="str">
            <v>Tidak</v>
          </cell>
          <cell r="R3100" t="str">
            <v>Done</v>
          </cell>
          <cell r="S3100" t="str">
            <v>Pending Checker</v>
          </cell>
          <cell r="T3100" t="str">
            <v>00336949 - Mochammad Al Farabi</v>
          </cell>
          <cell r="U3100" t="str">
            <v>"-"</v>
          </cell>
        </row>
        <row r="3101">
          <cell r="A3101">
            <v>46265</v>
          </cell>
          <cell r="B3101" t="str">
            <v xml:space="preserve">RPL 088 PS PUSKEU POLRI UTK KPRLN RUTIN </v>
          </cell>
          <cell r="C3101" t="str">
            <v>RCZD612</v>
          </cell>
          <cell r="D3101">
            <v>201801000121306</v>
          </cell>
          <cell r="E3101" t="str">
            <v>SEDANG</v>
          </cell>
          <cell r="F3101" t="str">
            <v>Tidak</v>
          </cell>
          <cell r="G3101" t="str">
            <v>Tidak</v>
          </cell>
          <cell r="H3101" t="str">
            <v>Tidak</v>
          </cell>
          <cell r="I3101" t="str">
            <v>Perpajakan</v>
          </cell>
          <cell r="J3101">
            <v>48</v>
          </cell>
          <cell r="K3101">
            <v>41</v>
          </cell>
          <cell r="L3101" t="str">
            <v>Perpajakan</v>
          </cell>
          <cell r="M3101" t="str">
            <v xml:space="preserve">KCP MABES POLRI                         </v>
          </cell>
          <cell r="N3101" t="str">
            <v xml:space="preserve">KC Jakarta Kebayoran Baru               </v>
          </cell>
          <cell r="O3101" t="str">
            <v xml:space="preserve">DKI2                                    </v>
          </cell>
          <cell r="P3101" t="str">
            <v>Tidak</v>
          </cell>
          <cell r="Q3101" t="str">
            <v>Tidak</v>
          </cell>
          <cell r="R3101" t="str">
            <v>Done</v>
          </cell>
          <cell r="S3101" t="str">
            <v>Pending Checker</v>
          </cell>
          <cell r="T3101" t="str">
            <v>00394521 - Muhammad Hibbanduta</v>
          </cell>
          <cell r="U3101" t="str">
            <v>"-"</v>
          </cell>
        </row>
        <row r="3102">
          <cell r="A3102">
            <v>46265</v>
          </cell>
          <cell r="B3102" t="str">
            <v xml:space="preserve">PT TAKABEA RESHI CONSULINDO             </v>
          </cell>
          <cell r="C3102" t="str">
            <v>PNT0204</v>
          </cell>
          <cell r="D3102">
            <v>501005617565</v>
          </cell>
          <cell r="F3102" t="str">
            <v>Tidak</v>
          </cell>
          <cell r="G3102" t="str">
            <v>Tidak</v>
          </cell>
          <cell r="H3102" t="str">
            <v>Tidak</v>
          </cell>
          <cell r="I3102" t="str">
            <v>Perpajakan</v>
          </cell>
          <cell r="J3102">
            <v>33</v>
          </cell>
          <cell r="K3102">
            <v>41</v>
          </cell>
          <cell r="L3102" t="str">
            <v>Perpajakan</v>
          </cell>
          <cell r="M3102" t="str">
            <v xml:space="preserve">KC Bandung AA                           </v>
          </cell>
          <cell r="N3102" t="str">
            <v xml:space="preserve">KC Bandung AA                           </v>
          </cell>
          <cell r="O3102" t="str">
            <v xml:space="preserve">Bandung                                 </v>
          </cell>
          <cell r="P3102" t="str">
            <v>Tidak</v>
          </cell>
          <cell r="Q3102" t="str">
            <v>Tidak</v>
          </cell>
          <cell r="R3102" t="str">
            <v>Done</v>
          </cell>
          <cell r="S3102" t="str">
            <v>Pending Checker</v>
          </cell>
          <cell r="T3102" t="str">
            <v>00394521 - Muhammad Hibbanduta</v>
          </cell>
          <cell r="U3102" t="str">
            <v>"-"</v>
          </cell>
        </row>
        <row r="3103">
          <cell r="A3103">
            <v>46265</v>
          </cell>
          <cell r="B3103" t="str">
            <v xml:space="preserve">PT MENTARI KARYA TANI                   </v>
          </cell>
          <cell r="C3103" t="str">
            <v>PNL6130</v>
          </cell>
          <cell r="D3103">
            <v>43001001436308</v>
          </cell>
          <cell r="F3103" t="str">
            <v>Tidak</v>
          </cell>
          <cell r="G3103" t="str">
            <v>Tidak</v>
          </cell>
          <cell r="H3103" t="str">
            <v>Tidak</v>
          </cell>
          <cell r="I3103" t="str">
            <v>Perpajakan</v>
          </cell>
          <cell r="J3103">
            <v>33</v>
          </cell>
          <cell r="K3103">
            <v>41</v>
          </cell>
          <cell r="L3103" t="str">
            <v>Perpajakan</v>
          </cell>
          <cell r="M3103" t="str">
            <v xml:space="preserve">KC Jakarta Radio Dalam                  </v>
          </cell>
          <cell r="N3103" t="str">
            <v xml:space="preserve">KC Jakarta Radio Dalam                  </v>
          </cell>
          <cell r="O3103" t="str">
            <v xml:space="preserve">DKI2                                    </v>
          </cell>
          <cell r="P3103" t="str">
            <v>Tidak</v>
          </cell>
          <cell r="Q3103" t="str">
            <v>Tidak</v>
          </cell>
          <cell r="R3103" t="str">
            <v>Done</v>
          </cell>
          <cell r="S3103" t="str">
            <v>Pending Checker</v>
          </cell>
          <cell r="T3103" t="str">
            <v>90186796 - Devito Arya Wiradila</v>
          </cell>
          <cell r="U3103" t="str">
            <v>"-"</v>
          </cell>
        </row>
        <row r="3104">
          <cell r="A3104">
            <v>46265</v>
          </cell>
          <cell r="B3104" t="str">
            <v xml:space="preserve">PT TOGOS KENDALI                        </v>
          </cell>
          <cell r="C3104" t="str">
            <v>PN38776</v>
          </cell>
          <cell r="D3104">
            <v>19201003080309</v>
          </cell>
          <cell r="E3104" t="str">
            <v>SEDANG</v>
          </cell>
          <cell r="F3104" t="str">
            <v>Tidak</v>
          </cell>
          <cell r="G3104" t="str">
            <v>Tidak</v>
          </cell>
          <cell r="H3104" t="str">
            <v>Tidak</v>
          </cell>
          <cell r="I3104" t="str">
            <v>Perpajakan</v>
          </cell>
          <cell r="J3104">
            <v>48</v>
          </cell>
          <cell r="K3104">
            <v>1.33</v>
          </cell>
          <cell r="L3104" t="str">
            <v>Perpajakan</v>
          </cell>
          <cell r="M3104" t="str">
            <v xml:space="preserve">KC Kendari Samratulangi                 </v>
          </cell>
          <cell r="N3104" t="str">
            <v xml:space="preserve">KC Kendari Samratulangi                 </v>
          </cell>
          <cell r="O3104" t="str">
            <v xml:space="preserve">Makassar                                </v>
          </cell>
          <cell r="P3104" t="str">
            <v>Tidak</v>
          </cell>
          <cell r="Q3104" t="str">
            <v>Tidak</v>
          </cell>
          <cell r="R3104" t="str">
            <v>Done</v>
          </cell>
          <cell r="S3104" t="str">
            <v>Pending Checker</v>
          </cell>
          <cell r="T3104" t="str">
            <v>90150130 - Intan Aida Pratiwi</v>
          </cell>
          <cell r="U3104" t="str">
            <v>"-"</v>
          </cell>
        </row>
        <row r="3105">
          <cell r="A3105">
            <v>46265</v>
          </cell>
          <cell r="B3105" t="str">
            <v xml:space="preserve">PT SETIAP HARI BERUNTUNG                </v>
          </cell>
          <cell r="C3105" t="str">
            <v>PNH3807</v>
          </cell>
          <cell r="D3105">
            <v>501575757560</v>
          </cell>
          <cell r="F3105" t="str">
            <v>Tidak</v>
          </cell>
          <cell r="G3105" t="str">
            <v>Tidak</v>
          </cell>
          <cell r="H3105" t="str">
            <v>Tidak</v>
          </cell>
          <cell r="I3105" t="str">
            <v>Perpajakan</v>
          </cell>
          <cell r="J3105">
            <v>33</v>
          </cell>
          <cell r="K3105">
            <v>41</v>
          </cell>
          <cell r="L3105" t="str">
            <v>Perpajakan</v>
          </cell>
          <cell r="M3105" t="str">
            <v xml:space="preserve">KC Bandung AA                           </v>
          </cell>
          <cell r="N3105" t="str">
            <v xml:space="preserve">KC Bandung AA                           </v>
          </cell>
          <cell r="O3105" t="str">
            <v xml:space="preserve">Bandung                                 </v>
          </cell>
          <cell r="P3105" t="str">
            <v>Tidak</v>
          </cell>
          <cell r="Q3105" t="str">
            <v>Tidak</v>
          </cell>
          <cell r="R3105" t="str">
            <v>Done</v>
          </cell>
          <cell r="S3105" t="str">
            <v>Pending Checker</v>
          </cell>
          <cell r="T3105" t="str">
            <v>90186790 - Muhammad Alfin Farha</v>
          </cell>
          <cell r="U3105" t="str">
            <v>"-"</v>
          </cell>
        </row>
        <row r="3106">
          <cell r="A3106">
            <v>46265</v>
          </cell>
          <cell r="B3106" t="str">
            <v xml:space="preserve">PT KIANO ENERGI UTAMA                   </v>
          </cell>
          <cell r="C3106" t="str">
            <v>PNY0218</v>
          </cell>
          <cell r="D3106">
            <v>21901234567566</v>
          </cell>
          <cell r="F3106" t="str">
            <v>Tidak</v>
          </cell>
          <cell r="G3106" t="str">
            <v>Tidak</v>
          </cell>
          <cell r="H3106" t="str">
            <v>Tidak</v>
          </cell>
          <cell r="I3106" t="str">
            <v>Perpajakan</v>
          </cell>
          <cell r="J3106">
            <v>38</v>
          </cell>
          <cell r="K3106">
            <v>41</v>
          </cell>
          <cell r="L3106" t="str">
            <v>Perpajakan</v>
          </cell>
          <cell r="M3106" t="str">
            <v xml:space="preserve">KC Pinrang                              </v>
          </cell>
          <cell r="N3106" t="str">
            <v xml:space="preserve">KC Pinrang                              </v>
          </cell>
          <cell r="O3106" t="str">
            <v xml:space="preserve">Makassar                                </v>
          </cell>
          <cell r="P3106" t="str">
            <v>Tidak</v>
          </cell>
          <cell r="Q3106" t="str">
            <v>Tidak</v>
          </cell>
          <cell r="R3106" t="str">
            <v>Done</v>
          </cell>
          <cell r="S3106" t="str">
            <v>Pending Checker</v>
          </cell>
          <cell r="T3106" t="str">
            <v>00336949 - Mochammad Al Farabi</v>
          </cell>
          <cell r="U3106" t="str">
            <v>"-"</v>
          </cell>
        </row>
        <row r="3107">
          <cell r="A3107">
            <v>46265</v>
          </cell>
          <cell r="B3107" t="str">
            <v xml:space="preserve">PT NIAGA DELAPAN                        </v>
          </cell>
          <cell r="C3107" t="str">
            <v>POI4990</v>
          </cell>
          <cell r="D3107">
            <v>41801666888564</v>
          </cell>
          <cell r="F3107" t="str">
            <v>Tidak</v>
          </cell>
          <cell r="G3107" t="str">
            <v>Tidak</v>
          </cell>
          <cell r="H3107" t="str">
            <v>Tidak</v>
          </cell>
          <cell r="I3107" t="str">
            <v>Perpajakan</v>
          </cell>
          <cell r="J3107">
            <v>33</v>
          </cell>
          <cell r="K3107">
            <v>41</v>
          </cell>
          <cell r="L3107" t="str">
            <v>Perpajakan</v>
          </cell>
          <cell r="M3107" t="str">
            <v xml:space="preserve">KC Jakarta Jelambar                     </v>
          </cell>
          <cell r="N3107" t="str">
            <v xml:space="preserve">KC Jakarta Jelambar                     </v>
          </cell>
          <cell r="O3107" t="str">
            <v xml:space="preserve">KANWIL JAKARTA 3                        </v>
          </cell>
          <cell r="P3107" t="str">
            <v>Ya</v>
          </cell>
          <cell r="Q3107" t="str">
            <v>Tidak</v>
          </cell>
          <cell r="R3107" t="str">
            <v>Done</v>
          </cell>
          <cell r="S3107" t="str">
            <v>Pending Checker</v>
          </cell>
          <cell r="T3107" t="str">
            <v>90170665 - Mutiara Ayuningtyas</v>
          </cell>
          <cell r="U3107" t="str">
            <v>"-"</v>
          </cell>
        </row>
        <row r="3108">
          <cell r="A3108">
            <v>46265</v>
          </cell>
          <cell r="B3108" t="str">
            <v xml:space="preserve">PT SANTOS AGRO ABADI                    </v>
          </cell>
          <cell r="C3108" t="str">
            <v>POM0252</v>
          </cell>
          <cell r="D3108">
            <v>23201001750306</v>
          </cell>
          <cell r="F3108" t="str">
            <v>Tidak</v>
          </cell>
          <cell r="G3108" t="str">
            <v>Tidak</v>
          </cell>
          <cell r="H3108" t="str">
            <v>Tidak</v>
          </cell>
          <cell r="I3108" t="str">
            <v>Perpajakan</v>
          </cell>
          <cell r="J3108">
            <v>33</v>
          </cell>
          <cell r="K3108">
            <v>41</v>
          </cell>
          <cell r="L3108" t="str">
            <v>Perpajakan</v>
          </cell>
          <cell r="M3108" t="str">
            <v xml:space="preserve">KC Rantepao                             </v>
          </cell>
          <cell r="N3108" t="str">
            <v xml:space="preserve">KC Rantepao                             </v>
          </cell>
          <cell r="O3108" t="str">
            <v xml:space="preserve">Makassar                                </v>
          </cell>
          <cell r="P3108" t="str">
            <v>Tidak</v>
          </cell>
          <cell r="Q3108" t="str">
            <v>Tidak</v>
          </cell>
          <cell r="R3108" t="str">
            <v>Done</v>
          </cell>
          <cell r="S3108" t="str">
            <v>Pending Checker</v>
          </cell>
          <cell r="T3108" t="str">
            <v>00394521 - Muhammad Hibbanduta</v>
          </cell>
          <cell r="U3108" t="str">
            <v>"-"</v>
          </cell>
        </row>
        <row r="3109">
          <cell r="A3109">
            <v>46265</v>
          </cell>
          <cell r="B3109" t="str">
            <v xml:space="preserve">RUANG ANTAR BINTANG                     </v>
          </cell>
          <cell r="C3109" t="str">
            <v>RKQO123</v>
          </cell>
          <cell r="D3109">
            <v>40501001560302</v>
          </cell>
          <cell r="E3109" t="str">
            <v>SEDANG</v>
          </cell>
          <cell r="F3109" t="str">
            <v>Tidak</v>
          </cell>
          <cell r="G3109" t="str">
            <v>Tidak</v>
          </cell>
          <cell r="H3109" t="str">
            <v>Tidak</v>
          </cell>
          <cell r="I3109" t="str">
            <v>Perpajakan</v>
          </cell>
          <cell r="J3109">
            <v>48</v>
          </cell>
          <cell r="K3109">
            <v>41</v>
          </cell>
          <cell r="L3109" t="str">
            <v>Perpajakan</v>
          </cell>
          <cell r="M3109" t="str">
            <v xml:space="preserve">KC Bandung Dago                         </v>
          </cell>
          <cell r="N3109" t="str">
            <v xml:space="preserve">KC Bandung Dago                         </v>
          </cell>
          <cell r="O3109" t="str">
            <v xml:space="preserve">Bandung                                 </v>
          </cell>
          <cell r="P3109" t="str">
            <v>Tidak</v>
          </cell>
          <cell r="Q3109" t="str">
            <v>Tidak</v>
          </cell>
          <cell r="R3109" t="str">
            <v>Done</v>
          </cell>
          <cell r="S3109" t="str">
            <v>Pending Checker</v>
          </cell>
          <cell r="T3109" t="str">
            <v>00394520 - Frida Akbar Rani</v>
          </cell>
          <cell r="U3109" t="str">
            <v>"-"</v>
          </cell>
        </row>
        <row r="3110">
          <cell r="A3110">
            <v>46265</v>
          </cell>
          <cell r="B3110" t="str">
            <v xml:space="preserve">ORDER KUOTA EVOLUSI DIGITAL             </v>
          </cell>
          <cell r="C3110" t="str">
            <v>OA87329</v>
          </cell>
          <cell r="D3110">
            <v>43701800800566</v>
          </cell>
          <cell r="E3110" t="str">
            <v>SEDANG</v>
          </cell>
          <cell r="F3110" t="str">
            <v>Tidak</v>
          </cell>
          <cell r="G3110" t="str">
            <v>Tidak</v>
          </cell>
          <cell r="H3110" t="str">
            <v>Tidak</v>
          </cell>
          <cell r="I3110" t="str">
            <v>Perpajakan</v>
          </cell>
          <cell r="J3110">
            <v>48</v>
          </cell>
          <cell r="K3110">
            <v>1.33</v>
          </cell>
          <cell r="L3110" t="str">
            <v>Perpajakan</v>
          </cell>
          <cell r="M3110" t="str">
            <v xml:space="preserve">KC Balaraja                             </v>
          </cell>
          <cell r="N3110" t="str">
            <v xml:space="preserve">KC Balaraja                             </v>
          </cell>
          <cell r="O3110" t="str">
            <v xml:space="preserve">KANWIL JAKARTA 3                        </v>
          </cell>
          <cell r="P3110" t="str">
            <v>Tidak</v>
          </cell>
          <cell r="Q3110" t="str">
            <v>Tidak</v>
          </cell>
          <cell r="R3110" t="str">
            <v>Done</v>
          </cell>
          <cell r="S3110" t="str">
            <v>Pending Checker</v>
          </cell>
          <cell r="T3110" t="str">
            <v>00394521 - Muhammad Hibbanduta</v>
          </cell>
          <cell r="U3110" t="str">
            <v>"-"</v>
          </cell>
        </row>
        <row r="3111">
          <cell r="A3111">
            <v>46265</v>
          </cell>
          <cell r="B3111" t="str">
            <v xml:space="preserve">PT ANUGERAH SUBUR PERKASA               </v>
          </cell>
          <cell r="C3111" t="str">
            <v>PCP2913</v>
          </cell>
          <cell r="D3111">
            <v>21801001991560</v>
          </cell>
          <cell r="E3111" t="str">
            <v>SEDANG</v>
          </cell>
          <cell r="F3111" t="str">
            <v>Tidak</v>
          </cell>
          <cell r="G3111" t="str">
            <v>Tidak</v>
          </cell>
          <cell r="H3111" t="str">
            <v>Tidak</v>
          </cell>
          <cell r="I3111" t="str">
            <v>Perpajakan</v>
          </cell>
          <cell r="J3111">
            <v>48</v>
          </cell>
          <cell r="K3111">
            <v>1.33</v>
          </cell>
          <cell r="L3111" t="str">
            <v>Perpajakan</v>
          </cell>
          <cell r="M3111" t="str">
            <v xml:space="preserve">KC Mamuju                               </v>
          </cell>
          <cell r="N3111" t="str">
            <v xml:space="preserve">KC Mamuju                               </v>
          </cell>
          <cell r="O3111" t="str">
            <v xml:space="preserve">Makassar                                </v>
          </cell>
          <cell r="P3111" t="str">
            <v>Tidak</v>
          </cell>
          <cell r="Q3111" t="str">
            <v>Tidak</v>
          </cell>
          <cell r="R3111" t="str">
            <v>Done</v>
          </cell>
          <cell r="S3111" t="str">
            <v>Pending Checker</v>
          </cell>
          <cell r="T3111" t="str">
            <v>90185538 - Muhammad Fahikal Auz</v>
          </cell>
          <cell r="U3111" t="str">
            <v>"-"</v>
          </cell>
        </row>
        <row r="3112">
          <cell r="A3112">
            <v>46265</v>
          </cell>
          <cell r="B3112" t="str">
            <v xml:space="preserve">POS INDONESIA                           </v>
          </cell>
          <cell r="C3112" t="str">
            <v>P020200</v>
          </cell>
          <cell r="D3112">
            <v>501003551307</v>
          </cell>
          <cell r="E3112" t="str">
            <v>SEDANG</v>
          </cell>
          <cell r="F3112" t="str">
            <v>Tidak</v>
          </cell>
          <cell r="G3112" t="str">
            <v>Tidak</v>
          </cell>
          <cell r="H3112" t="str">
            <v>Tidak</v>
          </cell>
          <cell r="I3112" t="str">
            <v>Perpajakan</v>
          </cell>
          <cell r="J3112">
            <v>49</v>
          </cell>
          <cell r="K3112">
            <v>1.33</v>
          </cell>
          <cell r="L3112" t="str">
            <v>Perpajakan</v>
          </cell>
          <cell r="M3112" t="str">
            <v xml:space="preserve">KC Bandung AA                           </v>
          </cell>
          <cell r="N3112" t="str">
            <v xml:space="preserve">KC Bandung AA                           </v>
          </cell>
          <cell r="O3112" t="str">
            <v xml:space="preserve">Bandung                                 </v>
          </cell>
          <cell r="P3112" t="str">
            <v>Tidak</v>
          </cell>
          <cell r="Q3112" t="str">
            <v>Tidak</v>
          </cell>
          <cell r="R3112" t="str">
            <v>Done</v>
          </cell>
          <cell r="S3112" t="str">
            <v>Pending Checker</v>
          </cell>
          <cell r="T3112" t="str">
            <v>90186790 - Muhammad Alfin Farha</v>
          </cell>
          <cell r="U3112" t="str">
            <v>"-"</v>
          </cell>
        </row>
        <row r="3113">
          <cell r="A3113">
            <v>46265</v>
          </cell>
          <cell r="B3113" t="str">
            <v xml:space="preserve">P3SRSS                                  </v>
          </cell>
          <cell r="C3113" t="str">
            <v>PKC2131</v>
          </cell>
          <cell r="D3113">
            <v>28601002831300</v>
          </cell>
          <cell r="E3113" t="str">
            <v>SEDANG</v>
          </cell>
          <cell r="F3113" t="str">
            <v>Tidak</v>
          </cell>
          <cell r="G3113" t="str">
            <v>Tidak</v>
          </cell>
          <cell r="H3113" t="str">
            <v>Tidak</v>
          </cell>
          <cell r="I3113" t="str">
            <v>Perpajakan</v>
          </cell>
          <cell r="J3113">
            <v>48</v>
          </cell>
          <cell r="K3113">
            <v>41</v>
          </cell>
          <cell r="L3113" t="str">
            <v>Perpajakan</v>
          </cell>
          <cell r="M3113" t="str">
            <v xml:space="preserve">KC Bandung Dewi Sartika                 </v>
          </cell>
          <cell r="N3113" t="str">
            <v xml:space="preserve">KC Bandung Dewi Sartika                 </v>
          </cell>
          <cell r="O3113" t="str">
            <v xml:space="preserve">Bandung                                 </v>
          </cell>
          <cell r="P3113" t="str">
            <v>Tidak</v>
          </cell>
          <cell r="Q3113" t="str">
            <v>Tidak</v>
          </cell>
          <cell r="R3113" t="str">
            <v>Done</v>
          </cell>
          <cell r="S3113" t="str">
            <v>Pending Checker</v>
          </cell>
          <cell r="T3113" t="str">
            <v>90170665 - Mutiara Ayuningtyas</v>
          </cell>
          <cell r="U3113" t="str">
            <v>"-"</v>
          </cell>
        </row>
        <row r="3114">
          <cell r="A3114">
            <v>46265</v>
          </cell>
          <cell r="B3114" t="str">
            <v xml:space="preserve">PENDIDIKAN BERKARAKTER CERDAS INDONESIA </v>
          </cell>
          <cell r="C3114" t="str">
            <v>PMQ9145</v>
          </cell>
          <cell r="D3114">
            <v>112001000455309</v>
          </cell>
          <cell r="E3114" t="str">
            <v>SEDANG</v>
          </cell>
          <cell r="F3114" t="str">
            <v>Tidak</v>
          </cell>
          <cell r="G3114" t="str">
            <v>Tidak</v>
          </cell>
          <cell r="H3114" t="str">
            <v>Tidak</v>
          </cell>
          <cell r="I3114" t="str">
            <v>Perpajakan</v>
          </cell>
          <cell r="J3114">
            <v>48</v>
          </cell>
          <cell r="K3114">
            <v>41</v>
          </cell>
          <cell r="L3114" t="str">
            <v>Perpajakan</v>
          </cell>
          <cell r="M3114" t="str">
            <v xml:space="preserve">KCP SLIPI                               </v>
          </cell>
          <cell r="N3114" t="str">
            <v xml:space="preserve">KC Jakarta S Parman                     </v>
          </cell>
          <cell r="O3114" t="str">
            <v xml:space="preserve">KANWIL JAKARTA 3                        </v>
          </cell>
          <cell r="P3114" t="str">
            <v>Tidak</v>
          </cell>
          <cell r="Q3114" t="str">
            <v>Tidak</v>
          </cell>
          <cell r="R3114" t="str">
            <v>Done</v>
          </cell>
          <cell r="S3114" t="str">
            <v>Pending Checker</v>
          </cell>
          <cell r="T3114" t="str">
            <v>90185537 - Moh.Khoerul Fajar Ar</v>
          </cell>
          <cell r="U3114" t="str">
            <v>"-"</v>
          </cell>
        </row>
        <row r="3115">
          <cell r="A3115">
            <v>46265</v>
          </cell>
          <cell r="B3115" t="str">
            <v xml:space="preserve">PT MEGA KREASI TECH                     </v>
          </cell>
          <cell r="C3115" t="str">
            <v>PNB6700</v>
          </cell>
          <cell r="D3115">
            <v>41701080316307</v>
          </cell>
          <cell r="F3115" t="str">
            <v>Tidak</v>
          </cell>
          <cell r="G3115" t="str">
            <v>Tidak</v>
          </cell>
          <cell r="H3115" t="str">
            <v>Tidak</v>
          </cell>
          <cell r="I3115" t="str">
            <v>Perpajakan</v>
          </cell>
          <cell r="J3115">
            <v>36</v>
          </cell>
          <cell r="K3115">
            <v>41</v>
          </cell>
          <cell r="L3115" t="str">
            <v>Perpajakan</v>
          </cell>
          <cell r="M3115" t="str">
            <v xml:space="preserve">KC Jakarta S Parman                     </v>
          </cell>
          <cell r="N3115" t="str">
            <v xml:space="preserve">KC Jakarta S Parman                     </v>
          </cell>
          <cell r="O3115" t="str">
            <v xml:space="preserve">KANWIL JAKARTA 3                        </v>
          </cell>
          <cell r="P3115" t="str">
            <v>Tidak</v>
          </cell>
          <cell r="Q3115" t="str">
            <v>Tidak</v>
          </cell>
          <cell r="R3115" t="str">
            <v>Done</v>
          </cell>
          <cell r="S3115" t="str">
            <v>Pending Checker</v>
          </cell>
          <cell r="T3115" t="str">
            <v>90171841 - Rifqi Aziz</v>
          </cell>
          <cell r="U3115" t="str">
            <v>"-"</v>
          </cell>
        </row>
        <row r="3116">
          <cell r="A3116">
            <v>46265</v>
          </cell>
          <cell r="B3116" t="str">
            <v xml:space="preserve">PT ALBISINDO SEHAT BAROKAH              </v>
          </cell>
          <cell r="C3116" t="str">
            <v>PMW3707</v>
          </cell>
          <cell r="D3116">
            <v>3801003288303</v>
          </cell>
          <cell r="E3116" t="str">
            <v>SEDANG</v>
          </cell>
          <cell r="F3116" t="str">
            <v>Tidak</v>
          </cell>
          <cell r="G3116" t="str">
            <v>Tidak</v>
          </cell>
          <cell r="H3116" t="str">
            <v>Tidak</v>
          </cell>
          <cell r="I3116" t="str">
            <v>Perpajakan</v>
          </cell>
          <cell r="J3116">
            <v>48</v>
          </cell>
          <cell r="K3116">
            <v>41</v>
          </cell>
          <cell r="L3116" t="str">
            <v>Perpajakan</v>
          </cell>
          <cell r="M3116" t="str">
            <v xml:space="preserve">KC Kudus                                </v>
          </cell>
          <cell r="N3116" t="str">
            <v xml:space="preserve">KC Kudus                                </v>
          </cell>
          <cell r="O3116" t="str">
            <v xml:space="preserve">Semarang                                </v>
          </cell>
          <cell r="P3116" t="str">
            <v>Tidak</v>
          </cell>
          <cell r="Q3116" t="str">
            <v>Tidak</v>
          </cell>
          <cell r="R3116" t="str">
            <v>Done</v>
          </cell>
          <cell r="S3116" t="str">
            <v>Pending Checker</v>
          </cell>
          <cell r="T3116" t="str">
            <v>00394520 - Frida Akbar Rani</v>
          </cell>
          <cell r="U3116" t="str">
            <v>"-"</v>
          </cell>
        </row>
        <row r="3117">
          <cell r="A3117">
            <v>46265</v>
          </cell>
          <cell r="B3117" t="str">
            <v xml:space="preserve">PRIMA PUTRA AGUNG                       </v>
          </cell>
          <cell r="C3117" t="str">
            <v>PHS7632</v>
          </cell>
          <cell r="D3117">
            <v>43001000881306</v>
          </cell>
          <cell r="E3117" t="str">
            <v>SEDANG</v>
          </cell>
          <cell r="F3117" t="str">
            <v>Tidak</v>
          </cell>
          <cell r="G3117" t="str">
            <v>Tidak</v>
          </cell>
          <cell r="H3117" t="str">
            <v>Tidak</v>
          </cell>
          <cell r="I3117" t="str">
            <v>Perpajakan</v>
          </cell>
          <cell r="J3117">
            <v>50</v>
          </cell>
          <cell r="K3117">
            <v>1.33</v>
          </cell>
          <cell r="L3117" t="str">
            <v>Perpajakan</v>
          </cell>
          <cell r="M3117" t="str">
            <v xml:space="preserve">KC Jakarta Radio Dalam                  </v>
          </cell>
          <cell r="N3117" t="str">
            <v xml:space="preserve">KC Jakarta Radio Dalam                  </v>
          </cell>
          <cell r="O3117" t="str">
            <v xml:space="preserve">DKI2                                    </v>
          </cell>
          <cell r="P3117" t="str">
            <v>Tidak</v>
          </cell>
          <cell r="Q3117" t="str">
            <v>Tidak</v>
          </cell>
          <cell r="R3117" t="str">
            <v>Done</v>
          </cell>
          <cell r="S3117" t="str">
            <v>Pending Checker</v>
          </cell>
          <cell r="T3117" t="str">
            <v>00394521 - Muhammad Hibbanduta</v>
          </cell>
          <cell r="U3117" t="str">
            <v>"-"</v>
          </cell>
        </row>
        <row r="3118">
          <cell r="A3118">
            <v>46265</v>
          </cell>
          <cell r="B3118" t="str">
            <v xml:space="preserve">PARAMA GLOBAL INSPIRA                   </v>
          </cell>
          <cell r="C3118" t="str">
            <v>PEY4507</v>
          </cell>
          <cell r="D3118">
            <v>217201000218309</v>
          </cell>
          <cell r="E3118" t="str">
            <v>SEDANG</v>
          </cell>
          <cell r="F3118" t="str">
            <v>Tidak</v>
          </cell>
          <cell r="G3118" t="str">
            <v>Tidak</v>
          </cell>
          <cell r="H3118" t="str">
            <v>Tidak</v>
          </cell>
          <cell r="I3118" t="str">
            <v>Perpajakan</v>
          </cell>
          <cell r="J3118">
            <v>50</v>
          </cell>
          <cell r="K3118">
            <v>1.33</v>
          </cell>
          <cell r="L3118" t="str">
            <v>Perpajakan</v>
          </cell>
          <cell r="M3118" t="str">
            <v xml:space="preserve">KCP POS PENGUMBEN                       </v>
          </cell>
          <cell r="N3118" t="str">
            <v xml:space="preserve">KC Jakarta Palmerah                     </v>
          </cell>
          <cell r="O3118" t="str">
            <v xml:space="preserve">KANWIL JAKARTA 3                        </v>
          </cell>
          <cell r="P3118" t="str">
            <v>Tidak</v>
          </cell>
          <cell r="Q3118" t="str">
            <v>Tidak</v>
          </cell>
          <cell r="R3118" t="str">
            <v>Done</v>
          </cell>
          <cell r="S3118" t="str">
            <v>Pending Checker</v>
          </cell>
          <cell r="T3118" t="str">
            <v>90185537 - Moh.Khoerul Fajar Ar</v>
          </cell>
          <cell r="U3118" t="str">
            <v>"-"</v>
          </cell>
        </row>
        <row r="3119">
          <cell r="A3119">
            <v>46265</v>
          </cell>
          <cell r="B3119" t="str">
            <v xml:space="preserve">PASAMAN GUNTUR MANDIRI                  </v>
          </cell>
          <cell r="C3119" t="str">
            <v>PFN9558</v>
          </cell>
          <cell r="D3119">
            <v>61501001001307</v>
          </cell>
          <cell r="E3119" t="str">
            <v>SEDANG</v>
          </cell>
          <cell r="F3119" t="str">
            <v>Tidak</v>
          </cell>
          <cell r="G3119" t="str">
            <v>Tidak</v>
          </cell>
          <cell r="H3119" t="str">
            <v>Tidak</v>
          </cell>
          <cell r="I3119" t="str">
            <v>Perpajakan</v>
          </cell>
          <cell r="J3119">
            <v>48</v>
          </cell>
          <cell r="K3119">
            <v>41</v>
          </cell>
          <cell r="L3119" t="str">
            <v>Perpajakan</v>
          </cell>
          <cell r="M3119" t="str">
            <v xml:space="preserve">KC Simpang Empat                        </v>
          </cell>
          <cell r="N3119" t="str">
            <v xml:space="preserve">KC Simpang Empat                        </v>
          </cell>
          <cell r="O3119" t="str">
            <v xml:space="preserve">Padang                                  </v>
          </cell>
          <cell r="P3119" t="str">
            <v>Tidak</v>
          </cell>
          <cell r="Q3119" t="str">
            <v>Tidak</v>
          </cell>
          <cell r="R3119" t="str">
            <v>Done</v>
          </cell>
          <cell r="S3119" t="str">
            <v>Pending Checker</v>
          </cell>
          <cell r="T3119" t="str">
            <v>90185538 - Muhammad Fahikal Auz</v>
          </cell>
          <cell r="U3119" t="str">
            <v>"-"</v>
          </cell>
        </row>
        <row r="3120">
          <cell r="A3120">
            <v>46265</v>
          </cell>
          <cell r="B3120" t="str">
            <v xml:space="preserve">PATRICK DEVIS NASUTION                  </v>
          </cell>
          <cell r="C3120" t="str">
            <v>PCH7636</v>
          </cell>
          <cell r="D3120">
            <v>342301051378534</v>
          </cell>
          <cell r="E3120" t="str">
            <v>SEDANG</v>
          </cell>
          <cell r="F3120" t="str">
            <v>Tidak</v>
          </cell>
          <cell r="G3120" t="str">
            <v>Tidak</v>
          </cell>
          <cell r="H3120" t="str">
            <v>Tidak</v>
          </cell>
          <cell r="I3120" t="str">
            <v>Narkotika - Area Lapas</v>
          </cell>
          <cell r="J3120">
            <v>54</v>
          </cell>
          <cell r="K3120">
            <v>48</v>
          </cell>
          <cell r="L3120" t="str">
            <v>Narkotika</v>
          </cell>
          <cell r="M3120" t="str">
            <v>UNIT NABIRE</v>
          </cell>
          <cell r="N3120" t="str">
            <v>KC Nabire</v>
          </cell>
          <cell r="O3120" t="str">
            <v>KANWIL JAYAPURA</v>
          </cell>
          <cell r="P3120" t="str">
            <v>Tidak</v>
          </cell>
          <cell r="Q3120" t="str">
            <v>Ya</v>
          </cell>
          <cell r="R3120" t="str">
            <v>Done</v>
          </cell>
          <cell r="S3120" t="str">
            <v>Pending Checker</v>
          </cell>
          <cell r="T3120" t="str">
            <v>00394521 - Muhammad Hibbanduta</v>
          </cell>
          <cell r="U3120" t="str">
            <v>"-"</v>
          </cell>
        </row>
        <row r="3121">
          <cell r="A3121">
            <v>46265</v>
          </cell>
          <cell r="B3121" t="str">
            <v xml:space="preserve">PUNCAK JAYA SAMUDRA                     </v>
          </cell>
          <cell r="C3121" t="str">
            <v>PCJ0611</v>
          </cell>
          <cell r="D3121">
            <v>6902000006303</v>
          </cell>
          <cell r="E3121" t="str">
            <v>SEDANG</v>
          </cell>
          <cell r="F3121" t="str">
            <v>Tidak</v>
          </cell>
          <cell r="G3121" t="str">
            <v>Tidak</v>
          </cell>
          <cell r="H3121" t="str">
            <v>Tidak</v>
          </cell>
          <cell r="I3121" t="str">
            <v>TPPO - Perusahaan PJTKI</v>
          </cell>
          <cell r="J3121">
            <v>48</v>
          </cell>
          <cell r="K3121">
            <v>102</v>
          </cell>
          <cell r="L3121" t="str">
            <v>TPPO</v>
          </cell>
          <cell r="M3121" t="str">
            <v xml:space="preserve">KC Pemalang                             </v>
          </cell>
          <cell r="N3121" t="str">
            <v xml:space="preserve">KC Pemalang                             </v>
          </cell>
          <cell r="O3121" t="str">
            <v xml:space="preserve">Semarang                                </v>
          </cell>
          <cell r="P3121" t="str">
            <v>Tidak</v>
          </cell>
          <cell r="Q3121" t="str">
            <v>Tidak</v>
          </cell>
          <cell r="R3121" t="str">
            <v>Done</v>
          </cell>
          <cell r="S3121" t="str">
            <v>Pending Checker</v>
          </cell>
          <cell r="T3121" t="str">
            <v>90186796 - Devito Arya Wiradila</v>
          </cell>
          <cell r="U3121" t="str">
            <v>"-"</v>
          </cell>
        </row>
        <row r="3122">
          <cell r="A3122">
            <v>46265</v>
          </cell>
          <cell r="B3122" t="str">
            <v xml:space="preserve">SOLUSI INTEGRASI LAYANAN KONEKTIVITAS   </v>
          </cell>
          <cell r="C3122" t="str">
            <v>SKEFN78</v>
          </cell>
          <cell r="D3122">
            <v>40501001865304</v>
          </cell>
          <cell r="F3122" t="str">
            <v>Tidak</v>
          </cell>
          <cell r="G3122" t="str">
            <v>Tidak</v>
          </cell>
          <cell r="H3122" t="str">
            <v>Tidak</v>
          </cell>
          <cell r="I3122" t="str">
            <v>Perpajakan</v>
          </cell>
          <cell r="J3122">
            <v>33</v>
          </cell>
          <cell r="K3122">
            <v>41</v>
          </cell>
          <cell r="L3122" t="str">
            <v>Perpajakan</v>
          </cell>
          <cell r="M3122" t="str">
            <v xml:space="preserve">KC Bandung Dago                         </v>
          </cell>
          <cell r="N3122" t="str">
            <v xml:space="preserve">KC Bandung Dago                         </v>
          </cell>
          <cell r="O3122" t="str">
            <v xml:space="preserve">Bandung                                 </v>
          </cell>
          <cell r="P3122" t="str">
            <v>Tidak</v>
          </cell>
          <cell r="Q3122" t="str">
            <v>Tidak</v>
          </cell>
          <cell r="R3122" t="str">
            <v>Done</v>
          </cell>
          <cell r="S3122" t="str">
            <v>Pending Checker</v>
          </cell>
          <cell r="T3122" t="str">
            <v>90171841 - Rifqi Aziz</v>
          </cell>
          <cell r="U3122" t="str">
            <v>"-"</v>
          </cell>
        </row>
        <row r="3123">
          <cell r="A3123">
            <v>46265</v>
          </cell>
          <cell r="B3123" t="str">
            <v xml:space="preserve">SATYA                                   </v>
          </cell>
          <cell r="C3123" t="str">
            <v>SLBEZ73</v>
          </cell>
          <cell r="D3123">
            <v>39301004272569</v>
          </cell>
          <cell r="F3123" t="str">
            <v>Tidak</v>
          </cell>
          <cell r="G3123" t="str">
            <v>Tidak</v>
          </cell>
          <cell r="H3123" t="str">
            <v>Tidak</v>
          </cell>
          <cell r="I3123" t="str">
            <v>Perpajakan</v>
          </cell>
          <cell r="J3123">
            <v>33</v>
          </cell>
          <cell r="K3123">
            <v>41</v>
          </cell>
          <cell r="L3123" t="str">
            <v>Perpajakan</v>
          </cell>
          <cell r="M3123" t="str">
            <v xml:space="preserve">KC Bintaro                              </v>
          </cell>
          <cell r="N3123" t="str">
            <v xml:space="preserve">KC Bintaro                              </v>
          </cell>
          <cell r="O3123" t="str">
            <v xml:space="preserve">KANWIL JAKARTA 3                        </v>
          </cell>
          <cell r="P3123" t="str">
            <v>Tidak</v>
          </cell>
          <cell r="Q3123" t="str">
            <v>Tidak</v>
          </cell>
          <cell r="R3123" t="str">
            <v>Done</v>
          </cell>
          <cell r="S3123" t="str">
            <v>Pending Checker</v>
          </cell>
          <cell r="T3123" t="str">
            <v>90185538 - Muhammad Fahikal Auz</v>
          </cell>
          <cell r="U3123" t="str">
            <v>"-"</v>
          </cell>
        </row>
        <row r="3124">
          <cell r="A3124">
            <v>46265</v>
          </cell>
          <cell r="B3124" t="str">
            <v xml:space="preserve">SINAR DIGITAL TERDEPAN                  </v>
          </cell>
          <cell r="C3124" t="str">
            <v>SQZW367</v>
          </cell>
          <cell r="D3124">
            <v>122301000593301</v>
          </cell>
          <cell r="E3124" t="str">
            <v>SEDANG</v>
          </cell>
          <cell r="F3124" t="str">
            <v>Tidak</v>
          </cell>
          <cell r="G3124" t="str">
            <v>Tidak</v>
          </cell>
          <cell r="H3124" t="str">
            <v>Tidak</v>
          </cell>
          <cell r="I3124" t="str">
            <v>Narkotika/Psikotropika- Remark</v>
          </cell>
          <cell r="J3124">
            <v>50</v>
          </cell>
          <cell r="K3124">
            <v>9</v>
          </cell>
          <cell r="L3124" t="str">
            <v>Narkotika/Psikotropika</v>
          </cell>
          <cell r="M3124" t="str">
            <v xml:space="preserve">KC JAKARTA MEGA KUNINGAN                </v>
          </cell>
          <cell r="N3124" t="str">
            <v xml:space="preserve">KC JAKARTA MEGA KUNINGAN                </v>
          </cell>
          <cell r="O3124" t="str">
            <v xml:space="preserve">DKI2                                    </v>
          </cell>
          <cell r="P3124" t="str">
            <v>Tidak</v>
          </cell>
          <cell r="Q3124" t="str">
            <v>Tidak</v>
          </cell>
          <cell r="R3124" t="str">
            <v>Done</v>
          </cell>
          <cell r="S3124" t="str">
            <v>Pending Checker</v>
          </cell>
          <cell r="T3124" t="str">
            <v>90185538 - Muhammad Fahikal Auz</v>
          </cell>
          <cell r="U3124" t="str">
            <v>"-"</v>
          </cell>
        </row>
        <row r="3125">
          <cell r="A3125">
            <v>46265</v>
          </cell>
          <cell r="B3125" t="str">
            <v xml:space="preserve">SELESTIAL MAYA SOLUSINDO                </v>
          </cell>
          <cell r="C3125" t="str">
            <v>SJIUC69</v>
          </cell>
          <cell r="D3125">
            <v>50901003189300</v>
          </cell>
          <cell r="F3125" t="str">
            <v>Tidak</v>
          </cell>
          <cell r="G3125" t="str">
            <v>Tidak</v>
          </cell>
          <cell r="H3125" t="str">
            <v>Tidak</v>
          </cell>
          <cell r="I3125" t="str">
            <v>Perpajakan</v>
          </cell>
          <cell r="J3125">
            <v>33</v>
          </cell>
          <cell r="K3125">
            <v>41</v>
          </cell>
          <cell r="L3125" t="str">
            <v>Perpajakan</v>
          </cell>
          <cell r="M3125" t="str">
            <v xml:space="preserve">KC Bumi Serpong Damai                   </v>
          </cell>
          <cell r="N3125" t="str">
            <v xml:space="preserve">KC Bumi Serpong Damai                   </v>
          </cell>
          <cell r="O3125" t="str">
            <v xml:space="preserve">KANWIL JAKARTA 3                        </v>
          </cell>
          <cell r="P3125" t="str">
            <v>Tidak</v>
          </cell>
          <cell r="Q3125" t="str">
            <v>Tidak</v>
          </cell>
          <cell r="R3125" t="str">
            <v>Done</v>
          </cell>
          <cell r="S3125" t="str">
            <v>Pending Checker</v>
          </cell>
          <cell r="T3125" t="str">
            <v>90186790 - Muhammad Alfin Farha</v>
          </cell>
          <cell r="U3125" t="str">
            <v>"-"</v>
          </cell>
        </row>
        <row r="3126">
          <cell r="A3126">
            <v>46265</v>
          </cell>
          <cell r="B3126" t="str">
            <v xml:space="preserve">SANTIKA DIVA SEMARANG                   </v>
          </cell>
          <cell r="C3126" t="str">
            <v>SJFHZ83</v>
          </cell>
          <cell r="D3126">
            <v>8101010210568</v>
          </cell>
          <cell r="F3126" t="str">
            <v>Tidak</v>
          </cell>
          <cell r="G3126" t="str">
            <v>Tidak</v>
          </cell>
          <cell r="H3126" t="str">
            <v>Tidak</v>
          </cell>
          <cell r="I3126" t="str">
            <v>Perpajakan</v>
          </cell>
          <cell r="J3126">
            <v>34</v>
          </cell>
          <cell r="K3126">
            <v>41</v>
          </cell>
          <cell r="L3126" t="str">
            <v>Perpajakan</v>
          </cell>
          <cell r="M3126" t="str">
            <v xml:space="preserve">KC Salatiga                             </v>
          </cell>
          <cell r="N3126" t="str">
            <v xml:space="preserve">KC Salatiga                             </v>
          </cell>
          <cell r="O3126" t="str">
            <v xml:space="preserve">Semarang                                </v>
          </cell>
          <cell r="P3126" t="str">
            <v>Tidak</v>
          </cell>
          <cell r="Q3126" t="str">
            <v>Tidak</v>
          </cell>
          <cell r="R3126" t="str">
            <v>Done</v>
          </cell>
          <cell r="S3126" t="str">
            <v>Pending Checker</v>
          </cell>
          <cell r="T3126" t="str">
            <v>90186790 - Muhammad Alfin Farha</v>
          </cell>
          <cell r="U3126" t="str">
            <v>"-"</v>
          </cell>
        </row>
        <row r="3127">
          <cell r="A3127">
            <v>46265</v>
          </cell>
          <cell r="B3127" t="str">
            <v xml:space="preserve">SANTIKA DIVA SIDOARJO                   </v>
          </cell>
          <cell r="C3127" t="str">
            <v>SJFIN30</v>
          </cell>
          <cell r="D3127">
            <v>8101010606565</v>
          </cell>
          <cell r="F3127" t="str">
            <v>Tidak</v>
          </cell>
          <cell r="G3127" t="str">
            <v>Tidak</v>
          </cell>
          <cell r="H3127" t="str">
            <v>Tidak</v>
          </cell>
          <cell r="I3127" t="str">
            <v>Perpajakan</v>
          </cell>
          <cell r="J3127">
            <v>38</v>
          </cell>
          <cell r="K3127">
            <v>41</v>
          </cell>
          <cell r="L3127" t="str">
            <v>Perpajakan</v>
          </cell>
          <cell r="M3127" t="str">
            <v xml:space="preserve">KC Salatiga                             </v>
          </cell>
          <cell r="N3127" t="str">
            <v xml:space="preserve">KC Salatiga                             </v>
          </cell>
          <cell r="O3127" t="str">
            <v xml:space="preserve">Semarang                                </v>
          </cell>
          <cell r="P3127" t="str">
            <v>Tidak</v>
          </cell>
          <cell r="Q3127" t="str">
            <v>Tidak</v>
          </cell>
          <cell r="R3127" t="str">
            <v>Done</v>
          </cell>
          <cell r="S3127" t="str">
            <v>Pending Checker</v>
          </cell>
          <cell r="T3127" t="str">
            <v>90170665 - Mutiara Ayuningtyas</v>
          </cell>
          <cell r="U3127" t="str">
            <v>"-"</v>
          </cell>
        </row>
        <row r="3128">
          <cell r="A3128">
            <v>46265</v>
          </cell>
          <cell r="B3128" t="str">
            <v xml:space="preserve">SANTIKA DIVA MALANG                     </v>
          </cell>
          <cell r="C3128" t="str">
            <v>SJFJF77</v>
          </cell>
          <cell r="D3128">
            <v>8101010810562</v>
          </cell>
          <cell r="F3128" t="str">
            <v>Tidak</v>
          </cell>
          <cell r="G3128" t="str">
            <v>Tidak</v>
          </cell>
          <cell r="H3128" t="str">
            <v>Tidak</v>
          </cell>
          <cell r="I3128" t="str">
            <v>Perpajakan</v>
          </cell>
          <cell r="J3128">
            <v>34</v>
          </cell>
          <cell r="K3128">
            <v>41</v>
          </cell>
          <cell r="L3128" t="str">
            <v>Perpajakan</v>
          </cell>
          <cell r="M3128" t="str">
            <v xml:space="preserve">KC Salatiga                             </v>
          </cell>
          <cell r="N3128" t="str">
            <v xml:space="preserve">KC Salatiga                             </v>
          </cell>
          <cell r="O3128" t="str">
            <v xml:space="preserve">Semarang                                </v>
          </cell>
          <cell r="P3128" t="str">
            <v>Tidak</v>
          </cell>
          <cell r="Q3128" t="str">
            <v>Tidak</v>
          </cell>
          <cell r="R3128" t="str">
            <v>Done</v>
          </cell>
          <cell r="S3128" t="str">
            <v>Pending Checker</v>
          </cell>
          <cell r="T3128" t="str">
            <v>90186796 - Devito Arya Wiradila</v>
          </cell>
          <cell r="U3128" t="str">
            <v>"-"</v>
          </cell>
        </row>
        <row r="3129">
          <cell r="A3129">
            <v>46265</v>
          </cell>
          <cell r="B3129" t="str">
            <v xml:space="preserve">SURYA PRADESA                           </v>
          </cell>
          <cell r="C3129" t="str">
            <v>SDKK389</v>
          </cell>
          <cell r="D3129">
            <v>360801039529531</v>
          </cell>
          <cell r="E3129" t="str">
            <v>SEDANG</v>
          </cell>
          <cell r="F3129" t="str">
            <v>Tidak</v>
          </cell>
          <cell r="G3129" t="str">
            <v>Tidak</v>
          </cell>
          <cell r="H3129" t="str">
            <v>Tidak</v>
          </cell>
          <cell r="I3129" t="str">
            <v>Narkotika - Area Lapas</v>
          </cell>
          <cell r="J3129">
            <v>48</v>
          </cell>
          <cell r="K3129">
            <v>47</v>
          </cell>
          <cell r="L3129" t="str">
            <v>Narkotika</v>
          </cell>
          <cell r="M3129" t="str">
            <v>UNIT KASONGAN PALANGKARAYA</v>
          </cell>
          <cell r="N3129" t="str">
            <v>KC Palangkaraya</v>
          </cell>
          <cell r="O3129" t="str">
            <v>Banjarmasin</v>
          </cell>
          <cell r="P3129" t="str">
            <v>Tidak</v>
          </cell>
          <cell r="Q3129" t="str">
            <v>Tidak</v>
          </cell>
          <cell r="R3129" t="str">
            <v>Done</v>
          </cell>
          <cell r="S3129" t="str">
            <v>Pending Checker</v>
          </cell>
          <cell r="T3129" t="str">
            <v>00336949 - Mochammad Al Farabi</v>
          </cell>
          <cell r="U3129" t="str">
            <v>"-"</v>
          </cell>
        </row>
        <row r="3130">
          <cell r="A3130">
            <v>46265</v>
          </cell>
          <cell r="B3130" t="str">
            <v xml:space="preserve">REKA MULTI APTIKA                       </v>
          </cell>
          <cell r="C3130" t="str">
            <v>RQOK790</v>
          </cell>
          <cell r="D3130">
            <v>50901678888305</v>
          </cell>
          <cell r="F3130" t="str">
            <v>Tidak</v>
          </cell>
          <cell r="G3130" t="str">
            <v>Tidak</v>
          </cell>
          <cell r="H3130" t="str">
            <v>Tidak</v>
          </cell>
          <cell r="I3130" t="str">
            <v>Perpajakan</v>
          </cell>
          <cell r="J3130">
            <v>33</v>
          </cell>
          <cell r="K3130">
            <v>41</v>
          </cell>
          <cell r="L3130" t="str">
            <v>Perpajakan</v>
          </cell>
          <cell r="M3130" t="str">
            <v xml:space="preserve">KC Bumi Serpong Damai                   </v>
          </cell>
          <cell r="N3130" t="str">
            <v xml:space="preserve">KC Bumi Serpong Damai                   </v>
          </cell>
          <cell r="O3130" t="str">
            <v xml:space="preserve">KANWIL JAKARTA 3                        </v>
          </cell>
          <cell r="P3130" t="str">
            <v>Tidak</v>
          </cell>
          <cell r="Q3130" t="str">
            <v>Tidak</v>
          </cell>
          <cell r="R3130" t="str">
            <v>Done</v>
          </cell>
          <cell r="S3130" t="str">
            <v>Pending Checker</v>
          </cell>
          <cell r="T3130" t="str">
            <v>00394520 - Frida Akbar Rani</v>
          </cell>
          <cell r="U3130" t="str">
            <v>"-"</v>
          </cell>
        </row>
        <row r="3131">
          <cell r="A3131">
            <v>46265</v>
          </cell>
          <cell r="B3131" t="str">
            <v xml:space="preserve">WARISAN GAYA CIANJUR                    </v>
          </cell>
          <cell r="C3131" t="str">
            <v>WMF1795</v>
          </cell>
          <cell r="D3131">
            <v>8101011301566</v>
          </cell>
          <cell r="F3131" t="str">
            <v>Tidak</v>
          </cell>
          <cell r="G3131" t="str">
            <v>Tidak</v>
          </cell>
          <cell r="H3131" t="str">
            <v>Tidak</v>
          </cell>
          <cell r="I3131" t="str">
            <v>Perpajakan</v>
          </cell>
          <cell r="J3131">
            <v>36</v>
          </cell>
          <cell r="K3131">
            <v>41</v>
          </cell>
          <cell r="L3131" t="str">
            <v>Perpajakan</v>
          </cell>
          <cell r="M3131" t="str">
            <v xml:space="preserve">KC Salatiga                             </v>
          </cell>
          <cell r="N3131" t="str">
            <v xml:space="preserve">KC Salatiga                             </v>
          </cell>
          <cell r="O3131" t="str">
            <v xml:space="preserve">Semarang                                </v>
          </cell>
          <cell r="P3131" t="str">
            <v>Tidak</v>
          </cell>
          <cell r="Q3131" t="str">
            <v>Tidak</v>
          </cell>
          <cell r="R3131" t="str">
            <v>Done</v>
          </cell>
          <cell r="S3131" t="str">
            <v>Pending Checker</v>
          </cell>
          <cell r="T3131" t="str">
            <v>90185537 - Moh.Khoerul Fajar Ar</v>
          </cell>
          <cell r="U3131" t="str">
            <v>"-"</v>
          </cell>
        </row>
        <row r="3132">
          <cell r="A3132">
            <v>46265</v>
          </cell>
          <cell r="B3132" t="str">
            <v xml:space="preserve">VINOLIYA                                </v>
          </cell>
          <cell r="C3132" t="str">
            <v>V130346</v>
          </cell>
          <cell r="D3132">
            <v>360801020597539</v>
          </cell>
          <cell r="E3132" t="str">
            <v>SEDANG</v>
          </cell>
          <cell r="F3132" t="str">
            <v>Ya</v>
          </cell>
          <cell r="G3132" t="str">
            <v>Tidak</v>
          </cell>
          <cell r="H3132" t="str">
            <v>Tidak</v>
          </cell>
          <cell r="I3132" t="str">
            <v>Narkotika - Area Lapas</v>
          </cell>
          <cell r="J3132">
            <v>49</v>
          </cell>
          <cell r="K3132">
            <v>47</v>
          </cell>
          <cell r="L3132" t="str">
            <v>Narkotika</v>
          </cell>
          <cell r="M3132" t="str">
            <v>UNIT KASONGAN PALANGKARAYA</v>
          </cell>
          <cell r="N3132" t="str">
            <v>KC Palangkaraya</v>
          </cell>
          <cell r="O3132" t="str">
            <v>Banjarmasin</v>
          </cell>
          <cell r="P3132" t="str">
            <v>Tidak</v>
          </cell>
          <cell r="Q3132" t="str">
            <v>Tidak</v>
          </cell>
          <cell r="R3132" t="str">
            <v>Done</v>
          </cell>
          <cell r="S3132" t="str">
            <v>Pending Checker</v>
          </cell>
          <cell r="T3132" t="str">
            <v>90150130 - Intan Aida Pratiwi</v>
          </cell>
          <cell r="U3132" t="str">
            <v>"-"</v>
          </cell>
        </row>
        <row r="3133">
          <cell r="A3133">
            <v>46265</v>
          </cell>
          <cell r="B3133" t="str">
            <v xml:space="preserve">VIA MARGARETTA                          </v>
          </cell>
          <cell r="C3133" t="str">
            <v>V615279</v>
          </cell>
          <cell r="D3133">
            <v>40101000926567</v>
          </cell>
          <cell r="E3133" t="str">
            <v>TINGGI</v>
          </cell>
          <cell r="F3133" t="str">
            <v>Ya</v>
          </cell>
          <cell r="G3133" t="str">
            <v>Tidak</v>
          </cell>
          <cell r="H3133" t="str">
            <v>Tidak</v>
          </cell>
          <cell r="I3133" t="str">
            <v>Perpajakan</v>
          </cell>
          <cell r="J3133">
            <v>75</v>
          </cell>
          <cell r="K3133">
            <v>1.33</v>
          </cell>
          <cell r="L3133" t="str">
            <v>Perpajakan</v>
          </cell>
          <cell r="M3133" t="str">
            <v xml:space="preserve">KC Bandung Kopo                         </v>
          </cell>
          <cell r="N3133" t="str">
            <v xml:space="preserve">KC Bandung Kopo                         </v>
          </cell>
          <cell r="O3133" t="str">
            <v xml:space="preserve">Bandung                                 </v>
          </cell>
          <cell r="P3133" t="str">
            <v>Tidak</v>
          </cell>
          <cell r="Q3133" t="str">
            <v>Tidak</v>
          </cell>
          <cell r="R3133" t="str">
            <v>Done</v>
          </cell>
          <cell r="S3133" t="str">
            <v>Pending Checker</v>
          </cell>
          <cell r="T3133" t="str">
            <v>90186790 - Muhammad Alfin Farha</v>
          </cell>
          <cell r="U3133" t="str">
            <v>"-"</v>
          </cell>
        </row>
        <row r="3134">
          <cell r="A3134">
            <v>46265</v>
          </cell>
          <cell r="B3134" t="str">
            <v xml:space="preserve">VERA DWI LESTARI                        </v>
          </cell>
          <cell r="C3134" t="str">
            <v>V707798</v>
          </cell>
          <cell r="D3134">
            <v>7101078687502</v>
          </cell>
          <cell r="E3134" t="str">
            <v>SEDANG</v>
          </cell>
          <cell r="F3134" t="str">
            <v>Tidak</v>
          </cell>
          <cell r="G3134" t="str">
            <v>Tidak</v>
          </cell>
          <cell r="H3134" t="str">
            <v>Tidak</v>
          </cell>
          <cell r="I3134" t="str">
            <v>Narkotika - Area Lapas</v>
          </cell>
          <cell r="J3134">
            <v>54</v>
          </cell>
          <cell r="K3134">
            <v>48</v>
          </cell>
          <cell r="L3134" t="str">
            <v>Narkotika</v>
          </cell>
          <cell r="M3134" t="str">
            <v>KC Pontianak</v>
          </cell>
          <cell r="N3134" t="str">
            <v>KC Pontianak</v>
          </cell>
          <cell r="O3134" t="str">
            <v>Banjarmasin</v>
          </cell>
          <cell r="P3134" t="str">
            <v>Tidak</v>
          </cell>
          <cell r="Q3134" t="str">
            <v>Tidak</v>
          </cell>
          <cell r="R3134" t="str">
            <v>Done</v>
          </cell>
          <cell r="S3134" t="str">
            <v>Pending Checker</v>
          </cell>
          <cell r="T3134" t="str">
            <v>90170665 - Mutiara Ayuningtyas</v>
          </cell>
          <cell r="U3134" t="str">
            <v>"-"</v>
          </cell>
        </row>
        <row r="3135">
          <cell r="A3135">
            <v>46265</v>
          </cell>
          <cell r="B3135" t="str">
            <v xml:space="preserve">WIDIA SUSILAWATI                        </v>
          </cell>
          <cell r="C3135" t="str">
            <v>WIB4561</v>
          </cell>
          <cell r="D3135">
            <v>544701033533538</v>
          </cell>
          <cell r="E3135" t="str">
            <v>SEDANG</v>
          </cell>
          <cell r="F3135" t="str">
            <v>Ya</v>
          </cell>
          <cell r="G3135" t="str">
            <v>Tidak</v>
          </cell>
          <cell r="H3135" t="str">
            <v>Tidak</v>
          </cell>
          <cell r="I3135" t="str">
            <v>Narkotika - Area Lapas</v>
          </cell>
          <cell r="J3135">
            <v>50</v>
          </cell>
          <cell r="K3135">
            <v>46</v>
          </cell>
          <cell r="L3135" t="str">
            <v>Narkotika</v>
          </cell>
          <cell r="M3135" t="str">
            <v>UNIT KINALI SIMPANG EMPAT</v>
          </cell>
          <cell r="N3135" t="str">
            <v>KC Simpang Empat</v>
          </cell>
          <cell r="O3135" t="str">
            <v>Padang</v>
          </cell>
          <cell r="P3135" t="str">
            <v>Tidak</v>
          </cell>
          <cell r="Q3135" t="str">
            <v>Tidak</v>
          </cell>
          <cell r="R3135" t="str">
            <v>Done</v>
          </cell>
          <cell r="S3135" t="str">
            <v>Pending Checker</v>
          </cell>
          <cell r="T3135" t="str">
            <v>00394521 - Muhammad Hibbanduta</v>
          </cell>
          <cell r="U3135" t="str">
            <v>"-"</v>
          </cell>
        </row>
        <row r="3136">
          <cell r="A3136">
            <v>46265</v>
          </cell>
          <cell r="B3136" t="str">
            <v xml:space="preserve">WARISAN GAYA MERR                       </v>
          </cell>
          <cell r="C3136" t="str">
            <v>WLR6772</v>
          </cell>
          <cell r="D3136">
            <v>8101011204560</v>
          </cell>
          <cell r="F3136" t="str">
            <v>Tidak</v>
          </cell>
          <cell r="G3136" t="str">
            <v>Tidak</v>
          </cell>
          <cell r="H3136" t="str">
            <v>Tidak</v>
          </cell>
          <cell r="I3136" t="str">
            <v>Perpajakan</v>
          </cell>
          <cell r="J3136">
            <v>34</v>
          </cell>
          <cell r="K3136">
            <v>41</v>
          </cell>
          <cell r="L3136" t="str">
            <v>Perpajakan</v>
          </cell>
          <cell r="M3136" t="str">
            <v xml:space="preserve">KC Salatiga                             </v>
          </cell>
          <cell r="N3136" t="str">
            <v xml:space="preserve">KC Salatiga                             </v>
          </cell>
          <cell r="O3136" t="str">
            <v xml:space="preserve">Semarang                                </v>
          </cell>
          <cell r="P3136" t="str">
            <v>Tidak</v>
          </cell>
          <cell r="Q3136" t="str">
            <v>Tidak</v>
          </cell>
          <cell r="R3136" t="str">
            <v>Done</v>
          </cell>
          <cell r="S3136" t="str">
            <v>Pending Checker</v>
          </cell>
          <cell r="T3136" t="str">
            <v>00394520 - Frida Akbar Rani</v>
          </cell>
          <cell r="U3136" t="str">
            <v>"-"</v>
          </cell>
        </row>
        <row r="3137">
          <cell r="A3137">
            <v>46265</v>
          </cell>
          <cell r="B3137" t="str">
            <v xml:space="preserve">SINARBAAI MANDIRI                       </v>
          </cell>
          <cell r="C3137" t="str">
            <v>SYWH684</v>
          </cell>
          <cell r="D3137">
            <v>5001004769306</v>
          </cell>
          <cell r="E3137" t="str">
            <v>SEDANG</v>
          </cell>
          <cell r="F3137" t="str">
            <v>Tidak</v>
          </cell>
          <cell r="G3137" t="str">
            <v>Tidak</v>
          </cell>
          <cell r="H3137" t="str">
            <v>Tidak</v>
          </cell>
          <cell r="I3137" t="str">
            <v>Perpajakan</v>
          </cell>
          <cell r="J3137">
            <v>48</v>
          </cell>
          <cell r="K3137">
            <v>41</v>
          </cell>
          <cell r="L3137" t="str">
            <v>Perpajakan</v>
          </cell>
          <cell r="M3137" t="str">
            <v xml:space="preserve">KC Makassar Ahmad Yani                  </v>
          </cell>
          <cell r="N3137" t="str">
            <v xml:space="preserve">KC Makassar Ahmad Yani                  </v>
          </cell>
          <cell r="O3137" t="str">
            <v xml:space="preserve">Makassar                                </v>
          </cell>
          <cell r="P3137" t="str">
            <v>Tidak</v>
          </cell>
          <cell r="Q3137" t="str">
            <v>Tidak</v>
          </cell>
          <cell r="R3137" t="str">
            <v>Done</v>
          </cell>
          <cell r="S3137" t="str">
            <v>Pending Checker</v>
          </cell>
          <cell r="T3137" t="str">
            <v>90186790 - Muhammad Alfin Farha</v>
          </cell>
          <cell r="U3137" t="str">
            <v>"-"</v>
          </cell>
        </row>
        <row r="3138">
          <cell r="A3138">
            <v>46265</v>
          </cell>
          <cell r="B3138" t="str">
            <v xml:space="preserve">TUTI ROHMATIN                           </v>
          </cell>
          <cell r="C3138" t="str">
            <v>TP23439</v>
          </cell>
          <cell r="D3138">
            <v>67601000597569</v>
          </cell>
          <cell r="E3138" t="str">
            <v>RENDAH</v>
          </cell>
          <cell r="F3138" t="str">
            <v>Tidak</v>
          </cell>
          <cell r="G3138" t="str">
            <v>Tidak</v>
          </cell>
          <cell r="H3138" t="str">
            <v>Tidak</v>
          </cell>
          <cell r="I3138" t="str">
            <v>Pencurian Rekening</v>
          </cell>
          <cell r="J3138">
            <v>32</v>
          </cell>
          <cell r="K3138">
            <v>59</v>
          </cell>
          <cell r="L3138" t="str">
            <v>Perbankan</v>
          </cell>
          <cell r="M3138" t="str">
            <v xml:space="preserve">KCP JATIBARANG                          </v>
          </cell>
          <cell r="N3138" t="str">
            <v xml:space="preserve">KC Brebes                               </v>
          </cell>
          <cell r="O3138" t="str">
            <v xml:space="preserve">Semarang                                </v>
          </cell>
          <cell r="P3138" t="str">
            <v>Tidak</v>
          </cell>
          <cell r="Q3138" t="str">
            <v>Tidak</v>
          </cell>
          <cell r="R3138" t="str">
            <v>Done</v>
          </cell>
          <cell r="S3138" t="str">
            <v>Pending Checker</v>
          </cell>
          <cell r="T3138" t="str">
            <v>00336949 - Mochammad Al Farabi</v>
          </cell>
          <cell r="U3138" t="str">
            <v>"-"</v>
          </cell>
        </row>
        <row r="3139">
          <cell r="A3139">
            <v>46265</v>
          </cell>
          <cell r="B3139" t="str">
            <v xml:space="preserve">TUMBAKMAS NIAGASAKTI                    </v>
          </cell>
          <cell r="C3139" t="str">
            <v>TS68030</v>
          </cell>
          <cell r="D3139">
            <v>41701000229302</v>
          </cell>
          <cell r="E3139" t="str">
            <v>SEDANG</v>
          </cell>
          <cell r="F3139" t="str">
            <v>Tidak</v>
          </cell>
          <cell r="G3139" t="str">
            <v>Tidak</v>
          </cell>
          <cell r="H3139" t="str">
            <v>Tidak</v>
          </cell>
          <cell r="I3139" t="str">
            <v>Perpajakan</v>
          </cell>
          <cell r="J3139">
            <v>50</v>
          </cell>
          <cell r="K3139">
            <v>1.33</v>
          </cell>
          <cell r="L3139" t="str">
            <v>Perpajakan</v>
          </cell>
          <cell r="M3139" t="str">
            <v xml:space="preserve">KC Jakarta S Parman                     </v>
          </cell>
          <cell r="N3139" t="str">
            <v xml:space="preserve">KC Jakarta S Parman                     </v>
          </cell>
          <cell r="O3139" t="str">
            <v xml:space="preserve">KANWIL JAKARTA 3                        </v>
          </cell>
          <cell r="P3139" t="str">
            <v>Tidak</v>
          </cell>
          <cell r="Q3139" t="str">
            <v>Tidak</v>
          </cell>
          <cell r="R3139" t="str">
            <v>Done</v>
          </cell>
          <cell r="S3139" t="str">
            <v>Pending Checker</v>
          </cell>
          <cell r="T3139" t="str">
            <v>90150130 - Intan Aida Pratiwi</v>
          </cell>
          <cell r="U3139" t="str">
            <v>"-"</v>
          </cell>
        </row>
        <row r="3140">
          <cell r="A3140">
            <v>46265</v>
          </cell>
          <cell r="B3140" t="str">
            <v xml:space="preserve">YAY ABDI KARYA                          </v>
          </cell>
          <cell r="C3140" t="str">
            <v>YNZ2804</v>
          </cell>
          <cell r="D3140">
            <v>110601000504300</v>
          </cell>
          <cell r="E3140" t="str">
            <v>SEDANG</v>
          </cell>
          <cell r="F3140" t="str">
            <v>Tidak</v>
          </cell>
          <cell r="G3140" t="str">
            <v>Tidak</v>
          </cell>
          <cell r="H3140" t="str">
            <v>Tidak</v>
          </cell>
          <cell r="I3140" t="str">
            <v>Perpajakan</v>
          </cell>
          <cell r="J3140">
            <v>53</v>
          </cell>
          <cell r="K3140">
            <v>41</v>
          </cell>
          <cell r="L3140" t="str">
            <v>Perpajakan</v>
          </cell>
          <cell r="M3140" t="str">
            <v xml:space="preserve">KCP CILEDUG                             </v>
          </cell>
          <cell r="N3140" t="str">
            <v xml:space="preserve">KC Jakarta Joglo                        </v>
          </cell>
          <cell r="O3140" t="str">
            <v xml:space="preserve">KANWIL JAKARTA 3                        </v>
          </cell>
          <cell r="P3140" t="str">
            <v>Tidak</v>
          </cell>
          <cell r="Q3140" t="str">
            <v>Tidak</v>
          </cell>
          <cell r="R3140" t="str">
            <v>Done</v>
          </cell>
          <cell r="S3140" t="str">
            <v>Pending Checker</v>
          </cell>
          <cell r="T3140" t="str">
            <v>00394521 - Muhammad Hibbanduta</v>
          </cell>
          <cell r="U3140" t="str">
            <v>"-"</v>
          </cell>
        </row>
        <row r="3141">
          <cell r="A3141">
            <v>46265</v>
          </cell>
          <cell r="B3141" t="str">
            <v xml:space="preserve">EKO SISWANTO                            </v>
          </cell>
          <cell r="C3141" t="str">
            <v>EW82672</v>
          </cell>
          <cell r="D3141">
            <v>10801050840503</v>
          </cell>
          <cell r="E3141" t="str">
            <v>SEDANG</v>
          </cell>
          <cell r="F3141" t="str">
            <v>Tidak</v>
          </cell>
          <cell r="G3141" t="str">
            <v>Tidak</v>
          </cell>
          <cell r="H3141" t="str">
            <v>Tidak</v>
          </cell>
          <cell r="I3141" t="str">
            <v>Perikanan dan Kelautan</v>
          </cell>
          <cell r="J3141">
            <v>58</v>
          </cell>
          <cell r="K3141">
            <v>99</v>
          </cell>
          <cell r="L3141" t="str">
            <v>Perikanan dan Kelautan</v>
          </cell>
          <cell r="M3141" t="str">
            <v xml:space="preserve">KC Sungai Penuh                         </v>
          </cell>
          <cell r="N3141" t="str">
            <v xml:space="preserve">KC Sungai Penuh                         </v>
          </cell>
          <cell r="O3141" t="str">
            <v xml:space="preserve">Padang                                  </v>
          </cell>
          <cell r="P3141" t="str">
            <v>Tidak</v>
          </cell>
          <cell r="Q3141" t="str">
            <v>Tidak</v>
          </cell>
          <cell r="R3141" t="str">
            <v>Done</v>
          </cell>
          <cell r="S3141" t="str">
            <v>Pending Checker</v>
          </cell>
          <cell r="T3141" t="str">
            <v>90150130 - Intan Aida Pratiwi</v>
          </cell>
          <cell r="U3141" t="str">
            <v>"-"</v>
          </cell>
        </row>
        <row r="3142">
          <cell r="A3142">
            <v>46265</v>
          </cell>
          <cell r="B3142" t="str">
            <v xml:space="preserve">EDRICKO SHIPPING LINES                  </v>
          </cell>
          <cell r="C3142" t="str">
            <v>EPL8992</v>
          </cell>
          <cell r="D3142">
            <v>5001004767304</v>
          </cell>
          <cell r="E3142" t="str">
            <v>SEDANG</v>
          </cell>
          <cell r="F3142" t="str">
            <v>Tidak</v>
          </cell>
          <cell r="G3142" t="str">
            <v>Tidak</v>
          </cell>
          <cell r="H3142" t="str">
            <v>Tidak</v>
          </cell>
          <cell r="I3142" t="str">
            <v>Perpajakan</v>
          </cell>
          <cell r="J3142">
            <v>48</v>
          </cell>
          <cell r="K3142">
            <v>41</v>
          </cell>
          <cell r="L3142" t="str">
            <v>Perpajakan</v>
          </cell>
          <cell r="M3142" t="str">
            <v xml:space="preserve">KC Makassar Ahmad Yani                  </v>
          </cell>
          <cell r="N3142" t="str">
            <v xml:space="preserve">KC Makassar Ahmad Yani                  </v>
          </cell>
          <cell r="O3142" t="str">
            <v xml:space="preserve">Makassar                                </v>
          </cell>
          <cell r="P3142" t="str">
            <v>Tidak</v>
          </cell>
          <cell r="Q3142" t="str">
            <v>Tidak</v>
          </cell>
          <cell r="R3142" t="str">
            <v>Done</v>
          </cell>
          <cell r="S3142" t="str">
            <v>Pending Checker</v>
          </cell>
          <cell r="T3142" t="str">
            <v>90186790 - Muhammad Alfin Farha</v>
          </cell>
          <cell r="U3142" t="str">
            <v>"-"</v>
          </cell>
        </row>
        <row r="3143">
          <cell r="A3143">
            <v>46265</v>
          </cell>
          <cell r="B3143" t="str">
            <v xml:space="preserve">GUSTIAR                                 </v>
          </cell>
          <cell r="C3143" t="str">
            <v>GG96630</v>
          </cell>
          <cell r="D3143">
            <v>362601009900503</v>
          </cell>
          <cell r="E3143" t="str">
            <v>SEDANG</v>
          </cell>
          <cell r="F3143" t="str">
            <v>Tidak</v>
          </cell>
          <cell r="G3143" t="str">
            <v>Tidak</v>
          </cell>
          <cell r="H3143" t="str">
            <v>Tidak</v>
          </cell>
          <cell r="I3143" t="str">
            <v>Narkotika - Area Lapas</v>
          </cell>
          <cell r="J3143">
            <v>49</v>
          </cell>
          <cell r="K3143">
            <v>46</v>
          </cell>
          <cell r="L3143" t="str">
            <v>Narkotika</v>
          </cell>
          <cell r="M3143" t="str">
            <v>UNIT TOPOYO MAMUJU</v>
          </cell>
          <cell r="N3143" t="str">
            <v>KC Mamuju</v>
          </cell>
          <cell r="O3143" t="str">
            <v>Makassar</v>
          </cell>
          <cell r="P3143" t="str">
            <v>Tidak</v>
          </cell>
          <cell r="Q3143" t="str">
            <v>Tidak</v>
          </cell>
          <cell r="R3143" t="str">
            <v>Done</v>
          </cell>
          <cell r="S3143" t="str">
            <v>Pending Checker</v>
          </cell>
          <cell r="T3143" t="str">
            <v>00394521 - Muhammad Hibbanduta</v>
          </cell>
          <cell r="U3143" t="str">
            <v>"-"</v>
          </cell>
        </row>
        <row r="3144">
          <cell r="A3144">
            <v>46265</v>
          </cell>
          <cell r="B3144" t="str">
            <v xml:space="preserve">GUSTI HOSEN                             </v>
          </cell>
          <cell r="C3144" t="str">
            <v>G698931</v>
          </cell>
          <cell r="D3144">
            <v>5801000702566</v>
          </cell>
          <cell r="E3144" t="str">
            <v>TINGGI</v>
          </cell>
          <cell r="F3144" t="str">
            <v>Tidak</v>
          </cell>
          <cell r="G3144" t="str">
            <v>Tidak</v>
          </cell>
          <cell r="H3144" t="str">
            <v>Tidak</v>
          </cell>
          <cell r="I3144" t="str">
            <v>Perpajakan</v>
          </cell>
          <cell r="J3144">
            <v>75</v>
          </cell>
          <cell r="K3144">
            <v>1.33</v>
          </cell>
          <cell r="L3144" t="str">
            <v>Perpajakan</v>
          </cell>
          <cell r="M3144" t="str">
            <v xml:space="preserve">KC Padang                               </v>
          </cell>
          <cell r="N3144" t="str">
            <v xml:space="preserve">KC Padang                               </v>
          </cell>
          <cell r="O3144" t="str">
            <v xml:space="preserve">Padang                                  </v>
          </cell>
          <cell r="P3144" t="str">
            <v>Tidak</v>
          </cell>
          <cell r="Q3144" t="str">
            <v>Ya</v>
          </cell>
          <cell r="R3144" t="str">
            <v>Done</v>
          </cell>
          <cell r="S3144" t="str">
            <v>Pending Checker</v>
          </cell>
          <cell r="T3144" t="str">
            <v>00394521 - Muhammad Hibbanduta</v>
          </cell>
          <cell r="U3144" t="str">
            <v>"-"</v>
          </cell>
        </row>
        <row r="3145">
          <cell r="A3145">
            <v>46265</v>
          </cell>
          <cell r="B3145" t="str">
            <v xml:space="preserve">FACHRUL RAHMAD SYAH                     </v>
          </cell>
          <cell r="C3145" t="str">
            <v>FZ64567</v>
          </cell>
          <cell r="D3145">
            <v>18801102342502</v>
          </cell>
          <cell r="E3145" t="str">
            <v>SEDANG</v>
          </cell>
          <cell r="F3145" t="str">
            <v>Tidak</v>
          </cell>
          <cell r="G3145" t="str">
            <v>Tidak</v>
          </cell>
          <cell r="H3145" t="str">
            <v>Tidak</v>
          </cell>
          <cell r="I3145" t="str">
            <v>Narkotika - Area Lapas</v>
          </cell>
          <cell r="J3145">
            <v>54</v>
          </cell>
          <cell r="K3145">
            <v>48</v>
          </cell>
          <cell r="L3145" t="str">
            <v>Narkotika</v>
          </cell>
          <cell r="M3145" t="str">
            <v>KC Cilegon</v>
          </cell>
          <cell r="N3145" t="str">
            <v>KC Cilegon</v>
          </cell>
          <cell r="O3145" t="str">
            <v>KANWIL JAKARTA 3</v>
          </cell>
          <cell r="P3145" t="str">
            <v>Tidak</v>
          </cell>
          <cell r="Q3145" t="str">
            <v>Tidak</v>
          </cell>
          <cell r="R3145" t="str">
            <v>Done</v>
          </cell>
          <cell r="S3145" t="str">
            <v>Pending Checker</v>
          </cell>
          <cell r="T3145" t="str">
            <v>90171841 - Rifqi Aziz</v>
          </cell>
          <cell r="U3145" t="str">
            <v>"-"</v>
          </cell>
        </row>
        <row r="3146">
          <cell r="A3146">
            <v>46265</v>
          </cell>
          <cell r="B3146" t="str">
            <v xml:space="preserve">GOLDEN MOTOR BERSINAR                   </v>
          </cell>
          <cell r="C3146" t="str">
            <v>GV86074</v>
          </cell>
          <cell r="D3146">
            <v>40501999990564</v>
          </cell>
          <cell r="F3146" t="str">
            <v>Tidak</v>
          </cell>
          <cell r="G3146" t="str">
            <v>Tidak</v>
          </cell>
          <cell r="H3146" t="str">
            <v>Tidak</v>
          </cell>
          <cell r="I3146" t="str">
            <v>Perpajakan</v>
          </cell>
          <cell r="J3146">
            <v>33</v>
          </cell>
          <cell r="K3146">
            <v>41</v>
          </cell>
          <cell r="L3146" t="str">
            <v>Perpajakan</v>
          </cell>
          <cell r="M3146" t="str">
            <v xml:space="preserve">KC Bandung Dago                         </v>
          </cell>
          <cell r="N3146" t="str">
            <v xml:space="preserve">KC Bandung Dago                         </v>
          </cell>
          <cell r="O3146" t="str">
            <v xml:space="preserve">Bandung                                 </v>
          </cell>
          <cell r="P3146" t="str">
            <v>Tidak</v>
          </cell>
          <cell r="Q3146" t="str">
            <v>Tidak</v>
          </cell>
          <cell r="R3146" t="str">
            <v>Done</v>
          </cell>
          <cell r="S3146" t="str">
            <v>Pending Checker</v>
          </cell>
          <cell r="T3146" t="str">
            <v>00394520 - Frida Akbar Rani</v>
          </cell>
          <cell r="U3146" t="str">
            <v>"-"</v>
          </cell>
        </row>
        <row r="3147">
          <cell r="A3147">
            <v>46265</v>
          </cell>
          <cell r="B3147" t="str">
            <v xml:space="preserve">HALLAA KREASI NUSANTARA                 </v>
          </cell>
          <cell r="C3147" t="str">
            <v>HAFL387</v>
          </cell>
          <cell r="D3147">
            <v>40501001777307</v>
          </cell>
          <cell r="E3147" t="str">
            <v>SEDANG</v>
          </cell>
          <cell r="F3147" t="str">
            <v>Tidak</v>
          </cell>
          <cell r="G3147" t="str">
            <v>Tidak</v>
          </cell>
          <cell r="H3147" t="str">
            <v>Tidak</v>
          </cell>
          <cell r="I3147" t="str">
            <v>Perpajakan</v>
          </cell>
          <cell r="J3147">
            <v>50</v>
          </cell>
          <cell r="K3147">
            <v>41</v>
          </cell>
          <cell r="L3147" t="str">
            <v>Perpajakan</v>
          </cell>
          <cell r="M3147" t="str">
            <v xml:space="preserve">KC Bandung Dago                         </v>
          </cell>
          <cell r="N3147" t="str">
            <v xml:space="preserve">KC Bandung Dago                         </v>
          </cell>
          <cell r="O3147" t="str">
            <v xml:space="preserve">Bandung                                 </v>
          </cell>
          <cell r="P3147" t="str">
            <v>Tidak</v>
          </cell>
          <cell r="Q3147" t="str">
            <v>Tidak</v>
          </cell>
          <cell r="R3147" t="str">
            <v>Done</v>
          </cell>
          <cell r="S3147" t="str">
            <v>Pending Checker</v>
          </cell>
          <cell r="T3147" t="str">
            <v>90186796 - Devito Arya Wiradila</v>
          </cell>
          <cell r="U3147" t="str">
            <v>"-"</v>
          </cell>
        </row>
        <row r="3148">
          <cell r="A3148">
            <v>46265</v>
          </cell>
          <cell r="B3148" t="str">
            <v xml:space="preserve">HEDI HERMAWAN                           </v>
          </cell>
          <cell r="C3148" t="str">
            <v>HEA4717</v>
          </cell>
          <cell r="D3148">
            <v>40101000525565</v>
          </cell>
          <cell r="E3148" t="str">
            <v>SEDANG</v>
          </cell>
          <cell r="F3148" t="str">
            <v>Tidak</v>
          </cell>
          <cell r="G3148" t="str">
            <v>Tidak</v>
          </cell>
          <cell r="H3148" t="str">
            <v>Tidak</v>
          </cell>
          <cell r="I3148" t="str">
            <v>Perpajakan</v>
          </cell>
          <cell r="J3148">
            <v>60</v>
          </cell>
          <cell r="K3148">
            <v>1.33</v>
          </cell>
          <cell r="L3148" t="str">
            <v>Perpajakan</v>
          </cell>
          <cell r="M3148" t="str">
            <v xml:space="preserve">KC Bandung Kopo                         </v>
          </cell>
          <cell r="N3148" t="str">
            <v xml:space="preserve">KC Bandung Kopo                         </v>
          </cell>
          <cell r="O3148" t="str">
            <v xml:space="preserve">Bandung                                 </v>
          </cell>
          <cell r="P3148" t="str">
            <v>Tidak</v>
          </cell>
          <cell r="Q3148" t="str">
            <v>Tidak</v>
          </cell>
          <cell r="R3148" t="str">
            <v>Done</v>
          </cell>
          <cell r="S3148" t="str">
            <v>Pending Checker</v>
          </cell>
          <cell r="T3148" t="str">
            <v>00336949 - Mochammad Al Farabi</v>
          </cell>
          <cell r="U3148" t="str">
            <v>"-"</v>
          </cell>
        </row>
        <row r="3149">
          <cell r="A3149">
            <v>46265</v>
          </cell>
          <cell r="B3149" t="str">
            <v xml:space="preserve">KHAIRUL RAHMAN                          </v>
          </cell>
          <cell r="C3149" t="str">
            <v>HGV2502</v>
          </cell>
          <cell r="D3149">
            <v>454101016829531</v>
          </cell>
          <cell r="E3149" t="str">
            <v>SEDANG</v>
          </cell>
          <cell r="F3149" t="str">
            <v>Ya</v>
          </cell>
          <cell r="G3149" t="str">
            <v>Tidak</v>
          </cell>
          <cell r="H3149" t="str">
            <v>Tidak</v>
          </cell>
          <cell r="I3149" t="str">
            <v>Narkotika - Area Lapas</v>
          </cell>
          <cell r="J3149">
            <v>50</v>
          </cell>
          <cell r="K3149">
            <v>46</v>
          </cell>
          <cell r="L3149" t="str">
            <v>Narkotika</v>
          </cell>
          <cell r="M3149" t="str">
            <v>UNIT RAJAWALI PALANGKARAYA</v>
          </cell>
          <cell r="N3149" t="str">
            <v>KC Palangkaraya</v>
          </cell>
          <cell r="O3149" t="str">
            <v>Banjarmasin</v>
          </cell>
          <cell r="P3149" t="str">
            <v>Tidak</v>
          </cell>
          <cell r="Q3149" t="str">
            <v>Tidak</v>
          </cell>
          <cell r="R3149" t="str">
            <v>Done</v>
          </cell>
          <cell r="S3149" t="str">
            <v>Pending Checker</v>
          </cell>
          <cell r="T3149" t="str">
            <v>90185538 - Muhammad Fahikal Auz</v>
          </cell>
          <cell r="U3149" t="str">
            <v>"-"</v>
          </cell>
        </row>
        <row r="3150">
          <cell r="A3150">
            <v>46265</v>
          </cell>
          <cell r="B3150" t="str">
            <v xml:space="preserve">IKA SAFITRI                             </v>
          </cell>
          <cell r="C3150" t="str">
            <v>IWK4474</v>
          </cell>
          <cell r="D3150">
            <v>303301065193537</v>
          </cell>
          <cell r="E3150" t="str">
            <v>SEDANG</v>
          </cell>
          <cell r="F3150" t="str">
            <v>Ya</v>
          </cell>
          <cell r="G3150" t="str">
            <v>Tidak</v>
          </cell>
          <cell r="H3150" t="str">
            <v>Tidak</v>
          </cell>
          <cell r="I3150" t="str">
            <v>Pencurian Rekening</v>
          </cell>
          <cell r="J3150">
            <v>49</v>
          </cell>
          <cell r="K3150">
            <v>59</v>
          </cell>
          <cell r="L3150" t="str">
            <v>Perbankan</v>
          </cell>
          <cell r="M3150" t="str">
            <v xml:space="preserve">UNIT GENUK SEMARANG                     </v>
          </cell>
          <cell r="N3150" t="str">
            <v xml:space="preserve">KC Semarang A. Yani                     </v>
          </cell>
          <cell r="O3150" t="str">
            <v xml:space="preserve">Semarang                                </v>
          </cell>
          <cell r="P3150" t="str">
            <v>Tidak</v>
          </cell>
          <cell r="Q3150" t="str">
            <v>Tidak</v>
          </cell>
          <cell r="R3150" t="str">
            <v>Done</v>
          </cell>
          <cell r="S3150" t="str">
            <v>Pending Checker</v>
          </cell>
          <cell r="T3150" t="str">
            <v>00336949 - Mochammad Al Farabi</v>
          </cell>
          <cell r="U3150" t="str">
            <v>"-"</v>
          </cell>
        </row>
        <row r="3151">
          <cell r="A3151">
            <v>46265</v>
          </cell>
          <cell r="B3151" t="str">
            <v xml:space="preserve">JHON VICTOR SUEBU                       </v>
          </cell>
          <cell r="C3151" t="str">
            <v>JCU2493</v>
          </cell>
          <cell r="D3151">
            <v>491401020852539</v>
          </cell>
          <cell r="E3151" t="str">
            <v>SEDANG</v>
          </cell>
          <cell r="F3151" t="str">
            <v>Tidak</v>
          </cell>
          <cell r="G3151" t="str">
            <v>Tidak</v>
          </cell>
          <cell r="H3151" t="str">
            <v>Tidak</v>
          </cell>
          <cell r="I3151" t="str">
            <v>Narkotika - Area Lapas</v>
          </cell>
          <cell r="J3151">
            <v>48</v>
          </cell>
          <cell r="K3151">
            <v>48</v>
          </cell>
          <cell r="L3151" t="str">
            <v>Narkotika</v>
          </cell>
          <cell r="M3151" t="str">
            <v>UNIT ENTROP JAYAPURA</v>
          </cell>
          <cell r="N3151" t="str">
            <v>KC Jayapura</v>
          </cell>
          <cell r="O3151" t="str">
            <v>KANWIL JAYAPURA</v>
          </cell>
          <cell r="P3151" t="str">
            <v>Tidak</v>
          </cell>
          <cell r="Q3151" t="str">
            <v>Ya</v>
          </cell>
          <cell r="R3151" t="str">
            <v>Done</v>
          </cell>
          <cell r="S3151" t="str">
            <v>Pending Checker</v>
          </cell>
          <cell r="T3151" t="str">
            <v>90186796 - Devito Arya Wiradila</v>
          </cell>
          <cell r="U3151" t="str">
            <v>"-"</v>
          </cell>
        </row>
        <row r="3152">
          <cell r="A3152">
            <v>46265</v>
          </cell>
          <cell r="B3152" t="str">
            <v xml:space="preserve">JELITA ELANG SEMARANG                   </v>
          </cell>
          <cell r="C3152" t="str">
            <v>JNL1675</v>
          </cell>
          <cell r="D3152">
            <v>8101010209567</v>
          </cell>
          <cell r="F3152" t="str">
            <v>Tidak</v>
          </cell>
          <cell r="G3152" t="str">
            <v>Tidak</v>
          </cell>
          <cell r="H3152" t="str">
            <v>Tidak</v>
          </cell>
          <cell r="I3152" t="str">
            <v>Perpajakan</v>
          </cell>
          <cell r="J3152">
            <v>38</v>
          </cell>
          <cell r="K3152">
            <v>41</v>
          </cell>
          <cell r="L3152" t="str">
            <v>Perpajakan</v>
          </cell>
          <cell r="M3152" t="str">
            <v xml:space="preserve">KC Salatiga                             </v>
          </cell>
          <cell r="N3152" t="str">
            <v xml:space="preserve">KC Salatiga                             </v>
          </cell>
          <cell r="O3152" t="str">
            <v xml:space="preserve">Semarang                                </v>
          </cell>
          <cell r="P3152" t="str">
            <v>Tidak</v>
          </cell>
          <cell r="Q3152" t="str">
            <v>Tidak</v>
          </cell>
          <cell r="R3152" t="str">
            <v>Done</v>
          </cell>
          <cell r="S3152" t="str">
            <v>Pending Checker</v>
          </cell>
          <cell r="T3152" t="str">
            <v>90171841 - Rifqi Aziz</v>
          </cell>
          <cell r="U3152" t="str">
            <v>"-"</v>
          </cell>
        </row>
        <row r="3153">
          <cell r="A3153">
            <v>46265</v>
          </cell>
          <cell r="B3153" t="str">
            <v xml:space="preserve">JELITA ELANG SIDOARJO                   </v>
          </cell>
          <cell r="C3153" t="str">
            <v>JNL2222</v>
          </cell>
          <cell r="D3153">
            <v>8101010609563</v>
          </cell>
          <cell r="F3153" t="str">
            <v>Tidak</v>
          </cell>
          <cell r="G3153" t="str">
            <v>Tidak</v>
          </cell>
          <cell r="H3153" t="str">
            <v>Tidak</v>
          </cell>
          <cell r="I3153" t="str">
            <v>Perpajakan</v>
          </cell>
          <cell r="J3153">
            <v>36</v>
          </cell>
          <cell r="K3153">
            <v>41</v>
          </cell>
          <cell r="L3153" t="str">
            <v>Perpajakan</v>
          </cell>
          <cell r="M3153" t="str">
            <v xml:space="preserve">KC Salatiga                             </v>
          </cell>
          <cell r="N3153" t="str">
            <v xml:space="preserve">KC Salatiga                             </v>
          </cell>
          <cell r="O3153" t="str">
            <v xml:space="preserve">Semarang                                </v>
          </cell>
          <cell r="P3153" t="str">
            <v>Tidak</v>
          </cell>
          <cell r="Q3153" t="str">
            <v>Tidak</v>
          </cell>
          <cell r="R3153" t="str">
            <v>Done</v>
          </cell>
          <cell r="S3153" t="str">
            <v>Pending Checker</v>
          </cell>
          <cell r="T3153" t="str">
            <v>90186796 - Devito Arya Wiradila</v>
          </cell>
          <cell r="U3153" t="str">
            <v>"-"</v>
          </cell>
        </row>
        <row r="3154">
          <cell r="A3154">
            <v>46265</v>
          </cell>
          <cell r="B3154" t="str">
            <v xml:space="preserve">JELITA ELANG MALANG                     </v>
          </cell>
          <cell r="C3154" t="str">
            <v>JNL3426</v>
          </cell>
          <cell r="D3154">
            <v>8101010808565</v>
          </cell>
          <cell r="F3154" t="str">
            <v>Tidak</v>
          </cell>
          <cell r="G3154" t="str">
            <v>Tidak</v>
          </cell>
          <cell r="H3154" t="str">
            <v>Tidak</v>
          </cell>
          <cell r="I3154" t="str">
            <v>Perpajakan</v>
          </cell>
          <cell r="J3154">
            <v>38</v>
          </cell>
          <cell r="K3154">
            <v>41</v>
          </cell>
          <cell r="L3154" t="str">
            <v>Perpajakan</v>
          </cell>
          <cell r="M3154" t="str">
            <v xml:space="preserve">KC Salatiga                             </v>
          </cell>
          <cell r="N3154" t="str">
            <v xml:space="preserve">KC Salatiga                             </v>
          </cell>
          <cell r="O3154" t="str">
            <v xml:space="preserve">Semarang                                </v>
          </cell>
          <cell r="P3154" t="str">
            <v>Tidak</v>
          </cell>
          <cell r="Q3154" t="str">
            <v>Tidak</v>
          </cell>
          <cell r="R3154" t="str">
            <v>Done</v>
          </cell>
          <cell r="S3154" t="str">
            <v>Pending Checker</v>
          </cell>
          <cell r="T3154" t="str">
            <v>90170665 - Mutiara Ayuningtyas</v>
          </cell>
          <cell r="U3154" t="str">
            <v>"-"</v>
          </cell>
        </row>
        <row r="3155">
          <cell r="A3155">
            <v>46265</v>
          </cell>
          <cell r="B3155" t="str">
            <v xml:space="preserve">MITRA DISTRIBUSI SEMBAKO                </v>
          </cell>
          <cell r="C3155" t="str">
            <v>MACOR46</v>
          </cell>
          <cell r="D3155">
            <v>501999999566</v>
          </cell>
          <cell r="E3155" t="str">
            <v>SEDANG</v>
          </cell>
          <cell r="F3155" t="str">
            <v>Tidak</v>
          </cell>
          <cell r="G3155" t="str">
            <v>Tidak</v>
          </cell>
          <cell r="H3155" t="str">
            <v>Tidak</v>
          </cell>
          <cell r="I3155" t="str">
            <v>Perpajakan</v>
          </cell>
          <cell r="J3155">
            <v>50</v>
          </cell>
          <cell r="K3155">
            <v>41</v>
          </cell>
          <cell r="L3155" t="str">
            <v>Perpajakan</v>
          </cell>
          <cell r="M3155" t="str">
            <v xml:space="preserve">KC Bandung AA                           </v>
          </cell>
          <cell r="N3155" t="str">
            <v xml:space="preserve">KC Bandung AA                           </v>
          </cell>
          <cell r="O3155" t="str">
            <v xml:space="preserve">Bandung                                 </v>
          </cell>
          <cell r="P3155" t="str">
            <v>Tidak</v>
          </cell>
          <cell r="Q3155" t="str">
            <v>Tidak</v>
          </cell>
          <cell r="R3155" t="str">
            <v>Done</v>
          </cell>
          <cell r="S3155" t="str">
            <v>Pending Checker</v>
          </cell>
          <cell r="T3155" t="str">
            <v>00394520 - Frida Akbar Rani</v>
          </cell>
          <cell r="U3155" t="str">
            <v>"-"</v>
          </cell>
        </row>
        <row r="3156">
          <cell r="A3156">
            <v>46265</v>
          </cell>
          <cell r="B3156" t="str">
            <v xml:space="preserve">MEGA ABADI SENTOSA                      </v>
          </cell>
          <cell r="C3156" t="str">
            <v>MAFDF97</v>
          </cell>
          <cell r="D3156">
            <v>28601003171305</v>
          </cell>
          <cell r="E3156" t="str">
            <v>SEDANG</v>
          </cell>
          <cell r="F3156" t="str">
            <v>Tidak</v>
          </cell>
          <cell r="G3156" t="str">
            <v>Tidak</v>
          </cell>
          <cell r="H3156" t="str">
            <v>Tidak</v>
          </cell>
          <cell r="I3156" t="str">
            <v>Perpajakan</v>
          </cell>
          <cell r="J3156">
            <v>48</v>
          </cell>
          <cell r="K3156">
            <v>41</v>
          </cell>
          <cell r="L3156" t="str">
            <v>Perpajakan</v>
          </cell>
          <cell r="M3156" t="str">
            <v xml:space="preserve">KC Bandung Dewi Sartika                 </v>
          </cell>
          <cell r="N3156" t="str">
            <v xml:space="preserve">KC Bandung Dewi Sartika                 </v>
          </cell>
          <cell r="O3156" t="str">
            <v xml:space="preserve">Bandung                                 </v>
          </cell>
          <cell r="P3156" t="str">
            <v>Tidak</v>
          </cell>
          <cell r="Q3156" t="str">
            <v>Tidak</v>
          </cell>
          <cell r="R3156" t="str">
            <v>Done</v>
          </cell>
          <cell r="S3156" t="str">
            <v>Pending Checker</v>
          </cell>
          <cell r="T3156" t="str">
            <v>90150130 - Intan Aida Pratiwi</v>
          </cell>
          <cell r="U3156" t="str">
            <v>"-"</v>
          </cell>
        </row>
        <row r="3157">
          <cell r="A3157">
            <v>46265</v>
          </cell>
          <cell r="B3157" t="str">
            <v xml:space="preserve">MULTI SARANA VALASINDO                  </v>
          </cell>
          <cell r="C3157" t="str">
            <v>MBFAS39</v>
          </cell>
          <cell r="D3157">
            <v>33101003407563</v>
          </cell>
          <cell r="E3157" t="str">
            <v>SEDANG</v>
          </cell>
          <cell r="F3157" t="str">
            <v>Tidak</v>
          </cell>
          <cell r="G3157" t="str">
            <v>Tidak</v>
          </cell>
          <cell r="H3157" t="str">
            <v>Tidak</v>
          </cell>
          <cell r="I3157" t="str">
            <v>Perpajakan</v>
          </cell>
          <cell r="J3157">
            <v>48</v>
          </cell>
          <cell r="K3157">
            <v>1.33</v>
          </cell>
          <cell r="L3157" t="str">
            <v>Perpajakan</v>
          </cell>
          <cell r="M3157" t="str">
            <v xml:space="preserve">KC Batam Nagoya                         </v>
          </cell>
          <cell r="N3157" t="str">
            <v xml:space="preserve">KC Batam Nagoya                         </v>
          </cell>
          <cell r="O3157" t="str">
            <v xml:space="preserve">KANWIL PEKANBARU                        </v>
          </cell>
          <cell r="P3157" t="str">
            <v>Ya</v>
          </cell>
          <cell r="Q3157" t="str">
            <v>Tidak</v>
          </cell>
          <cell r="R3157" t="str">
            <v>Done</v>
          </cell>
          <cell r="S3157" t="str">
            <v>Pending Checker</v>
          </cell>
          <cell r="T3157" t="str">
            <v>90170665 - Mutiara Ayuningtyas</v>
          </cell>
          <cell r="U3157" t="str">
            <v>"-"</v>
          </cell>
        </row>
        <row r="3158">
          <cell r="A3158">
            <v>46265</v>
          </cell>
          <cell r="B3158" t="str">
            <v xml:space="preserve">KLINIK YADIKA SIBISA MANGATUR           </v>
          </cell>
          <cell r="C3158" t="str">
            <v>KTC3299</v>
          </cell>
          <cell r="D3158">
            <v>43001001128303</v>
          </cell>
          <cell r="E3158" t="str">
            <v>SEDANG</v>
          </cell>
          <cell r="F3158" t="str">
            <v>Tidak</v>
          </cell>
          <cell r="G3158" t="str">
            <v>Tidak</v>
          </cell>
          <cell r="H3158" t="str">
            <v>Tidak</v>
          </cell>
          <cell r="I3158" t="str">
            <v>Perpajakan</v>
          </cell>
          <cell r="J3158">
            <v>50</v>
          </cell>
          <cell r="K3158">
            <v>41</v>
          </cell>
          <cell r="L3158" t="str">
            <v>Perpajakan</v>
          </cell>
          <cell r="M3158" t="str">
            <v xml:space="preserve">KC Jakarta Radio Dalam                  </v>
          </cell>
          <cell r="N3158" t="str">
            <v xml:space="preserve">KC Jakarta Radio Dalam                  </v>
          </cell>
          <cell r="O3158" t="str">
            <v xml:space="preserve">DKI2                                    </v>
          </cell>
          <cell r="P3158" t="str">
            <v>Tidak</v>
          </cell>
          <cell r="Q3158" t="str">
            <v>Tidak</v>
          </cell>
          <cell r="R3158" t="str">
            <v>Done</v>
          </cell>
          <cell r="S3158" t="str">
            <v>Pending Checker</v>
          </cell>
          <cell r="T3158" t="str">
            <v>90150130 - Intan Aida Pratiwi</v>
          </cell>
          <cell r="U3158" t="str">
            <v>"-"</v>
          </cell>
        </row>
        <row r="3159">
          <cell r="A3159">
            <v>46265</v>
          </cell>
          <cell r="B3159" t="str">
            <v>KOPERASI SIMPAN PINJAM ARTHA GUNA SEJAHT</v>
          </cell>
          <cell r="C3159" t="str">
            <v>KSU5752</v>
          </cell>
          <cell r="D3159">
            <v>60901001262304</v>
          </cell>
          <cell r="E3159" t="str">
            <v>SEDANG</v>
          </cell>
          <cell r="F3159" t="str">
            <v>Tidak</v>
          </cell>
          <cell r="G3159" t="str">
            <v>Tidak</v>
          </cell>
          <cell r="H3159" t="str">
            <v>Tidak</v>
          </cell>
          <cell r="I3159" t="str">
            <v>Perpajakan</v>
          </cell>
          <cell r="J3159">
            <v>51</v>
          </cell>
          <cell r="K3159">
            <v>41</v>
          </cell>
          <cell r="L3159" t="str">
            <v>Perpajakan</v>
          </cell>
          <cell r="M3159" t="str">
            <v xml:space="preserve">KC Semarang A. Yani                     </v>
          </cell>
          <cell r="N3159" t="str">
            <v xml:space="preserve">KC Semarang A. Yani                     </v>
          </cell>
          <cell r="O3159" t="str">
            <v xml:space="preserve">Semarang                                </v>
          </cell>
          <cell r="P3159" t="str">
            <v>Tidak</v>
          </cell>
          <cell r="Q3159" t="str">
            <v>Tidak</v>
          </cell>
          <cell r="R3159" t="str">
            <v>Done</v>
          </cell>
          <cell r="S3159" t="str">
            <v>Pending Checker</v>
          </cell>
          <cell r="T3159" t="str">
            <v>90185537 - Moh.Khoerul Fajar Ar</v>
          </cell>
          <cell r="U3159" t="str">
            <v>"-"</v>
          </cell>
        </row>
        <row r="3160">
          <cell r="A3160">
            <v>46265</v>
          </cell>
          <cell r="B3160" t="str">
            <v xml:space="preserve">KARYA YAKIN SUKSES SEJAHTERA            </v>
          </cell>
          <cell r="C3160" t="str">
            <v>KZI4907</v>
          </cell>
          <cell r="D3160">
            <v>210101001839307</v>
          </cell>
          <cell r="F3160" t="str">
            <v>Tidak</v>
          </cell>
          <cell r="G3160" t="str">
            <v>Tidak</v>
          </cell>
          <cell r="H3160" t="str">
            <v>Tidak</v>
          </cell>
          <cell r="I3160" t="str">
            <v>Perpajakan</v>
          </cell>
          <cell r="J3160">
            <v>33</v>
          </cell>
          <cell r="K3160">
            <v>41</v>
          </cell>
          <cell r="L3160" t="str">
            <v>Perpajakan</v>
          </cell>
          <cell r="M3160" t="str">
            <v xml:space="preserve">KC Mabes TNI Cilangkap                  </v>
          </cell>
          <cell r="N3160" t="str">
            <v xml:space="preserve">KC Mabes TNI Cilangkap                  </v>
          </cell>
          <cell r="O3160" t="str">
            <v xml:space="preserve">DKI2                                    </v>
          </cell>
          <cell r="P3160" t="str">
            <v>Tidak</v>
          </cell>
          <cell r="Q3160" t="str">
            <v>Tidak</v>
          </cell>
          <cell r="R3160" t="str">
            <v>Done</v>
          </cell>
          <cell r="S3160" t="str">
            <v>Pending Checker</v>
          </cell>
          <cell r="T3160" t="str">
            <v>90171841 - Rifqi Aziz</v>
          </cell>
          <cell r="U3160" t="str">
            <v>"-"</v>
          </cell>
        </row>
        <row r="3161">
          <cell r="A3161">
            <v>46265</v>
          </cell>
          <cell r="B3161" t="str">
            <v xml:space="preserve">LENTERA DANA NUSANTARA                  </v>
          </cell>
          <cell r="C3161" t="str">
            <v>LBS1576</v>
          </cell>
          <cell r="D3161">
            <v>112001000199301</v>
          </cell>
          <cell r="E3161" t="str">
            <v>SEDANG</v>
          </cell>
          <cell r="F3161" t="str">
            <v>Tidak</v>
          </cell>
          <cell r="G3161" t="str">
            <v>Tidak</v>
          </cell>
          <cell r="H3161" t="str">
            <v>Tidak</v>
          </cell>
          <cell r="I3161" t="str">
            <v>Narkotika - Area Lapas</v>
          </cell>
          <cell r="J3161">
            <v>50</v>
          </cell>
          <cell r="K3161">
            <v>46</v>
          </cell>
          <cell r="L3161" t="str">
            <v>Narkotika</v>
          </cell>
          <cell r="M3161" t="str">
            <v>KCP SLIPI</v>
          </cell>
          <cell r="N3161" t="str">
            <v>KC Jakarta S Parman</v>
          </cell>
          <cell r="O3161" t="str">
            <v>KANWIL JAKARTA 3</v>
          </cell>
          <cell r="P3161" t="str">
            <v>Tidak</v>
          </cell>
          <cell r="Q3161" t="str">
            <v>Tidak</v>
          </cell>
          <cell r="R3161" t="str">
            <v>Done</v>
          </cell>
          <cell r="S3161" t="str">
            <v>Pending Checker</v>
          </cell>
          <cell r="T3161" t="str">
            <v>00336949 - Mochammad Al Farabi</v>
          </cell>
          <cell r="U3161" t="str">
            <v>"-"</v>
          </cell>
        </row>
        <row r="3162">
          <cell r="A3162">
            <v>46265</v>
          </cell>
          <cell r="B3162" t="str">
            <v xml:space="preserve">KREASI USAHA CIPTA UTAMA                </v>
          </cell>
          <cell r="C3162" t="str">
            <v>KATS206</v>
          </cell>
          <cell r="D3162">
            <v>31901002606306</v>
          </cell>
          <cell r="F3162" t="str">
            <v>Tidak</v>
          </cell>
          <cell r="G3162" t="str">
            <v>Tidak</v>
          </cell>
          <cell r="H3162" t="str">
            <v>Tidak</v>
          </cell>
          <cell r="I3162" t="str">
            <v>Perpajakan</v>
          </cell>
          <cell r="J3162">
            <v>33</v>
          </cell>
          <cell r="K3162">
            <v>41</v>
          </cell>
          <cell r="L3162" t="str">
            <v>Perpajakan</v>
          </cell>
          <cell r="M3162" t="str">
            <v xml:space="preserve">KC Cikarang                             </v>
          </cell>
          <cell r="N3162" t="str">
            <v xml:space="preserve">KC Cikarang                             </v>
          </cell>
          <cell r="O3162" t="str">
            <v xml:space="preserve">DKI2                                    </v>
          </cell>
          <cell r="P3162" t="str">
            <v>Tidak</v>
          </cell>
          <cell r="Q3162" t="str">
            <v>Tidak</v>
          </cell>
          <cell r="R3162" t="str">
            <v>Done</v>
          </cell>
          <cell r="S3162" t="str">
            <v>Pending Checker</v>
          </cell>
          <cell r="T3162" t="str">
            <v>90150130 - Intan Aida Pratiwi</v>
          </cell>
          <cell r="U3162" t="str">
            <v>"-"</v>
          </cell>
        </row>
        <row r="3163">
          <cell r="A3163">
            <v>46265</v>
          </cell>
          <cell r="B3163" t="str">
            <v xml:space="preserve">KOMA TANPA TITIK                        </v>
          </cell>
          <cell r="C3163" t="str">
            <v>KAIX564</v>
          </cell>
          <cell r="D3163">
            <v>40501001826300</v>
          </cell>
          <cell r="F3163" t="str">
            <v>Tidak</v>
          </cell>
          <cell r="G3163" t="str">
            <v>Tidak</v>
          </cell>
          <cell r="H3163" t="str">
            <v>Tidak</v>
          </cell>
          <cell r="I3163" t="str">
            <v>Perpajakan</v>
          </cell>
          <cell r="J3163">
            <v>35</v>
          </cell>
          <cell r="K3163">
            <v>41</v>
          </cell>
          <cell r="L3163" t="str">
            <v>Perpajakan</v>
          </cell>
          <cell r="M3163" t="str">
            <v xml:space="preserve">KC Bandung Dago                         </v>
          </cell>
          <cell r="N3163" t="str">
            <v xml:space="preserve">KC Bandung Dago                         </v>
          </cell>
          <cell r="O3163" t="str">
            <v xml:space="preserve">Bandung                                 </v>
          </cell>
          <cell r="P3163" t="str">
            <v>Tidak</v>
          </cell>
          <cell r="Q3163" t="str">
            <v>Tidak</v>
          </cell>
          <cell r="R3163" t="str">
            <v>Done</v>
          </cell>
          <cell r="S3163" t="str">
            <v>Pending Checker</v>
          </cell>
          <cell r="T3163" t="str">
            <v>90171841 - Rifqi Aziz</v>
          </cell>
          <cell r="U3163" t="str">
            <v>"-"</v>
          </cell>
        </row>
        <row r="3164">
          <cell r="A3164">
            <v>46265</v>
          </cell>
          <cell r="B3164" t="str">
            <v xml:space="preserve">KOPERASI KARYAWAN PT PLN UPD            </v>
          </cell>
          <cell r="C3164" t="str">
            <v>KFK5524</v>
          </cell>
          <cell r="D3164">
            <v>141401000036306</v>
          </cell>
          <cell r="E3164" t="str">
            <v>SEDANG</v>
          </cell>
          <cell r="F3164" t="str">
            <v>Tidak</v>
          </cell>
          <cell r="G3164" t="str">
            <v>Tidak</v>
          </cell>
          <cell r="H3164" t="str">
            <v>Tidak</v>
          </cell>
          <cell r="I3164" t="str">
            <v>Perpajakan</v>
          </cell>
          <cell r="J3164">
            <v>48</v>
          </cell>
          <cell r="K3164">
            <v>41</v>
          </cell>
          <cell r="L3164" t="str">
            <v>Perpajakan</v>
          </cell>
          <cell r="M3164" t="str">
            <v xml:space="preserve">KCP PLN JAKARTA                         </v>
          </cell>
          <cell r="N3164" t="str">
            <v xml:space="preserve">KC Jakarta Kebayoran Baru               </v>
          </cell>
          <cell r="O3164" t="str">
            <v xml:space="preserve">DKI2                                    </v>
          </cell>
          <cell r="P3164" t="str">
            <v>Tidak</v>
          </cell>
          <cell r="Q3164" t="str">
            <v>Tidak</v>
          </cell>
          <cell r="R3164" t="str">
            <v>Done</v>
          </cell>
          <cell r="S3164" t="str">
            <v>Pending Checker</v>
          </cell>
          <cell r="T3164" t="str">
            <v>90185538 - Muhammad Fahikal Auz</v>
          </cell>
          <cell r="U3164" t="str">
            <v>"-"</v>
          </cell>
        </row>
        <row r="3165">
          <cell r="A3165">
            <v>46265</v>
          </cell>
          <cell r="B3165" t="str">
            <v xml:space="preserve">KARYA TANIMBAR BERSAMA                  </v>
          </cell>
          <cell r="C3165" t="str">
            <v>KOZ4126</v>
          </cell>
          <cell r="D3165">
            <v>64301000973560</v>
          </cell>
          <cell r="E3165" t="str">
            <v>SEDANG</v>
          </cell>
          <cell r="F3165" t="str">
            <v>Tidak</v>
          </cell>
          <cell r="G3165" t="str">
            <v>Tidak</v>
          </cell>
          <cell r="H3165" t="str">
            <v>Tidak</v>
          </cell>
          <cell r="I3165" t="str">
            <v>Perpajakan</v>
          </cell>
          <cell r="J3165">
            <v>48</v>
          </cell>
          <cell r="K3165">
            <v>41</v>
          </cell>
          <cell r="L3165" t="str">
            <v>Perpajakan</v>
          </cell>
          <cell r="M3165" t="str">
            <v xml:space="preserve">KC Saumlaki                             </v>
          </cell>
          <cell r="N3165" t="str">
            <v xml:space="preserve">KC Saumlaki                             </v>
          </cell>
          <cell r="O3165" t="str">
            <v xml:space="preserve">Makassar                                </v>
          </cell>
          <cell r="P3165" t="str">
            <v>Tidak</v>
          </cell>
          <cell r="Q3165" t="str">
            <v>Tidak</v>
          </cell>
          <cell r="R3165" t="str">
            <v>Done</v>
          </cell>
          <cell r="S3165" t="str">
            <v>Pending Checker</v>
          </cell>
          <cell r="T3165" t="str">
            <v>90185537 - Moh.Khoerul Fajar Ar</v>
          </cell>
          <cell r="U3165" t="str">
            <v>"-"</v>
          </cell>
        </row>
        <row r="3166">
          <cell r="A3166">
            <v>46265</v>
          </cell>
          <cell r="B3166" t="str">
            <v xml:space="preserve">CV BENGAWAN RAHMAT CIANJUR              </v>
          </cell>
          <cell r="C3166" t="str">
            <v>CW99463</v>
          </cell>
          <cell r="D3166">
            <v>8101011305560</v>
          </cell>
          <cell r="F3166" t="str">
            <v>Tidak</v>
          </cell>
          <cell r="G3166" t="str">
            <v>Tidak</v>
          </cell>
          <cell r="H3166" t="str">
            <v>Tidak</v>
          </cell>
          <cell r="I3166" t="str">
            <v>Perpajakan</v>
          </cell>
          <cell r="J3166">
            <v>36</v>
          </cell>
          <cell r="K3166">
            <v>41</v>
          </cell>
          <cell r="L3166" t="str">
            <v>Perpajakan</v>
          </cell>
          <cell r="M3166" t="str">
            <v xml:space="preserve">KC Salatiga                             </v>
          </cell>
          <cell r="N3166" t="str">
            <v xml:space="preserve">KC Salatiga                             </v>
          </cell>
          <cell r="O3166" t="str">
            <v xml:space="preserve">Semarang                                </v>
          </cell>
          <cell r="P3166" t="str">
            <v>Tidak</v>
          </cell>
          <cell r="Q3166" t="str">
            <v>Tidak</v>
          </cell>
          <cell r="R3166" t="str">
            <v>Done</v>
          </cell>
          <cell r="S3166" t="str">
            <v>Pending Checker</v>
          </cell>
          <cell r="T3166" t="str">
            <v>00394520 - Frida Akbar Rani</v>
          </cell>
          <cell r="U3166" t="str">
            <v>"-"</v>
          </cell>
        </row>
        <row r="3167">
          <cell r="A3167">
            <v>46265</v>
          </cell>
          <cell r="B3167" t="str">
            <v xml:space="preserve">CV ANGKASA PELANGI CIANJUR              </v>
          </cell>
          <cell r="C3167" t="str">
            <v>CW99466</v>
          </cell>
          <cell r="D3167">
            <v>8101011303568</v>
          </cell>
          <cell r="F3167" t="str">
            <v>Tidak</v>
          </cell>
          <cell r="G3167" t="str">
            <v>Tidak</v>
          </cell>
          <cell r="H3167" t="str">
            <v>Tidak</v>
          </cell>
          <cell r="I3167" t="str">
            <v>Perpajakan</v>
          </cell>
          <cell r="J3167">
            <v>35</v>
          </cell>
          <cell r="K3167">
            <v>41</v>
          </cell>
          <cell r="L3167" t="str">
            <v>Perpajakan</v>
          </cell>
          <cell r="M3167" t="str">
            <v xml:space="preserve">KC Salatiga                             </v>
          </cell>
          <cell r="N3167" t="str">
            <v xml:space="preserve">KC Salatiga                             </v>
          </cell>
          <cell r="O3167" t="str">
            <v xml:space="preserve">Semarang                                </v>
          </cell>
          <cell r="P3167" t="str">
            <v>Tidak</v>
          </cell>
          <cell r="Q3167" t="str">
            <v>Tidak</v>
          </cell>
          <cell r="R3167" t="str">
            <v>Done</v>
          </cell>
          <cell r="S3167" t="str">
            <v>Pending Checker</v>
          </cell>
          <cell r="T3167" t="str">
            <v>90186790 - Muhammad Alfin Farha</v>
          </cell>
          <cell r="U3167" t="str">
            <v>"-"</v>
          </cell>
        </row>
        <row r="3168">
          <cell r="A3168">
            <v>46265</v>
          </cell>
          <cell r="B3168" t="str">
            <v xml:space="preserve">CV BARA PELITA CIANJUR                  </v>
          </cell>
          <cell r="C3168" t="str">
            <v>CW99467</v>
          </cell>
          <cell r="D3168">
            <v>8101011304564</v>
          </cell>
          <cell r="F3168" t="str">
            <v>Tidak</v>
          </cell>
          <cell r="G3168" t="str">
            <v>Tidak</v>
          </cell>
          <cell r="H3168" t="str">
            <v>Tidak</v>
          </cell>
          <cell r="I3168" t="str">
            <v>Perpajakan</v>
          </cell>
          <cell r="J3168">
            <v>36</v>
          </cell>
          <cell r="K3168">
            <v>41</v>
          </cell>
          <cell r="L3168" t="str">
            <v>Perpajakan</v>
          </cell>
          <cell r="M3168" t="str">
            <v xml:space="preserve">KC Salatiga                             </v>
          </cell>
          <cell r="N3168" t="str">
            <v xml:space="preserve">KC Salatiga                             </v>
          </cell>
          <cell r="O3168" t="str">
            <v xml:space="preserve">Semarang                                </v>
          </cell>
          <cell r="P3168" t="str">
            <v>Tidak</v>
          </cell>
          <cell r="Q3168" t="str">
            <v>Tidak</v>
          </cell>
          <cell r="R3168" t="str">
            <v>Done</v>
          </cell>
          <cell r="S3168" t="str">
            <v>Pending Checker</v>
          </cell>
          <cell r="T3168" t="str">
            <v>90186796 - Devito Arya Wiradila</v>
          </cell>
          <cell r="U3168" t="str">
            <v>"-"</v>
          </cell>
        </row>
        <row r="3169">
          <cell r="A3169">
            <v>46265</v>
          </cell>
          <cell r="B3169" t="str">
            <v xml:space="preserve">CV JELITA ELANG CIANJUR                 </v>
          </cell>
          <cell r="C3169" t="str">
            <v>CW99468</v>
          </cell>
          <cell r="D3169">
            <v>8101011306566</v>
          </cell>
          <cell r="F3169" t="str">
            <v>Tidak</v>
          </cell>
          <cell r="G3169" t="str">
            <v>Tidak</v>
          </cell>
          <cell r="H3169" t="str">
            <v>Tidak</v>
          </cell>
          <cell r="I3169" t="str">
            <v>Perpajakan</v>
          </cell>
          <cell r="J3169">
            <v>33</v>
          </cell>
          <cell r="K3169">
            <v>41</v>
          </cell>
          <cell r="L3169" t="str">
            <v>Perpajakan</v>
          </cell>
          <cell r="M3169" t="str">
            <v xml:space="preserve">KC Salatiga                             </v>
          </cell>
          <cell r="N3169" t="str">
            <v xml:space="preserve">KC Salatiga                             </v>
          </cell>
          <cell r="O3169" t="str">
            <v xml:space="preserve">Semarang                                </v>
          </cell>
          <cell r="P3169" t="str">
            <v>Tidak</v>
          </cell>
          <cell r="Q3169" t="str">
            <v>Tidak</v>
          </cell>
          <cell r="R3169" t="str">
            <v>Done</v>
          </cell>
          <cell r="S3169" t="str">
            <v>Pending Checker</v>
          </cell>
          <cell r="T3169" t="str">
            <v>00336949 - Mochammad Al Farabi</v>
          </cell>
          <cell r="U3169" t="str">
            <v>"-"</v>
          </cell>
        </row>
        <row r="3170">
          <cell r="A3170">
            <v>46265</v>
          </cell>
          <cell r="B3170" t="str">
            <v xml:space="preserve">CV MULIA ABADI CIANJUR                  </v>
          </cell>
          <cell r="C3170" t="str">
            <v>CW99496</v>
          </cell>
          <cell r="D3170">
            <v>8101011308568</v>
          </cell>
          <cell r="F3170" t="str">
            <v>Tidak</v>
          </cell>
          <cell r="G3170" t="str">
            <v>Tidak</v>
          </cell>
          <cell r="H3170" t="str">
            <v>Tidak</v>
          </cell>
          <cell r="I3170" t="str">
            <v>Perpajakan</v>
          </cell>
          <cell r="J3170">
            <v>36</v>
          </cell>
          <cell r="K3170">
            <v>41</v>
          </cell>
          <cell r="L3170" t="str">
            <v>Perpajakan</v>
          </cell>
          <cell r="M3170" t="str">
            <v xml:space="preserve">KC Salatiga                             </v>
          </cell>
          <cell r="N3170" t="str">
            <v xml:space="preserve">KC Salatiga                             </v>
          </cell>
          <cell r="O3170" t="str">
            <v xml:space="preserve">Semarang                                </v>
          </cell>
          <cell r="P3170" t="str">
            <v>Tidak</v>
          </cell>
          <cell r="Q3170" t="str">
            <v>Tidak</v>
          </cell>
          <cell r="R3170" t="str">
            <v>Done</v>
          </cell>
          <cell r="S3170" t="str">
            <v>Pending Checker</v>
          </cell>
          <cell r="T3170" t="str">
            <v>00394520 - Frida Akbar Rani</v>
          </cell>
          <cell r="U3170" t="str">
            <v>"-"</v>
          </cell>
        </row>
        <row r="3171">
          <cell r="A3171">
            <v>46265</v>
          </cell>
          <cell r="B3171" t="str">
            <v xml:space="preserve">CV MULTI PESONA CIANJUR                 </v>
          </cell>
          <cell r="C3171" t="str">
            <v>CW99498</v>
          </cell>
          <cell r="D3171">
            <v>8101011309564</v>
          </cell>
          <cell r="F3171" t="str">
            <v>Tidak</v>
          </cell>
          <cell r="G3171" t="str">
            <v>Tidak</v>
          </cell>
          <cell r="H3171" t="str">
            <v>Tidak</v>
          </cell>
          <cell r="I3171" t="str">
            <v>Perpajakan</v>
          </cell>
          <cell r="J3171">
            <v>35</v>
          </cell>
          <cell r="K3171">
            <v>41</v>
          </cell>
          <cell r="L3171" t="str">
            <v>Perpajakan</v>
          </cell>
          <cell r="M3171" t="str">
            <v xml:space="preserve">KC Salatiga                             </v>
          </cell>
          <cell r="N3171" t="str">
            <v xml:space="preserve">KC Salatiga                             </v>
          </cell>
          <cell r="O3171" t="str">
            <v xml:space="preserve">Semarang                                </v>
          </cell>
          <cell r="P3171" t="str">
            <v>Tidak</v>
          </cell>
          <cell r="Q3171" t="str">
            <v>Tidak</v>
          </cell>
          <cell r="R3171" t="str">
            <v>Done</v>
          </cell>
          <cell r="S3171" t="str">
            <v>Pending Checker</v>
          </cell>
          <cell r="T3171" t="str">
            <v>00394521 - Muhammad Hibbanduta</v>
          </cell>
          <cell r="U3171" t="str">
            <v>"-"</v>
          </cell>
        </row>
        <row r="3172">
          <cell r="A3172">
            <v>46265</v>
          </cell>
          <cell r="B3172" t="str">
            <v xml:space="preserve">CV MUARA TALENTA CIANJUR                </v>
          </cell>
          <cell r="C3172" t="str">
            <v>CW99499</v>
          </cell>
          <cell r="D3172">
            <v>8101010307569</v>
          </cell>
          <cell r="F3172" t="str">
            <v>Tidak</v>
          </cell>
          <cell r="G3172" t="str">
            <v>Tidak</v>
          </cell>
          <cell r="H3172" t="str">
            <v>Tidak</v>
          </cell>
          <cell r="I3172" t="str">
            <v>Perpajakan</v>
          </cell>
          <cell r="J3172">
            <v>36</v>
          </cell>
          <cell r="K3172">
            <v>41</v>
          </cell>
          <cell r="L3172" t="str">
            <v>Perpajakan</v>
          </cell>
          <cell r="M3172" t="str">
            <v xml:space="preserve">KC Salatiga                             </v>
          </cell>
          <cell r="N3172" t="str">
            <v xml:space="preserve">KC Salatiga                             </v>
          </cell>
          <cell r="O3172" t="str">
            <v xml:space="preserve">Semarang                                </v>
          </cell>
          <cell r="P3172" t="str">
            <v>Tidak</v>
          </cell>
          <cell r="Q3172" t="str">
            <v>Tidak</v>
          </cell>
          <cell r="R3172" t="str">
            <v>Done</v>
          </cell>
          <cell r="S3172" t="str">
            <v>Pending Checker</v>
          </cell>
          <cell r="T3172" t="str">
            <v>90150130 - Intan Aida Pratiwi</v>
          </cell>
          <cell r="U3172" t="str">
            <v>"-"</v>
          </cell>
        </row>
        <row r="3173">
          <cell r="A3173">
            <v>46265</v>
          </cell>
          <cell r="B3173" t="str">
            <v xml:space="preserve">CV SANTIKA DIVA CIANJUR                 </v>
          </cell>
          <cell r="C3173" t="str">
            <v>CW99861</v>
          </cell>
          <cell r="D3173">
            <v>8101011310565</v>
          </cell>
          <cell r="F3173" t="str">
            <v>Tidak</v>
          </cell>
          <cell r="G3173" t="str">
            <v>Tidak</v>
          </cell>
          <cell r="H3173" t="str">
            <v>Tidak</v>
          </cell>
          <cell r="I3173" t="str">
            <v>Perpajakan</v>
          </cell>
          <cell r="J3173">
            <v>35</v>
          </cell>
          <cell r="K3173">
            <v>41</v>
          </cell>
          <cell r="L3173" t="str">
            <v>Perpajakan</v>
          </cell>
          <cell r="M3173" t="str">
            <v xml:space="preserve">KC Salatiga                             </v>
          </cell>
          <cell r="N3173" t="str">
            <v xml:space="preserve">KC Salatiga                             </v>
          </cell>
          <cell r="O3173" t="str">
            <v xml:space="preserve">Semarang                                </v>
          </cell>
          <cell r="P3173" t="str">
            <v>Tidak</v>
          </cell>
          <cell r="Q3173" t="str">
            <v>Tidak</v>
          </cell>
          <cell r="R3173" t="str">
            <v>Done</v>
          </cell>
          <cell r="S3173" t="str">
            <v>Pending Checker</v>
          </cell>
          <cell r="T3173" t="str">
            <v>90170665 - Mutiara Ayuningtyas</v>
          </cell>
          <cell r="U3173" t="str">
            <v>"-"</v>
          </cell>
        </row>
        <row r="3174">
          <cell r="A3174">
            <v>46265</v>
          </cell>
          <cell r="B3174" t="str">
            <v xml:space="preserve">CV WARISAN GEMILANG SURABAYA            </v>
          </cell>
          <cell r="C3174" t="str">
            <v>CW99922</v>
          </cell>
          <cell r="D3174">
            <v>8101011211567</v>
          </cell>
          <cell r="F3174" t="str">
            <v>Tidak</v>
          </cell>
          <cell r="G3174" t="str">
            <v>Tidak</v>
          </cell>
          <cell r="H3174" t="str">
            <v>Tidak</v>
          </cell>
          <cell r="I3174" t="str">
            <v>Perpajakan</v>
          </cell>
          <cell r="J3174">
            <v>34</v>
          </cell>
          <cell r="K3174">
            <v>41</v>
          </cell>
          <cell r="L3174" t="str">
            <v>Perpajakan</v>
          </cell>
          <cell r="M3174" t="str">
            <v xml:space="preserve">KC Salatiga                             </v>
          </cell>
          <cell r="N3174" t="str">
            <v xml:space="preserve">KC Salatiga                             </v>
          </cell>
          <cell r="O3174" t="str">
            <v xml:space="preserve">Semarang                                </v>
          </cell>
          <cell r="P3174" t="str">
            <v>Tidak</v>
          </cell>
          <cell r="Q3174" t="str">
            <v>Tidak</v>
          </cell>
          <cell r="R3174" t="str">
            <v>Done</v>
          </cell>
          <cell r="S3174" t="str">
            <v>Pending Checker</v>
          </cell>
          <cell r="T3174" t="str">
            <v>90171841 - Rifqi Aziz</v>
          </cell>
          <cell r="U3174" t="str">
            <v>"-"</v>
          </cell>
        </row>
        <row r="3175">
          <cell r="A3175">
            <v>46265</v>
          </cell>
          <cell r="B3175" t="str">
            <v xml:space="preserve">CV AGUNG SINERGI SIDOARJO               </v>
          </cell>
          <cell r="C3175" t="str">
            <v>CX00040</v>
          </cell>
          <cell r="D3175">
            <v>8101010612566</v>
          </cell>
          <cell r="F3175" t="str">
            <v>Tidak</v>
          </cell>
          <cell r="G3175" t="str">
            <v>Tidak</v>
          </cell>
          <cell r="H3175" t="str">
            <v>Tidak</v>
          </cell>
          <cell r="I3175" t="str">
            <v>Perpajakan</v>
          </cell>
          <cell r="J3175">
            <v>36</v>
          </cell>
          <cell r="K3175">
            <v>41</v>
          </cell>
          <cell r="L3175" t="str">
            <v>Perpajakan</v>
          </cell>
          <cell r="M3175" t="str">
            <v xml:space="preserve">KC Salatiga                             </v>
          </cell>
          <cell r="N3175" t="str">
            <v xml:space="preserve">KC Salatiga                             </v>
          </cell>
          <cell r="O3175" t="str">
            <v xml:space="preserve">Semarang                                </v>
          </cell>
          <cell r="P3175" t="str">
            <v>Tidak</v>
          </cell>
          <cell r="Q3175" t="str">
            <v>Tidak</v>
          </cell>
          <cell r="R3175" t="str">
            <v>Done</v>
          </cell>
          <cell r="S3175" t="str">
            <v>Pending Checker</v>
          </cell>
          <cell r="T3175" t="str">
            <v>00394521 - Muhammad Hibbanduta</v>
          </cell>
          <cell r="U3175" t="str">
            <v>"-"</v>
          </cell>
        </row>
        <row r="3176">
          <cell r="A3176">
            <v>46265</v>
          </cell>
          <cell r="B3176" t="str">
            <v xml:space="preserve">CV AGUNG SINERGI MALANG                 </v>
          </cell>
          <cell r="C3176" t="str">
            <v>CX00068</v>
          </cell>
          <cell r="D3176">
            <v>8101010813560</v>
          </cell>
          <cell r="F3176" t="str">
            <v>Tidak</v>
          </cell>
          <cell r="G3176" t="str">
            <v>Tidak</v>
          </cell>
          <cell r="H3176" t="str">
            <v>Tidak</v>
          </cell>
          <cell r="I3176" t="str">
            <v>Perpajakan</v>
          </cell>
          <cell r="J3176">
            <v>38</v>
          </cell>
          <cell r="K3176">
            <v>41</v>
          </cell>
          <cell r="L3176" t="str">
            <v>Perpajakan</v>
          </cell>
          <cell r="M3176" t="str">
            <v xml:space="preserve">KC Salatiga                             </v>
          </cell>
          <cell r="N3176" t="str">
            <v xml:space="preserve">KC Salatiga                             </v>
          </cell>
          <cell r="O3176" t="str">
            <v xml:space="preserve">Semarang                                </v>
          </cell>
          <cell r="P3176" t="str">
            <v>Tidak</v>
          </cell>
          <cell r="Q3176" t="str">
            <v>Tidak</v>
          </cell>
          <cell r="R3176" t="str">
            <v>Done</v>
          </cell>
          <cell r="S3176" t="str">
            <v>Pending Checker</v>
          </cell>
          <cell r="T3176" t="str">
            <v>90186790 - Muhammad Alfin Farha</v>
          </cell>
          <cell r="U3176" t="str">
            <v>"-"</v>
          </cell>
        </row>
        <row r="3177">
          <cell r="A3177">
            <v>46265</v>
          </cell>
          <cell r="B3177" t="str">
            <v xml:space="preserve">CV MUARA TRADISI MALANG                 </v>
          </cell>
          <cell r="C3177" t="str">
            <v>CX00122</v>
          </cell>
          <cell r="D3177">
            <v>8101010814566</v>
          </cell>
          <cell r="F3177" t="str">
            <v>Tidak</v>
          </cell>
          <cell r="G3177" t="str">
            <v>Tidak</v>
          </cell>
          <cell r="H3177" t="str">
            <v>Tidak</v>
          </cell>
          <cell r="I3177" t="str">
            <v>Perpajakan</v>
          </cell>
          <cell r="J3177">
            <v>34</v>
          </cell>
          <cell r="K3177">
            <v>41</v>
          </cell>
          <cell r="L3177" t="str">
            <v>Perpajakan</v>
          </cell>
          <cell r="M3177" t="str">
            <v xml:space="preserve">KC Salatiga                             </v>
          </cell>
          <cell r="N3177" t="str">
            <v xml:space="preserve">KC Salatiga                             </v>
          </cell>
          <cell r="O3177" t="str">
            <v xml:space="preserve">Semarang                                </v>
          </cell>
          <cell r="P3177" t="str">
            <v>Tidak</v>
          </cell>
          <cell r="Q3177" t="str">
            <v>Tidak</v>
          </cell>
          <cell r="R3177" t="str">
            <v>Done</v>
          </cell>
          <cell r="S3177" t="str">
            <v>Pending Checker</v>
          </cell>
          <cell r="T3177" t="str">
            <v>00394520 - Frida Akbar Rani</v>
          </cell>
          <cell r="U3177" t="str">
            <v>"-"</v>
          </cell>
        </row>
        <row r="3178">
          <cell r="A3178">
            <v>46265</v>
          </cell>
          <cell r="B3178" t="str">
            <v xml:space="preserve">CV WARISAN GEMILANG MALANG              </v>
          </cell>
          <cell r="C3178" t="str">
            <v>CX00134</v>
          </cell>
          <cell r="D3178">
            <v>8101010815562</v>
          </cell>
          <cell r="F3178" t="str">
            <v>Tidak</v>
          </cell>
          <cell r="G3178" t="str">
            <v>Tidak</v>
          </cell>
          <cell r="H3178" t="str">
            <v>Tidak</v>
          </cell>
          <cell r="I3178" t="str">
            <v>Perpajakan</v>
          </cell>
          <cell r="J3178">
            <v>34</v>
          </cell>
          <cell r="K3178">
            <v>41</v>
          </cell>
          <cell r="L3178" t="str">
            <v>Perpajakan</v>
          </cell>
          <cell r="M3178" t="str">
            <v xml:space="preserve">KC Salatiga                             </v>
          </cell>
          <cell r="N3178" t="str">
            <v xml:space="preserve">KC Salatiga                             </v>
          </cell>
          <cell r="O3178" t="str">
            <v xml:space="preserve">Semarang                                </v>
          </cell>
          <cell r="P3178" t="str">
            <v>Tidak</v>
          </cell>
          <cell r="Q3178" t="str">
            <v>Tidak</v>
          </cell>
          <cell r="R3178" t="str">
            <v>Done</v>
          </cell>
          <cell r="S3178" t="str">
            <v>Pending Checker</v>
          </cell>
          <cell r="T3178" t="str">
            <v>00336949 - Mochammad Al Farabi</v>
          </cell>
          <cell r="U3178" t="str">
            <v>"-"</v>
          </cell>
        </row>
        <row r="3179">
          <cell r="A3179">
            <v>46265</v>
          </cell>
          <cell r="B3179" t="str">
            <v xml:space="preserve">CV MUARA TRADISI SIDOARJO               </v>
          </cell>
          <cell r="C3179" t="str">
            <v>CX00135</v>
          </cell>
          <cell r="D3179">
            <v>8101010613562</v>
          </cell>
          <cell r="F3179" t="str">
            <v>Tidak</v>
          </cell>
          <cell r="G3179" t="str">
            <v>Tidak</v>
          </cell>
          <cell r="H3179" t="str">
            <v>Tidak</v>
          </cell>
          <cell r="I3179" t="str">
            <v>Perpajakan</v>
          </cell>
          <cell r="J3179">
            <v>38</v>
          </cell>
          <cell r="K3179">
            <v>41</v>
          </cell>
          <cell r="L3179" t="str">
            <v>Perpajakan</v>
          </cell>
          <cell r="M3179" t="str">
            <v xml:space="preserve">KC Salatiga                             </v>
          </cell>
          <cell r="N3179" t="str">
            <v xml:space="preserve">KC Salatiga                             </v>
          </cell>
          <cell r="O3179" t="str">
            <v xml:space="preserve">Semarang                                </v>
          </cell>
          <cell r="P3179" t="str">
            <v>Tidak</v>
          </cell>
          <cell r="Q3179" t="str">
            <v>Tidak</v>
          </cell>
          <cell r="R3179" t="str">
            <v>Done</v>
          </cell>
          <cell r="S3179" t="str">
            <v>Pending Checker</v>
          </cell>
          <cell r="T3179" t="str">
            <v>90150130 - Intan Aida Pratiwi</v>
          </cell>
          <cell r="U3179" t="str">
            <v>"-"</v>
          </cell>
        </row>
        <row r="3180">
          <cell r="A3180">
            <v>46265</v>
          </cell>
          <cell r="B3180" t="str">
            <v xml:space="preserve">CV JELITA ELANG MAGELANG                </v>
          </cell>
          <cell r="C3180" t="str">
            <v>CX00136</v>
          </cell>
          <cell r="D3180">
            <v>8101010413564</v>
          </cell>
          <cell r="F3180" t="str">
            <v>Tidak</v>
          </cell>
          <cell r="G3180" t="str">
            <v>Tidak</v>
          </cell>
          <cell r="H3180" t="str">
            <v>Tidak</v>
          </cell>
          <cell r="I3180" t="str">
            <v>Perpajakan</v>
          </cell>
          <cell r="J3180">
            <v>36</v>
          </cell>
          <cell r="K3180">
            <v>41</v>
          </cell>
          <cell r="L3180" t="str">
            <v>Perpajakan</v>
          </cell>
          <cell r="M3180" t="str">
            <v xml:space="preserve">KC Salatiga                             </v>
          </cell>
          <cell r="N3180" t="str">
            <v xml:space="preserve">KC Salatiga                             </v>
          </cell>
          <cell r="O3180" t="str">
            <v xml:space="preserve">Semarang                                </v>
          </cell>
          <cell r="P3180" t="str">
            <v>Tidak</v>
          </cell>
          <cell r="Q3180" t="str">
            <v>Tidak</v>
          </cell>
          <cell r="R3180" t="str">
            <v>Done</v>
          </cell>
          <cell r="S3180" t="str">
            <v>Pending Checker</v>
          </cell>
          <cell r="T3180" t="str">
            <v>90185537 - Moh.Khoerul Fajar Ar</v>
          </cell>
          <cell r="U3180" t="str">
            <v>"-"</v>
          </cell>
        </row>
        <row r="3181">
          <cell r="A3181">
            <v>46265</v>
          </cell>
          <cell r="B3181" t="str">
            <v xml:space="preserve">CV AGUNG SINERGI PURWOKERTO             </v>
          </cell>
          <cell r="C3181" t="str">
            <v>CX00152</v>
          </cell>
          <cell r="D3181">
            <v>8101010306563</v>
          </cell>
          <cell r="F3181" t="str">
            <v>Tidak</v>
          </cell>
          <cell r="G3181" t="str">
            <v>Tidak</v>
          </cell>
          <cell r="H3181" t="str">
            <v>Tidak</v>
          </cell>
          <cell r="I3181" t="str">
            <v>Perpajakan</v>
          </cell>
          <cell r="J3181">
            <v>38</v>
          </cell>
          <cell r="K3181">
            <v>41</v>
          </cell>
          <cell r="L3181" t="str">
            <v>Perpajakan</v>
          </cell>
          <cell r="M3181" t="str">
            <v xml:space="preserve">KC Salatiga                             </v>
          </cell>
          <cell r="N3181" t="str">
            <v xml:space="preserve">KC Salatiga                             </v>
          </cell>
          <cell r="O3181" t="str">
            <v xml:space="preserve">Semarang                                </v>
          </cell>
          <cell r="P3181" t="str">
            <v>Tidak</v>
          </cell>
          <cell r="Q3181" t="str">
            <v>Tidak</v>
          </cell>
          <cell r="R3181" t="str">
            <v>Done</v>
          </cell>
          <cell r="S3181" t="str">
            <v>Pending Checker</v>
          </cell>
          <cell r="T3181" t="str">
            <v>90186790 - Muhammad Alfin Farha</v>
          </cell>
          <cell r="U3181" t="str">
            <v>"-"</v>
          </cell>
        </row>
        <row r="3182">
          <cell r="A3182">
            <v>46265</v>
          </cell>
          <cell r="B3182" t="str">
            <v xml:space="preserve">CV WARISAN GEMILANG SIDOARJO            </v>
          </cell>
          <cell r="C3182" t="str">
            <v>CX00180</v>
          </cell>
          <cell r="D3182">
            <v>8101010614568</v>
          </cell>
          <cell r="F3182" t="str">
            <v>Tidak</v>
          </cell>
          <cell r="G3182" t="str">
            <v>Tidak</v>
          </cell>
          <cell r="H3182" t="str">
            <v>Tidak</v>
          </cell>
          <cell r="I3182" t="str">
            <v>Perpajakan</v>
          </cell>
          <cell r="J3182">
            <v>34</v>
          </cell>
          <cell r="K3182">
            <v>41</v>
          </cell>
          <cell r="L3182" t="str">
            <v>Perpajakan</v>
          </cell>
          <cell r="M3182" t="str">
            <v xml:space="preserve">KC Salatiga                             </v>
          </cell>
          <cell r="N3182" t="str">
            <v xml:space="preserve">KC Salatiga                             </v>
          </cell>
          <cell r="O3182" t="str">
            <v xml:space="preserve">Semarang                                </v>
          </cell>
          <cell r="P3182" t="str">
            <v>Tidak</v>
          </cell>
          <cell r="Q3182" t="str">
            <v>Tidak</v>
          </cell>
          <cell r="R3182" t="str">
            <v>Done</v>
          </cell>
          <cell r="S3182" t="str">
            <v>Pending Checker</v>
          </cell>
          <cell r="T3182" t="str">
            <v>90170665 - Mutiara Ayuningtyas</v>
          </cell>
          <cell r="U3182" t="str">
            <v>"-"</v>
          </cell>
        </row>
        <row r="3183">
          <cell r="A3183">
            <v>46265</v>
          </cell>
          <cell r="B3183" t="str">
            <v xml:space="preserve">CV MULIA ABADI MAGELANG                 </v>
          </cell>
          <cell r="C3183" t="str">
            <v>CX00201</v>
          </cell>
          <cell r="D3183">
            <v>8101010414560</v>
          </cell>
          <cell r="F3183" t="str">
            <v>Tidak</v>
          </cell>
          <cell r="G3183" t="str">
            <v>Tidak</v>
          </cell>
          <cell r="H3183" t="str">
            <v>Tidak</v>
          </cell>
          <cell r="I3183" t="str">
            <v>Perpajakan</v>
          </cell>
          <cell r="J3183">
            <v>38</v>
          </cell>
          <cell r="K3183">
            <v>41</v>
          </cell>
          <cell r="L3183" t="str">
            <v>Perpajakan</v>
          </cell>
          <cell r="M3183" t="str">
            <v xml:space="preserve">KC Salatiga                             </v>
          </cell>
          <cell r="N3183" t="str">
            <v xml:space="preserve">KC Salatiga                             </v>
          </cell>
          <cell r="O3183" t="str">
            <v xml:space="preserve">Semarang                                </v>
          </cell>
          <cell r="P3183" t="str">
            <v>Tidak</v>
          </cell>
          <cell r="Q3183" t="str">
            <v>Tidak</v>
          </cell>
          <cell r="R3183" t="str">
            <v>Done</v>
          </cell>
          <cell r="S3183" t="str">
            <v>Pending Checker</v>
          </cell>
          <cell r="T3183" t="str">
            <v>90185538 - Muhammad Fahikal Auz</v>
          </cell>
          <cell r="U3183" t="str">
            <v>"-"</v>
          </cell>
        </row>
        <row r="3184">
          <cell r="A3184">
            <v>46265</v>
          </cell>
          <cell r="B3184" t="str">
            <v xml:space="preserve">CV BANGUN RUPA PURWOKERTO               </v>
          </cell>
          <cell r="C3184" t="str">
            <v>CX00251</v>
          </cell>
          <cell r="D3184">
            <v>8101010310562</v>
          </cell>
          <cell r="F3184" t="str">
            <v>Tidak</v>
          </cell>
          <cell r="G3184" t="str">
            <v>Tidak</v>
          </cell>
          <cell r="H3184" t="str">
            <v>Tidak</v>
          </cell>
          <cell r="I3184" t="str">
            <v>Perpajakan</v>
          </cell>
          <cell r="J3184">
            <v>34</v>
          </cell>
          <cell r="K3184">
            <v>41</v>
          </cell>
          <cell r="L3184" t="str">
            <v>Perpajakan</v>
          </cell>
          <cell r="M3184" t="str">
            <v xml:space="preserve">KC Salatiga                             </v>
          </cell>
          <cell r="N3184" t="str">
            <v xml:space="preserve">KC Salatiga                             </v>
          </cell>
          <cell r="O3184" t="str">
            <v xml:space="preserve">Semarang                                </v>
          </cell>
          <cell r="P3184" t="str">
            <v>Tidak</v>
          </cell>
          <cell r="Q3184" t="str">
            <v>Tidak</v>
          </cell>
          <cell r="R3184" t="str">
            <v>Done</v>
          </cell>
          <cell r="S3184" t="str">
            <v>Pending Checker</v>
          </cell>
          <cell r="T3184" t="str">
            <v>90171841 - Rifqi Aziz</v>
          </cell>
          <cell r="U3184" t="str">
            <v>"-"</v>
          </cell>
        </row>
        <row r="3185">
          <cell r="A3185">
            <v>46265</v>
          </cell>
          <cell r="B3185" t="str">
            <v xml:space="preserve">CV SANTIKA DIVA MAGELANG                </v>
          </cell>
          <cell r="C3185" t="str">
            <v>CX00254</v>
          </cell>
          <cell r="D3185">
            <v>8101010415566</v>
          </cell>
          <cell r="F3185" t="str">
            <v>Tidak</v>
          </cell>
          <cell r="G3185" t="str">
            <v>Tidak</v>
          </cell>
          <cell r="H3185" t="str">
            <v>Tidak</v>
          </cell>
          <cell r="I3185" t="str">
            <v>Perpajakan</v>
          </cell>
          <cell r="J3185">
            <v>38</v>
          </cell>
          <cell r="K3185">
            <v>41</v>
          </cell>
          <cell r="L3185" t="str">
            <v>Perpajakan</v>
          </cell>
          <cell r="M3185" t="str">
            <v xml:space="preserve">KC Salatiga                             </v>
          </cell>
          <cell r="N3185" t="str">
            <v xml:space="preserve">KC Salatiga                             </v>
          </cell>
          <cell r="O3185" t="str">
            <v xml:space="preserve">Semarang                                </v>
          </cell>
          <cell r="P3185" t="str">
            <v>Tidak</v>
          </cell>
          <cell r="Q3185" t="str">
            <v>Tidak</v>
          </cell>
          <cell r="R3185" t="str">
            <v>Done</v>
          </cell>
          <cell r="S3185" t="str">
            <v>Pending Checker</v>
          </cell>
          <cell r="T3185" t="str">
            <v>90186790 - Muhammad Alfin Farha</v>
          </cell>
          <cell r="U3185" t="str">
            <v>"-"</v>
          </cell>
        </row>
        <row r="3186">
          <cell r="A3186">
            <v>46265</v>
          </cell>
          <cell r="B3186" t="str">
            <v xml:space="preserve">CV MUARA TRADISI PURWOKERTO             </v>
          </cell>
          <cell r="C3186" t="str">
            <v>CX00272</v>
          </cell>
          <cell r="D3186">
            <v>8101010308565</v>
          </cell>
          <cell r="F3186" t="str">
            <v>Tidak</v>
          </cell>
          <cell r="G3186" t="str">
            <v>Tidak</v>
          </cell>
          <cell r="H3186" t="str">
            <v>Tidak</v>
          </cell>
          <cell r="I3186" t="str">
            <v>Perpajakan</v>
          </cell>
          <cell r="J3186">
            <v>38</v>
          </cell>
          <cell r="K3186">
            <v>41</v>
          </cell>
          <cell r="L3186" t="str">
            <v>Perpajakan</v>
          </cell>
          <cell r="M3186" t="str">
            <v xml:space="preserve">KC Salatiga                             </v>
          </cell>
          <cell r="N3186" t="str">
            <v xml:space="preserve">KC Salatiga                             </v>
          </cell>
          <cell r="O3186" t="str">
            <v xml:space="preserve">Semarang                                </v>
          </cell>
          <cell r="P3186" t="str">
            <v>Tidak</v>
          </cell>
          <cell r="Q3186" t="str">
            <v>Tidak</v>
          </cell>
          <cell r="R3186" t="str">
            <v>Done</v>
          </cell>
          <cell r="S3186" t="str">
            <v>Pending Checker</v>
          </cell>
          <cell r="T3186" t="str">
            <v>90185537 - Moh.Khoerul Fajar Ar</v>
          </cell>
          <cell r="U3186" t="str">
            <v>"-"</v>
          </cell>
        </row>
        <row r="3187">
          <cell r="A3187">
            <v>46265</v>
          </cell>
          <cell r="B3187" t="str">
            <v xml:space="preserve">CV MULIA ABADI KUDUS                    </v>
          </cell>
          <cell r="C3187" t="str">
            <v>CX00273</v>
          </cell>
          <cell r="D3187">
            <v>8101010713566</v>
          </cell>
          <cell r="F3187" t="str">
            <v>Tidak</v>
          </cell>
          <cell r="G3187" t="str">
            <v>Tidak</v>
          </cell>
          <cell r="H3187" t="str">
            <v>Tidak</v>
          </cell>
          <cell r="I3187" t="str">
            <v>Perpajakan</v>
          </cell>
          <cell r="J3187">
            <v>36</v>
          </cell>
          <cell r="K3187">
            <v>41</v>
          </cell>
          <cell r="L3187" t="str">
            <v>Perpajakan</v>
          </cell>
          <cell r="M3187" t="str">
            <v xml:space="preserve">KC Salatiga                             </v>
          </cell>
          <cell r="N3187" t="str">
            <v xml:space="preserve">KC Salatiga                             </v>
          </cell>
          <cell r="O3187" t="str">
            <v xml:space="preserve">Semarang                                </v>
          </cell>
          <cell r="P3187" t="str">
            <v>Tidak</v>
          </cell>
          <cell r="Q3187" t="str">
            <v>Tidak</v>
          </cell>
          <cell r="R3187" t="str">
            <v>Done</v>
          </cell>
          <cell r="S3187" t="str">
            <v>Pending Checker</v>
          </cell>
          <cell r="T3187" t="str">
            <v>90186796 - Devito Arya Wiradila</v>
          </cell>
          <cell r="U3187" t="str">
            <v>"-"</v>
          </cell>
        </row>
        <row r="3188">
          <cell r="A3188">
            <v>46265</v>
          </cell>
          <cell r="B3188" t="str">
            <v xml:space="preserve">CV JELITA ELANG KUDUS                   </v>
          </cell>
          <cell r="C3188" t="str">
            <v>CX00275</v>
          </cell>
          <cell r="D3188">
            <v>8101010712560</v>
          </cell>
          <cell r="F3188" t="str">
            <v>Tidak</v>
          </cell>
          <cell r="G3188" t="str">
            <v>Tidak</v>
          </cell>
          <cell r="H3188" t="str">
            <v>Tidak</v>
          </cell>
          <cell r="I3188" t="str">
            <v>Perpajakan</v>
          </cell>
          <cell r="J3188">
            <v>36</v>
          </cell>
          <cell r="K3188">
            <v>41</v>
          </cell>
          <cell r="L3188" t="str">
            <v>Perpajakan</v>
          </cell>
          <cell r="M3188" t="str">
            <v xml:space="preserve">KC Salatiga                             </v>
          </cell>
          <cell r="N3188" t="str">
            <v xml:space="preserve">KC Salatiga                             </v>
          </cell>
          <cell r="O3188" t="str">
            <v xml:space="preserve">Semarang                                </v>
          </cell>
          <cell r="P3188" t="str">
            <v>Tidak</v>
          </cell>
          <cell r="Q3188" t="str">
            <v>Tidak</v>
          </cell>
          <cell r="R3188" t="str">
            <v>Done</v>
          </cell>
          <cell r="S3188" t="str">
            <v>Pending Checker</v>
          </cell>
          <cell r="T3188" t="str">
            <v>00336949 - Mochammad Al Farabi</v>
          </cell>
          <cell r="U3188" t="str">
            <v>"-"</v>
          </cell>
        </row>
        <row r="3189">
          <cell r="A3189">
            <v>46265</v>
          </cell>
          <cell r="B3189" t="str">
            <v xml:space="preserve">CV WARISAN GEMILANG PURWOKERTO          </v>
          </cell>
          <cell r="C3189" t="str">
            <v>CX00278</v>
          </cell>
          <cell r="D3189">
            <v>8101010309561</v>
          </cell>
          <cell r="F3189" t="str">
            <v>Tidak</v>
          </cell>
          <cell r="G3189" t="str">
            <v>Tidak</v>
          </cell>
          <cell r="H3189" t="str">
            <v>Tidak</v>
          </cell>
          <cell r="I3189" t="str">
            <v>Perpajakan</v>
          </cell>
          <cell r="J3189">
            <v>34</v>
          </cell>
          <cell r="K3189">
            <v>41</v>
          </cell>
          <cell r="L3189" t="str">
            <v>Perpajakan</v>
          </cell>
          <cell r="M3189" t="str">
            <v xml:space="preserve">KC Salatiga                             </v>
          </cell>
          <cell r="N3189" t="str">
            <v xml:space="preserve">KC Salatiga                             </v>
          </cell>
          <cell r="O3189" t="str">
            <v xml:space="preserve">Semarang                                </v>
          </cell>
          <cell r="P3189" t="str">
            <v>Tidak</v>
          </cell>
          <cell r="Q3189" t="str">
            <v>Tidak</v>
          </cell>
          <cell r="R3189" t="str">
            <v>Done</v>
          </cell>
          <cell r="S3189" t="str">
            <v>Pending Checker</v>
          </cell>
          <cell r="T3189" t="str">
            <v>90185538 - Muhammad Fahikal Auz</v>
          </cell>
          <cell r="U3189" t="str">
            <v>"-"</v>
          </cell>
        </row>
        <row r="3190">
          <cell r="A3190">
            <v>46265</v>
          </cell>
          <cell r="B3190" t="str">
            <v xml:space="preserve">CV AGUNG SINERGI KEDIRI                 </v>
          </cell>
          <cell r="C3190" t="str">
            <v>CX00279</v>
          </cell>
          <cell r="D3190">
            <v>8101010906567</v>
          </cell>
          <cell r="F3190" t="str">
            <v>Tidak</v>
          </cell>
          <cell r="G3190" t="str">
            <v>Tidak</v>
          </cell>
          <cell r="H3190" t="str">
            <v>Tidak</v>
          </cell>
          <cell r="I3190" t="str">
            <v>Perpajakan</v>
          </cell>
          <cell r="J3190">
            <v>38</v>
          </cell>
          <cell r="K3190">
            <v>41</v>
          </cell>
          <cell r="L3190" t="str">
            <v>Perpajakan</v>
          </cell>
          <cell r="M3190" t="str">
            <v xml:space="preserve">KC Salatiga                             </v>
          </cell>
          <cell r="N3190" t="str">
            <v xml:space="preserve">KC Salatiga                             </v>
          </cell>
          <cell r="O3190" t="str">
            <v xml:space="preserve">Semarang                                </v>
          </cell>
          <cell r="P3190" t="str">
            <v>Tidak</v>
          </cell>
          <cell r="Q3190" t="str">
            <v>Tidak</v>
          </cell>
          <cell r="R3190" t="str">
            <v>Done</v>
          </cell>
          <cell r="S3190" t="str">
            <v>Pending Checker</v>
          </cell>
          <cell r="T3190" t="str">
            <v>00394520 - Frida Akbar Rani</v>
          </cell>
          <cell r="U3190" t="str">
            <v>"-"</v>
          </cell>
        </row>
        <row r="3191">
          <cell r="A3191">
            <v>46265</v>
          </cell>
          <cell r="B3191" t="str">
            <v xml:space="preserve">CV SANTIKA DIVA KUDUS                   </v>
          </cell>
          <cell r="C3191" t="str">
            <v>CX00296</v>
          </cell>
          <cell r="D3191">
            <v>8101010714562</v>
          </cell>
          <cell r="F3191" t="str">
            <v>Tidak</v>
          </cell>
          <cell r="G3191" t="str">
            <v>Tidak</v>
          </cell>
          <cell r="H3191" t="str">
            <v>Tidak</v>
          </cell>
          <cell r="I3191" t="str">
            <v>Perpajakan</v>
          </cell>
          <cell r="J3191">
            <v>38</v>
          </cell>
          <cell r="K3191">
            <v>41</v>
          </cell>
          <cell r="L3191" t="str">
            <v>Perpajakan</v>
          </cell>
          <cell r="M3191" t="str">
            <v xml:space="preserve">KC Salatiga                             </v>
          </cell>
          <cell r="N3191" t="str">
            <v xml:space="preserve">KC Salatiga                             </v>
          </cell>
          <cell r="O3191" t="str">
            <v xml:space="preserve">Semarang                                </v>
          </cell>
          <cell r="P3191" t="str">
            <v>Tidak</v>
          </cell>
          <cell r="Q3191" t="str">
            <v>Tidak</v>
          </cell>
          <cell r="R3191" t="str">
            <v>Done</v>
          </cell>
          <cell r="S3191" t="str">
            <v>Pending Checker</v>
          </cell>
          <cell r="T3191" t="str">
            <v>00394521 - Muhammad Hibbanduta</v>
          </cell>
          <cell r="U3191" t="str">
            <v>"-"</v>
          </cell>
        </row>
        <row r="3192">
          <cell r="A3192">
            <v>46265</v>
          </cell>
          <cell r="B3192" t="str">
            <v xml:space="preserve">CV AGUNG SINERGI MADIUN                 </v>
          </cell>
          <cell r="C3192" t="str">
            <v>CX00297</v>
          </cell>
          <cell r="D3192">
            <v>8101011006564</v>
          </cell>
          <cell r="F3192" t="str">
            <v>Tidak</v>
          </cell>
          <cell r="G3192" t="str">
            <v>Tidak</v>
          </cell>
          <cell r="H3192" t="str">
            <v>Tidak</v>
          </cell>
          <cell r="I3192" t="str">
            <v>Perpajakan</v>
          </cell>
          <cell r="J3192">
            <v>38</v>
          </cell>
          <cell r="K3192">
            <v>41</v>
          </cell>
          <cell r="L3192" t="str">
            <v>Perpajakan</v>
          </cell>
          <cell r="M3192" t="str">
            <v xml:space="preserve">KC Salatiga                             </v>
          </cell>
          <cell r="N3192" t="str">
            <v xml:space="preserve">KC Salatiga                             </v>
          </cell>
          <cell r="O3192" t="str">
            <v xml:space="preserve">Semarang                                </v>
          </cell>
          <cell r="P3192" t="str">
            <v>Tidak</v>
          </cell>
          <cell r="Q3192" t="str">
            <v>Tidak</v>
          </cell>
          <cell r="R3192" t="str">
            <v>Done</v>
          </cell>
          <cell r="S3192" t="str">
            <v>Pending Checker</v>
          </cell>
          <cell r="T3192" t="str">
            <v>90186790 - Muhammad Alfin Farha</v>
          </cell>
          <cell r="U3192" t="str">
            <v>"-"</v>
          </cell>
        </row>
        <row r="3193">
          <cell r="A3193">
            <v>46265</v>
          </cell>
          <cell r="B3193" t="str">
            <v xml:space="preserve">CV BANGUN RUPA MADIUN                   </v>
          </cell>
          <cell r="C3193" t="str">
            <v>CX00298</v>
          </cell>
          <cell r="D3193">
            <v>8101011007560</v>
          </cell>
          <cell r="F3193" t="str">
            <v>Tidak</v>
          </cell>
          <cell r="G3193" t="str">
            <v>Tidak</v>
          </cell>
          <cell r="H3193" t="str">
            <v>Tidak</v>
          </cell>
          <cell r="I3193" t="str">
            <v>Perpajakan</v>
          </cell>
          <cell r="J3193">
            <v>38</v>
          </cell>
          <cell r="K3193">
            <v>41</v>
          </cell>
          <cell r="L3193" t="str">
            <v>Perpajakan</v>
          </cell>
          <cell r="M3193" t="str">
            <v xml:space="preserve">KC Salatiga                             </v>
          </cell>
          <cell r="N3193" t="str">
            <v xml:space="preserve">KC Salatiga                             </v>
          </cell>
          <cell r="O3193" t="str">
            <v xml:space="preserve">Semarang                                </v>
          </cell>
          <cell r="P3193" t="str">
            <v>Tidak</v>
          </cell>
          <cell r="Q3193" t="str">
            <v>Tidak</v>
          </cell>
          <cell r="R3193" t="str">
            <v>Done</v>
          </cell>
          <cell r="S3193" t="str">
            <v>Pending Checker</v>
          </cell>
          <cell r="T3193" t="str">
            <v>90186796 - Devito Arya Wiradila</v>
          </cell>
          <cell r="U3193" t="str">
            <v>"-"</v>
          </cell>
        </row>
        <row r="3194">
          <cell r="A3194">
            <v>46265</v>
          </cell>
          <cell r="B3194" t="str">
            <v xml:space="preserve">CV BANGUN RUPA KEDIRI                   </v>
          </cell>
          <cell r="C3194" t="str">
            <v>CX00299</v>
          </cell>
          <cell r="D3194">
            <v>8101010907563</v>
          </cell>
          <cell r="F3194" t="str">
            <v>Tidak</v>
          </cell>
          <cell r="G3194" t="str">
            <v>Tidak</v>
          </cell>
          <cell r="H3194" t="str">
            <v>Tidak</v>
          </cell>
          <cell r="I3194" t="str">
            <v>Perpajakan</v>
          </cell>
          <cell r="J3194">
            <v>38</v>
          </cell>
          <cell r="K3194">
            <v>41</v>
          </cell>
          <cell r="L3194" t="str">
            <v>Perpajakan</v>
          </cell>
          <cell r="M3194" t="str">
            <v xml:space="preserve">KC Salatiga                             </v>
          </cell>
          <cell r="N3194" t="str">
            <v xml:space="preserve">KC Salatiga                             </v>
          </cell>
          <cell r="O3194" t="str">
            <v xml:space="preserve">Semarang                                </v>
          </cell>
          <cell r="P3194" t="str">
            <v>Tidak</v>
          </cell>
          <cell r="Q3194" t="str">
            <v>Tidak</v>
          </cell>
          <cell r="R3194" t="str">
            <v>Done</v>
          </cell>
          <cell r="S3194" t="str">
            <v>Pending Checker</v>
          </cell>
          <cell r="T3194" t="str">
            <v>00336949 - Mochammad Al Farabi</v>
          </cell>
          <cell r="U3194" t="str">
            <v>"-"</v>
          </cell>
        </row>
        <row r="3195">
          <cell r="A3195">
            <v>46265</v>
          </cell>
          <cell r="B3195" t="str">
            <v xml:space="preserve">CV MUARA TRADISI MADIUN                 </v>
          </cell>
          <cell r="C3195" t="str">
            <v>CX00323</v>
          </cell>
          <cell r="D3195">
            <v>8101011008566</v>
          </cell>
          <cell r="F3195" t="str">
            <v>Tidak</v>
          </cell>
          <cell r="G3195" t="str">
            <v>Tidak</v>
          </cell>
          <cell r="H3195" t="str">
            <v>Tidak</v>
          </cell>
          <cell r="I3195" t="str">
            <v>Perpajakan</v>
          </cell>
          <cell r="J3195">
            <v>38</v>
          </cell>
          <cell r="K3195">
            <v>41</v>
          </cell>
          <cell r="L3195" t="str">
            <v>Perpajakan</v>
          </cell>
          <cell r="M3195" t="str">
            <v xml:space="preserve">KC Salatiga                             </v>
          </cell>
          <cell r="N3195" t="str">
            <v xml:space="preserve">KC Salatiga                             </v>
          </cell>
          <cell r="O3195" t="str">
            <v xml:space="preserve">Semarang                                </v>
          </cell>
          <cell r="P3195" t="str">
            <v>Tidak</v>
          </cell>
          <cell r="Q3195" t="str">
            <v>Tidak</v>
          </cell>
          <cell r="R3195" t="str">
            <v>Done</v>
          </cell>
          <cell r="S3195" t="str">
            <v>Pending Checker</v>
          </cell>
          <cell r="T3195" t="str">
            <v>00394520 - Frida Akbar Rani</v>
          </cell>
          <cell r="U3195" t="str">
            <v>"-"</v>
          </cell>
        </row>
        <row r="3196">
          <cell r="A3196">
            <v>46265</v>
          </cell>
          <cell r="B3196" t="str">
            <v xml:space="preserve">CV WARISAN GEMILANG MADIUN              </v>
          </cell>
          <cell r="C3196" t="str">
            <v>CX00324</v>
          </cell>
          <cell r="D3196">
            <v>8101011009562</v>
          </cell>
          <cell r="F3196" t="str">
            <v>Tidak</v>
          </cell>
          <cell r="G3196" t="str">
            <v>Tidak</v>
          </cell>
          <cell r="H3196" t="str">
            <v>Tidak</v>
          </cell>
          <cell r="I3196" t="str">
            <v>Perpajakan</v>
          </cell>
          <cell r="J3196">
            <v>34</v>
          </cell>
          <cell r="K3196">
            <v>41</v>
          </cell>
          <cell r="L3196" t="str">
            <v>Perpajakan</v>
          </cell>
          <cell r="M3196" t="str">
            <v xml:space="preserve">KC Salatiga                             </v>
          </cell>
          <cell r="N3196" t="str">
            <v xml:space="preserve">KC Salatiga                             </v>
          </cell>
          <cell r="O3196" t="str">
            <v xml:space="preserve">Semarang                                </v>
          </cell>
          <cell r="P3196" t="str">
            <v>Tidak</v>
          </cell>
          <cell r="Q3196" t="str">
            <v>Tidak</v>
          </cell>
          <cell r="R3196" t="str">
            <v>Done</v>
          </cell>
          <cell r="S3196" t="str">
            <v>Pending Checker</v>
          </cell>
          <cell r="T3196" t="str">
            <v>00394521 - Muhammad Hibbanduta</v>
          </cell>
          <cell r="U3196" t="str">
            <v>"-"</v>
          </cell>
        </row>
        <row r="3197">
          <cell r="A3197">
            <v>46265</v>
          </cell>
          <cell r="B3197" t="str">
            <v xml:space="preserve">CV AGUNG SEJAHTERA BOGOR                </v>
          </cell>
          <cell r="C3197" t="str">
            <v>CX00325</v>
          </cell>
          <cell r="D3197">
            <v>8101011401560</v>
          </cell>
          <cell r="F3197" t="str">
            <v>Tidak</v>
          </cell>
          <cell r="G3197" t="str">
            <v>Tidak</v>
          </cell>
          <cell r="H3197" t="str">
            <v>Tidak</v>
          </cell>
          <cell r="I3197" t="str">
            <v>Perpajakan</v>
          </cell>
          <cell r="J3197">
            <v>36</v>
          </cell>
          <cell r="K3197">
            <v>41</v>
          </cell>
          <cell r="L3197" t="str">
            <v>Perpajakan</v>
          </cell>
          <cell r="M3197" t="str">
            <v xml:space="preserve">KC Salatiga                             </v>
          </cell>
          <cell r="N3197" t="str">
            <v xml:space="preserve">KC Salatiga                             </v>
          </cell>
          <cell r="O3197" t="str">
            <v xml:space="preserve">Semarang                                </v>
          </cell>
          <cell r="P3197" t="str">
            <v>Tidak</v>
          </cell>
          <cell r="Q3197" t="str">
            <v>Tidak</v>
          </cell>
          <cell r="R3197" t="str">
            <v>Done</v>
          </cell>
          <cell r="S3197" t="str">
            <v>Pending Checker</v>
          </cell>
          <cell r="T3197" t="str">
            <v>90150130 - Intan Aida Pratiwi</v>
          </cell>
          <cell r="U3197" t="str">
            <v>"-"</v>
          </cell>
        </row>
        <row r="3198">
          <cell r="A3198">
            <v>46265</v>
          </cell>
          <cell r="B3198" t="str">
            <v xml:space="preserve">CV ANGKASA PELANGI BOGOR                </v>
          </cell>
          <cell r="C3198" t="str">
            <v>CX00326</v>
          </cell>
          <cell r="D3198">
            <v>8101011402566</v>
          </cell>
          <cell r="F3198" t="str">
            <v>Tidak</v>
          </cell>
          <cell r="G3198" t="str">
            <v>Tidak</v>
          </cell>
          <cell r="H3198" t="str">
            <v>Tidak</v>
          </cell>
          <cell r="I3198" t="str">
            <v>Perpajakan</v>
          </cell>
          <cell r="J3198">
            <v>36</v>
          </cell>
          <cell r="K3198">
            <v>41</v>
          </cell>
          <cell r="L3198" t="str">
            <v>Perpajakan</v>
          </cell>
          <cell r="M3198" t="str">
            <v xml:space="preserve">KC Salatiga                             </v>
          </cell>
          <cell r="N3198" t="str">
            <v xml:space="preserve">KC Salatiga                             </v>
          </cell>
          <cell r="O3198" t="str">
            <v xml:space="preserve">Semarang                                </v>
          </cell>
          <cell r="P3198" t="str">
            <v>Tidak</v>
          </cell>
          <cell r="Q3198" t="str">
            <v>Tidak</v>
          </cell>
          <cell r="R3198" t="str">
            <v>Done</v>
          </cell>
          <cell r="S3198" t="str">
            <v>Pending Checker</v>
          </cell>
          <cell r="T3198" t="str">
            <v>90170665 - Mutiara Ayuningtyas</v>
          </cell>
          <cell r="U3198" t="str">
            <v>"-"</v>
          </cell>
        </row>
        <row r="3199">
          <cell r="A3199">
            <v>46265</v>
          </cell>
          <cell r="B3199" t="str">
            <v xml:space="preserve">CV MUARA TRADISI KEDIRI                 </v>
          </cell>
          <cell r="C3199" t="str">
            <v>CX00327</v>
          </cell>
          <cell r="D3199">
            <v>8101010908569</v>
          </cell>
          <cell r="F3199" t="str">
            <v>Tidak</v>
          </cell>
          <cell r="G3199" t="str">
            <v>Tidak</v>
          </cell>
          <cell r="H3199" t="str">
            <v>Tidak</v>
          </cell>
          <cell r="I3199" t="str">
            <v>Perpajakan</v>
          </cell>
          <cell r="J3199">
            <v>38</v>
          </cell>
          <cell r="K3199">
            <v>41</v>
          </cell>
          <cell r="L3199" t="str">
            <v>Perpajakan</v>
          </cell>
          <cell r="M3199" t="str">
            <v xml:space="preserve">KC Salatiga                             </v>
          </cell>
          <cell r="N3199" t="str">
            <v xml:space="preserve">KC Salatiga                             </v>
          </cell>
          <cell r="O3199" t="str">
            <v xml:space="preserve">Semarang                                </v>
          </cell>
          <cell r="P3199" t="str">
            <v>Tidak</v>
          </cell>
          <cell r="Q3199" t="str">
            <v>Tidak</v>
          </cell>
          <cell r="R3199" t="str">
            <v>Done</v>
          </cell>
          <cell r="S3199" t="str">
            <v>Pending Checker</v>
          </cell>
          <cell r="T3199" t="str">
            <v>90171841 - Rifqi Aziz</v>
          </cell>
          <cell r="U3199" t="str">
            <v>"-"</v>
          </cell>
        </row>
        <row r="3200">
          <cell r="A3200">
            <v>46265</v>
          </cell>
          <cell r="B3200" t="str">
            <v xml:space="preserve">CV WARISAN GEMILANG KEDIRI              </v>
          </cell>
          <cell r="C3200" t="str">
            <v>CX00329</v>
          </cell>
          <cell r="D3200">
            <v>8101010909565</v>
          </cell>
          <cell r="F3200" t="str">
            <v>Tidak</v>
          </cell>
          <cell r="G3200" t="str">
            <v>Tidak</v>
          </cell>
          <cell r="H3200" t="str">
            <v>Tidak</v>
          </cell>
          <cell r="I3200" t="str">
            <v>Perpajakan</v>
          </cell>
          <cell r="J3200">
            <v>34</v>
          </cell>
          <cell r="K3200">
            <v>41</v>
          </cell>
          <cell r="L3200" t="str">
            <v>Perpajakan</v>
          </cell>
          <cell r="M3200" t="str">
            <v xml:space="preserve">KC Salatiga                             </v>
          </cell>
          <cell r="N3200" t="str">
            <v xml:space="preserve">KC Salatiga                             </v>
          </cell>
          <cell r="O3200" t="str">
            <v xml:space="preserve">Semarang                                </v>
          </cell>
          <cell r="P3200" t="str">
            <v>Tidak</v>
          </cell>
          <cell r="Q3200" t="str">
            <v>Tidak</v>
          </cell>
          <cell r="R3200" t="str">
            <v>Done</v>
          </cell>
          <cell r="S3200" t="str">
            <v>Pending Checker</v>
          </cell>
          <cell r="T3200" t="str">
            <v>90171841 - Rifqi Aziz</v>
          </cell>
          <cell r="U3200" t="str">
            <v>"-"</v>
          </cell>
        </row>
        <row r="3201">
          <cell r="A3201">
            <v>46265</v>
          </cell>
          <cell r="B3201" t="str">
            <v xml:space="preserve">CV BARA PELITA BOGOR                    </v>
          </cell>
          <cell r="C3201" t="str">
            <v>CX00330</v>
          </cell>
          <cell r="D3201">
            <v>8101011403562</v>
          </cell>
          <cell r="F3201" t="str">
            <v>Tidak</v>
          </cell>
          <cell r="G3201" t="str">
            <v>Tidak</v>
          </cell>
          <cell r="H3201" t="str">
            <v>Tidak</v>
          </cell>
          <cell r="I3201" t="str">
            <v>Perpajakan</v>
          </cell>
          <cell r="J3201">
            <v>33</v>
          </cell>
          <cell r="K3201">
            <v>41</v>
          </cell>
          <cell r="L3201" t="str">
            <v>Perpajakan</v>
          </cell>
          <cell r="M3201" t="str">
            <v xml:space="preserve">KC Salatiga                             </v>
          </cell>
          <cell r="N3201" t="str">
            <v xml:space="preserve">KC Salatiga                             </v>
          </cell>
          <cell r="O3201" t="str">
            <v xml:space="preserve">Semarang                                </v>
          </cell>
          <cell r="P3201" t="str">
            <v>Tidak</v>
          </cell>
          <cell r="Q3201" t="str">
            <v>Tidak</v>
          </cell>
          <cell r="R3201" t="str">
            <v>Done</v>
          </cell>
          <cell r="S3201" t="str">
            <v>Pending Checker</v>
          </cell>
          <cell r="T3201" t="str">
            <v>90150130 - Intan Aida Pratiwi</v>
          </cell>
          <cell r="U3201" t="str">
            <v>"-"</v>
          </cell>
        </row>
        <row r="3202">
          <cell r="A3202">
            <v>46265</v>
          </cell>
          <cell r="B3202" t="str">
            <v xml:space="preserve">CV BENGAWAN RAHMAT BOGOR                </v>
          </cell>
          <cell r="C3202" t="str">
            <v>CX00368</v>
          </cell>
          <cell r="D3202">
            <v>8101011404568</v>
          </cell>
          <cell r="F3202" t="str">
            <v>Tidak</v>
          </cell>
          <cell r="G3202" t="str">
            <v>Tidak</v>
          </cell>
          <cell r="H3202" t="str">
            <v>Tidak</v>
          </cell>
          <cell r="I3202" t="str">
            <v>Perpajakan</v>
          </cell>
          <cell r="J3202">
            <v>33</v>
          </cell>
          <cell r="K3202">
            <v>41</v>
          </cell>
          <cell r="L3202" t="str">
            <v>Perpajakan</v>
          </cell>
          <cell r="M3202" t="str">
            <v xml:space="preserve">KC Salatiga                             </v>
          </cell>
          <cell r="N3202" t="str">
            <v xml:space="preserve">KC Salatiga                             </v>
          </cell>
          <cell r="O3202" t="str">
            <v xml:space="preserve">Semarang                                </v>
          </cell>
          <cell r="P3202" t="str">
            <v>Tidak</v>
          </cell>
          <cell r="Q3202" t="str">
            <v>Tidak</v>
          </cell>
          <cell r="R3202" t="str">
            <v>Done</v>
          </cell>
          <cell r="S3202" t="str">
            <v>Pending Checker</v>
          </cell>
          <cell r="T3202" t="str">
            <v>90185537 - Moh.Khoerul Fajar Ar</v>
          </cell>
          <cell r="U3202" t="str">
            <v>"-"</v>
          </cell>
        </row>
        <row r="3203">
          <cell r="A3203">
            <v>46265</v>
          </cell>
          <cell r="B3203" t="str">
            <v xml:space="preserve">CV MUARA TALENTA BOGOR                  </v>
          </cell>
          <cell r="C3203" t="str">
            <v>CX00369</v>
          </cell>
          <cell r="D3203">
            <v>8101011406560</v>
          </cell>
          <cell r="F3203" t="str">
            <v>Tidak</v>
          </cell>
          <cell r="G3203" t="str">
            <v>Tidak</v>
          </cell>
          <cell r="H3203" t="str">
            <v>Tidak</v>
          </cell>
          <cell r="I3203" t="str">
            <v>Perpajakan</v>
          </cell>
          <cell r="J3203">
            <v>36</v>
          </cell>
          <cell r="K3203">
            <v>41</v>
          </cell>
          <cell r="L3203" t="str">
            <v>Perpajakan</v>
          </cell>
          <cell r="M3203" t="str">
            <v xml:space="preserve">KC Salatiga                             </v>
          </cell>
          <cell r="N3203" t="str">
            <v xml:space="preserve">KC Salatiga                             </v>
          </cell>
          <cell r="O3203" t="str">
            <v xml:space="preserve">Semarang                                </v>
          </cell>
          <cell r="P3203" t="str">
            <v>Tidak</v>
          </cell>
          <cell r="Q3203" t="str">
            <v>Tidak</v>
          </cell>
          <cell r="R3203" t="str">
            <v>Done</v>
          </cell>
          <cell r="S3203" t="str">
            <v>Pending Checker</v>
          </cell>
          <cell r="T3203" t="str">
            <v>90171841 - Rifqi Aziz</v>
          </cell>
          <cell r="U3203" t="str">
            <v>"-"</v>
          </cell>
        </row>
        <row r="3204">
          <cell r="A3204">
            <v>46265</v>
          </cell>
          <cell r="B3204" t="str">
            <v xml:space="preserve">CV MULIA ABADI BOGOR                    </v>
          </cell>
          <cell r="C3204" t="str">
            <v>CX00370</v>
          </cell>
          <cell r="D3204">
            <v>8101011407566</v>
          </cell>
          <cell r="F3204" t="str">
            <v>Tidak</v>
          </cell>
          <cell r="G3204" t="str">
            <v>Tidak</v>
          </cell>
          <cell r="H3204" t="str">
            <v>Tidak</v>
          </cell>
          <cell r="I3204" t="str">
            <v>Perpajakan</v>
          </cell>
          <cell r="J3204">
            <v>33</v>
          </cell>
          <cell r="K3204">
            <v>41</v>
          </cell>
          <cell r="L3204" t="str">
            <v>Perpajakan</v>
          </cell>
          <cell r="M3204" t="str">
            <v xml:space="preserve">KC Salatiga                             </v>
          </cell>
          <cell r="N3204" t="str">
            <v xml:space="preserve">KC Salatiga                             </v>
          </cell>
          <cell r="O3204" t="str">
            <v xml:space="preserve">Semarang                                </v>
          </cell>
          <cell r="P3204" t="str">
            <v>Tidak</v>
          </cell>
          <cell r="Q3204" t="str">
            <v>Tidak</v>
          </cell>
          <cell r="R3204" t="str">
            <v>Done</v>
          </cell>
          <cell r="S3204" t="str">
            <v>Pending Checker</v>
          </cell>
          <cell r="T3204" t="str">
            <v>90185537 - Moh.Khoerul Fajar Ar</v>
          </cell>
          <cell r="U3204" t="str">
            <v>"-"</v>
          </cell>
        </row>
        <row r="3205">
          <cell r="A3205">
            <v>46265</v>
          </cell>
          <cell r="B3205" t="str">
            <v xml:space="preserve">CV JELITA ELANG BOGOR                   </v>
          </cell>
          <cell r="C3205" t="str">
            <v>CX00371</v>
          </cell>
          <cell r="D3205">
            <v>8101011405564</v>
          </cell>
          <cell r="F3205" t="str">
            <v>Tidak</v>
          </cell>
          <cell r="G3205" t="str">
            <v>Tidak</v>
          </cell>
          <cell r="H3205" t="str">
            <v>Tidak</v>
          </cell>
          <cell r="I3205" t="str">
            <v>Perpajakan</v>
          </cell>
          <cell r="J3205">
            <v>33</v>
          </cell>
          <cell r="K3205">
            <v>41</v>
          </cell>
          <cell r="L3205" t="str">
            <v>Perpajakan</v>
          </cell>
          <cell r="M3205" t="str">
            <v xml:space="preserve">KC Salatiga                             </v>
          </cell>
          <cell r="N3205" t="str">
            <v xml:space="preserve">KC Salatiga                             </v>
          </cell>
          <cell r="O3205" t="str">
            <v xml:space="preserve">Semarang                                </v>
          </cell>
          <cell r="P3205" t="str">
            <v>Tidak</v>
          </cell>
          <cell r="Q3205" t="str">
            <v>Tidak</v>
          </cell>
          <cell r="R3205" t="str">
            <v>Done</v>
          </cell>
          <cell r="S3205" t="str">
            <v>Pending Checker</v>
          </cell>
          <cell r="T3205" t="str">
            <v>90185538 - Muhammad Fahikal Auz</v>
          </cell>
          <cell r="U3205" t="str">
            <v>"-"</v>
          </cell>
        </row>
        <row r="3206">
          <cell r="A3206">
            <v>46265</v>
          </cell>
          <cell r="B3206" t="str">
            <v xml:space="preserve">CV MULTI PESONA BOGOR                   </v>
          </cell>
          <cell r="C3206" t="str">
            <v>CX00372</v>
          </cell>
          <cell r="D3206">
            <v>8101011408562</v>
          </cell>
          <cell r="F3206" t="str">
            <v>Tidak</v>
          </cell>
          <cell r="G3206" t="str">
            <v>Tidak</v>
          </cell>
          <cell r="H3206" t="str">
            <v>Tidak</v>
          </cell>
          <cell r="I3206" t="str">
            <v>Perpajakan</v>
          </cell>
          <cell r="J3206">
            <v>36</v>
          </cell>
          <cell r="K3206">
            <v>41</v>
          </cell>
          <cell r="L3206" t="str">
            <v>Perpajakan</v>
          </cell>
          <cell r="M3206" t="str">
            <v xml:space="preserve">KC Salatiga                             </v>
          </cell>
          <cell r="N3206" t="str">
            <v xml:space="preserve">KC Salatiga                             </v>
          </cell>
          <cell r="O3206" t="str">
            <v xml:space="preserve">Semarang                                </v>
          </cell>
          <cell r="P3206" t="str">
            <v>Tidak</v>
          </cell>
          <cell r="Q3206" t="str">
            <v>Tidak</v>
          </cell>
          <cell r="R3206" t="str">
            <v>Done</v>
          </cell>
          <cell r="S3206" t="str">
            <v>Pending Checker</v>
          </cell>
          <cell r="T3206" t="str">
            <v>90170665 - Mutiara Ayuningtyas</v>
          </cell>
          <cell r="U3206" t="str">
            <v>"-"</v>
          </cell>
        </row>
        <row r="3207">
          <cell r="A3207">
            <v>46265</v>
          </cell>
          <cell r="B3207" t="str">
            <v xml:space="preserve">CV SANTIKA DIVA BOGOR                   </v>
          </cell>
          <cell r="C3207" t="str">
            <v>CX00392</v>
          </cell>
          <cell r="D3207">
            <v>8101011409568</v>
          </cell>
          <cell r="F3207" t="str">
            <v>Tidak</v>
          </cell>
          <cell r="G3207" t="str">
            <v>Tidak</v>
          </cell>
          <cell r="H3207" t="str">
            <v>Tidak</v>
          </cell>
          <cell r="I3207" t="str">
            <v>Perpajakan</v>
          </cell>
          <cell r="J3207">
            <v>33</v>
          </cell>
          <cell r="K3207">
            <v>41</v>
          </cell>
          <cell r="L3207" t="str">
            <v>Perpajakan</v>
          </cell>
          <cell r="M3207" t="str">
            <v xml:space="preserve">KC Salatiga                             </v>
          </cell>
          <cell r="N3207" t="str">
            <v xml:space="preserve">KC Salatiga                             </v>
          </cell>
          <cell r="O3207" t="str">
            <v xml:space="preserve">Semarang                                </v>
          </cell>
          <cell r="P3207" t="str">
            <v>Tidak</v>
          </cell>
          <cell r="Q3207" t="str">
            <v>Tidak</v>
          </cell>
          <cell r="R3207" t="str">
            <v>Done</v>
          </cell>
          <cell r="S3207" t="str">
            <v>Pending Checker</v>
          </cell>
          <cell r="T3207" t="str">
            <v>90186790 - Muhammad Alfin Farha</v>
          </cell>
          <cell r="U3207" t="str">
            <v>"-"</v>
          </cell>
        </row>
        <row r="3208">
          <cell r="A3208">
            <v>46265</v>
          </cell>
          <cell r="B3208" t="str">
            <v xml:space="preserve">CV GARUDA MAKSIMA PEKALONGAN            </v>
          </cell>
          <cell r="C3208" t="str">
            <v>CX00393</v>
          </cell>
          <cell r="D3208">
            <v>8101011501564</v>
          </cell>
          <cell r="F3208" t="str">
            <v>Tidak</v>
          </cell>
          <cell r="G3208" t="str">
            <v>Tidak</v>
          </cell>
          <cell r="H3208" t="str">
            <v>Tidak</v>
          </cell>
          <cell r="I3208" t="str">
            <v>Perpajakan</v>
          </cell>
          <cell r="J3208">
            <v>35</v>
          </cell>
          <cell r="K3208">
            <v>41</v>
          </cell>
          <cell r="L3208" t="str">
            <v>Perpajakan</v>
          </cell>
          <cell r="M3208" t="str">
            <v xml:space="preserve">KC Salatiga                             </v>
          </cell>
          <cell r="N3208" t="str">
            <v xml:space="preserve">KC Salatiga                             </v>
          </cell>
          <cell r="O3208" t="str">
            <v xml:space="preserve">Semarang                                </v>
          </cell>
          <cell r="P3208" t="str">
            <v>Tidak</v>
          </cell>
          <cell r="Q3208" t="str">
            <v>Tidak</v>
          </cell>
          <cell r="R3208" t="str">
            <v>Done</v>
          </cell>
          <cell r="S3208" t="str">
            <v>Pending Checker</v>
          </cell>
          <cell r="T3208" t="str">
            <v>90185537 - Moh.Khoerul Fajar Ar</v>
          </cell>
          <cell r="U3208" t="str">
            <v>"-"</v>
          </cell>
        </row>
        <row r="3209">
          <cell r="A3209">
            <v>46265</v>
          </cell>
          <cell r="B3209" t="str">
            <v xml:space="preserve">CV GELORA PANDAWA PEKALONGAN            </v>
          </cell>
          <cell r="C3209" t="str">
            <v>CX00394</v>
          </cell>
          <cell r="D3209">
            <v>8101011502560</v>
          </cell>
          <cell r="F3209" t="str">
            <v>Tidak</v>
          </cell>
          <cell r="G3209" t="str">
            <v>Tidak</v>
          </cell>
          <cell r="H3209" t="str">
            <v>Tidak</v>
          </cell>
          <cell r="I3209" t="str">
            <v>Perpajakan</v>
          </cell>
          <cell r="J3209">
            <v>35</v>
          </cell>
          <cell r="K3209">
            <v>41</v>
          </cell>
          <cell r="L3209" t="str">
            <v>Perpajakan</v>
          </cell>
          <cell r="M3209" t="str">
            <v xml:space="preserve">KC Salatiga                             </v>
          </cell>
          <cell r="N3209" t="str">
            <v xml:space="preserve">KC Salatiga                             </v>
          </cell>
          <cell r="O3209" t="str">
            <v xml:space="preserve">Semarang                                </v>
          </cell>
          <cell r="P3209" t="str">
            <v>Tidak</v>
          </cell>
          <cell r="Q3209" t="str">
            <v>Tidak</v>
          </cell>
          <cell r="R3209" t="str">
            <v>Done</v>
          </cell>
          <cell r="S3209" t="str">
            <v>Pending Checker</v>
          </cell>
          <cell r="T3209" t="str">
            <v>00336949 - Mochammad Al Farabi</v>
          </cell>
          <cell r="U3209" t="str">
            <v>"-"</v>
          </cell>
        </row>
        <row r="3210">
          <cell r="A3210">
            <v>46265</v>
          </cell>
          <cell r="B3210" t="str">
            <v xml:space="preserve">CV WARISAN GAYA BOGOR                   </v>
          </cell>
          <cell r="C3210" t="str">
            <v>CX00395</v>
          </cell>
          <cell r="D3210">
            <v>8101011410569</v>
          </cell>
          <cell r="F3210" t="str">
            <v>Tidak</v>
          </cell>
          <cell r="G3210" t="str">
            <v>Tidak</v>
          </cell>
          <cell r="H3210" t="str">
            <v>Tidak</v>
          </cell>
          <cell r="I3210" t="str">
            <v>Perpajakan</v>
          </cell>
          <cell r="J3210">
            <v>33</v>
          </cell>
          <cell r="K3210">
            <v>41</v>
          </cell>
          <cell r="L3210" t="str">
            <v>Perpajakan</v>
          </cell>
          <cell r="M3210" t="str">
            <v xml:space="preserve">KC Salatiga                             </v>
          </cell>
          <cell r="N3210" t="str">
            <v xml:space="preserve">KC Salatiga                             </v>
          </cell>
          <cell r="O3210" t="str">
            <v xml:space="preserve">Semarang                                </v>
          </cell>
          <cell r="P3210" t="str">
            <v>Tidak</v>
          </cell>
          <cell r="Q3210" t="str">
            <v>Tidak</v>
          </cell>
          <cell r="R3210" t="str">
            <v>Done</v>
          </cell>
          <cell r="S3210" t="str">
            <v>Pending Checker</v>
          </cell>
          <cell r="T3210" t="str">
            <v>00394520 - Frida Akbar Rani</v>
          </cell>
          <cell r="U3210" t="str">
            <v>"-"</v>
          </cell>
        </row>
        <row r="3211">
          <cell r="A3211">
            <v>46265</v>
          </cell>
          <cell r="B3211" t="str">
            <v xml:space="preserve">CV KENCANA BHAKTI SALATIGA              </v>
          </cell>
          <cell r="C3211" t="str">
            <v>CX01668</v>
          </cell>
          <cell r="D3211">
            <v>8101010115564</v>
          </cell>
          <cell r="F3211" t="str">
            <v>Tidak</v>
          </cell>
          <cell r="G3211" t="str">
            <v>Tidak</v>
          </cell>
          <cell r="H3211" t="str">
            <v>Tidak</v>
          </cell>
          <cell r="I3211" t="str">
            <v>Perpajakan</v>
          </cell>
          <cell r="J3211">
            <v>33</v>
          </cell>
          <cell r="K3211">
            <v>41</v>
          </cell>
          <cell r="L3211" t="str">
            <v>Perpajakan</v>
          </cell>
          <cell r="M3211" t="str">
            <v xml:space="preserve">KC Salatiga                             </v>
          </cell>
          <cell r="N3211" t="str">
            <v xml:space="preserve">KC Salatiga                             </v>
          </cell>
          <cell r="O3211" t="str">
            <v xml:space="preserve">Semarang                                </v>
          </cell>
          <cell r="P3211" t="str">
            <v>Tidak</v>
          </cell>
          <cell r="Q3211" t="str">
            <v>Tidak</v>
          </cell>
          <cell r="R3211" t="str">
            <v>Done</v>
          </cell>
          <cell r="S3211" t="str">
            <v>Pending Checker</v>
          </cell>
          <cell r="T3211" t="str">
            <v>90170665 - Mutiara Ayuningtyas</v>
          </cell>
          <cell r="U3211" t="str">
            <v>"-"</v>
          </cell>
        </row>
        <row r="3212">
          <cell r="A3212">
            <v>46265</v>
          </cell>
          <cell r="B3212" t="str">
            <v xml:space="preserve">CV KENCANA CAKRA SALATIGA               </v>
          </cell>
          <cell r="C3212" t="str">
            <v>CX01670</v>
          </cell>
          <cell r="D3212">
            <v>8101010116560</v>
          </cell>
          <cell r="F3212" t="str">
            <v>Tidak</v>
          </cell>
          <cell r="G3212" t="str">
            <v>Tidak</v>
          </cell>
          <cell r="H3212" t="str">
            <v>Tidak</v>
          </cell>
          <cell r="I3212" t="str">
            <v>Perpajakan</v>
          </cell>
          <cell r="J3212">
            <v>33</v>
          </cell>
          <cell r="K3212">
            <v>41</v>
          </cell>
          <cell r="L3212" t="str">
            <v>Perpajakan</v>
          </cell>
          <cell r="M3212" t="str">
            <v xml:space="preserve">KC Salatiga                             </v>
          </cell>
          <cell r="N3212" t="str">
            <v xml:space="preserve">KC Salatiga                             </v>
          </cell>
          <cell r="O3212" t="str">
            <v xml:space="preserve">Semarang                                </v>
          </cell>
          <cell r="P3212" t="str">
            <v>Tidak</v>
          </cell>
          <cell r="Q3212" t="str">
            <v>Tidak</v>
          </cell>
          <cell r="R3212" t="str">
            <v>Done</v>
          </cell>
          <cell r="S3212" t="str">
            <v>Pending Checker</v>
          </cell>
          <cell r="T3212" t="str">
            <v>90150130 - Intan Aida Pratiwi</v>
          </cell>
          <cell r="U3212" t="str">
            <v>"-"</v>
          </cell>
        </row>
        <row r="3213">
          <cell r="A3213">
            <v>46265</v>
          </cell>
          <cell r="B3213" t="str">
            <v xml:space="preserve">CV KENCANA AGUNG SALATIGA               </v>
          </cell>
          <cell r="C3213" t="str">
            <v>CX03773</v>
          </cell>
          <cell r="D3213">
            <v>8101010117566</v>
          </cell>
          <cell r="F3213" t="str">
            <v>Tidak</v>
          </cell>
          <cell r="G3213" t="str">
            <v>Tidak</v>
          </cell>
          <cell r="H3213" t="str">
            <v>Tidak</v>
          </cell>
          <cell r="I3213" t="str">
            <v>Perpajakan</v>
          </cell>
          <cell r="J3213">
            <v>33</v>
          </cell>
          <cell r="K3213">
            <v>41</v>
          </cell>
          <cell r="L3213" t="str">
            <v>Perpajakan</v>
          </cell>
          <cell r="M3213" t="str">
            <v xml:space="preserve">KC Salatiga                             </v>
          </cell>
          <cell r="N3213" t="str">
            <v xml:space="preserve">KC Salatiga                             </v>
          </cell>
          <cell r="O3213" t="str">
            <v xml:space="preserve">Semarang                                </v>
          </cell>
          <cell r="P3213" t="str">
            <v>Tidak</v>
          </cell>
          <cell r="Q3213" t="str">
            <v>Tidak</v>
          </cell>
          <cell r="R3213" t="str">
            <v>Done</v>
          </cell>
          <cell r="S3213" t="str">
            <v>Pending Checker</v>
          </cell>
          <cell r="T3213" t="str">
            <v>00394521 - Muhammad Hibbanduta</v>
          </cell>
          <cell r="U3213" t="str">
            <v>"-"</v>
          </cell>
        </row>
        <row r="3214">
          <cell r="A3214">
            <v>46265</v>
          </cell>
          <cell r="B3214" t="str">
            <v xml:space="preserve">CV ANGKASA PRATAMA TEGAL                </v>
          </cell>
          <cell r="C3214" t="str">
            <v>CX03779</v>
          </cell>
          <cell r="D3214">
            <v>8101011610567</v>
          </cell>
          <cell r="F3214" t="str">
            <v>Tidak</v>
          </cell>
          <cell r="G3214" t="str">
            <v>Tidak</v>
          </cell>
          <cell r="H3214" t="str">
            <v>Tidak</v>
          </cell>
          <cell r="I3214" t="str">
            <v>Perpajakan</v>
          </cell>
          <cell r="J3214">
            <v>33</v>
          </cell>
          <cell r="K3214">
            <v>41</v>
          </cell>
          <cell r="L3214" t="str">
            <v>Perpajakan</v>
          </cell>
          <cell r="M3214" t="str">
            <v xml:space="preserve">KC Salatiga                             </v>
          </cell>
          <cell r="N3214" t="str">
            <v xml:space="preserve">KC Salatiga                             </v>
          </cell>
          <cell r="O3214" t="str">
            <v xml:space="preserve">Semarang                                </v>
          </cell>
          <cell r="P3214" t="str">
            <v>Tidak</v>
          </cell>
          <cell r="Q3214" t="str">
            <v>Tidak</v>
          </cell>
          <cell r="R3214" t="str">
            <v>Done</v>
          </cell>
          <cell r="S3214" t="str">
            <v>Pending Checker</v>
          </cell>
          <cell r="T3214" t="str">
            <v>00394521 - Muhammad Hibbanduta</v>
          </cell>
          <cell r="U3214" t="str">
            <v>"-"</v>
          </cell>
        </row>
        <row r="3215">
          <cell r="A3215">
            <v>46265</v>
          </cell>
          <cell r="B3215" t="str">
            <v xml:space="preserve">CV AGUNG SINERGI TEGAL                  </v>
          </cell>
          <cell r="C3215" t="str">
            <v>CX03787</v>
          </cell>
          <cell r="D3215">
            <v>8101011609566</v>
          </cell>
          <cell r="F3215" t="str">
            <v>Tidak</v>
          </cell>
          <cell r="G3215" t="str">
            <v>Tidak</v>
          </cell>
          <cell r="H3215" t="str">
            <v>Tidak</v>
          </cell>
          <cell r="I3215" t="str">
            <v>Perpajakan</v>
          </cell>
          <cell r="J3215">
            <v>33</v>
          </cell>
          <cell r="K3215">
            <v>41</v>
          </cell>
          <cell r="L3215" t="str">
            <v>Perpajakan</v>
          </cell>
          <cell r="M3215" t="str">
            <v xml:space="preserve">KC Salatiga                             </v>
          </cell>
          <cell r="N3215" t="str">
            <v xml:space="preserve">KC Salatiga                             </v>
          </cell>
          <cell r="O3215" t="str">
            <v xml:space="preserve">Semarang                                </v>
          </cell>
          <cell r="P3215" t="str">
            <v>Tidak</v>
          </cell>
          <cell r="Q3215" t="str">
            <v>Tidak</v>
          </cell>
          <cell r="R3215" t="str">
            <v>Done</v>
          </cell>
          <cell r="S3215" t="str">
            <v>Pending Checker</v>
          </cell>
          <cell r="T3215" t="str">
            <v>90150130 - Intan Aida Pratiwi</v>
          </cell>
          <cell r="U3215" t="str">
            <v>"-"</v>
          </cell>
        </row>
        <row r="3216">
          <cell r="A3216">
            <v>46265</v>
          </cell>
          <cell r="B3216" t="str">
            <v xml:space="preserve">CV BINA OPTIMAL NUSANTARA               </v>
          </cell>
          <cell r="C3216" t="str">
            <v>CX03795</v>
          </cell>
          <cell r="D3216">
            <v>8101030005561</v>
          </cell>
          <cell r="F3216" t="str">
            <v>Tidak</v>
          </cell>
          <cell r="G3216" t="str">
            <v>Tidak</v>
          </cell>
          <cell r="H3216" t="str">
            <v>Tidak</v>
          </cell>
          <cell r="I3216" t="str">
            <v>Perpajakan</v>
          </cell>
          <cell r="J3216">
            <v>35</v>
          </cell>
          <cell r="K3216">
            <v>41</v>
          </cell>
          <cell r="L3216" t="str">
            <v>Perpajakan</v>
          </cell>
          <cell r="M3216" t="str">
            <v xml:space="preserve">KC Salatiga                             </v>
          </cell>
          <cell r="N3216" t="str">
            <v xml:space="preserve">KC Salatiga                             </v>
          </cell>
          <cell r="O3216" t="str">
            <v xml:space="preserve">Semarang                                </v>
          </cell>
          <cell r="P3216" t="str">
            <v>Tidak</v>
          </cell>
          <cell r="Q3216" t="str">
            <v>Tidak</v>
          </cell>
          <cell r="R3216" t="str">
            <v>Done</v>
          </cell>
          <cell r="S3216" t="str">
            <v>Pending Checker</v>
          </cell>
          <cell r="T3216" t="str">
            <v>00394520 - Frida Akbar Rani</v>
          </cell>
          <cell r="U3216" t="str">
            <v>"-"</v>
          </cell>
        </row>
        <row r="3217">
          <cell r="A3217">
            <v>46265</v>
          </cell>
          <cell r="B3217" t="str">
            <v xml:space="preserve">CV MULTI PUSAKA TEGAL                   </v>
          </cell>
          <cell r="C3217" t="str">
            <v>CX03810</v>
          </cell>
          <cell r="D3217">
            <v>8101011608560</v>
          </cell>
          <cell r="F3217" t="str">
            <v>Tidak</v>
          </cell>
          <cell r="G3217" t="str">
            <v>Tidak</v>
          </cell>
          <cell r="H3217" t="str">
            <v>Tidak</v>
          </cell>
          <cell r="I3217" t="str">
            <v>Perpajakan</v>
          </cell>
          <cell r="J3217">
            <v>33</v>
          </cell>
          <cell r="K3217">
            <v>41</v>
          </cell>
          <cell r="L3217" t="str">
            <v>Perpajakan</v>
          </cell>
          <cell r="M3217" t="str">
            <v xml:space="preserve">KC Salatiga                             </v>
          </cell>
          <cell r="N3217" t="str">
            <v xml:space="preserve">KC Salatiga                             </v>
          </cell>
          <cell r="O3217" t="str">
            <v xml:space="preserve">Semarang                                </v>
          </cell>
          <cell r="P3217" t="str">
            <v>Tidak</v>
          </cell>
          <cell r="Q3217" t="str">
            <v>Tidak</v>
          </cell>
          <cell r="R3217" t="str">
            <v>Done</v>
          </cell>
          <cell r="S3217" t="str">
            <v>Pending Checker</v>
          </cell>
          <cell r="T3217" t="str">
            <v>90170665 - Mutiara Ayuningtyas</v>
          </cell>
          <cell r="U3217" t="str">
            <v>"-"</v>
          </cell>
        </row>
        <row r="3218">
          <cell r="A3218">
            <v>46265</v>
          </cell>
          <cell r="B3218" t="str">
            <v xml:space="preserve">CV JELITA ELANG TEGAL                   </v>
          </cell>
          <cell r="C3218" t="str">
            <v>CX03811</v>
          </cell>
          <cell r="D3218">
            <v>8101011607564</v>
          </cell>
          <cell r="F3218" t="str">
            <v>Tidak</v>
          </cell>
          <cell r="G3218" t="str">
            <v>Tidak</v>
          </cell>
          <cell r="H3218" t="str">
            <v>Tidak</v>
          </cell>
          <cell r="I3218" t="str">
            <v>Perpajakan</v>
          </cell>
          <cell r="J3218">
            <v>33</v>
          </cell>
          <cell r="K3218">
            <v>41</v>
          </cell>
          <cell r="L3218" t="str">
            <v>Perpajakan</v>
          </cell>
          <cell r="M3218" t="str">
            <v xml:space="preserve">KC Salatiga                             </v>
          </cell>
          <cell r="N3218" t="str">
            <v xml:space="preserve">KC Salatiga                             </v>
          </cell>
          <cell r="O3218" t="str">
            <v xml:space="preserve">Semarang                                </v>
          </cell>
          <cell r="P3218" t="str">
            <v>Tidak</v>
          </cell>
          <cell r="Q3218" t="str">
            <v>Tidak</v>
          </cell>
          <cell r="R3218" t="str">
            <v>Done</v>
          </cell>
          <cell r="S3218" t="str">
            <v>Pending Checker</v>
          </cell>
          <cell r="T3218" t="str">
            <v>90171841 - Rifqi Aziz</v>
          </cell>
          <cell r="U3218" t="str">
            <v>"-"</v>
          </cell>
        </row>
        <row r="3219">
          <cell r="A3219">
            <v>46265</v>
          </cell>
          <cell r="B3219" t="str">
            <v xml:space="preserve">CV WARISAN GEMILANG TEGAL               </v>
          </cell>
          <cell r="C3219" t="str">
            <v>CX03812</v>
          </cell>
          <cell r="D3219">
            <v>8101011606568</v>
          </cell>
          <cell r="F3219" t="str">
            <v>Tidak</v>
          </cell>
          <cell r="G3219" t="str">
            <v>Tidak</v>
          </cell>
          <cell r="H3219" t="str">
            <v>Tidak</v>
          </cell>
          <cell r="I3219" t="str">
            <v>Perpajakan</v>
          </cell>
          <cell r="J3219">
            <v>35</v>
          </cell>
          <cell r="K3219">
            <v>41</v>
          </cell>
          <cell r="L3219" t="str">
            <v>Perpajakan</v>
          </cell>
          <cell r="M3219" t="str">
            <v xml:space="preserve">KC Salatiga                             </v>
          </cell>
          <cell r="N3219" t="str">
            <v xml:space="preserve">KC Salatiga                             </v>
          </cell>
          <cell r="O3219" t="str">
            <v xml:space="preserve">Semarang                                </v>
          </cell>
          <cell r="P3219" t="str">
            <v>Tidak</v>
          </cell>
          <cell r="Q3219" t="str">
            <v>Tidak</v>
          </cell>
          <cell r="R3219" t="str">
            <v>Done</v>
          </cell>
          <cell r="S3219" t="str">
            <v>Pending Checker</v>
          </cell>
          <cell r="T3219" t="str">
            <v>90185537 - Moh.Khoerul Fajar Ar</v>
          </cell>
          <cell r="U3219" t="str">
            <v>"-"</v>
          </cell>
        </row>
        <row r="3220">
          <cell r="A3220">
            <v>46265</v>
          </cell>
          <cell r="B3220" t="str">
            <v xml:space="preserve">CV BINA NUSANTARA KARYA                 </v>
          </cell>
          <cell r="C3220" t="str">
            <v>CX03826</v>
          </cell>
          <cell r="D3220">
            <v>8101030006567</v>
          </cell>
          <cell r="F3220" t="str">
            <v>Tidak</v>
          </cell>
          <cell r="G3220" t="str">
            <v>Tidak</v>
          </cell>
          <cell r="H3220" t="str">
            <v>Tidak</v>
          </cell>
          <cell r="I3220" t="str">
            <v>Perpajakan</v>
          </cell>
          <cell r="J3220">
            <v>33</v>
          </cell>
          <cell r="K3220">
            <v>41</v>
          </cell>
          <cell r="L3220" t="str">
            <v>Perpajakan</v>
          </cell>
          <cell r="M3220" t="str">
            <v xml:space="preserve">KC Salatiga                             </v>
          </cell>
          <cell r="N3220" t="str">
            <v xml:space="preserve">KC Salatiga                             </v>
          </cell>
          <cell r="O3220" t="str">
            <v xml:space="preserve">Semarang                                </v>
          </cell>
          <cell r="P3220" t="str">
            <v>Tidak</v>
          </cell>
          <cell r="Q3220" t="str">
            <v>Tidak</v>
          </cell>
          <cell r="R3220" t="str">
            <v>Done</v>
          </cell>
          <cell r="S3220" t="str">
            <v>Pending Checker</v>
          </cell>
          <cell r="T3220" t="str">
            <v>90171841 - Rifqi Aziz</v>
          </cell>
          <cell r="U3220" t="str">
            <v>"-"</v>
          </cell>
        </row>
        <row r="3221">
          <cell r="A3221">
            <v>46265</v>
          </cell>
          <cell r="B3221" t="str">
            <v xml:space="preserve">CV BARA PARIPURNA TEGAL                 </v>
          </cell>
          <cell r="C3221" t="str">
            <v>CX03834</v>
          </cell>
          <cell r="D3221">
            <v>8101011605562</v>
          </cell>
          <cell r="F3221" t="str">
            <v>Tidak</v>
          </cell>
          <cell r="G3221" t="str">
            <v>Tidak</v>
          </cell>
          <cell r="H3221" t="str">
            <v>Tidak</v>
          </cell>
          <cell r="I3221" t="str">
            <v>Perpajakan</v>
          </cell>
          <cell r="J3221">
            <v>33</v>
          </cell>
          <cell r="K3221">
            <v>41</v>
          </cell>
          <cell r="L3221" t="str">
            <v>Perpajakan</v>
          </cell>
          <cell r="M3221" t="str">
            <v xml:space="preserve">KC Salatiga                             </v>
          </cell>
          <cell r="N3221" t="str">
            <v xml:space="preserve">KC Salatiga                             </v>
          </cell>
          <cell r="O3221" t="str">
            <v xml:space="preserve">Semarang                                </v>
          </cell>
          <cell r="P3221" t="str">
            <v>Tidak</v>
          </cell>
          <cell r="Q3221" t="str">
            <v>Tidak</v>
          </cell>
          <cell r="R3221" t="str">
            <v>Done</v>
          </cell>
          <cell r="S3221" t="str">
            <v>Pending Checker</v>
          </cell>
          <cell r="T3221" t="str">
            <v>90185538 - Muhammad Fahikal Auz</v>
          </cell>
          <cell r="U3221" t="str">
            <v>"-"</v>
          </cell>
        </row>
        <row r="3222">
          <cell r="A3222">
            <v>46265</v>
          </cell>
          <cell r="B3222" t="str">
            <v xml:space="preserve">CV BANGUN RUPA TEGAL                    </v>
          </cell>
          <cell r="C3222" t="str">
            <v>CX04343</v>
          </cell>
          <cell r="D3222">
            <v>8101011604566</v>
          </cell>
          <cell r="F3222" t="str">
            <v>Tidak</v>
          </cell>
          <cell r="G3222" t="str">
            <v>Tidak</v>
          </cell>
          <cell r="H3222" t="str">
            <v>Tidak</v>
          </cell>
          <cell r="I3222" t="str">
            <v>Perpajakan</v>
          </cell>
          <cell r="J3222">
            <v>33</v>
          </cell>
          <cell r="K3222">
            <v>41</v>
          </cell>
          <cell r="L3222" t="str">
            <v>Perpajakan</v>
          </cell>
          <cell r="M3222" t="str">
            <v xml:space="preserve">KC Salatiga                             </v>
          </cell>
          <cell r="N3222" t="str">
            <v xml:space="preserve">KC Salatiga                             </v>
          </cell>
          <cell r="O3222" t="str">
            <v xml:space="preserve">Semarang                                </v>
          </cell>
          <cell r="P3222" t="str">
            <v>Tidak</v>
          </cell>
          <cell r="Q3222" t="str">
            <v>Tidak</v>
          </cell>
          <cell r="R3222" t="str">
            <v>Done</v>
          </cell>
          <cell r="S3222" t="str">
            <v>Pending Checker</v>
          </cell>
          <cell r="T3222" t="str">
            <v>90186790 - Muhammad Alfin Farha</v>
          </cell>
          <cell r="U3222" t="str">
            <v>"-"</v>
          </cell>
        </row>
        <row r="3223">
          <cell r="A3223">
            <v>46265</v>
          </cell>
          <cell r="B3223" t="str">
            <v xml:space="preserve">CV KENCANA BHAKTI PEKALONGAN            </v>
          </cell>
          <cell r="C3223" t="str">
            <v>CX04453</v>
          </cell>
          <cell r="D3223">
            <v>8101011503566</v>
          </cell>
          <cell r="F3223" t="str">
            <v>Tidak</v>
          </cell>
          <cell r="G3223" t="str">
            <v>Tidak</v>
          </cell>
          <cell r="H3223" t="str">
            <v>Tidak</v>
          </cell>
          <cell r="I3223" t="str">
            <v>Perpajakan</v>
          </cell>
          <cell r="J3223">
            <v>33</v>
          </cell>
          <cell r="K3223">
            <v>41</v>
          </cell>
          <cell r="L3223" t="str">
            <v>Perpajakan</v>
          </cell>
          <cell r="M3223" t="str">
            <v xml:space="preserve">KC Salatiga                             </v>
          </cell>
          <cell r="N3223" t="str">
            <v xml:space="preserve">KC Salatiga                             </v>
          </cell>
          <cell r="O3223" t="str">
            <v xml:space="preserve">Semarang                                </v>
          </cell>
          <cell r="P3223" t="str">
            <v>Tidak</v>
          </cell>
          <cell r="Q3223" t="str">
            <v>Tidak</v>
          </cell>
          <cell r="R3223" t="str">
            <v>Done</v>
          </cell>
          <cell r="S3223" t="str">
            <v>Pending Checker</v>
          </cell>
          <cell r="T3223" t="str">
            <v>00336949 - Mochammad Al Farabi</v>
          </cell>
          <cell r="U3223" t="str">
            <v>"-"</v>
          </cell>
        </row>
        <row r="3224">
          <cell r="A3224">
            <v>46265</v>
          </cell>
          <cell r="B3224" t="str">
            <v xml:space="preserve">CV SANTIKA DIVA TEGAL                   </v>
          </cell>
          <cell r="C3224" t="str">
            <v>CX04613</v>
          </cell>
          <cell r="D3224">
            <v>8101011603560</v>
          </cell>
          <cell r="F3224" t="str">
            <v>Tidak</v>
          </cell>
          <cell r="G3224" t="str">
            <v>Tidak</v>
          </cell>
          <cell r="H3224" t="str">
            <v>Tidak</v>
          </cell>
          <cell r="I3224" t="str">
            <v>Perpajakan</v>
          </cell>
          <cell r="J3224">
            <v>33</v>
          </cell>
          <cell r="K3224">
            <v>41</v>
          </cell>
          <cell r="L3224" t="str">
            <v>Perpajakan</v>
          </cell>
          <cell r="M3224" t="str">
            <v xml:space="preserve">KC Salatiga                             </v>
          </cell>
          <cell r="N3224" t="str">
            <v xml:space="preserve">KC Salatiga                             </v>
          </cell>
          <cell r="O3224" t="str">
            <v xml:space="preserve">Semarang                                </v>
          </cell>
          <cell r="P3224" t="str">
            <v>Tidak</v>
          </cell>
          <cell r="Q3224" t="str">
            <v>Tidak</v>
          </cell>
          <cell r="R3224" t="str">
            <v>Done</v>
          </cell>
          <cell r="S3224" t="str">
            <v>Pending Checker</v>
          </cell>
          <cell r="T3224" t="str">
            <v>90186796 - Devito Arya Wiradila</v>
          </cell>
          <cell r="U3224" t="str">
            <v>"-"</v>
          </cell>
        </row>
        <row r="3225">
          <cell r="A3225">
            <v>46265</v>
          </cell>
          <cell r="B3225" t="str">
            <v xml:space="preserve">CV MULIA ABADI TEGAL                    </v>
          </cell>
          <cell r="C3225" t="str">
            <v>CX04614</v>
          </cell>
          <cell r="D3225">
            <v>8101011602564</v>
          </cell>
          <cell r="F3225" t="str">
            <v>Tidak</v>
          </cell>
          <cell r="G3225" t="str">
            <v>Tidak</v>
          </cell>
          <cell r="H3225" t="str">
            <v>Tidak</v>
          </cell>
          <cell r="I3225" t="str">
            <v>Perpajakan</v>
          </cell>
          <cell r="J3225">
            <v>33</v>
          </cell>
          <cell r="K3225">
            <v>41</v>
          </cell>
          <cell r="L3225" t="str">
            <v>Perpajakan</v>
          </cell>
          <cell r="M3225" t="str">
            <v xml:space="preserve">KC Salatiga                             </v>
          </cell>
          <cell r="N3225" t="str">
            <v xml:space="preserve">KC Salatiga                             </v>
          </cell>
          <cell r="O3225" t="str">
            <v xml:space="preserve">Semarang                                </v>
          </cell>
          <cell r="P3225" t="str">
            <v>Tidak</v>
          </cell>
          <cell r="Q3225" t="str">
            <v>Tidak</v>
          </cell>
          <cell r="R3225" t="str">
            <v>Done</v>
          </cell>
          <cell r="S3225" t="str">
            <v>Pending Checker</v>
          </cell>
          <cell r="T3225" t="str">
            <v>00336949 - Mochammad Al Farabi</v>
          </cell>
          <cell r="U3225" t="str">
            <v>"-"</v>
          </cell>
        </row>
        <row r="3226">
          <cell r="A3226">
            <v>46265</v>
          </cell>
          <cell r="B3226" t="str">
            <v xml:space="preserve">CV KENCANA AGUNG PEKALONGAN             </v>
          </cell>
          <cell r="C3226" t="str">
            <v>CX04621</v>
          </cell>
          <cell r="D3226">
            <v>8101011504562</v>
          </cell>
          <cell r="F3226" t="str">
            <v>Tidak</v>
          </cell>
          <cell r="G3226" t="str">
            <v>Tidak</v>
          </cell>
          <cell r="H3226" t="str">
            <v>Tidak</v>
          </cell>
          <cell r="I3226" t="str">
            <v>Perpajakan</v>
          </cell>
          <cell r="J3226">
            <v>33</v>
          </cell>
          <cell r="K3226">
            <v>41</v>
          </cell>
          <cell r="L3226" t="str">
            <v>Perpajakan</v>
          </cell>
          <cell r="M3226" t="str">
            <v xml:space="preserve">KC Salatiga                             </v>
          </cell>
          <cell r="N3226" t="str">
            <v xml:space="preserve">KC Salatiga                             </v>
          </cell>
          <cell r="O3226" t="str">
            <v xml:space="preserve">Semarang                                </v>
          </cell>
          <cell r="P3226" t="str">
            <v>Tidak</v>
          </cell>
          <cell r="Q3226" t="str">
            <v>Tidak</v>
          </cell>
          <cell r="R3226" t="str">
            <v>Done</v>
          </cell>
          <cell r="S3226" t="str">
            <v>Pending Checker</v>
          </cell>
          <cell r="T3226" t="str">
            <v>90186796 - Devito Arya Wiradila</v>
          </cell>
          <cell r="U3226" t="str">
            <v>"-"</v>
          </cell>
        </row>
        <row r="3227">
          <cell r="A3227">
            <v>46265</v>
          </cell>
          <cell r="B3227" t="str">
            <v xml:space="preserve">CV MUARA TRADISI TEGAL                  </v>
          </cell>
          <cell r="C3227" t="str">
            <v>CX04629</v>
          </cell>
          <cell r="D3227">
            <v>8101011601568</v>
          </cell>
          <cell r="F3227" t="str">
            <v>Tidak</v>
          </cell>
          <cell r="G3227" t="str">
            <v>Tidak</v>
          </cell>
          <cell r="H3227" t="str">
            <v>Tidak</v>
          </cell>
          <cell r="I3227" t="str">
            <v>Perpajakan</v>
          </cell>
          <cell r="J3227">
            <v>33</v>
          </cell>
          <cell r="K3227">
            <v>41</v>
          </cell>
          <cell r="L3227" t="str">
            <v>Perpajakan</v>
          </cell>
          <cell r="M3227" t="str">
            <v xml:space="preserve">KC Salatiga                             </v>
          </cell>
          <cell r="N3227" t="str">
            <v xml:space="preserve">KC Salatiga                             </v>
          </cell>
          <cell r="O3227" t="str">
            <v xml:space="preserve">Semarang                                </v>
          </cell>
          <cell r="P3227" t="str">
            <v>Tidak</v>
          </cell>
          <cell r="Q3227" t="str">
            <v>Tidak</v>
          </cell>
          <cell r="R3227" t="str">
            <v>Done</v>
          </cell>
          <cell r="S3227" t="str">
            <v>Pending Checker</v>
          </cell>
          <cell r="T3227" t="str">
            <v>00394520 - Frida Akbar Rani</v>
          </cell>
          <cell r="U3227" t="str">
            <v>"-"</v>
          </cell>
        </row>
        <row r="3228">
          <cell r="A3228">
            <v>46265</v>
          </cell>
          <cell r="B3228" t="str">
            <v xml:space="preserve">CITRA MARGA NUSAPHALA PERSADA TBK       </v>
          </cell>
          <cell r="C3228" t="str">
            <v>CT70848</v>
          </cell>
          <cell r="D3228">
            <v>121101000376300</v>
          </cell>
          <cell r="F3228" t="str">
            <v>Tidak</v>
          </cell>
          <cell r="G3228" t="str">
            <v>Tidak</v>
          </cell>
          <cell r="H3228" t="str">
            <v>Tidak</v>
          </cell>
          <cell r="I3228" t="str">
            <v>Perpajakan</v>
          </cell>
          <cell r="J3228">
            <v>33</v>
          </cell>
          <cell r="K3228">
            <v>41</v>
          </cell>
          <cell r="L3228" t="str">
            <v>Perpajakan</v>
          </cell>
          <cell r="M3228" t="str">
            <v xml:space="preserve">KCP KEMENTERIAN PU                      </v>
          </cell>
          <cell r="N3228" t="str">
            <v xml:space="preserve">KC Jakarta Kebayoran Baru               </v>
          </cell>
          <cell r="O3228" t="str">
            <v xml:space="preserve">DKI2                                    </v>
          </cell>
          <cell r="P3228" t="str">
            <v>Tidak</v>
          </cell>
          <cell r="Q3228" t="str">
            <v>Tidak</v>
          </cell>
          <cell r="R3228" t="str">
            <v>Done</v>
          </cell>
          <cell r="S3228" t="str">
            <v>Pending Checker</v>
          </cell>
          <cell r="T3228" t="str">
            <v>90186790 - Muhammad Alfin Farha</v>
          </cell>
          <cell r="U3228" t="str">
            <v>"-"</v>
          </cell>
        </row>
        <row r="3229">
          <cell r="A3229">
            <v>46265</v>
          </cell>
          <cell r="B3229" t="str">
            <v xml:space="preserve">DARNI                                   </v>
          </cell>
          <cell r="C3229" t="str">
            <v>DJS4177</v>
          </cell>
          <cell r="D3229">
            <v>31001112600503</v>
          </cell>
          <cell r="E3229" t="str">
            <v>SEDANG</v>
          </cell>
          <cell r="F3229" t="str">
            <v>Tidak</v>
          </cell>
          <cell r="G3229" t="str">
            <v>Tidak</v>
          </cell>
          <cell r="H3229" t="str">
            <v>Tidak</v>
          </cell>
          <cell r="I3229" t="str">
            <v>Pencurian Rekening</v>
          </cell>
          <cell r="J3229">
            <v>47</v>
          </cell>
          <cell r="K3229">
            <v>59</v>
          </cell>
          <cell r="L3229" t="str">
            <v>Perbankan</v>
          </cell>
          <cell r="M3229" t="str">
            <v xml:space="preserve">KC Sorong                               </v>
          </cell>
          <cell r="N3229" t="str">
            <v xml:space="preserve">KC Sorong                               </v>
          </cell>
          <cell r="O3229" t="str">
            <v xml:space="preserve">KANWIL JAYAPURA                         </v>
          </cell>
          <cell r="P3229" t="str">
            <v>Tidak</v>
          </cell>
          <cell r="Q3229" t="str">
            <v>Tidak</v>
          </cell>
          <cell r="R3229" t="str">
            <v>Done</v>
          </cell>
          <cell r="S3229" t="str">
            <v>Pending Checker</v>
          </cell>
          <cell r="T3229" t="str">
            <v>90186790 - Muhammad Alfin Farha</v>
          </cell>
          <cell r="U3229" t="str">
            <v>"-"</v>
          </cell>
        </row>
        <row r="3230">
          <cell r="A3230">
            <v>46265</v>
          </cell>
          <cell r="B3230" t="str">
            <v xml:space="preserve">DAVID SURJA SAPUTRA                     </v>
          </cell>
          <cell r="C3230" t="str">
            <v>DFYX126</v>
          </cell>
          <cell r="D3230">
            <v>702000239502</v>
          </cell>
          <cell r="F3230" t="str">
            <v>Tidak</v>
          </cell>
          <cell r="G3230" t="str">
            <v>Tidak</v>
          </cell>
          <cell r="H3230" t="str">
            <v>Tidak</v>
          </cell>
          <cell r="I3230" t="str">
            <v>Perikanan dan Kelautan</v>
          </cell>
          <cell r="J3230">
            <v>43</v>
          </cell>
          <cell r="K3230">
            <v>98</v>
          </cell>
          <cell r="L3230" t="str">
            <v>Perikanan dan Kelautan</v>
          </cell>
          <cell r="M3230" t="str">
            <v xml:space="preserve">KC Banyuwangi                           </v>
          </cell>
          <cell r="N3230" t="str">
            <v xml:space="preserve">KC Banyuwangi                           </v>
          </cell>
          <cell r="O3230" t="str">
            <v xml:space="preserve">KANWIL MALANG                           </v>
          </cell>
          <cell r="P3230" t="str">
            <v>Tidak</v>
          </cell>
          <cell r="Q3230" t="str">
            <v>Tidak</v>
          </cell>
          <cell r="R3230" t="str">
            <v>Done</v>
          </cell>
          <cell r="S3230" t="str">
            <v>Pending Checker</v>
          </cell>
          <cell r="T3230" t="str">
            <v>00394520 - Frida Akbar Rani</v>
          </cell>
          <cell r="U3230" t="str">
            <v>"-"</v>
          </cell>
        </row>
        <row r="3231">
          <cell r="A3231">
            <v>46265</v>
          </cell>
          <cell r="B3231" t="str">
            <v xml:space="preserve">CITARASA LARIS JAYA                     </v>
          </cell>
          <cell r="C3231" t="str">
            <v>CP95412</v>
          </cell>
          <cell r="D3231">
            <v>118401000662560</v>
          </cell>
          <cell r="E3231" t="str">
            <v>SEDANG</v>
          </cell>
          <cell r="F3231" t="str">
            <v>Tidak</v>
          </cell>
          <cell r="G3231" t="str">
            <v>Tidak</v>
          </cell>
          <cell r="H3231" t="str">
            <v>Tidak</v>
          </cell>
          <cell r="I3231" t="str">
            <v>Perpajakan</v>
          </cell>
          <cell r="J3231">
            <v>48</v>
          </cell>
          <cell r="K3231">
            <v>41</v>
          </cell>
          <cell r="L3231" t="str">
            <v>Perpajakan</v>
          </cell>
          <cell r="M3231" t="str">
            <v xml:space="preserve">KCP CIKUPA                              </v>
          </cell>
          <cell r="N3231" t="str">
            <v xml:space="preserve">KC Balaraja                             </v>
          </cell>
          <cell r="O3231" t="str">
            <v xml:space="preserve">KANWIL JAKARTA 3                        </v>
          </cell>
          <cell r="P3231" t="str">
            <v>Tidak</v>
          </cell>
          <cell r="Q3231" t="str">
            <v>Tidak</v>
          </cell>
          <cell r="R3231" t="str">
            <v>Done</v>
          </cell>
          <cell r="S3231" t="str">
            <v>Pending Checker</v>
          </cell>
          <cell r="T3231" t="str">
            <v>90186796 - Devito Arya Wiradila</v>
          </cell>
          <cell r="U3231" t="str">
            <v>"-"</v>
          </cell>
        </row>
        <row r="3232">
          <cell r="A3232">
            <v>46265</v>
          </cell>
          <cell r="B3232" t="str">
            <v xml:space="preserve">CV BENUA PELITA MALANG                  </v>
          </cell>
          <cell r="C3232" t="str">
            <v>CS90358</v>
          </cell>
          <cell r="D3232">
            <v>8101010805567</v>
          </cell>
          <cell r="E3232" t="str">
            <v>SEDANG</v>
          </cell>
          <cell r="F3232" t="str">
            <v>Tidak</v>
          </cell>
          <cell r="G3232" t="str">
            <v>Tidak</v>
          </cell>
          <cell r="H3232" t="str">
            <v>Tidak</v>
          </cell>
          <cell r="I3232" t="str">
            <v>Perpajakan</v>
          </cell>
          <cell r="J3232">
            <v>53</v>
          </cell>
          <cell r="K3232">
            <v>41</v>
          </cell>
          <cell r="L3232" t="str">
            <v>Perpajakan</v>
          </cell>
          <cell r="M3232" t="str">
            <v xml:space="preserve">KC Salatiga                             </v>
          </cell>
          <cell r="N3232" t="str">
            <v xml:space="preserve">KC Salatiga                             </v>
          </cell>
          <cell r="O3232" t="str">
            <v xml:space="preserve">Semarang                                </v>
          </cell>
          <cell r="P3232" t="str">
            <v>Tidak</v>
          </cell>
          <cell r="Q3232" t="str">
            <v>Tidak</v>
          </cell>
          <cell r="R3232" t="str">
            <v>Done</v>
          </cell>
          <cell r="S3232" t="str">
            <v>Pending Checker</v>
          </cell>
          <cell r="T3232" t="str">
            <v>90150130 - Intan Aida Pratiwi</v>
          </cell>
          <cell r="U3232" t="str">
            <v>"-"</v>
          </cell>
        </row>
        <row r="3233">
          <cell r="A3233">
            <v>46265</v>
          </cell>
          <cell r="B3233" t="str">
            <v xml:space="preserve">CV ANDALAN SARANA MALANG                </v>
          </cell>
          <cell r="C3233" t="str">
            <v>CS90359</v>
          </cell>
          <cell r="D3233">
            <v>8101010804561</v>
          </cell>
          <cell r="E3233" t="str">
            <v>SEDANG</v>
          </cell>
          <cell r="F3233" t="str">
            <v>Tidak</v>
          </cell>
          <cell r="G3233" t="str">
            <v>Tidak</v>
          </cell>
          <cell r="H3233" t="str">
            <v>Tidak</v>
          </cell>
          <cell r="I3233" t="str">
            <v>Perpajakan</v>
          </cell>
          <cell r="J3233">
            <v>48</v>
          </cell>
          <cell r="K3233">
            <v>41</v>
          </cell>
          <cell r="L3233" t="str">
            <v>Perpajakan</v>
          </cell>
          <cell r="M3233" t="str">
            <v xml:space="preserve">KC Salatiga                             </v>
          </cell>
          <cell r="N3233" t="str">
            <v xml:space="preserve">KC Salatiga                             </v>
          </cell>
          <cell r="O3233" t="str">
            <v xml:space="preserve">Semarang                                </v>
          </cell>
          <cell r="P3233" t="str">
            <v>Tidak</v>
          </cell>
          <cell r="Q3233" t="str">
            <v>Tidak</v>
          </cell>
          <cell r="R3233" t="str">
            <v>Done</v>
          </cell>
          <cell r="S3233" t="str">
            <v>Pending Checker</v>
          </cell>
          <cell r="T3233" t="str">
            <v>90170665 - Mutiara Ayuningtyas</v>
          </cell>
          <cell r="U3233" t="str">
            <v>"-"</v>
          </cell>
        </row>
        <row r="3234">
          <cell r="A3234">
            <v>46265</v>
          </cell>
          <cell r="B3234" t="str">
            <v xml:space="preserve">CV MAHKOTA TELAGA MALANG                </v>
          </cell>
          <cell r="C3234" t="str">
            <v>CS90360</v>
          </cell>
          <cell r="D3234">
            <v>8101010803565</v>
          </cell>
          <cell r="E3234" t="str">
            <v>SEDANG</v>
          </cell>
          <cell r="F3234" t="str">
            <v>Tidak</v>
          </cell>
          <cell r="G3234" t="str">
            <v>Tidak</v>
          </cell>
          <cell r="H3234" t="str">
            <v>Tidak</v>
          </cell>
          <cell r="I3234" t="str">
            <v>Perpajakan</v>
          </cell>
          <cell r="J3234">
            <v>48</v>
          </cell>
          <cell r="K3234">
            <v>41</v>
          </cell>
          <cell r="L3234" t="str">
            <v>Perpajakan</v>
          </cell>
          <cell r="M3234" t="str">
            <v xml:space="preserve">KC Salatiga                             </v>
          </cell>
          <cell r="N3234" t="str">
            <v xml:space="preserve">KC Salatiga                             </v>
          </cell>
          <cell r="O3234" t="str">
            <v xml:space="preserve">Semarang                                </v>
          </cell>
          <cell r="P3234" t="str">
            <v>Tidak</v>
          </cell>
          <cell r="Q3234" t="str">
            <v>Tidak</v>
          </cell>
          <cell r="R3234" t="str">
            <v>Done</v>
          </cell>
          <cell r="S3234" t="str">
            <v>Pending Checker</v>
          </cell>
          <cell r="T3234" t="str">
            <v>90171841 - Rifqi Aziz</v>
          </cell>
          <cell r="U3234" t="str">
            <v>"-"</v>
          </cell>
        </row>
        <row r="3235">
          <cell r="A3235">
            <v>46265</v>
          </cell>
          <cell r="B3235" t="str">
            <v xml:space="preserve">CV WIDYA GUNAJAYA MALANG                </v>
          </cell>
          <cell r="C3235" t="str">
            <v>CS90362</v>
          </cell>
          <cell r="D3235">
            <v>8101010801563</v>
          </cell>
          <cell r="E3235" t="str">
            <v>SEDANG</v>
          </cell>
          <cell r="F3235" t="str">
            <v>Tidak</v>
          </cell>
          <cell r="G3235" t="str">
            <v>Tidak</v>
          </cell>
          <cell r="H3235" t="str">
            <v>Tidak</v>
          </cell>
          <cell r="I3235" t="str">
            <v>Perpajakan</v>
          </cell>
          <cell r="J3235">
            <v>48</v>
          </cell>
          <cell r="K3235">
            <v>41</v>
          </cell>
          <cell r="L3235" t="str">
            <v>Perpajakan</v>
          </cell>
          <cell r="M3235" t="str">
            <v xml:space="preserve">KC Salatiga                             </v>
          </cell>
          <cell r="N3235" t="str">
            <v xml:space="preserve">KC Salatiga                             </v>
          </cell>
          <cell r="O3235" t="str">
            <v xml:space="preserve">Semarang                                </v>
          </cell>
          <cell r="P3235" t="str">
            <v>Tidak</v>
          </cell>
          <cell r="Q3235" t="str">
            <v>Tidak</v>
          </cell>
          <cell r="R3235" t="str">
            <v>Done</v>
          </cell>
          <cell r="S3235" t="str">
            <v>Pending Checker</v>
          </cell>
          <cell r="T3235" t="str">
            <v>90185537 - Moh.Khoerul Fajar Ar</v>
          </cell>
          <cell r="U3235" t="str">
            <v>"-"</v>
          </cell>
        </row>
        <row r="3236">
          <cell r="A3236">
            <v>46265</v>
          </cell>
          <cell r="B3236" t="str">
            <v xml:space="preserve">CV MULIA TIRTA MADIUN                   </v>
          </cell>
          <cell r="C3236" t="str">
            <v>CS90364</v>
          </cell>
          <cell r="D3236">
            <v>8101011003566</v>
          </cell>
          <cell r="E3236" t="str">
            <v>SEDANG</v>
          </cell>
          <cell r="F3236" t="str">
            <v>Tidak</v>
          </cell>
          <cell r="G3236" t="str">
            <v>Tidak</v>
          </cell>
          <cell r="H3236" t="str">
            <v>Tidak</v>
          </cell>
          <cell r="I3236" t="str">
            <v>Perpajakan</v>
          </cell>
          <cell r="J3236">
            <v>48</v>
          </cell>
          <cell r="K3236">
            <v>41</v>
          </cell>
          <cell r="L3236" t="str">
            <v>Perpajakan</v>
          </cell>
          <cell r="M3236" t="str">
            <v xml:space="preserve">KC Salatiga                             </v>
          </cell>
          <cell r="N3236" t="str">
            <v xml:space="preserve">KC Salatiga                             </v>
          </cell>
          <cell r="O3236" t="str">
            <v xml:space="preserve">Semarang                                </v>
          </cell>
          <cell r="P3236" t="str">
            <v>Tidak</v>
          </cell>
          <cell r="Q3236" t="str">
            <v>Tidak</v>
          </cell>
          <cell r="R3236" t="str">
            <v>Done</v>
          </cell>
          <cell r="S3236" t="str">
            <v>Pending Checker</v>
          </cell>
          <cell r="T3236" t="str">
            <v>90185538 - Muhammad Fahikal Auz</v>
          </cell>
          <cell r="U3236" t="str">
            <v>"-"</v>
          </cell>
        </row>
        <row r="3237">
          <cell r="A3237">
            <v>46265</v>
          </cell>
          <cell r="B3237" t="str">
            <v xml:space="preserve">CV ABADI SEJAHTERA MADIUN               </v>
          </cell>
          <cell r="C3237" t="str">
            <v>CS90366</v>
          </cell>
          <cell r="D3237">
            <v>8101011004562</v>
          </cell>
          <cell r="E3237" t="str">
            <v>SEDANG</v>
          </cell>
          <cell r="F3237" t="str">
            <v>Tidak</v>
          </cell>
          <cell r="G3237" t="str">
            <v>Tidak</v>
          </cell>
          <cell r="H3237" t="str">
            <v>Tidak</v>
          </cell>
          <cell r="I3237" t="str">
            <v>Perpajakan</v>
          </cell>
          <cell r="J3237">
            <v>48</v>
          </cell>
          <cell r="K3237">
            <v>41</v>
          </cell>
          <cell r="L3237" t="str">
            <v>Perpajakan</v>
          </cell>
          <cell r="M3237" t="str">
            <v xml:space="preserve">KC Salatiga                             </v>
          </cell>
          <cell r="N3237" t="str">
            <v xml:space="preserve">KC Salatiga                             </v>
          </cell>
          <cell r="O3237" t="str">
            <v xml:space="preserve">Semarang                                </v>
          </cell>
          <cell r="P3237" t="str">
            <v>Tidak</v>
          </cell>
          <cell r="Q3237" t="str">
            <v>Tidak</v>
          </cell>
          <cell r="R3237" t="str">
            <v>Done</v>
          </cell>
          <cell r="S3237" t="str">
            <v>Pending Checker</v>
          </cell>
          <cell r="T3237" t="str">
            <v>90185537 - Moh.Khoerul Fajar Ar</v>
          </cell>
          <cell r="U3237" t="str">
            <v>"-"</v>
          </cell>
        </row>
        <row r="3238">
          <cell r="A3238">
            <v>46265</v>
          </cell>
          <cell r="B3238" t="str">
            <v xml:space="preserve">CV BAKTI RAHARJA MADIUN                 </v>
          </cell>
          <cell r="C3238" t="str">
            <v>CS90367</v>
          </cell>
          <cell r="D3238">
            <v>8101011002560</v>
          </cell>
          <cell r="E3238" t="str">
            <v>SEDANG</v>
          </cell>
          <cell r="F3238" t="str">
            <v>Tidak</v>
          </cell>
          <cell r="G3238" t="str">
            <v>Tidak</v>
          </cell>
          <cell r="H3238" t="str">
            <v>Tidak</v>
          </cell>
          <cell r="I3238" t="str">
            <v>Perpajakan</v>
          </cell>
          <cell r="J3238">
            <v>48</v>
          </cell>
          <cell r="K3238">
            <v>41</v>
          </cell>
          <cell r="L3238" t="str">
            <v>Perpajakan</v>
          </cell>
          <cell r="M3238" t="str">
            <v xml:space="preserve">KC Salatiga                             </v>
          </cell>
          <cell r="N3238" t="str">
            <v xml:space="preserve">KC Salatiga                             </v>
          </cell>
          <cell r="O3238" t="str">
            <v xml:space="preserve">Semarang                                </v>
          </cell>
          <cell r="P3238" t="str">
            <v>Tidak</v>
          </cell>
          <cell r="Q3238" t="str">
            <v>Tidak</v>
          </cell>
          <cell r="R3238" t="str">
            <v>Done</v>
          </cell>
          <cell r="S3238" t="str">
            <v>Pending Checker</v>
          </cell>
          <cell r="T3238" t="str">
            <v>90171841 - Rifqi Aziz</v>
          </cell>
          <cell r="U3238" t="str">
            <v>"-"</v>
          </cell>
        </row>
        <row r="3239">
          <cell r="A3239">
            <v>46265</v>
          </cell>
          <cell r="B3239" t="str">
            <v xml:space="preserve">CV WIBAWA GANDA MADIUN                  </v>
          </cell>
          <cell r="C3239" t="str">
            <v>CS90368</v>
          </cell>
          <cell r="D3239">
            <v>8101011001564</v>
          </cell>
          <cell r="E3239" t="str">
            <v>SEDANG</v>
          </cell>
          <cell r="F3239" t="str">
            <v>Tidak</v>
          </cell>
          <cell r="G3239" t="str">
            <v>Tidak</v>
          </cell>
          <cell r="H3239" t="str">
            <v>Tidak</v>
          </cell>
          <cell r="I3239" t="str">
            <v>Perpajakan</v>
          </cell>
          <cell r="J3239">
            <v>48</v>
          </cell>
          <cell r="K3239">
            <v>41</v>
          </cell>
          <cell r="L3239" t="str">
            <v>Perpajakan</v>
          </cell>
          <cell r="M3239" t="str">
            <v xml:space="preserve">KC Salatiga                             </v>
          </cell>
          <cell r="N3239" t="str">
            <v xml:space="preserve">KC Salatiga                             </v>
          </cell>
          <cell r="O3239" t="str">
            <v xml:space="preserve">Semarang                                </v>
          </cell>
          <cell r="P3239" t="str">
            <v>Tidak</v>
          </cell>
          <cell r="Q3239" t="str">
            <v>Tidak</v>
          </cell>
          <cell r="R3239" t="str">
            <v>Done</v>
          </cell>
          <cell r="S3239" t="str">
            <v>Pending Checker</v>
          </cell>
          <cell r="T3239" t="str">
            <v>90170665 - Mutiara Ayuningtyas</v>
          </cell>
          <cell r="U3239" t="str">
            <v>"-"</v>
          </cell>
        </row>
        <row r="3240">
          <cell r="A3240">
            <v>46265</v>
          </cell>
          <cell r="B3240" t="str">
            <v xml:space="preserve">CV MUARA TERAMPIL MAGELANG              </v>
          </cell>
          <cell r="C3240" t="str">
            <v>CS90369</v>
          </cell>
          <cell r="D3240">
            <v>8101010403569</v>
          </cell>
          <cell r="E3240" t="str">
            <v>SEDANG</v>
          </cell>
          <cell r="F3240" t="str">
            <v>Tidak</v>
          </cell>
          <cell r="G3240" t="str">
            <v>Tidak</v>
          </cell>
          <cell r="H3240" t="str">
            <v>Tidak</v>
          </cell>
          <cell r="I3240" t="str">
            <v>Perpajakan</v>
          </cell>
          <cell r="J3240">
            <v>48</v>
          </cell>
          <cell r="K3240">
            <v>41</v>
          </cell>
          <cell r="L3240" t="str">
            <v>Perpajakan</v>
          </cell>
          <cell r="M3240" t="str">
            <v xml:space="preserve">KC Salatiga                             </v>
          </cell>
          <cell r="N3240" t="str">
            <v xml:space="preserve">KC Salatiga                             </v>
          </cell>
          <cell r="O3240" t="str">
            <v xml:space="preserve">Semarang                                </v>
          </cell>
          <cell r="P3240" t="str">
            <v>Tidak</v>
          </cell>
          <cell r="Q3240" t="str">
            <v>Tidak</v>
          </cell>
          <cell r="R3240" t="str">
            <v>Done</v>
          </cell>
          <cell r="S3240" t="str">
            <v>Pending Checker</v>
          </cell>
          <cell r="T3240" t="str">
            <v>90150130 - Intan Aida Pratiwi</v>
          </cell>
          <cell r="U3240" t="str">
            <v>"-"</v>
          </cell>
        </row>
        <row r="3241">
          <cell r="A3241">
            <v>46265</v>
          </cell>
          <cell r="B3241" t="str">
            <v xml:space="preserve">CV WIBAWA GUNA MAGELANG                 </v>
          </cell>
          <cell r="C3241" t="str">
            <v>CS90371</v>
          </cell>
          <cell r="D3241">
            <v>8101010401567</v>
          </cell>
          <cell r="E3241" t="str">
            <v>SEDANG</v>
          </cell>
          <cell r="F3241" t="str">
            <v>Tidak</v>
          </cell>
          <cell r="G3241" t="str">
            <v>Tidak</v>
          </cell>
          <cell r="H3241" t="str">
            <v>Tidak</v>
          </cell>
          <cell r="I3241" t="str">
            <v>Perpajakan</v>
          </cell>
          <cell r="J3241">
            <v>48</v>
          </cell>
          <cell r="K3241">
            <v>41</v>
          </cell>
          <cell r="L3241" t="str">
            <v>Perpajakan</v>
          </cell>
          <cell r="M3241" t="str">
            <v xml:space="preserve">KC Salatiga                             </v>
          </cell>
          <cell r="N3241" t="str">
            <v xml:space="preserve">KC Salatiga                             </v>
          </cell>
          <cell r="O3241" t="str">
            <v xml:space="preserve">Semarang                                </v>
          </cell>
          <cell r="P3241" t="str">
            <v>Tidak</v>
          </cell>
          <cell r="Q3241" t="str">
            <v>Tidak</v>
          </cell>
          <cell r="R3241" t="str">
            <v>Done</v>
          </cell>
          <cell r="S3241" t="str">
            <v>Pending Checker</v>
          </cell>
          <cell r="T3241" t="str">
            <v>00394521 - Muhammad Hibbanduta</v>
          </cell>
          <cell r="U3241" t="str">
            <v>"-"</v>
          </cell>
        </row>
        <row r="3242">
          <cell r="A3242">
            <v>46265</v>
          </cell>
          <cell r="B3242" t="str">
            <v xml:space="preserve">CV ARTO SAMUDRA MAGELANG                </v>
          </cell>
          <cell r="C3242" t="str">
            <v>CS90373</v>
          </cell>
          <cell r="D3242">
            <v>8101010404565</v>
          </cell>
          <cell r="E3242" t="str">
            <v>SEDANG</v>
          </cell>
          <cell r="F3242" t="str">
            <v>Tidak</v>
          </cell>
          <cell r="G3242" t="str">
            <v>Tidak</v>
          </cell>
          <cell r="H3242" t="str">
            <v>Tidak</v>
          </cell>
          <cell r="I3242" t="str">
            <v>Perpajakan</v>
          </cell>
          <cell r="J3242">
            <v>48</v>
          </cell>
          <cell r="K3242">
            <v>41</v>
          </cell>
          <cell r="L3242" t="str">
            <v>Perpajakan</v>
          </cell>
          <cell r="M3242" t="str">
            <v xml:space="preserve">KC Salatiga                             </v>
          </cell>
          <cell r="N3242" t="str">
            <v xml:space="preserve">KC Salatiga                             </v>
          </cell>
          <cell r="O3242" t="str">
            <v xml:space="preserve">Semarang                                </v>
          </cell>
          <cell r="P3242" t="str">
            <v>Tidak</v>
          </cell>
          <cell r="Q3242" t="str">
            <v>Tidak</v>
          </cell>
          <cell r="R3242" t="str">
            <v>Done</v>
          </cell>
          <cell r="S3242" t="str">
            <v>Pending Checker</v>
          </cell>
          <cell r="T3242" t="str">
            <v>00394520 - Frida Akbar Rani</v>
          </cell>
          <cell r="U3242" t="str">
            <v>"-"</v>
          </cell>
        </row>
        <row r="3243">
          <cell r="A3243">
            <v>46265</v>
          </cell>
          <cell r="B3243" t="str">
            <v xml:space="preserve">CV MUARA TALENTA SALATIGA               </v>
          </cell>
          <cell r="C3243" t="str">
            <v>CS91088</v>
          </cell>
          <cell r="D3243">
            <v>8101010103567</v>
          </cell>
          <cell r="E3243" t="str">
            <v>SEDANG</v>
          </cell>
          <cell r="F3243" t="str">
            <v>Tidak</v>
          </cell>
          <cell r="G3243" t="str">
            <v>Tidak</v>
          </cell>
          <cell r="H3243" t="str">
            <v>Tidak</v>
          </cell>
          <cell r="I3243" t="str">
            <v>Perpajakan</v>
          </cell>
          <cell r="J3243">
            <v>48</v>
          </cell>
          <cell r="K3243">
            <v>41</v>
          </cell>
          <cell r="L3243" t="str">
            <v>Perpajakan</v>
          </cell>
          <cell r="M3243" t="str">
            <v xml:space="preserve">KC Salatiga                             </v>
          </cell>
          <cell r="N3243" t="str">
            <v xml:space="preserve">KC Salatiga                             </v>
          </cell>
          <cell r="O3243" t="str">
            <v xml:space="preserve">Semarang                                </v>
          </cell>
          <cell r="P3243" t="str">
            <v>Tidak</v>
          </cell>
          <cell r="Q3243" t="str">
            <v>Tidak</v>
          </cell>
          <cell r="R3243" t="str">
            <v>Done</v>
          </cell>
          <cell r="S3243" t="str">
            <v>Pending Checker</v>
          </cell>
          <cell r="T3243" t="str">
            <v>00336949 - Mochammad Al Farabi</v>
          </cell>
          <cell r="U3243" t="str">
            <v>"-"</v>
          </cell>
        </row>
        <row r="3244">
          <cell r="A3244">
            <v>46265</v>
          </cell>
          <cell r="B3244" t="str">
            <v xml:space="preserve">CV WARISAN GAYA SALATIGA                </v>
          </cell>
          <cell r="C3244" t="str">
            <v>CS91092</v>
          </cell>
          <cell r="D3244">
            <v>8101010101565</v>
          </cell>
          <cell r="E3244" t="str">
            <v>SEDANG</v>
          </cell>
          <cell r="F3244" t="str">
            <v>Tidak</v>
          </cell>
          <cell r="G3244" t="str">
            <v>Tidak</v>
          </cell>
          <cell r="H3244" t="str">
            <v>Tidak</v>
          </cell>
          <cell r="I3244" t="str">
            <v>Perpajakan</v>
          </cell>
          <cell r="J3244">
            <v>48</v>
          </cell>
          <cell r="K3244">
            <v>41</v>
          </cell>
          <cell r="L3244" t="str">
            <v>Perpajakan</v>
          </cell>
          <cell r="M3244" t="str">
            <v xml:space="preserve">KC Salatiga                             </v>
          </cell>
          <cell r="N3244" t="str">
            <v xml:space="preserve">KC Salatiga                             </v>
          </cell>
          <cell r="O3244" t="str">
            <v xml:space="preserve">Semarang                                </v>
          </cell>
          <cell r="P3244" t="str">
            <v>Tidak</v>
          </cell>
          <cell r="Q3244" t="str">
            <v>Tidak</v>
          </cell>
          <cell r="R3244" t="str">
            <v>Done</v>
          </cell>
          <cell r="S3244" t="str">
            <v>Pending Checker</v>
          </cell>
          <cell r="T3244" t="str">
            <v>00394520 - Frida Akbar Rani</v>
          </cell>
          <cell r="U3244" t="str">
            <v>"-"</v>
          </cell>
        </row>
        <row r="3245">
          <cell r="A3245">
            <v>46265</v>
          </cell>
          <cell r="B3245" t="str">
            <v xml:space="preserve">CV WIRA GEMILANG KEDIRI                 </v>
          </cell>
          <cell r="C3245" t="str">
            <v>CS91094</v>
          </cell>
          <cell r="D3245">
            <v>8101010901567</v>
          </cell>
          <cell r="E3245" t="str">
            <v>SEDANG</v>
          </cell>
          <cell r="F3245" t="str">
            <v>Tidak</v>
          </cell>
          <cell r="G3245" t="str">
            <v>Tidak</v>
          </cell>
          <cell r="H3245" t="str">
            <v>Tidak</v>
          </cell>
          <cell r="I3245" t="str">
            <v>Perpajakan</v>
          </cell>
          <cell r="J3245">
            <v>48</v>
          </cell>
          <cell r="K3245">
            <v>41</v>
          </cell>
          <cell r="L3245" t="str">
            <v>Perpajakan</v>
          </cell>
          <cell r="M3245" t="str">
            <v xml:space="preserve">KC Salatiga                             </v>
          </cell>
          <cell r="N3245" t="str">
            <v xml:space="preserve">KC Salatiga                             </v>
          </cell>
          <cell r="O3245" t="str">
            <v xml:space="preserve">Semarang                                </v>
          </cell>
          <cell r="P3245" t="str">
            <v>Tidak</v>
          </cell>
          <cell r="Q3245" t="str">
            <v>Tidak</v>
          </cell>
          <cell r="R3245" t="str">
            <v>Done</v>
          </cell>
          <cell r="S3245" t="str">
            <v>Pending Checker</v>
          </cell>
          <cell r="T3245" t="str">
            <v>90186790 - Muhammad Alfin Farha</v>
          </cell>
          <cell r="U3245" t="str">
            <v>"-"</v>
          </cell>
        </row>
        <row r="3246">
          <cell r="A3246">
            <v>46265</v>
          </cell>
          <cell r="B3246" t="str">
            <v xml:space="preserve">CV AGUNG SEJAHTERA SALATIGA             </v>
          </cell>
          <cell r="C3246" t="str">
            <v>CS91110</v>
          </cell>
          <cell r="D3246">
            <v>8101010104563</v>
          </cell>
          <cell r="E3246" t="str">
            <v>SEDANG</v>
          </cell>
          <cell r="F3246" t="str">
            <v>Tidak</v>
          </cell>
          <cell r="G3246" t="str">
            <v>Tidak</v>
          </cell>
          <cell r="H3246" t="str">
            <v>Tidak</v>
          </cell>
          <cell r="I3246" t="str">
            <v>Perpajakan</v>
          </cell>
          <cell r="J3246">
            <v>48</v>
          </cell>
          <cell r="K3246">
            <v>41</v>
          </cell>
          <cell r="L3246" t="str">
            <v>Perpajakan</v>
          </cell>
          <cell r="M3246" t="str">
            <v xml:space="preserve">KC Salatiga                             </v>
          </cell>
          <cell r="N3246" t="str">
            <v xml:space="preserve">KC Salatiga                             </v>
          </cell>
          <cell r="O3246" t="str">
            <v xml:space="preserve">Semarang                                </v>
          </cell>
          <cell r="P3246" t="str">
            <v>Tidak</v>
          </cell>
          <cell r="Q3246" t="str">
            <v>Tidak</v>
          </cell>
          <cell r="R3246" t="str">
            <v>Done</v>
          </cell>
          <cell r="S3246" t="str">
            <v>Pending Checker</v>
          </cell>
          <cell r="T3246" t="str">
            <v>90185538 - Muhammad Fahikal Auz</v>
          </cell>
          <cell r="U3246" t="str">
            <v>"-"</v>
          </cell>
        </row>
        <row r="3247">
          <cell r="A3247">
            <v>46265</v>
          </cell>
          <cell r="B3247" t="str">
            <v xml:space="preserve">CV BARA PELITA SALATIGA                 </v>
          </cell>
          <cell r="C3247" t="str">
            <v>CS91126</v>
          </cell>
          <cell r="D3247">
            <v>8101010105569</v>
          </cell>
          <cell r="E3247" t="str">
            <v>SEDANG</v>
          </cell>
          <cell r="F3247" t="str">
            <v>Tidak</v>
          </cell>
          <cell r="G3247" t="str">
            <v>Tidak</v>
          </cell>
          <cell r="H3247" t="str">
            <v>Tidak</v>
          </cell>
          <cell r="I3247" t="str">
            <v>Perpajakan</v>
          </cell>
          <cell r="J3247">
            <v>49</v>
          </cell>
          <cell r="K3247">
            <v>41</v>
          </cell>
          <cell r="L3247" t="str">
            <v>Perpajakan</v>
          </cell>
          <cell r="M3247" t="str">
            <v xml:space="preserve">KC Salatiga                             </v>
          </cell>
          <cell r="N3247" t="str">
            <v xml:space="preserve">KC Salatiga                             </v>
          </cell>
          <cell r="O3247" t="str">
            <v xml:space="preserve">Semarang                                </v>
          </cell>
          <cell r="P3247" t="str">
            <v>Tidak</v>
          </cell>
          <cell r="Q3247" t="str">
            <v>Tidak</v>
          </cell>
          <cell r="R3247" t="str">
            <v>Done</v>
          </cell>
          <cell r="S3247" t="str">
            <v>Pending Checker</v>
          </cell>
          <cell r="T3247" t="str">
            <v>90185537 - Moh.Khoerul Fajar Ar</v>
          </cell>
          <cell r="U3247" t="str">
            <v>"-"</v>
          </cell>
        </row>
        <row r="3248">
          <cell r="A3248">
            <v>46265</v>
          </cell>
          <cell r="B3248" t="str">
            <v xml:space="preserve">CV MULTI PESONA SALATIGA                </v>
          </cell>
          <cell r="C3248" t="str">
            <v>CS91148</v>
          </cell>
          <cell r="D3248">
            <v>8101010106565</v>
          </cell>
          <cell r="E3248" t="str">
            <v>SEDANG</v>
          </cell>
          <cell r="F3248" t="str">
            <v>Tidak</v>
          </cell>
          <cell r="G3248" t="str">
            <v>Tidak</v>
          </cell>
          <cell r="H3248" t="str">
            <v>Tidak</v>
          </cell>
          <cell r="I3248" t="str">
            <v>Perpajakan</v>
          </cell>
          <cell r="J3248">
            <v>53</v>
          </cell>
          <cell r="K3248">
            <v>41</v>
          </cell>
          <cell r="L3248" t="str">
            <v>Perpajakan</v>
          </cell>
          <cell r="M3248" t="str">
            <v xml:space="preserve">KC Salatiga                             </v>
          </cell>
          <cell r="N3248" t="str">
            <v xml:space="preserve">KC Salatiga                             </v>
          </cell>
          <cell r="O3248" t="str">
            <v xml:space="preserve">Semarang                                </v>
          </cell>
          <cell r="P3248" t="str">
            <v>Tidak</v>
          </cell>
          <cell r="Q3248" t="str">
            <v>Tidak</v>
          </cell>
          <cell r="R3248" t="str">
            <v>Done</v>
          </cell>
          <cell r="S3248" t="str">
            <v>Pending Checker</v>
          </cell>
          <cell r="T3248" t="str">
            <v>90171841 - Rifqi Aziz</v>
          </cell>
          <cell r="U3248" t="str">
            <v>"-"</v>
          </cell>
        </row>
        <row r="3249">
          <cell r="A3249">
            <v>46265</v>
          </cell>
          <cell r="B3249" t="str">
            <v xml:space="preserve">CV ANGKASA PELANGI SALATIGA             </v>
          </cell>
          <cell r="C3249" t="str">
            <v>CS91151</v>
          </cell>
          <cell r="D3249">
            <v>8101010107561</v>
          </cell>
          <cell r="E3249" t="str">
            <v>SEDANG</v>
          </cell>
          <cell r="F3249" t="str">
            <v>Tidak</v>
          </cell>
          <cell r="G3249" t="str">
            <v>Tidak</v>
          </cell>
          <cell r="H3249" t="str">
            <v>Tidak</v>
          </cell>
          <cell r="I3249" t="str">
            <v>Perpajakan</v>
          </cell>
          <cell r="J3249">
            <v>53</v>
          </cell>
          <cell r="K3249">
            <v>41</v>
          </cell>
          <cell r="L3249" t="str">
            <v>Perpajakan</v>
          </cell>
          <cell r="M3249" t="str">
            <v xml:space="preserve">KC Salatiga                             </v>
          </cell>
          <cell r="N3249" t="str">
            <v xml:space="preserve">KC Salatiga                             </v>
          </cell>
          <cell r="O3249" t="str">
            <v xml:space="preserve">Semarang                                </v>
          </cell>
          <cell r="P3249" t="str">
            <v>Tidak</v>
          </cell>
          <cell r="Q3249" t="str">
            <v>Tidak</v>
          </cell>
          <cell r="R3249" t="str">
            <v>Done</v>
          </cell>
          <cell r="S3249" t="str">
            <v>Pending Checker</v>
          </cell>
          <cell r="T3249" t="str">
            <v>90170665 - Mutiara Ayuningtyas</v>
          </cell>
          <cell r="U3249" t="str">
            <v>"-"</v>
          </cell>
        </row>
        <row r="3250">
          <cell r="A3250">
            <v>46265</v>
          </cell>
          <cell r="B3250" t="str">
            <v xml:space="preserve">CV SANTIKA DIVA SALATIGA                </v>
          </cell>
          <cell r="C3250" t="str">
            <v>CS91160</v>
          </cell>
          <cell r="D3250">
            <v>8101020101563</v>
          </cell>
          <cell r="E3250" t="str">
            <v>SEDANG</v>
          </cell>
          <cell r="F3250" t="str">
            <v>Tidak</v>
          </cell>
          <cell r="G3250" t="str">
            <v>Tidak</v>
          </cell>
          <cell r="H3250" t="str">
            <v>Tidak</v>
          </cell>
          <cell r="I3250" t="str">
            <v>Perpajakan</v>
          </cell>
          <cell r="J3250">
            <v>49</v>
          </cell>
          <cell r="K3250">
            <v>41</v>
          </cell>
          <cell r="L3250" t="str">
            <v>Perpajakan</v>
          </cell>
          <cell r="M3250" t="str">
            <v xml:space="preserve">KC Salatiga                             </v>
          </cell>
          <cell r="N3250" t="str">
            <v xml:space="preserve">KC Salatiga                             </v>
          </cell>
          <cell r="O3250" t="str">
            <v xml:space="preserve">Semarang                                </v>
          </cell>
          <cell r="P3250" t="str">
            <v>Tidak</v>
          </cell>
          <cell r="Q3250" t="str">
            <v>Tidak</v>
          </cell>
          <cell r="R3250" t="str">
            <v>Done</v>
          </cell>
          <cell r="S3250" t="str">
            <v>Pending Checker</v>
          </cell>
          <cell r="T3250" t="str">
            <v>90150130 - Intan Aida Pratiwi</v>
          </cell>
          <cell r="U3250" t="str">
            <v>"-"</v>
          </cell>
        </row>
        <row r="3251">
          <cell r="A3251">
            <v>46265</v>
          </cell>
          <cell r="B3251" t="str">
            <v xml:space="preserve">CV JELITA ELANG SALATIGA                </v>
          </cell>
          <cell r="C3251" t="str">
            <v>CS91172</v>
          </cell>
          <cell r="D3251">
            <v>8101020102569</v>
          </cell>
          <cell r="E3251" t="str">
            <v>SEDANG</v>
          </cell>
          <cell r="F3251" t="str">
            <v>Tidak</v>
          </cell>
          <cell r="G3251" t="str">
            <v>Tidak</v>
          </cell>
          <cell r="H3251" t="str">
            <v>Tidak</v>
          </cell>
          <cell r="I3251" t="str">
            <v>Perpajakan</v>
          </cell>
          <cell r="J3251">
            <v>51</v>
          </cell>
          <cell r="K3251">
            <v>41</v>
          </cell>
          <cell r="L3251" t="str">
            <v>Perpajakan</v>
          </cell>
          <cell r="M3251" t="str">
            <v xml:space="preserve">KC Salatiga                             </v>
          </cell>
          <cell r="N3251" t="str">
            <v xml:space="preserve">KC Salatiga                             </v>
          </cell>
          <cell r="O3251" t="str">
            <v xml:space="preserve">Semarang                                </v>
          </cell>
          <cell r="P3251" t="str">
            <v>Tidak</v>
          </cell>
          <cell r="Q3251" t="str">
            <v>Tidak</v>
          </cell>
          <cell r="R3251" t="str">
            <v>Done</v>
          </cell>
          <cell r="S3251" t="str">
            <v>Pending Checker</v>
          </cell>
          <cell r="T3251" t="str">
            <v>00394521 - Muhammad Hibbanduta</v>
          </cell>
          <cell r="U3251" t="str">
            <v>"-"</v>
          </cell>
        </row>
        <row r="3252">
          <cell r="A3252">
            <v>46265</v>
          </cell>
          <cell r="B3252" t="str">
            <v xml:space="preserve">CV WULAN GANDA MOJOKERTO                </v>
          </cell>
          <cell r="C3252" t="str">
            <v>CS91284</v>
          </cell>
          <cell r="D3252">
            <v>8101011101568</v>
          </cell>
          <cell r="E3252" t="str">
            <v>SEDANG</v>
          </cell>
          <cell r="F3252" t="str">
            <v>Tidak</v>
          </cell>
          <cell r="G3252" t="str">
            <v>Tidak</v>
          </cell>
          <cell r="H3252" t="str">
            <v>Tidak</v>
          </cell>
          <cell r="I3252" t="str">
            <v>Perpajakan</v>
          </cell>
          <cell r="J3252">
            <v>49</v>
          </cell>
          <cell r="K3252">
            <v>41</v>
          </cell>
          <cell r="L3252" t="str">
            <v>Perpajakan</v>
          </cell>
          <cell r="M3252" t="str">
            <v xml:space="preserve">KC Salatiga                             </v>
          </cell>
          <cell r="N3252" t="str">
            <v xml:space="preserve">KC Salatiga                             </v>
          </cell>
          <cell r="O3252" t="str">
            <v xml:space="preserve">Semarang                                </v>
          </cell>
          <cell r="P3252" t="str">
            <v>Tidak</v>
          </cell>
          <cell r="Q3252" t="str">
            <v>Tidak</v>
          </cell>
          <cell r="R3252" t="str">
            <v>Done</v>
          </cell>
          <cell r="S3252" t="str">
            <v>Pending Checker</v>
          </cell>
          <cell r="T3252" t="str">
            <v>00394520 - Frida Akbar Rani</v>
          </cell>
          <cell r="U3252" t="str">
            <v>"-"</v>
          </cell>
        </row>
        <row r="3253">
          <cell r="A3253">
            <v>46265</v>
          </cell>
          <cell r="B3253" t="str">
            <v xml:space="preserve">CV BANGUN RUPA MOJOKERTO                </v>
          </cell>
          <cell r="C3253" t="str">
            <v>CS91288</v>
          </cell>
          <cell r="D3253">
            <v>8101011102564</v>
          </cell>
          <cell r="E3253" t="str">
            <v>SEDANG</v>
          </cell>
          <cell r="F3253" t="str">
            <v>Tidak</v>
          </cell>
          <cell r="G3253" t="str">
            <v>Tidak</v>
          </cell>
          <cell r="H3253" t="str">
            <v>Tidak</v>
          </cell>
          <cell r="I3253" t="str">
            <v>Perpajakan</v>
          </cell>
          <cell r="J3253">
            <v>53</v>
          </cell>
          <cell r="K3253">
            <v>41</v>
          </cell>
          <cell r="L3253" t="str">
            <v>Perpajakan</v>
          </cell>
          <cell r="M3253" t="str">
            <v xml:space="preserve">KC Salatiga                             </v>
          </cell>
          <cell r="N3253" t="str">
            <v xml:space="preserve">KC Salatiga                             </v>
          </cell>
          <cell r="O3253" t="str">
            <v xml:space="preserve">Semarang                                </v>
          </cell>
          <cell r="P3253" t="str">
            <v>Tidak</v>
          </cell>
          <cell r="Q3253" t="str">
            <v>Tidak</v>
          </cell>
          <cell r="R3253" t="str">
            <v>Done</v>
          </cell>
          <cell r="S3253" t="str">
            <v>Pending Checker</v>
          </cell>
          <cell r="T3253" t="str">
            <v>00336949 - Mochammad Al Farabi</v>
          </cell>
          <cell r="U3253" t="str">
            <v>"-"</v>
          </cell>
        </row>
        <row r="3254">
          <cell r="A3254">
            <v>46265</v>
          </cell>
          <cell r="B3254" t="str">
            <v xml:space="preserve">CV MAKMUR TUNAS MOJOKERTO               </v>
          </cell>
          <cell r="C3254" t="str">
            <v>CS91290</v>
          </cell>
          <cell r="D3254">
            <v>8101011103560</v>
          </cell>
          <cell r="E3254" t="str">
            <v>SEDANG</v>
          </cell>
          <cell r="F3254" t="str">
            <v>Tidak</v>
          </cell>
          <cell r="G3254" t="str">
            <v>Tidak</v>
          </cell>
          <cell r="H3254" t="str">
            <v>Tidak</v>
          </cell>
          <cell r="I3254" t="str">
            <v>Perpajakan</v>
          </cell>
          <cell r="J3254">
            <v>51</v>
          </cell>
          <cell r="K3254">
            <v>41</v>
          </cell>
          <cell r="L3254" t="str">
            <v>Perpajakan</v>
          </cell>
          <cell r="M3254" t="str">
            <v xml:space="preserve">KC Salatiga                             </v>
          </cell>
          <cell r="N3254" t="str">
            <v xml:space="preserve">KC Salatiga                             </v>
          </cell>
          <cell r="O3254" t="str">
            <v xml:space="preserve">Semarang                                </v>
          </cell>
          <cell r="P3254" t="str">
            <v>Tidak</v>
          </cell>
          <cell r="Q3254" t="str">
            <v>Tidak</v>
          </cell>
          <cell r="R3254" t="str">
            <v>Done</v>
          </cell>
          <cell r="S3254" t="str">
            <v>Pending Checker</v>
          </cell>
          <cell r="T3254" t="str">
            <v>90186796 - Devito Arya Wiradila</v>
          </cell>
          <cell r="U3254" t="str">
            <v>"-"</v>
          </cell>
        </row>
        <row r="3255">
          <cell r="A3255">
            <v>46265</v>
          </cell>
          <cell r="B3255" t="str">
            <v xml:space="preserve">CV ANDALAN SINAR MOJOKERTO              </v>
          </cell>
          <cell r="C3255" t="str">
            <v>CS91293</v>
          </cell>
          <cell r="D3255">
            <v>8101011104566</v>
          </cell>
          <cell r="E3255" t="str">
            <v>SEDANG</v>
          </cell>
          <cell r="F3255" t="str">
            <v>Tidak</v>
          </cell>
          <cell r="G3255" t="str">
            <v>Tidak</v>
          </cell>
          <cell r="H3255" t="str">
            <v>Tidak</v>
          </cell>
          <cell r="I3255" t="str">
            <v>Perpajakan</v>
          </cell>
          <cell r="J3255">
            <v>51</v>
          </cell>
          <cell r="K3255">
            <v>41</v>
          </cell>
          <cell r="L3255" t="str">
            <v>Perpajakan</v>
          </cell>
          <cell r="M3255" t="str">
            <v xml:space="preserve">KC Salatiga                             </v>
          </cell>
          <cell r="N3255" t="str">
            <v xml:space="preserve">KC Salatiga                             </v>
          </cell>
          <cell r="O3255" t="str">
            <v xml:space="preserve">Semarang                                </v>
          </cell>
          <cell r="P3255" t="str">
            <v>Tidak</v>
          </cell>
          <cell r="Q3255" t="str">
            <v>Tidak</v>
          </cell>
          <cell r="R3255" t="str">
            <v>Done</v>
          </cell>
          <cell r="S3255" t="str">
            <v>Pending Checker</v>
          </cell>
          <cell r="T3255" t="str">
            <v>90186790 - Muhammad Alfin Farha</v>
          </cell>
          <cell r="U3255" t="str">
            <v>"-"</v>
          </cell>
        </row>
        <row r="3256">
          <cell r="A3256">
            <v>46265</v>
          </cell>
          <cell r="B3256" t="str">
            <v xml:space="preserve">CV BUKIT RAJAWALI KEDIRI                </v>
          </cell>
          <cell r="C3256" t="str">
            <v>CS91294</v>
          </cell>
          <cell r="D3256">
            <v>8101010902563</v>
          </cell>
          <cell r="E3256" t="str">
            <v>SEDANG</v>
          </cell>
          <cell r="F3256" t="str">
            <v>Tidak</v>
          </cell>
          <cell r="G3256" t="str">
            <v>Tidak</v>
          </cell>
          <cell r="H3256" t="str">
            <v>Tidak</v>
          </cell>
          <cell r="I3256" t="str">
            <v>Perpajakan</v>
          </cell>
          <cell r="J3256">
            <v>48</v>
          </cell>
          <cell r="K3256">
            <v>41</v>
          </cell>
          <cell r="L3256" t="str">
            <v>Perpajakan</v>
          </cell>
          <cell r="M3256" t="str">
            <v xml:space="preserve">KC Salatiga                             </v>
          </cell>
          <cell r="N3256" t="str">
            <v xml:space="preserve">KC Salatiga                             </v>
          </cell>
          <cell r="O3256" t="str">
            <v xml:space="preserve">Semarang                                </v>
          </cell>
          <cell r="P3256" t="str">
            <v>Tidak</v>
          </cell>
          <cell r="Q3256" t="str">
            <v>Tidak</v>
          </cell>
          <cell r="R3256" t="str">
            <v>Done</v>
          </cell>
          <cell r="S3256" t="str">
            <v>Pending Checker</v>
          </cell>
          <cell r="T3256" t="str">
            <v>90185538 - Muhammad Fahikal Auz</v>
          </cell>
          <cell r="U3256" t="str">
            <v>"-"</v>
          </cell>
        </row>
        <row r="3257">
          <cell r="A3257">
            <v>46265</v>
          </cell>
          <cell r="B3257" t="str">
            <v xml:space="preserve">CV MAJU TREND KEDIRI                    </v>
          </cell>
          <cell r="C3257" t="str">
            <v>CS91296</v>
          </cell>
          <cell r="D3257">
            <v>8101010903569</v>
          </cell>
          <cell r="E3257" t="str">
            <v>SEDANG</v>
          </cell>
          <cell r="F3257" t="str">
            <v>Tidak</v>
          </cell>
          <cell r="G3257" t="str">
            <v>Tidak</v>
          </cell>
          <cell r="H3257" t="str">
            <v>Tidak</v>
          </cell>
          <cell r="I3257" t="str">
            <v>Perpajakan</v>
          </cell>
          <cell r="J3257">
            <v>48</v>
          </cell>
          <cell r="K3257">
            <v>41</v>
          </cell>
          <cell r="L3257" t="str">
            <v>Perpajakan</v>
          </cell>
          <cell r="M3257" t="str">
            <v xml:space="preserve">KC Salatiga                             </v>
          </cell>
          <cell r="N3257" t="str">
            <v xml:space="preserve">KC Salatiga                             </v>
          </cell>
          <cell r="O3257" t="str">
            <v xml:space="preserve">Semarang                                </v>
          </cell>
          <cell r="P3257" t="str">
            <v>Tidak</v>
          </cell>
          <cell r="Q3257" t="str">
            <v>Tidak</v>
          </cell>
          <cell r="R3257" t="str">
            <v>Done</v>
          </cell>
          <cell r="S3257" t="str">
            <v>Pending Checker</v>
          </cell>
          <cell r="T3257" t="str">
            <v>90185537 - Moh.Khoerul Fajar Ar</v>
          </cell>
          <cell r="U3257" t="str">
            <v>"-"</v>
          </cell>
        </row>
        <row r="3258">
          <cell r="A3258">
            <v>46265</v>
          </cell>
          <cell r="B3258" t="str">
            <v xml:space="preserve">CV ANEKA SOLUSI KEDIRI                  </v>
          </cell>
          <cell r="C3258" t="str">
            <v>CS91298</v>
          </cell>
          <cell r="D3258">
            <v>8101010904565</v>
          </cell>
          <cell r="E3258" t="str">
            <v>SEDANG</v>
          </cell>
          <cell r="F3258" t="str">
            <v>Tidak</v>
          </cell>
          <cell r="G3258" t="str">
            <v>Tidak</v>
          </cell>
          <cell r="H3258" t="str">
            <v>Tidak</v>
          </cell>
          <cell r="I3258" t="str">
            <v>Perpajakan</v>
          </cell>
          <cell r="J3258">
            <v>48</v>
          </cell>
          <cell r="K3258">
            <v>41</v>
          </cell>
          <cell r="L3258" t="str">
            <v>Perpajakan</v>
          </cell>
          <cell r="M3258" t="str">
            <v xml:space="preserve">KC Salatiga                             </v>
          </cell>
          <cell r="N3258" t="str">
            <v xml:space="preserve">KC Salatiga                             </v>
          </cell>
          <cell r="O3258" t="str">
            <v xml:space="preserve">Semarang                                </v>
          </cell>
          <cell r="P3258" t="str">
            <v>Tidak</v>
          </cell>
          <cell r="Q3258" t="str">
            <v>Tidak</v>
          </cell>
          <cell r="R3258" t="str">
            <v>Done</v>
          </cell>
          <cell r="S3258" t="str">
            <v>Pending Checker</v>
          </cell>
          <cell r="T3258" t="str">
            <v>90171841 - Rifqi Aziz</v>
          </cell>
          <cell r="U3258" t="str">
            <v>"-"</v>
          </cell>
        </row>
        <row r="3259">
          <cell r="A3259">
            <v>46265</v>
          </cell>
          <cell r="B3259" t="str">
            <v xml:space="preserve">CV ANGKASA PELANGI SEMARANG             </v>
          </cell>
          <cell r="C3259" t="str">
            <v>CS91328</v>
          </cell>
          <cell r="D3259">
            <v>8101010207565</v>
          </cell>
          <cell r="E3259" t="str">
            <v>SEDANG</v>
          </cell>
          <cell r="F3259" t="str">
            <v>Tidak</v>
          </cell>
          <cell r="G3259" t="str">
            <v>Tidak</v>
          </cell>
          <cell r="H3259" t="str">
            <v>Tidak</v>
          </cell>
          <cell r="I3259" t="str">
            <v>Perpajakan</v>
          </cell>
          <cell r="J3259">
            <v>48</v>
          </cell>
          <cell r="K3259">
            <v>41</v>
          </cell>
          <cell r="L3259" t="str">
            <v>Perpajakan</v>
          </cell>
          <cell r="M3259" t="str">
            <v xml:space="preserve">KC Salatiga                             </v>
          </cell>
          <cell r="N3259" t="str">
            <v xml:space="preserve">KC Salatiga                             </v>
          </cell>
          <cell r="O3259" t="str">
            <v xml:space="preserve">Semarang                                </v>
          </cell>
          <cell r="P3259" t="str">
            <v>Tidak</v>
          </cell>
          <cell r="Q3259" t="str">
            <v>Tidak</v>
          </cell>
          <cell r="R3259" t="str">
            <v>Done</v>
          </cell>
          <cell r="S3259" t="str">
            <v>Pending Checker</v>
          </cell>
          <cell r="T3259" t="str">
            <v>90170665 - Mutiara Ayuningtyas</v>
          </cell>
          <cell r="U3259" t="str">
            <v>"-"</v>
          </cell>
        </row>
        <row r="3260">
          <cell r="A3260">
            <v>46265</v>
          </cell>
          <cell r="B3260" t="str">
            <v xml:space="preserve">CV MULTIJAYA TUNGGAL SEMARANG           </v>
          </cell>
          <cell r="C3260" t="str">
            <v>CS88160</v>
          </cell>
          <cell r="D3260">
            <v>8101010203561</v>
          </cell>
          <cell r="E3260" t="str">
            <v>SEDANG</v>
          </cell>
          <cell r="F3260" t="str">
            <v>Tidak</v>
          </cell>
          <cell r="G3260" t="str">
            <v>Tidak</v>
          </cell>
          <cell r="H3260" t="str">
            <v>Tidak</v>
          </cell>
          <cell r="I3260" t="str">
            <v>Perpajakan</v>
          </cell>
          <cell r="J3260">
            <v>48</v>
          </cell>
          <cell r="K3260">
            <v>41</v>
          </cell>
          <cell r="L3260" t="str">
            <v>Perpajakan</v>
          </cell>
          <cell r="M3260" t="str">
            <v xml:space="preserve">KC Salatiga                             </v>
          </cell>
          <cell r="N3260" t="str">
            <v xml:space="preserve">KC Salatiga                             </v>
          </cell>
          <cell r="O3260" t="str">
            <v xml:space="preserve">Semarang                                </v>
          </cell>
          <cell r="P3260" t="str">
            <v>Tidak</v>
          </cell>
          <cell r="Q3260" t="str">
            <v>Tidak</v>
          </cell>
          <cell r="R3260" t="str">
            <v>Done</v>
          </cell>
          <cell r="S3260" t="str">
            <v>Pending Checker</v>
          </cell>
          <cell r="T3260" t="str">
            <v>90186790 - Muhammad Alfin Farha</v>
          </cell>
          <cell r="U3260" t="str">
            <v>"-"</v>
          </cell>
        </row>
        <row r="3261">
          <cell r="A3261">
            <v>46265</v>
          </cell>
          <cell r="B3261" t="str">
            <v xml:space="preserve">CV BARA PELITA SEMARANG                 </v>
          </cell>
          <cell r="C3261" t="str">
            <v>CS88164</v>
          </cell>
          <cell r="D3261">
            <v>8101010205563</v>
          </cell>
          <cell r="E3261" t="str">
            <v>SEDANG</v>
          </cell>
          <cell r="F3261" t="str">
            <v>Tidak</v>
          </cell>
          <cell r="G3261" t="str">
            <v>Tidak</v>
          </cell>
          <cell r="H3261" t="str">
            <v>Tidak</v>
          </cell>
          <cell r="I3261" t="str">
            <v>Perpajakan</v>
          </cell>
          <cell r="J3261">
            <v>48</v>
          </cell>
          <cell r="K3261">
            <v>41</v>
          </cell>
          <cell r="L3261" t="str">
            <v>Perpajakan</v>
          </cell>
          <cell r="M3261" t="str">
            <v xml:space="preserve">KC Salatiga                             </v>
          </cell>
          <cell r="N3261" t="str">
            <v xml:space="preserve">KC Salatiga                             </v>
          </cell>
          <cell r="O3261" t="str">
            <v xml:space="preserve">Semarang                                </v>
          </cell>
          <cell r="P3261" t="str">
            <v>Tidak</v>
          </cell>
          <cell r="Q3261" t="str">
            <v>Tidak</v>
          </cell>
          <cell r="R3261" t="str">
            <v>Done</v>
          </cell>
          <cell r="S3261" t="str">
            <v>Pending Checker</v>
          </cell>
          <cell r="T3261" t="str">
            <v>00336949 - Mochammad Al Farabi</v>
          </cell>
          <cell r="U3261" t="str">
            <v>"-"</v>
          </cell>
        </row>
        <row r="3262">
          <cell r="A3262">
            <v>46265</v>
          </cell>
          <cell r="B3262" t="str">
            <v xml:space="preserve">CV MULTI PESONA SEMARANG                </v>
          </cell>
          <cell r="C3262" t="str">
            <v>CS88183</v>
          </cell>
          <cell r="D3262">
            <v>8101010206569</v>
          </cell>
          <cell r="E3262" t="str">
            <v>SEDANG</v>
          </cell>
          <cell r="F3262" t="str">
            <v>Tidak</v>
          </cell>
          <cell r="G3262" t="str">
            <v>Tidak</v>
          </cell>
          <cell r="H3262" t="str">
            <v>Tidak</v>
          </cell>
          <cell r="I3262" t="str">
            <v>Perpajakan</v>
          </cell>
          <cell r="J3262">
            <v>48</v>
          </cell>
          <cell r="K3262">
            <v>41</v>
          </cell>
          <cell r="L3262" t="str">
            <v>Perpajakan</v>
          </cell>
          <cell r="M3262" t="str">
            <v xml:space="preserve">KC Salatiga                             </v>
          </cell>
          <cell r="N3262" t="str">
            <v xml:space="preserve">KC Salatiga                             </v>
          </cell>
          <cell r="O3262" t="str">
            <v xml:space="preserve">Semarang                                </v>
          </cell>
          <cell r="P3262" t="str">
            <v>Tidak</v>
          </cell>
          <cell r="Q3262" t="str">
            <v>Tidak</v>
          </cell>
          <cell r="R3262" t="str">
            <v>Done</v>
          </cell>
          <cell r="S3262" t="str">
            <v>Pending Checker</v>
          </cell>
          <cell r="T3262" t="str">
            <v>90186796 - Devito Arya Wiradila</v>
          </cell>
          <cell r="U3262" t="str">
            <v>"-"</v>
          </cell>
        </row>
        <row r="3263">
          <cell r="A3263">
            <v>46265</v>
          </cell>
          <cell r="B3263" t="str">
            <v xml:space="preserve">CV WISESA GLOBAL SEMARANG               </v>
          </cell>
          <cell r="C3263" t="str">
            <v>CS88189</v>
          </cell>
          <cell r="D3263">
            <v>8101010201569</v>
          </cell>
          <cell r="E3263" t="str">
            <v>SEDANG</v>
          </cell>
          <cell r="F3263" t="str">
            <v>Tidak</v>
          </cell>
          <cell r="G3263" t="str">
            <v>Tidak</v>
          </cell>
          <cell r="H3263" t="str">
            <v>Tidak</v>
          </cell>
          <cell r="I3263" t="str">
            <v>Perpajakan</v>
          </cell>
          <cell r="J3263">
            <v>48</v>
          </cell>
          <cell r="K3263">
            <v>41</v>
          </cell>
          <cell r="L3263" t="str">
            <v>Perpajakan</v>
          </cell>
          <cell r="M3263" t="str">
            <v xml:space="preserve">KC Salatiga                             </v>
          </cell>
          <cell r="N3263" t="str">
            <v xml:space="preserve">KC Salatiga                             </v>
          </cell>
          <cell r="O3263" t="str">
            <v xml:space="preserve">Semarang                                </v>
          </cell>
          <cell r="P3263" t="str">
            <v>Tidak</v>
          </cell>
          <cell r="Q3263" t="str">
            <v>Tidak</v>
          </cell>
          <cell r="R3263" t="str">
            <v>Done</v>
          </cell>
          <cell r="S3263" t="str">
            <v>Pending Checker</v>
          </cell>
          <cell r="T3263" t="str">
            <v>90186790 - Muhammad Alfin Farha</v>
          </cell>
          <cell r="U3263" t="str">
            <v>"-"</v>
          </cell>
        </row>
        <row r="3264">
          <cell r="A3264">
            <v>46265</v>
          </cell>
          <cell r="B3264" t="str">
            <v xml:space="preserve">CV BARA PELITA KUDUS                    </v>
          </cell>
          <cell r="C3264" t="str">
            <v>CS89661</v>
          </cell>
          <cell r="D3264">
            <v>8101010705563</v>
          </cell>
          <cell r="E3264" t="str">
            <v>SEDANG</v>
          </cell>
          <cell r="F3264" t="str">
            <v>Tidak</v>
          </cell>
          <cell r="G3264" t="str">
            <v>Tidak</v>
          </cell>
          <cell r="H3264" t="str">
            <v>Tidak</v>
          </cell>
          <cell r="I3264" t="str">
            <v>Perpajakan</v>
          </cell>
          <cell r="J3264">
            <v>49</v>
          </cell>
          <cell r="K3264">
            <v>41</v>
          </cell>
          <cell r="L3264" t="str">
            <v>Perpajakan</v>
          </cell>
          <cell r="M3264" t="str">
            <v xml:space="preserve">KC Salatiga                             </v>
          </cell>
          <cell r="N3264" t="str">
            <v xml:space="preserve">KC Salatiga                             </v>
          </cell>
          <cell r="O3264" t="str">
            <v xml:space="preserve">Semarang                                </v>
          </cell>
          <cell r="P3264" t="str">
            <v>Tidak</v>
          </cell>
          <cell r="Q3264" t="str">
            <v>Tidak</v>
          </cell>
          <cell r="R3264" t="str">
            <v>Done</v>
          </cell>
          <cell r="S3264" t="str">
            <v>Pending Checker</v>
          </cell>
          <cell r="T3264" t="str">
            <v>90170665 - Mutiara Ayuningtyas</v>
          </cell>
          <cell r="U3264" t="str">
            <v>"-"</v>
          </cell>
        </row>
        <row r="3265">
          <cell r="A3265">
            <v>46265</v>
          </cell>
          <cell r="B3265" t="str">
            <v xml:space="preserve">CV ANGKASA SETIA KUDUS                  </v>
          </cell>
          <cell r="C3265" t="str">
            <v>CS89662</v>
          </cell>
          <cell r="D3265">
            <v>8101010704567</v>
          </cell>
          <cell r="E3265" t="str">
            <v>SEDANG</v>
          </cell>
          <cell r="F3265" t="str">
            <v>Tidak</v>
          </cell>
          <cell r="G3265" t="str">
            <v>Tidak</v>
          </cell>
          <cell r="H3265" t="str">
            <v>Tidak</v>
          </cell>
          <cell r="I3265" t="str">
            <v>Perpajakan</v>
          </cell>
          <cell r="J3265">
            <v>48</v>
          </cell>
          <cell r="K3265">
            <v>41</v>
          </cell>
          <cell r="L3265" t="str">
            <v>Perpajakan</v>
          </cell>
          <cell r="M3265" t="str">
            <v xml:space="preserve">KC Salatiga                             </v>
          </cell>
          <cell r="N3265" t="str">
            <v xml:space="preserve">KC Salatiga                             </v>
          </cell>
          <cell r="O3265" t="str">
            <v xml:space="preserve">Semarang                                </v>
          </cell>
          <cell r="P3265" t="str">
            <v>Tidak</v>
          </cell>
          <cell r="Q3265" t="str">
            <v>Tidak</v>
          </cell>
          <cell r="R3265" t="str">
            <v>Done</v>
          </cell>
          <cell r="S3265" t="str">
            <v>Pending Checker</v>
          </cell>
          <cell r="T3265" t="str">
            <v>90171841 - Rifqi Aziz</v>
          </cell>
          <cell r="U3265" t="str">
            <v>"-"</v>
          </cell>
        </row>
        <row r="3266">
          <cell r="A3266">
            <v>46265</v>
          </cell>
          <cell r="B3266" t="str">
            <v xml:space="preserve">CV MANDIRI TANGGUH KUDUS                </v>
          </cell>
          <cell r="C3266" t="str">
            <v>CS89663</v>
          </cell>
          <cell r="D3266">
            <v>8101010703561</v>
          </cell>
          <cell r="E3266" t="str">
            <v>SEDANG</v>
          </cell>
          <cell r="F3266" t="str">
            <v>Tidak</v>
          </cell>
          <cell r="G3266" t="str">
            <v>Tidak</v>
          </cell>
          <cell r="H3266" t="str">
            <v>Tidak</v>
          </cell>
          <cell r="I3266" t="str">
            <v>Perpajakan</v>
          </cell>
          <cell r="J3266">
            <v>48</v>
          </cell>
          <cell r="K3266">
            <v>41</v>
          </cell>
          <cell r="L3266" t="str">
            <v>Perpajakan</v>
          </cell>
          <cell r="M3266" t="str">
            <v xml:space="preserve">KC Salatiga                             </v>
          </cell>
          <cell r="N3266" t="str">
            <v xml:space="preserve">KC Salatiga                             </v>
          </cell>
          <cell r="O3266" t="str">
            <v xml:space="preserve">Semarang                                </v>
          </cell>
          <cell r="P3266" t="str">
            <v>Tidak</v>
          </cell>
          <cell r="Q3266" t="str">
            <v>Tidak</v>
          </cell>
          <cell r="R3266" t="str">
            <v>Done</v>
          </cell>
          <cell r="S3266" t="str">
            <v>Pending Checker</v>
          </cell>
          <cell r="T3266" t="str">
            <v>90185537 - Moh.Khoerul Fajar Ar</v>
          </cell>
          <cell r="U3266" t="str">
            <v>"-"</v>
          </cell>
        </row>
        <row r="3267">
          <cell r="A3267">
            <v>46265</v>
          </cell>
          <cell r="B3267" t="str">
            <v xml:space="preserve">CV WIRAKARYA GRAHA KUDUS                </v>
          </cell>
          <cell r="C3267" t="str">
            <v>CS89666</v>
          </cell>
          <cell r="D3267">
            <v>8101010701569</v>
          </cell>
          <cell r="E3267" t="str">
            <v>SEDANG</v>
          </cell>
          <cell r="F3267" t="str">
            <v>Tidak</v>
          </cell>
          <cell r="G3267" t="str">
            <v>Tidak</v>
          </cell>
          <cell r="H3267" t="str">
            <v>Tidak</v>
          </cell>
          <cell r="I3267" t="str">
            <v>Perpajakan</v>
          </cell>
          <cell r="J3267">
            <v>48</v>
          </cell>
          <cell r="K3267">
            <v>41</v>
          </cell>
          <cell r="L3267" t="str">
            <v>Perpajakan</v>
          </cell>
          <cell r="M3267" t="str">
            <v xml:space="preserve">KC Salatiga                             </v>
          </cell>
          <cell r="N3267" t="str">
            <v xml:space="preserve">KC Salatiga                             </v>
          </cell>
          <cell r="O3267" t="str">
            <v xml:space="preserve">Semarang                                </v>
          </cell>
          <cell r="P3267" t="str">
            <v>Tidak</v>
          </cell>
          <cell r="Q3267" t="str">
            <v>Tidak</v>
          </cell>
          <cell r="R3267" t="str">
            <v>Done</v>
          </cell>
          <cell r="S3267" t="str">
            <v>Pending Checker</v>
          </cell>
          <cell r="T3267" t="str">
            <v>90185538 - Muhammad Fahikal Auz</v>
          </cell>
          <cell r="U3267" t="str">
            <v>"-"</v>
          </cell>
        </row>
        <row r="3268">
          <cell r="A3268">
            <v>46265</v>
          </cell>
          <cell r="B3268" t="str">
            <v xml:space="preserve">CV WARNA GARUDA SURABAYA                </v>
          </cell>
          <cell r="C3268" t="str">
            <v>CS89672</v>
          </cell>
          <cell r="D3268">
            <v>8101010501561</v>
          </cell>
          <cell r="E3268" t="str">
            <v>SEDANG</v>
          </cell>
          <cell r="F3268" t="str">
            <v>Tidak</v>
          </cell>
          <cell r="G3268" t="str">
            <v>Tidak</v>
          </cell>
          <cell r="H3268" t="str">
            <v>Tidak</v>
          </cell>
          <cell r="I3268" t="str">
            <v>Perpajakan</v>
          </cell>
          <cell r="J3268">
            <v>48</v>
          </cell>
          <cell r="K3268">
            <v>41</v>
          </cell>
          <cell r="L3268" t="str">
            <v>Perpajakan</v>
          </cell>
          <cell r="M3268" t="str">
            <v xml:space="preserve">KC Salatiga                             </v>
          </cell>
          <cell r="N3268" t="str">
            <v xml:space="preserve">KC Salatiga                             </v>
          </cell>
          <cell r="O3268" t="str">
            <v xml:space="preserve">Semarang                                </v>
          </cell>
          <cell r="P3268" t="str">
            <v>Tidak</v>
          </cell>
          <cell r="Q3268" t="str">
            <v>Tidak</v>
          </cell>
          <cell r="R3268" t="str">
            <v>Done</v>
          </cell>
          <cell r="S3268" t="str">
            <v>Pending Checker</v>
          </cell>
          <cell r="T3268" t="str">
            <v>90171841 - Rifqi Aziz</v>
          </cell>
          <cell r="U3268" t="str">
            <v>"-"</v>
          </cell>
        </row>
        <row r="3269">
          <cell r="A3269">
            <v>46265</v>
          </cell>
          <cell r="B3269" t="str">
            <v xml:space="preserve">CV MEGA TIARA SURABAYA                  </v>
          </cell>
          <cell r="C3269" t="str">
            <v>CS89675</v>
          </cell>
          <cell r="D3269">
            <v>8101010503563</v>
          </cell>
          <cell r="E3269" t="str">
            <v>SEDANG</v>
          </cell>
          <cell r="F3269" t="str">
            <v>Tidak</v>
          </cell>
          <cell r="G3269" t="str">
            <v>Tidak</v>
          </cell>
          <cell r="H3269" t="str">
            <v>Tidak</v>
          </cell>
          <cell r="I3269" t="str">
            <v>Perpajakan</v>
          </cell>
          <cell r="J3269">
            <v>48</v>
          </cell>
          <cell r="K3269">
            <v>41</v>
          </cell>
          <cell r="L3269" t="str">
            <v>Perpajakan</v>
          </cell>
          <cell r="M3269" t="str">
            <v xml:space="preserve">KC Salatiga                             </v>
          </cell>
          <cell r="N3269" t="str">
            <v xml:space="preserve">KC Salatiga                             </v>
          </cell>
          <cell r="O3269" t="str">
            <v xml:space="preserve">Semarang                                </v>
          </cell>
          <cell r="P3269" t="str">
            <v>Tidak</v>
          </cell>
          <cell r="Q3269" t="str">
            <v>Tidak</v>
          </cell>
          <cell r="R3269" t="str">
            <v>Done</v>
          </cell>
          <cell r="S3269" t="str">
            <v>Pending Checker</v>
          </cell>
          <cell r="T3269" t="str">
            <v>90170665 - Mutiara Ayuningtyas</v>
          </cell>
          <cell r="U3269" t="str">
            <v>"-"</v>
          </cell>
        </row>
        <row r="3270">
          <cell r="A3270">
            <v>46265</v>
          </cell>
          <cell r="B3270" t="str">
            <v xml:space="preserve">CV ABADI SUKSES SURABAYA                </v>
          </cell>
          <cell r="C3270" t="str">
            <v>CS89676</v>
          </cell>
          <cell r="D3270">
            <v>8101010504569</v>
          </cell>
          <cell r="E3270" t="str">
            <v>SEDANG</v>
          </cell>
          <cell r="F3270" t="str">
            <v>Tidak</v>
          </cell>
          <cell r="G3270" t="str">
            <v>Tidak</v>
          </cell>
          <cell r="H3270" t="str">
            <v>Tidak</v>
          </cell>
          <cell r="I3270" t="str">
            <v>Perpajakan</v>
          </cell>
          <cell r="J3270">
            <v>48</v>
          </cell>
          <cell r="K3270">
            <v>41</v>
          </cell>
          <cell r="L3270" t="str">
            <v>Perpajakan</v>
          </cell>
          <cell r="M3270" t="str">
            <v xml:space="preserve">KC Salatiga                             </v>
          </cell>
          <cell r="N3270" t="str">
            <v xml:space="preserve">KC Salatiga                             </v>
          </cell>
          <cell r="O3270" t="str">
            <v xml:space="preserve">Semarang                                </v>
          </cell>
          <cell r="P3270" t="str">
            <v>Tidak</v>
          </cell>
          <cell r="Q3270" t="str">
            <v>Tidak</v>
          </cell>
          <cell r="R3270" t="str">
            <v>Done</v>
          </cell>
          <cell r="S3270" t="str">
            <v>Pending Checker</v>
          </cell>
          <cell r="T3270" t="str">
            <v>90150130 - Intan Aida Pratiwi</v>
          </cell>
          <cell r="U3270" t="str">
            <v>"-"</v>
          </cell>
        </row>
        <row r="3271">
          <cell r="A3271">
            <v>46265</v>
          </cell>
          <cell r="B3271" t="str">
            <v xml:space="preserve">CV BENUA PELITA SURABAYA                </v>
          </cell>
          <cell r="C3271" t="str">
            <v>CS89677</v>
          </cell>
          <cell r="D3271">
            <v>8101010505565</v>
          </cell>
          <cell r="E3271" t="str">
            <v>SEDANG</v>
          </cell>
          <cell r="F3271" t="str">
            <v>Tidak</v>
          </cell>
          <cell r="G3271" t="str">
            <v>Tidak</v>
          </cell>
          <cell r="H3271" t="str">
            <v>Tidak</v>
          </cell>
          <cell r="I3271" t="str">
            <v>Perpajakan</v>
          </cell>
          <cell r="J3271">
            <v>53</v>
          </cell>
          <cell r="K3271">
            <v>41</v>
          </cell>
          <cell r="L3271" t="str">
            <v>Perpajakan</v>
          </cell>
          <cell r="M3271" t="str">
            <v xml:space="preserve">KC Salatiga                             </v>
          </cell>
          <cell r="N3271" t="str">
            <v xml:space="preserve">KC Salatiga                             </v>
          </cell>
          <cell r="O3271" t="str">
            <v xml:space="preserve">Semarang                                </v>
          </cell>
          <cell r="P3271" t="str">
            <v>Tidak</v>
          </cell>
          <cell r="Q3271" t="str">
            <v>Tidak</v>
          </cell>
          <cell r="R3271" t="str">
            <v>Done</v>
          </cell>
          <cell r="S3271" t="str">
            <v>Pending Checker</v>
          </cell>
          <cell r="T3271" t="str">
            <v>00394521 - Muhammad Hibbanduta</v>
          </cell>
          <cell r="U3271" t="str">
            <v>"-"</v>
          </cell>
        </row>
        <row r="3272">
          <cell r="A3272">
            <v>46265</v>
          </cell>
          <cell r="B3272" t="str">
            <v xml:space="preserve">CV WIJAYA GEMA SIDOARJO                 </v>
          </cell>
          <cell r="C3272" t="str">
            <v>CS90032</v>
          </cell>
          <cell r="D3272">
            <v>8101010601565</v>
          </cell>
          <cell r="E3272" t="str">
            <v>SEDANG</v>
          </cell>
          <cell r="F3272" t="str">
            <v>Tidak</v>
          </cell>
          <cell r="G3272" t="str">
            <v>Tidak</v>
          </cell>
          <cell r="H3272" t="str">
            <v>Tidak</v>
          </cell>
          <cell r="I3272" t="str">
            <v>Perpajakan</v>
          </cell>
          <cell r="J3272">
            <v>48</v>
          </cell>
          <cell r="K3272">
            <v>41</v>
          </cell>
          <cell r="L3272" t="str">
            <v>Perpajakan</v>
          </cell>
          <cell r="M3272" t="str">
            <v xml:space="preserve">KC Salatiga                             </v>
          </cell>
          <cell r="N3272" t="str">
            <v xml:space="preserve">KC Salatiga                             </v>
          </cell>
          <cell r="O3272" t="str">
            <v xml:space="preserve">Semarang                                </v>
          </cell>
          <cell r="P3272" t="str">
            <v>Tidak</v>
          </cell>
          <cell r="Q3272" t="str">
            <v>Tidak</v>
          </cell>
          <cell r="R3272" t="str">
            <v>Done</v>
          </cell>
          <cell r="S3272" t="str">
            <v>Pending Checker</v>
          </cell>
          <cell r="T3272" t="str">
            <v>00394520 - Frida Akbar Rani</v>
          </cell>
          <cell r="U3272" t="str">
            <v>"-"</v>
          </cell>
        </row>
        <row r="3273">
          <cell r="A3273">
            <v>46265</v>
          </cell>
          <cell r="B3273" t="str">
            <v xml:space="preserve">CV ARTAJAYA SUMBER PURWOKERTO           </v>
          </cell>
          <cell r="C3273" t="str">
            <v>CS90033</v>
          </cell>
          <cell r="D3273">
            <v>8101010304561</v>
          </cell>
          <cell r="E3273" t="str">
            <v>SEDANG</v>
          </cell>
          <cell r="F3273" t="str">
            <v>Tidak</v>
          </cell>
          <cell r="G3273" t="str">
            <v>Tidak</v>
          </cell>
          <cell r="H3273" t="str">
            <v>Tidak</v>
          </cell>
          <cell r="I3273" t="str">
            <v>Perpajakan</v>
          </cell>
          <cell r="J3273">
            <v>48</v>
          </cell>
          <cell r="K3273">
            <v>41</v>
          </cell>
          <cell r="L3273" t="str">
            <v>Perpajakan</v>
          </cell>
          <cell r="M3273" t="str">
            <v xml:space="preserve">KC Salatiga                             </v>
          </cell>
          <cell r="N3273" t="str">
            <v xml:space="preserve">KC Salatiga                             </v>
          </cell>
          <cell r="O3273" t="str">
            <v xml:space="preserve">Semarang                                </v>
          </cell>
          <cell r="P3273" t="str">
            <v>Tidak</v>
          </cell>
          <cell r="Q3273" t="str">
            <v>Tidak</v>
          </cell>
          <cell r="R3273" t="str">
            <v>Done</v>
          </cell>
          <cell r="S3273" t="str">
            <v>Pending Checker</v>
          </cell>
          <cell r="T3273" t="str">
            <v>90171841 - Rifqi Aziz</v>
          </cell>
          <cell r="U3273" t="str">
            <v>"-"</v>
          </cell>
        </row>
        <row r="3274">
          <cell r="A3274">
            <v>46265</v>
          </cell>
          <cell r="B3274" t="str">
            <v xml:space="preserve">CV MAKMUR TIRTA PURWOKERTO              </v>
          </cell>
          <cell r="C3274" t="str">
            <v>CS90034</v>
          </cell>
          <cell r="D3274">
            <v>8101010303565</v>
          </cell>
          <cell r="E3274" t="str">
            <v>SEDANG</v>
          </cell>
          <cell r="F3274" t="str">
            <v>Tidak</v>
          </cell>
          <cell r="G3274" t="str">
            <v>Tidak</v>
          </cell>
          <cell r="H3274" t="str">
            <v>Tidak</v>
          </cell>
          <cell r="I3274" t="str">
            <v>Perpajakan</v>
          </cell>
          <cell r="J3274">
            <v>48</v>
          </cell>
          <cell r="K3274">
            <v>41</v>
          </cell>
          <cell r="L3274" t="str">
            <v>Perpajakan</v>
          </cell>
          <cell r="M3274" t="str">
            <v xml:space="preserve">KC Salatiga                             </v>
          </cell>
          <cell r="N3274" t="str">
            <v xml:space="preserve">KC Salatiga                             </v>
          </cell>
          <cell r="O3274" t="str">
            <v xml:space="preserve">Semarang                                </v>
          </cell>
          <cell r="P3274" t="str">
            <v>Tidak</v>
          </cell>
          <cell r="Q3274" t="str">
            <v>Tidak</v>
          </cell>
          <cell r="R3274" t="str">
            <v>Done</v>
          </cell>
          <cell r="S3274" t="str">
            <v>Pending Checker</v>
          </cell>
          <cell r="T3274" t="str">
            <v>90185537 - Moh.Khoerul Fajar Ar</v>
          </cell>
          <cell r="U3274" t="str">
            <v>"-"</v>
          </cell>
        </row>
        <row r="3275">
          <cell r="A3275">
            <v>46265</v>
          </cell>
          <cell r="B3275" t="str">
            <v xml:space="preserve">CV BHINEKA REJEKI PURWOKERTO            </v>
          </cell>
          <cell r="C3275" t="str">
            <v>CS90036</v>
          </cell>
          <cell r="D3275">
            <v>8101010302569</v>
          </cell>
          <cell r="E3275" t="str">
            <v>SEDANG</v>
          </cell>
          <cell r="F3275" t="str">
            <v>Tidak</v>
          </cell>
          <cell r="G3275" t="str">
            <v>Tidak</v>
          </cell>
          <cell r="H3275" t="str">
            <v>Tidak</v>
          </cell>
          <cell r="I3275" t="str">
            <v>Perpajakan</v>
          </cell>
          <cell r="J3275">
            <v>48</v>
          </cell>
          <cell r="K3275">
            <v>41</v>
          </cell>
          <cell r="L3275" t="str">
            <v>Perpajakan</v>
          </cell>
          <cell r="M3275" t="str">
            <v xml:space="preserve">KC Salatiga                             </v>
          </cell>
          <cell r="N3275" t="str">
            <v xml:space="preserve">KC Salatiga                             </v>
          </cell>
          <cell r="O3275" t="str">
            <v xml:space="preserve">Semarang                                </v>
          </cell>
          <cell r="P3275" t="str">
            <v>Tidak</v>
          </cell>
          <cell r="Q3275" t="str">
            <v>Tidak</v>
          </cell>
          <cell r="R3275" t="str">
            <v>Done</v>
          </cell>
          <cell r="S3275" t="str">
            <v>Pending Checker</v>
          </cell>
          <cell r="T3275" t="str">
            <v>90186790 - Muhammad Alfin Farha</v>
          </cell>
          <cell r="U3275" t="str">
            <v>"-"</v>
          </cell>
        </row>
        <row r="3276">
          <cell r="A3276">
            <v>46265</v>
          </cell>
          <cell r="B3276" t="str">
            <v xml:space="preserve">CV MULTIKARYA TEGUH SIDOARJO            </v>
          </cell>
          <cell r="C3276" t="str">
            <v>CS90038</v>
          </cell>
          <cell r="D3276">
            <v>8101010603567</v>
          </cell>
          <cell r="E3276" t="str">
            <v>SEDANG</v>
          </cell>
          <cell r="F3276" t="str">
            <v>Tidak</v>
          </cell>
          <cell r="G3276" t="str">
            <v>Tidak</v>
          </cell>
          <cell r="H3276" t="str">
            <v>Tidak</v>
          </cell>
          <cell r="I3276" t="str">
            <v>Perpajakan</v>
          </cell>
          <cell r="J3276">
            <v>48</v>
          </cell>
          <cell r="K3276">
            <v>41</v>
          </cell>
          <cell r="L3276" t="str">
            <v>Perpajakan</v>
          </cell>
          <cell r="M3276" t="str">
            <v xml:space="preserve">KC Salatiga                             </v>
          </cell>
          <cell r="N3276" t="str">
            <v xml:space="preserve">KC Salatiga                             </v>
          </cell>
          <cell r="O3276" t="str">
            <v xml:space="preserve">Semarang                                </v>
          </cell>
          <cell r="P3276" t="str">
            <v>Tidak</v>
          </cell>
          <cell r="Q3276" t="str">
            <v>Tidak</v>
          </cell>
          <cell r="R3276" t="str">
            <v>Done</v>
          </cell>
          <cell r="S3276" t="str">
            <v>Pending Checker</v>
          </cell>
          <cell r="T3276" t="str">
            <v>00336949 - Mochammad Al Farabi</v>
          </cell>
          <cell r="U3276" t="str">
            <v>"-"</v>
          </cell>
        </row>
        <row r="3277">
          <cell r="A3277">
            <v>46265</v>
          </cell>
          <cell r="B3277" t="str">
            <v xml:space="preserve">CV WIGUNA GELORA PURWOKERTO             </v>
          </cell>
          <cell r="C3277" t="str">
            <v>CS90039</v>
          </cell>
          <cell r="D3277">
            <v>8101010301563</v>
          </cell>
          <cell r="E3277" t="str">
            <v>SEDANG</v>
          </cell>
          <cell r="F3277" t="str">
            <v>Tidak</v>
          </cell>
          <cell r="G3277" t="str">
            <v>Tidak</v>
          </cell>
          <cell r="H3277" t="str">
            <v>Tidak</v>
          </cell>
          <cell r="I3277" t="str">
            <v>Perpajakan</v>
          </cell>
          <cell r="J3277">
            <v>48</v>
          </cell>
          <cell r="K3277">
            <v>41</v>
          </cell>
          <cell r="L3277" t="str">
            <v>Perpajakan</v>
          </cell>
          <cell r="M3277" t="str">
            <v xml:space="preserve">KC Salatiga                             </v>
          </cell>
          <cell r="N3277" t="str">
            <v xml:space="preserve">KC Salatiga                             </v>
          </cell>
          <cell r="O3277" t="str">
            <v xml:space="preserve">Semarang                                </v>
          </cell>
          <cell r="P3277" t="str">
            <v>Tidak</v>
          </cell>
          <cell r="Q3277" t="str">
            <v>Tidak</v>
          </cell>
          <cell r="R3277" t="str">
            <v>Done</v>
          </cell>
          <cell r="S3277" t="str">
            <v>Pending Checker</v>
          </cell>
          <cell r="T3277" t="str">
            <v>90186796 - Devito Arya Wiradila</v>
          </cell>
          <cell r="U3277" t="str">
            <v>"-"</v>
          </cell>
        </row>
        <row r="3278">
          <cell r="A3278">
            <v>46265</v>
          </cell>
          <cell r="B3278" t="str">
            <v xml:space="preserve">CV ABDI SEJAHTERA SIDOARJO              </v>
          </cell>
          <cell r="C3278" t="str">
            <v>CS90040</v>
          </cell>
          <cell r="D3278">
            <v>8101010604563</v>
          </cell>
          <cell r="E3278" t="str">
            <v>SEDANG</v>
          </cell>
          <cell r="F3278" t="str">
            <v>Tidak</v>
          </cell>
          <cell r="G3278" t="str">
            <v>Tidak</v>
          </cell>
          <cell r="H3278" t="str">
            <v>Tidak</v>
          </cell>
          <cell r="I3278" t="str">
            <v>Perpajakan</v>
          </cell>
          <cell r="J3278">
            <v>48</v>
          </cell>
          <cell r="K3278">
            <v>41</v>
          </cell>
          <cell r="L3278" t="str">
            <v>Perpajakan</v>
          </cell>
          <cell r="M3278" t="str">
            <v xml:space="preserve">KC Salatiga                             </v>
          </cell>
          <cell r="N3278" t="str">
            <v xml:space="preserve">KC Salatiga                             </v>
          </cell>
          <cell r="O3278" t="str">
            <v xml:space="preserve">Semarang                                </v>
          </cell>
          <cell r="P3278" t="str">
            <v>Tidak</v>
          </cell>
          <cell r="Q3278" t="str">
            <v>Tidak</v>
          </cell>
          <cell r="R3278" t="str">
            <v>Done</v>
          </cell>
          <cell r="S3278" t="str">
            <v>Pending Checker</v>
          </cell>
          <cell r="T3278" t="str">
            <v>90186796 - Devito Arya Wiradila</v>
          </cell>
          <cell r="U3278" t="str">
            <v>"-"</v>
          </cell>
        </row>
        <row r="3279">
          <cell r="A3279">
            <v>46265</v>
          </cell>
          <cell r="B3279" t="str">
            <v xml:space="preserve">CV BENUA PELITA SIDOARJO                </v>
          </cell>
          <cell r="C3279" t="str">
            <v>CS90041</v>
          </cell>
          <cell r="D3279">
            <v>8101010605569</v>
          </cell>
          <cell r="E3279" t="str">
            <v>SEDANG</v>
          </cell>
          <cell r="F3279" t="str">
            <v>Tidak</v>
          </cell>
          <cell r="G3279" t="str">
            <v>Tidak</v>
          </cell>
          <cell r="H3279" t="str">
            <v>Tidak</v>
          </cell>
          <cell r="I3279" t="str">
            <v>Perpajakan</v>
          </cell>
          <cell r="J3279">
            <v>53</v>
          </cell>
          <cell r="K3279">
            <v>41</v>
          </cell>
          <cell r="L3279" t="str">
            <v>Perpajakan</v>
          </cell>
          <cell r="M3279" t="str">
            <v xml:space="preserve">KC Salatiga                             </v>
          </cell>
          <cell r="N3279" t="str">
            <v xml:space="preserve">KC Salatiga                             </v>
          </cell>
          <cell r="O3279" t="str">
            <v xml:space="preserve">Semarang                                </v>
          </cell>
          <cell r="P3279" t="str">
            <v>Tidak</v>
          </cell>
          <cell r="Q3279" t="str">
            <v>Tidak</v>
          </cell>
          <cell r="R3279" t="str">
            <v>Done</v>
          </cell>
          <cell r="S3279" t="str">
            <v>Pending Checker</v>
          </cell>
          <cell r="T3279" t="str">
            <v>90186790 - Muhammad Alfin Farha</v>
          </cell>
          <cell r="U3279" t="str">
            <v>"-"</v>
          </cell>
        </row>
        <row r="3280">
          <cell r="A3280">
            <v>46265</v>
          </cell>
          <cell r="B3280" t="str">
            <v xml:space="preserve">CV  ANUGERAH SENTOSA SEMARANG           </v>
          </cell>
          <cell r="C3280" t="str">
            <v>CS90355</v>
          </cell>
          <cell r="D3280">
            <v>8101010204567</v>
          </cell>
          <cell r="E3280" t="str">
            <v>SEDANG</v>
          </cell>
          <cell r="F3280" t="str">
            <v>Tidak</v>
          </cell>
          <cell r="G3280" t="str">
            <v>Tidak</v>
          </cell>
          <cell r="H3280" t="str">
            <v>Tidak</v>
          </cell>
          <cell r="I3280" t="str">
            <v>Perpajakan</v>
          </cell>
          <cell r="J3280">
            <v>48</v>
          </cell>
          <cell r="K3280">
            <v>41</v>
          </cell>
          <cell r="L3280" t="str">
            <v>Perpajakan</v>
          </cell>
          <cell r="M3280" t="str">
            <v xml:space="preserve">KC Salatiga                             </v>
          </cell>
          <cell r="N3280" t="str">
            <v xml:space="preserve">KC Salatiga                             </v>
          </cell>
          <cell r="O3280" t="str">
            <v xml:space="preserve">Semarang                                </v>
          </cell>
          <cell r="P3280" t="str">
            <v>Tidak</v>
          </cell>
          <cell r="Q3280" t="str">
            <v>Tidak</v>
          </cell>
          <cell r="R3280" t="str">
            <v>Done</v>
          </cell>
          <cell r="S3280" t="str">
            <v>Pending Checker</v>
          </cell>
          <cell r="T3280" t="str">
            <v>00336949 - Mochammad Al Farabi</v>
          </cell>
          <cell r="U3280" t="str">
            <v>"-"</v>
          </cell>
        </row>
        <row r="3281">
          <cell r="A3281">
            <v>46265</v>
          </cell>
          <cell r="B3281" t="str">
            <v xml:space="preserve">CV  ANGKASA PELANGI MALANG              </v>
          </cell>
          <cell r="C3281" t="str">
            <v>CS90356</v>
          </cell>
          <cell r="D3281">
            <v>8101010807569</v>
          </cell>
          <cell r="E3281" t="str">
            <v>SEDANG</v>
          </cell>
          <cell r="F3281" t="str">
            <v>Tidak</v>
          </cell>
          <cell r="G3281" t="str">
            <v>Tidak</v>
          </cell>
          <cell r="H3281" t="str">
            <v>Tidak</v>
          </cell>
          <cell r="I3281" t="str">
            <v>Perpajakan</v>
          </cell>
          <cell r="J3281">
            <v>49</v>
          </cell>
          <cell r="K3281">
            <v>41</v>
          </cell>
          <cell r="L3281" t="str">
            <v>Perpajakan</v>
          </cell>
          <cell r="M3281" t="str">
            <v xml:space="preserve">KC Salatiga                             </v>
          </cell>
          <cell r="N3281" t="str">
            <v xml:space="preserve">KC Salatiga                             </v>
          </cell>
          <cell r="O3281" t="str">
            <v xml:space="preserve">Semarang                                </v>
          </cell>
          <cell r="P3281" t="str">
            <v>Tidak</v>
          </cell>
          <cell r="Q3281" t="str">
            <v>Tidak</v>
          </cell>
          <cell r="R3281" t="str">
            <v>Done</v>
          </cell>
          <cell r="S3281" t="str">
            <v>Pending Checker</v>
          </cell>
          <cell r="T3281" t="str">
            <v>00394520 - Frida Akbar Rani</v>
          </cell>
          <cell r="U3281" t="str">
            <v>"-"</v>
          </cell>
        </row>
        <row r="3282">
          <cell r="A3282">
            <v>46265</v>
          </cell>
          <cell r="B3282" t="str">
            <v xml:space="preserve">CV AGUNG SINERGI SALATIGA               </v>
          </cell>
          <cell r="C3282" t="str">
            <v>CW94292</v>
          </cell>
          <cell r="D3282">
            <v>8101010110564</v>
          </cell>
          <cell r="F3282" t="str">
            <v>Tidak</v>
          </cell>
          <cell r="G3282" t="str">
            <v>Tidak</v>
          </cell>
          <cell r="H3282" t="str">
            <v>Tidak</v>
          </cell>
          <cell r="I3282" t="str">
            <v>Perpajakan</v>
          </cell>
          <cell r="J3282">
            <v>36</v>
          </cell>
          <cell r="K3282">
            <v>41</v>
          </cell>
          <cell r="L3282" t="str">
            <v>Perpajakan</v>
          </cell>
          <cell r="M3282" t="str">
            <v xml:space="preserve">KC Salatiga                             </v>
          </cell>
          <cell r="N3282" t="str">
            <v xml:space="preserve">KC Salatiga                             </v>
          </cell>
          <cell r="O3282" t="str">
            <v xml:space="preserve">Semarang                                </v>
          </cell>
          <cell r="P3282" t="str">
            <v>Tidak</v>
          </cell>
          <cell r="Q3282" t="str">
            <v>Tidak</v>
          </cell>
          <cell r="R3282" t="str">
            <v>Done</v>
          </cell>
          <cell r="S3282" t="str">
            <v>Pending Checker</v>
          </cell>
          <cell r="T3282" t="str">
            <v>90185537 - Moh.Khoerul Fajar Ar</v>
          </cell>
          <cell r="U3282" t="str">
            <v>"-"</v>
          </cell>
        </row>
        <row r="3283">
          <cell r="A3283">
            <v>46265</v>
          </cell>
          <cell r="B3283" t="str">
            <v xml:space="preserve">CV GEMILANG MURNI SALATIGA              </v>
          </cell>
          <cell r="C3283" t="str">
            <v>CW94293</v>
          </cell>
          <cell r="D3283">
            <v>8101010111560</v>
          </cell>
          <cell r="F3283" t="str">
            <v>Tidak</v>
          </cell>
          <cell r="G3283" t="str">
            <v>Tidak</v>
          </cell>
          <cell r="H3283" t="str">
            <v>Tidak</v>
          </cell>
          <cell r="I3283" t="str">
            <v>Perpajakan</v>
          </cell>
          <cell r="J3283">
            <v>34</v>
          </cell>
          <cell r="K3283">
            <v>41</v>
          </cell>
          <cell r="L3283" t="str">
            <v>Perpajakan</v>
          </cell>
          <cell r="M3283" t="str">
            <v xml:space="preserve">KC Salatiga                             </v>
          </cell>
          <cell r="N3283" t="str">
            <v xml:space="preserve">KC Salatiga                             </v>
          </cell>
          <cell r="O3283" t="str">
            <v xml:space="preserve">Semarang                                </v>
          </cell>
          <cell r="P3283" t="str">
            <v>Tidak</v>
          </cell>
          <cell r="Q3283" t="str">
            <v>Tidak</v>
          </cell>
          <cell r="R3283" t="str">
            <v>Done</v>
          </cell>
          <cell r="S3283" t="str">
            <v>Pending Checker</v>
          </cell>
          <cell r="T3283" t="str">
            <v>90185538 - Muhammad Fahikal Auz</v>
          </cell>
          <cell r="U3283" t="str">
            <v>"-"</v>
          </cell>
        </row>
        <row r="3284">
          <cell r="A3284">
            <v>46265</v>
          </cell>
          <cell r="B3284" t="str">
            <v xml:space="preserve">CV GENERASI PUSAKA SALATIGA             </v>
          </cell>
          <cell r="C3284" t="str">
            <v>CW94323</v>
          </cell>
          <cell r="D3284">
            <v>8101010112566</v>
          </cell>
          <cell r="F3284" t="str">
            <v>Tidak</v>
          </cell>
          <cell r="G3284" t="str">
            <v>Tidak</v>
          </cell>
          <cell r="H3284" t="str">
            <v>Tidak</v>
          </cell>
          <cell r="I3284" t="str">
            <v>Perpajakan</v>
          </cell>
          <cell r="J3284">
            <v>34</v>
          </cell>
          <cell r="K3284">
            <v>41</v>
          </cell>
          <cell r="L3284" t="str">
            <v>Perpajakan</v>
          </cell>
          <cell r="M3284" t="str">
            <v xml:space="preserve">KC Salatiga                             </v>
          </cell>
          <cell r="N3284" t="str">
            <v xml:space="preserve">KC Salatiga                             </v>
          </cell>
          <cell r="O3284" t="str">
            <v xml:space="preserve">Semarang                                </v>
          </cell>
          <cell r="P3284" t="str">
            <v>Tidak</v>
          </cell>
          <cell r="Q3284" t="str">
            <v>Tidak</v>
          </cell>
          <cell r="R3284" t="str">
            <v>Done</v>
          </cell>
          <cell r="S3284" t="str">
            <v>Pending Checker</v>
          </cell>
          <cell r="T3284" t="str">
            <v>90186790 - Muhammad Alfin Farha</v>
          </cell>
          <cell r="U3284" t="str">
            <v>"-"</v>
          </cell>
        </row>
        <row r="3285">
          <cell r="A3285">
            <v>46265</v>
          </cell>
          <cell r="B3285" t="str">
            <v xml:space="preserve">CV MUARA TRADISI SALATIGA               </v>
          </cell>
          <cell r="C3285" t="str">
            <v>CW94324</v>
          </cell>
          <cell r="D3285">
            <v>8101010113562</v>
          </cell>
          <cell r="F3285" t="str">
            <v>Tidak</v>
          </cell>
          <cell r="G3285" t="str">
            <v>Tidak</v>
          </cell>
          <cell r="H3285" t="str">
            <v>Tidak</v>
          </cell>
          <cell r="I3285" t="str">
            <v>Perpajakan</v>
          </cell>
          <cell r="J3285">
            <v>38</v>
          </cell>
          <cell r="K3285">
            <v>41</v>
          </cell>
          <cell r="L3285" t="str">
            <v>Perpajakan</v>
          </cell>
          <cell r="M3285" t="str">
            <v xml:space="preserve">KC Salatiga                             </v>
          </cell>
          <cell r="N3285" t="str">
            <v xml:space="preserve">KC Salatiga                             </v>
          </cell>
          <cell r="O3285" t="str">
            <v xml:space="preserve">Semarang                                </v>
          </cell>
          <cell r="P3285" t="str">
            <v>Tidak</v>
          </cell>
          <cell r="Q3285" t="str">
            <v>Tidak</v>
          </cell>
          <cell r="R3285" t="str">
            <v>Done</v>
          </cell>
          <cell r="S3285" t="str">
            <v>Pending Checker</v>
          </cell>
          <cell r="T3285" t="str">
            <v>90186796 - Devito Arya Wiradila</v>
          </cell>
          <cell r="U3285" t="str">
            <v>"-"</v>
          </cell>
        </row>
        <row r="3286">
          <cell r="A3286">
            <v>46265</v>
          </cell>
          <cell r="B3286" t="str">
            <v xml:space="preserve">CV AGUNG SINERGI SEMARANG               </v>
          </cell>
          <cell r="C3286" t="str">
            <v>CW94326</v>
          </cell>
          <cell r="D3286">
            <v>8101010213566</v>
          </cell>
          <cell r="F3286" t="str">
            <v>Tidak</v>
          </cell>
          <cell r="G3286" t="str">
            <v>Tidak</v>
          </cell>
          <cell r="H3286" t="str">
            <v>Tidak</v>
          </cell>
          <cell r="I3286" t="str">
            <v>Perpajakan</v>
          </cell>
          <cell r="J3286">
            <v>38</v>
          </cell>
          <cell r="K3286">
            <v>41</v>
          </cell>
          <cell r="L3286" t="str">
            <v>Perpajakan</v>
          </cell>
          <cell r="M3286" t="str">
            <v xml:space="preserve">KC Salatiga                             </v>
          </cell>
          <cell r="N3286" t="str">
            <v xml:space="preserve">KC Salatiga                             </v>
          </cell>
          <cell r="O3286" t="str">
            <v xml:space="preserve">Semarang                                </v>
          </cell>
          <cell r="P3286" t="str">
            <v>Tidak</v>
          </cell>
          <cell r="Q3286" t="str">
            <v>Tidak</v>
          </cell>
          <cell r="R3286" t="str">
            <v>Done</v>
          </cell>
          <cell r="S3286" t="str">
            <v>Pending Checker</v>
          </cell>
          <cell r="T3286" t="str">
            <v>90185537 - Moh.Khoerul Fajar Ar</v>
          </cell>
          <cell r="U3286" t="str">
            <v>"-"</v>
          </cell>
        </row>
        <row r="3287">
          <cell r="A3287">
            <v>46265</v>
          </cell>
          <cell r="B3287" t="str">
            <v xml:space="preserve">CV WARISAN GEMILANG SALATIGA            </v>
          </cell>
          <cell r="C3287" t="str">
            <v>CW94353</v>
          </cell>
          <cell r="D3287">
            <v>8101010114568</v>
          </cell>
          <cell r="F3287" t="str">
            <v>Tidak</v>
          </cell>
          <cell r="G3287" t="str">
            <v>Tidak</v>
          </cell>
          <cell r="H3287" t="str">
            <v>Tidak</v>
          </cell>
          <cell r="I3287" t="str">
            <v>Perpajakan</v>
          </cell>
          <cell r="J3287">
            <v>35</v>
          </cell>
          <cell r="K3287">
            <v>41</v>
          </cell>
          <cell r="L3287" t="str">
            <v>Perpajakan</v>
          </cell>
          <cell r="M3287" t="str">
            <v xml:space="preserve">KC Salatiga                             </v>
          </cell>
          <cell r="N3287" t="str">
            <v xml:space="preserve">KC Salatiga                             </v>
          </cell>
          <cell r="O3287" t="str">
            <v xml:space="preserve">Semarang                                </v>
          </cell>
          <cell r="P3287" t="str">
            <v>Tidak</v>
          </cell>
          <cell r="Q3287" t="str">
            <v>Tidak</v>
          </cell>
          <cell r="R3287" t="str">
            <v>Done</v>
          </cell>
          <cell r="S3287" t="str">
            <v>Pending Checker</v>
          </cell>
          <cell r="T3287" t="str">
            <v>00336949 - Mochammad Al Farabi</v>
          </cell>
          <cell r="U3287" t="str">
            <v>"-"</v>
          </cell>
        </row>
        <row r="3288">
          <cell r="A3288">
            <v>46265</v>
          </cell>
          <cell r="B3288" t="str">
            <v xml:space="preserve">CV ANGKASA PRATAMA SEMARANG             </v>
          </cell>
          <cell r="C3288" t="str">
            <v>CW94724</v>
          </cell>
          <cell r="D3288">
            <v>8101010214562</v>
          </cell>
          <cell r="F3288" t="str">
            <v>Tidak</v>
          </cell>
          <cell r="G3288" t="str">
            <v>Tidak</v>
          </cell>
          <cell r="H3288" t="str">
            <v>Tidak</v>
          </cell>
          <cell r="I3288" t="str">
            <v>Perpajakan</v>
          </cell>
          <cell r="J3288">
            <v>34</v>
          </cell>
          <cell r="K3288">
            <v>41</v>
          </cell>
          <cell r="L3288" t="str">
            <v>Perpajakan</v>
          </cell>
          <cell r="M3288" t="str">
            <v xml:space="preserve">KC Salatiga                             </v>
          </cell>
          <cell r="N3288" t="str">
            <v xml:space="preserve">KC Salatiga                             </v>
          </cell>
          <cell r="O3288" t="str">
            <v xml:space="preserve">Semarang                                </v>
          </cell>
          <cell r="P3288" t="str">
            <v>Tidak</v>
          </cell>
          <cell r="Q3288" t="str">
            <v>Tidak</v>
          </cell>
          <cell r="R3288" t="str">
            <v>Done</v>
          </cell>
          <cell r="S3288" t="str">
            <v>Pending Checker</v>
          </cell>
          <cell r="T3288" t="str">
            <v>00394520 - Frida Akbar Rani</v>
          </cell>
          <cell r="U3288" t="str">
            <v>"-"</v>
          </cell>
        </row>
        <row r="3289">
          <cell r="A3289">
            <v>46265</v>
          </cell>
          <cell r="B3289" t="str">
            <v xml:space="preserve">CV BARA PARIPURNA SEMARANG              </v>
          </cell>
          <cell r="C3289" t="str">
            <v>CW94816</v>
          </cell>
          <cell r="D3289">
            <v>8101010215568</v>
          </cell>
          <cell r="F3289" t="str">
            <v>Tidak</v>
          </cell>
          <cell r="G3289" t="str">
            <v>Tidak</v>
          </cell>
          <cell r="H3289" t="str">
            <v>Tidak</v>
          </cell>
          <cell r="I3289" t="str">
            <v>Perpajakan</v>
          </cell>
          <cell r="J3289">
            <v>34</v>
          </cell>
          <cell r="K3289">
            <v>41</v>
          </cell>
          <cell r="L3289" t="str">
            <v>Perpajakan</v>
          </cell>
          <cell r="M3289" t="str">
            <v xml:space="preserve">KC Salatiga                             </v>
          </cell>
          <cell r="N3289" t="str">
            <v xml:space="preserve">KC Salatiga                             </v>
          </cell>
          <cell r="O3289" t="str">
            <v xml:space="preserve">Semarang                                </v>
          </cell>
          <cell r="P3289" t="str">
            <v>Tidak</v>
          </cell>
          <cell r="Q3289" t="str">
            <v>Tidak</v>
          </cell>
          <cell r="R3289" t="str">
            <v>Done</v>
          </cell>
          <cell r="S3289" t="str">
            <v>Pending Checker</v>
          </cell>
          <cell r="T3289" t="str">
            <v>00394521 - Muhammad Hibbanduta</v>
          </cell>
          <cell r="U3289" t="str">
            <v>"-"</v>
          </cell>
        </row>
        <row r="3290">
          <cell r="A3290">
            <v>46265</v>
          </cell>
          <cell r="B3290" t="str">
            <v xml:space="preserve">CV MUARA TRADISI SEMARANG               </v>
          </cell>
          <cell r="C3290" t="str">
            <v>CW95074</v>
          </cell>
          <cell r="D3290">
            <v>8101010216564</v>
          </cell>
          <cell r="F3290" t="str">
            <v>Tidak</v>
          </cell>
          <cell r="G3290" t="str">
            <v>Tidak</v>
          </cell>
          <cell r="H3290" t="str">
            <v>Tidak</v>
          </cell>
          <cell r="I3290" t="str">
            <v>Perpajakan</v>
          </cell>
          <cell r="J3290">
            <v>34</v>
          </cell>
          <cell r="K3290">
            <v>41</v>
          </cell>
          <cell r="L3290" t="str">
            <v>Perpajakan</v>
          </cell>
          <cell r="M3290" t="str">
            <v xml:space="preserve">KC Salatiga                             </v>
          </cell>
          <cell r="N3290" t="str">
            <v xml:space="preserve">KC Salatiga                             </v>
          </cell>
          <cell r="O3290" t="str">
            <v xml:space="preserve">Semarang                                </v>
          </cell>
          <cell r="P3290" t="str">
            <v>Tidak</v>
          </cell>
          <cell r="Q3290" t="str">
            <v>Tidak</v>
          </cell>
          <cell r="R3290" t="str">
            <v>Done</v>
          </cell>
          <cell r="S3290" t="str">
            <v>Pending Checker</v>
          </cell>
          <cell r="T3290" t="str">
            <v>90185538 - Muhammad Fahikal Auz</v>
          </cell>
          <cell r="U3290" t="str">
            <v>"-"</v>
          </cell>
        </row>
        <row r="3291">
          <cell r="A3291">
            <v>46265</v>
          </cell>
          <cell r="B3291" t="str">
            <v xml:space="preserve">CV MULTI PUSAKA SEMARANG                </v>
          </cell>
          <cell r="C3291" t="str">
            <v>CW95103</v>
          </cell>
          <cell r="D3291">
            <v>8101010217560</v>
          </cell>
          <cell r="F3291" t="str">
            <v>Tidak</v>
          </cell>
          <cell r="G3291" t="str">
            <v>Tidak</v>
          </cell>
          <cell r="H3291" t="str">
            <v>Tidak</v>
          </cell>
          <cell r="I3291" t="str">
            <v>Perpajakan</v>
          </cell>
          <cell r="J3291">
            <v>38</v>
          </cell>
          <cell r="K3291">
            <v>41</v>
          </cell>
          <cell r="L3291" t="str">
            <v>Perpajakan</v>
          </cell>
          <cell r="M3291" t="str">
            <v xml:space="preserve">KC Salatiga                             </v>
          </cell>
          <cell r="N3291" t="str">
            <v xml:space="preserve">KC Salatiga                             </v>
          </cell>
          <cell r="O3291" t="str">
            <v xml:space="preserve">Semarang                                </v>
          </cell>
          <cell r="P3291" t="str">
            <v>Tidak</v>
          </cell>
          <cell r="Q3291" t="str">
            <v>Tidak</v>
          </cell>
          <cell r="R3291" t="str">
            <v>Done</v>
          </cell>
          <cell r="S3291" t="str">
            <v>Pending Checker</v>
          </cell>
          <cell r="T3291" t="str">
            <v>90150130 - Intan Aida Pratiwi</v>
          </cell>
          <cell r="U3291" t="str">
            <v>"-"</v>
          </cell>
        </row>
        <row r="3292">
          <cell r="A3292">
            <v>46265</v>
          </cell>
          <cell r="B3292" t="str">
            <v xml:space="preserve">CV WARISAN GEMILANG SEMARANG            </v>
          </cell>
          <cell r="C3292" t="str">
            <v>CW95118</v>
          </cell>
          <cell r="D3292">
            <v>8101010218566</v>
          </cell>
          <cell r="F3292" t="str">
            <v>Tidak</v>
          </cell>
          <cell r="G3292" t="str">
            <v>Tidak</v>
          </cell>
          <cell r="H3292" t="str">
            <v>Tidak</v>
          </cell>
          <cell r="I3292" t="str">
            <v>Perpajakan</v>
          </cell>
          <cell r="J3292">
            <v>35</v>
          </cell>
          <cell r="K3292">
            <v>41</v>
          </cell>
          <cell r="L3292" t="str">
            <v>Perpajakan</v>
          </cell>
          <cell r="M3292" t="str">
            <v xml:space="preserve">KC Salatiga                             </v>
          </cell>
          <cell r="N3292" t="str">
            <v xml:space="preserve">KC Salatiga                             </v>
          </cell>
          <cell r="O3292" t="str">
            <v xml:space="preserve">Semarang                                </v>
          </cell>
          <cell r="P3292" t="str">
            <v>Tidak</v>
          </cell>
          <cell r="Q3292" t="str">
            <v>Tidak</v>
          </cell>
          <cell r="R3292" t="str">
            <v>Done</v>
          </cell>
          <cell r="S3292" t="str">
            <v>Pending Checker</v>
          </cell>
          <cell r="T3292" t="str">
            <v>90171841 - Rifqi Aziz</v>
          </cell>
          <cell r="U3292" t="str">
            <v>"-"</v>
          </cell>
        </row>
        <row r="3293">
          <cell r="A3293">
            <v>46265</v>
          </cell>
          <cell r="B3293" t="str">
            <v xml:space="preserve">CV AGUNG SINERGI MAGELANG               </v>
          </cell>
          <cell r="C3293" t="str">
            <v>CW95133</v>
          </cell>
          <cell r="D3293">
            <v>8101010412568</v>
          </cell>
          <cell r="F3293" t="str">
            <v>Tidak</v>
          </cell>
          <cell r="G3293" t="str">
            <v>Tidak</v>
          </cell>
          <cell r="H3293" t="str">
            <v>Tidak</v>
          </cell>
          <cell r="I3293" t="str">
            <v>Perpajakan</v>
          </cell>
          <cell r="J3293">
            <v>36</v>
          </cell>
          <cell r="K3293">
            <v>41</v>
          </cell>
          <cell r="L3293" t="str">
            <v>Perpajakan</v>
          </cell>
          <cell r="M3293" t="str">
            <v xml:space="preserve">KC Salatiga                             </v>
          </cell>
          <cell r="N3293" t="str">
            <v xml:space="preserve">KC Salatiga                             </v>
          </cell>
          <cell r="O3293" t="str">
            <v xml:space="preserve">Semarang                                </v>
          </cell>
          <cell r="P3293" t="str">
            <v>Tidak</v>
          </cell>
          <cell r="Q3293" t="str">
            <v>Tidak</v>
          </cell>
          <cell r="R3293" t="str">
            <v>Done</v>
          </cell>
          <cell r="S3293" t="str">
            <v>Pending Checker</v>
          </cell>
          <cell r="T3293" t="str">
            <v>00336949 - Mochammad Al Farabi</v>
          </cell>
          <cell r="U3293" t="str">
            <v>"-"</v>
          </cell>
        </row>
        <row r="3294">
          <cell r="A3294">
            <v>46265</v>
          </cell>
          <cell r="B3294" t="str">
            <v xml:space="preserve">CV ANGKASA PELANGI MAGELANG             </v>
          </cell>
          <cell r="C3294" t="str">
            <v>CW98518</v>
          </cell>
          <cell r="D3294">
            <v>8101010408569</v>
          </cell>
          <cell r="F3294" t="str">
            <v>Tidak</v>
          </cell>
          <cell r="G3294" t="str">
            <v>Tidak</v>
          </cell>
          <cell r="H3294" t="str">
            <v>Tidak</v>
          </cell>
          <cell r="I3294" t="str">
            <v>Perpajakan</v>
          </cell>
          <cell r="J3294">
            <v>36</v>
          </cell>
          <cell r="K3294">
            <v>41</v>
          </cell>
          <cell r="L3294" t="str">
            <v>Perpajakan</v>
          </cell>
          <cell r="M3294" t="str">
            <v xml:space="preserve">KC Salatiga                             </v>
          </cell>
          <cell r="N3294" t="str">
            <v xml:space="preserve">KC Salatiga                             </v>
          </cell>
          <cell r="O3294" t="str">
            <v xml:space="preserve">Semarang                                </v>
          </cell>
          <cell r="P3294" t="str">
            <v>Tidak</v>
          </cell>
          <cell r="Q3294" t="str">
            <v>Tidak</v>
          </cell>
          <cell r="R3294" t="str">
            <v>Done</v>
          </cell>
          <cell r="S3294" t="str">
            <v>Pending Checker</v>
          </cell>
          <cell r="T3294" t="str">
            <v>90186796 - Devito Arya Wiradila</v>
          </cell>
          <cell r="U3294" t="str">
            <v>"-"</v>
          </cell>
        </row>
        <row r="3295">
          <cell r="A3295">
            <v>46265</v>
          </cell>
          <cell r="B3295" t="str">
            <v xml:space="preserve">CV MUARA TRADISI MAGELANG               </v>
          </cell>
          <cell r="C3295" t="str">
            <v>CW98519</v>
          </cell>
          <cell r="D3295">
            <v>8101010409565</v>
          </cell>
          <cell r="F3295" t="str">
            <v>Tidak</v>
          </cell>
          <cell r="G3295" t="str">
            <v>Tidak</v>
          </cell>
          <cell r="H3295" t="str">
            <v>Tidak</v>
          </cell>
          <cell r="I3295" t="str">
            <v>Perpajakan</v>
          </cell>
          <cell r="J3295">
            <v>38</v>
          </cell>
          <cell r="K3295">
            <v>41</v>
          </cell>
          <cell r="L3295" t="str">
            <v>Perpajakan</v>
          </cell>
          <cell r="M3295" t="str">
            <v xml:space="preserve">KC Salatiga                             </v>
          </cell>
          <cell r="N3295" t="str">
            <v xml:space="preserve">KC Salatiga                             </v>
          </cell>
          <cell r="O3295" t="str">
            <v xml:space="preserve">Semarang                                </v>
          </cell>
          <cell r="P3295" t="str">
            <v>Tidak</v>
          </cell>
          <cell r="Q3295" t="str">
            <v>Tidak</v>
          </cell>
          <cell r="R3295" t="str">
            <v>Done</v>
          </cell>
          <cell r="S3295" t="str">
            <v>Pending Checker</v>
          </cell>
          <cell r="T3295" t="str">
            <v>90186790 - Muhammad Alfin Farha</v>
          </cell>
          <cell r="U3295" t="str">
            <v>"-"</v>
          </cell>
        </row>
        <row r="3296">
          <cell r="A3296">
            <v>46265</v>
          </cell>
          <cell r="B3296" t="str">
            <v xml:space="preserve">CV MULTI PESONA MAGELANG                </v>
          </cell>
          <cell r="C3296" t="str">
            <v>CW98538</v>
          </cell>
          <cell r="D3296">
            <v>8101010410566</v>
          </cell>
          <cell r="F3296" t="str">
            <v>Tidak</v>
          </cell>
          <cell r="G3296" t="str">
            <v>Tidak</v>
          </cell>
          <cell r="H3296" t="str">
            <v>Tidak</v>
          </cell>
          <cell r="I3296" t="str">
            <v>Perpajakan</v>
          </cell>
          <cell r="J3296">
            <v>36</v>
          </cell>
          <cell r="K3296">
            <v>41</v>
          </cell>
          <cell r="L3296" t="str">
            <v>Perpajakan</v>
          </cell>
          <cell r="M3296" t="str">
            <v xml:space="preserve">KC Salatiga                             </v>
          </cell>
          <cell r="N3296" t="str">
            <v xml:space="preserve">KC Salatiga                             </v>
          </cell>
          <cell r="O3296" t="str">
            <v xml:space="preserve">Semarang                                </v>
          </cell>
          <cell r="P3296" t="str">
            <v>Tidak</v>
          </cell>
          <cell r="Q3296" t="str">
            <v>Tidak</v>
          </cell>
          <cell r="R3296" t="str">
            <v>Done</v>
          </cell>
          <cell r="S3296" t="str">
            <v>Pending Checker</v>
          </cell>
          <cell r="T3296" t="str">
            <v>90186796 - Devito Arya Wiradila</v>
          </cell>
          <cell r="U3296" t="str">
            <v>"-"</v>
          </cell>
        </row>
        <row r="3297">
          <cell r="A3297">
            <v>46265</v>
          </cell>
          <cell r="B3297" t="str">
            <v xml:space="preserve">CV WARISAN GEMILANG MAGELANG            </v>
          </cell>
          <cell r="C3297" t="str">
            <v>CW98557</v>
          </cell>
          <cell r="D3297">
            <v>8101010411562</v>
          </cell>
          <cell r="F3297" t="str">
            <v>Tidak</v>
          </cell>
          <cell r="G3297" t="str">
            <v>Tidak</v>
          </cell>
          <cell r="H3297" t="str">
            <v>Tidak</v>
          </cell>
          <cell r="I3297" t="str">
            <v>Perpajakan</v>
          </cell>
          <cell r="J3297">
            <v>34</v>
          </cell>
          <cell r="K3297">
            <v>41</v>
          </cell>
          <cell r="L3297" t="str">
            <v>Perpajakan</v>
          </cell>
          <cell r="M3297" t="str">
            <v xml:space="preserve">KC Salatiga                             </v>
          </cell>
          <cell r="N3297" t="str">
            <v xml:space="preserve">KC Salatiga                             </v>
          </cell>
          <cell r="O3297" t="str">
            <v xml:space="preserve">Semarang                                </v>
          </cell>
          <cell r="P3297" t="str">
            <v>Tidak</v>
          </cell>
          <cell r="Q3297" t="str">
            <v>Tidak</v>
          </cell>
          <cell r="R3297" t="str">
            <v>Done</v>
          </cell>
          <cell r="S3297" t="str">
            <v>Pending Checker</v>
          </cell>
          <cell r="T3297" t="str">
            <v>90185537 - Moh.Khoerul Fajar Ar</v>
          </cell>
          <cell r="U3297" t="str">
            <v>"-"</v>
          </cell>
        </row>
        <row r="3298">
          <cell r="A3298">
            <v>46265</v>
          </cell>
          <cell r="B3298" t="str">
            <v xml:space="preserve">CV AGUNG SINERGI KUDUS                  </v>
          </cell>
          <cell r="C3298" t="str">
            <v>CW98559</v>
          </cell>
          <cell r="D3298">
            <v>8101010709567</v>
          </cell>
          <cell r="F3298" t="str">
            <v>Tidak</v>
          </cell>
          <cell r="G3298" t="str">
            <v>Tidak</v>
          </cell>
          <cell r="H3298" t="str">
            <v>Tidak</v>
          </cell>
          <cell r="I3298" t="str">
            <v>Perpajakan</v>
          </cell>
          <cell r="J3298">
            <v>36</v>
          </cell>
          <cell r="K3298">
            <v>41</v>
          </cell>
          <cell r="L3298" t="str">
            <v>Perpajakan</v>
          </cell>
          <cell r="M3298" t="str">
            <v xml:space="preserve">KC Salatiga                             </v>
          </cell>
          <cell r="N3298" t="str">
            <v xml:space="preserve">KC Salatiga                             </v>
          </cell>
          <cell r="O3298" t="str">
            <v xml:space="preserve">Semarang                                </v>
          </cell>
          <cell r="P3298" t="str">
            <v>Tidak</v>
          </cell>
          <cell r="Q3298" t="str">
            <v>Tidak</v>
          </cell>
          <cell r="R3298" t="str">
            <v>Done</v>
          </cell>
          <cell r="S3298" t="str">
            <v>Pending Checker</v>
          </cell>
          <cell r="T3298" t="str">
            <v>00336949 - Mochammad Al Farabi</v>
          </cell>
          <cell r="U3298" t="str">
            <v>"-"</v>
          </cell>
        </row>
        <row r="3299">
          <cell r="A3299">
            <v>46265</v>
          </cell>
          <cell r="B3299" t="str">
            <v xml:space="preserve">CV MUARA TRADISI KUDUS                  </v>
          </cell>
          <cell r="C3299" t="str">
            <v>CW98560</v>
          </cell>
          <cell r="D3299">
            <v>8101010710568</v>
          </cell>
          <cell r="F3299" t="str">
            <v>Tidak</v>
          </cell>
          <cell r="G3299" t="str">
            <v>Tidak</v>
          </cell>
          <cell r="H3299" t="str">
            <v>Tidak</v>
          </cell>
          <cell r="I3299" t="str">
            <v>Perpajakan</v>
          </cell>
          <cell r="J3299">
            <v>36</v>
          </cell>
          <cell r="K3299">
            <v>41</v>
          </cell>
          <cell r="L3299" t="str">
            <v>Perpajakan</v>
          </cell>
          <cell r="M3299" t="str">
            <v xml:space="preserve">KC Salatiga                             </v>
          </cell>
          <cell r="N3299" t="str">
            <v xml:space="preserve">KC Salatiga                             </v>
          </cell>
          <cell r="O3299" t="str">
            <v xml:space="preserve">Semarang                                </v>
          </cell>
          <cell r="P3299" t="str">
            <v>Tidak</v>
          </cell>
          <cell r="Q3299" t="str">
            <v>Tidak</v>
          </cell>
          <cell r="R3299" t="str">
            <v>Done</v>
          </cell>
          <cell r="S3299" t="str">
            <v>Pending Checker</v>
          </cell>
          <cell r="T3299" t="str">
            <v>90185538 - Muhammad Fahikal Auz</v>
          </cell>
          <cell r="U3299" t="str">
            <v>"-"</v>
          </cell>
        </row>
        <row r="3300">
          <cell r="A3300">
            <v>46265</v>
          </cell>
          <cell r="B3300" t="str">
            <v xml:space="preserve">CV WARISAN GEMILANG KUDUS               </v>
          </cell>
          <cell r="C3300" t="str">
            <v>CW98595</v>
          </cell>
          <cell r="D3300">
            <v>8101010711564</v>
          </cell>
          <cell r="F3300" t="str">
            <v>Tidak</v>
          </cell>
          <cell r="G3300" t="str">
            <v>Tidak</v>
          </cell>
          <cell r="H3300" t="str">
            <v>Tidak</v>
          </cell>
          <cell r="I3300" t="str">
            <v>Perpajakan</v>
          </cell>
          <cell r="J3300">
            <v>38</v>
          </cell>
          <cell r="K3300">
            <v>41</v>
          </cell>
          <cell r="L3300" t="str">
            <v>Perpajakan</v>
          </cell>
          <cell r="M3300" t="str">
            <v xml:space="preserve">KC Salatiga                             </v>
          </cell>
          <cell r="N3300" t="str">
            <v xml:space="preserve">KC Salatiga                             </v>
          </cell>
          <cell r="O3300" t="str">
            <v xml:space="preserve">Semarang                                </v>
          </cell>
          <cell r="P3300" t="str">
            <v>Tidak</v>
          </cell>
          <cell r="Q3300" t="str">
            <v>Tidak</v>
          </cell>
          <cell r="R3300" t="str">
            <v>Done</v>
          </cell>
          <cell r="S3300" t="str">
            <v>Pending Checker</v>
          </cell>
          <cell r="T3300" t="str">
            <v>90170665 - Mutiara Ayuningtyas</v>
          </cell>
          <cell r="U3300" t="str">
            <v>"-"</v>
          </cell>
        </row>
        <row r="3301">
          <cell r="A3301">
            <v>46265</v>
          </cell>
          <cell r="B3301" t="str">
            <v xml:space="preserve">CV AGUNG SINERGI SURABAYA               </v>
          </cell>
          <cell r="C3301" t="str">
            <v>CW98596</v>
          </cell>
          <cell r="D3301">
            <v>8101011209560</v>
          </cell>
          <cell r="F3301" t="str">
            <v>Tidak</v>
          </cell>
          <cell r="G3301" t="str">
            <v>Tidak</v>
          </cell>
          <cell r="H3301" t="str">
            <v>Tidak</v>
          </cell>
          <cell r="I3301" t="str">
            <v>Perpajakan</v>
          </cell>
          <cell r="J3301">
            <v>38</v>
          </cell>
          <cell r="K3301">
            <v>41</v>
          </cell>
          <cell r="L3301" t="str">
            <v>Perpajakan</v>
          </cell>
          <cell r="M3301" t="str">
            <v xml:space="preserve">KC Salatiga                             </v>
          </cell>
          <cell r="N3301" t="str">
            <v xml:space="preserve">KC Salatiga                             </v>
          </cell>
          <cell r="O3301" t="str">
            <v xml:space="preserve">Semarang                                </v>
          </cell>
          <cell r="P3301" t="str">
            <v>Tidak</v>
          </cell>
          <cell r="Q3301" t="str">
            <v>Tidak</v>
          </cell>
          <cell r="R3301" t="str">
            <v>Done</v>
          </cell>
          <cell r="S3301" t="str">
            <v>Pending Checker</v>
          </cell>
          <cell r="T3301" t="str">
            <v>90171841 - Rifqi Aziz</v>
          </cell>
          <cell r="U3301" t="str">
            <v>"-"</v>
          </cell>
        </row>
        <row r="3302">
          <cell r="A3302">
            <v>46265</v>
          </cell>
          <cell r="B3302" t="str">
            <v xml:space="preserve">CV MUARA TRADISI SURABAYA               </v>
          </cell>
          <cell r="C3302" t="str">
            <v>CW98597</v>
          </cell>
          <cell r="D3302">
            <v>8101011210561</v>
          </cell>
          <cell r="F3302" t="str">
            <v>Tidak</v>
          </cell>
          <cell r="G3302" t="str">
            <v>Tidak</v>
          </cell>
          <cell r="H3302" t="str">
            <v>Tidak</v>
          </cell>
          <cell r="I3302" t="str">
            <v>Perpajakan</v>
          </cell>
          <cell r="J3302">
            <v>38</v>
          </cell>
          <cell r="K3302">
            <v>41</v>
          </cell>
          <cell r="L3302" t="str">
            <v>Perpajakan</v>
          </cell>
          <cell r="M3302" t="str">
            <v xml:space="preserve">KC Salatiga                             </v>
          </cell>
          <cell r="N3302" t="str">
            <v xml:space="preserve">KC Salatiga                             </v>
          </cell>
          <cell r="O3302" t="str">
            <v xml:space="preserve">Semarang                                </v>
          </cell>
          <cell r="P3302" t="str">
            <v>Tidak</v>
          </cell>
          <cell r="Q3302" t="str">
            <v>Tidak</v>
          </cell>
          <cell r="R3302" t="str">
            <v>Done</v>
          </cell>
          <cell r="S3302" t="str">
            <v>Pending Checker</v>
          </cell>
          <cell r="T3302" t="str">
            <v>90185537 - Moh.Khoerul Fajar Ar</v>
          </cell>
          <cell r="U3302" t="str">
            <v>"-"</v>
          </cell>
        </row>
        <row r="3303">
          <cell r="A3303">
            <v>46265</v>
          </cell>
          <cell r="B3303" t="str">
            <v xml:space="preserve">BANGUN RUPA SIDOARJO                    </v>
          </cell>
          <cell r="C3303" t="str">
            <v>BIH4388</v>
          </cell>
          <cell r="D3303">
            <v>8101010611560</v>
          </cell>
          <cell r="F3303" t="str">
            <v>Tidak</v>
          </cell>
          <cell r="G3303" t="str">
            <v>Tidak</v>
          </cell>
          <cell r="H3303" t="str">
            <v>Tidak</v>
          </cell>
          <cell r="I3303" t="str">
            <v>Perpajakan</v>
          </cell>
          <cell r="J3303">
            <v>38</v>
          </cell>
          <cell r="K3303">
            <v>41</v>
          </cell>
          <cell r="L3303" t="str">
            <v>Perpajakan</v>
          </cell>
          <cell r="M3303" t="str">
            <v xml:space="preserve">KC Salatiga                             </v>
          </cell>
          <cell r="N3303" t="str">
            <v xml:space="preserve">KC Salatiga                             </v>
          </cell>
          <cell r="O3303" t="str">
            <v xml:space="preserve">Semarang                                </v>
          </cell>
          <cell r="P3303" t="str">
            <v>Tidak</v>
          </cell>
          <cell r="Q3303" t="str">
            <v>Tidak</v>
          </cell>
          <cell r="R3303" t="str">
            <v>Done</v>
          </cell>
          <cell r="S3303" t="str">
            <v>Pending Checker</v>
          </cell>
          <cell r="T3303" t="str">
            <v>90171841 - Rifqi Aziz</v>
          </cell>
          <cell r="U3303" t="str">
            <v>"-"</v>
          </cell>
        </row>
        <row r="3304">
          <cell r="A3304">
            <v>46265</v>
          </cell>
          <cell r="B3304" t="str">
            <v xml:space="preserve">BANGUN RUPA SEMARANG                    </v>
          </cell>
          <cell r="C3304" t="str">
            <v>BIH4544</v>
          </cell>
          <cell r="D3304">
            <v>8101010212560</v>
          </cell>
          <cell r="F3304" t="str">
            <v>Tidak</v>
          </cell>
          <cell r="G3304" t="str">
            <v>Tidak</v>
          </cell>
          <cell r="H3304" t="str">
            <v>Tidak</v>
          </cell>
          <cell r="I3304" t="str">
            <v>Perpajakan</v>
          </cell>
          <cell r="J3304">
            <v>38</v>
          </cell>
          <cell r="K3304">
            <v>41</v>
          </cell>
          <cell r="L3304" t="str">
            <v>Perpajakan</v>
          </cell>
          <cell r="M3304" t="str">
            <v xml:space="preserve">KC Salatiga                             </v>
          </cell>
          <cell r="N3304" t="str">
            <v xml:space="preserve">KC Salatiga                             </v>
          </cell>
          <cell r="O3304" t="str">
            <v xml:space="preserve">Semarang                                </v>
          </cell>
          <cell r="P3304" t="str">
            <v>Tidak</v>
          </cell>
          <cell r="Q3304" t="str">
            <v>Tidak</v>
          </cell>
          <cell r="R3304" t="str">
            <v>Done</v>
          </cell>
          <cell r="S3304" t="str">
            <v>Pending Checker</v>
          </cell>
          <cell r="T3304" t="str">
            <v>90170665 - Mutiara Ayuningtyas</v>
          </cell>
          <cell r="U3304" t="str">
            <v>"-"</v>
          </cell>
        </row>
        <row r="3305">
          <cell r="A3305">
            <v>46265</v>
          </cell>
          <cell r="B3305" t="str">
            <v xml:space="preserve">BANGUN RUPA MAGELANG                    </v>
          </cell>
          <cell r="C3305" t="str">
            <v>BIH4557</v>
          </cell>
          <cell r="D3305">
            <v>8101010407563</v>
          </cell>
          <cell r="F3305" t="str">
            <v>Tidak</v>
          </cell>
          <cell r="G3305" t="str">
            <v>Tidak</v>
          </cell>
          <cell r="H3305" t="str">
            <v>Tidak</v>
          </cell>
          <cell r="I3305" t="str">
            <v>Perpajakan</v>
          </cell>
          <cell r="J3305">
            <v>38</v>
          </cell>
          <cell r="K3305">
            <v>41</v>
          </cell>
          <cell r="L3305" t="str">
            <v>Perpajakan</v>
          </cell>
          <cell r="M3305" t="str">
            <v xml:space="preserve">KC Salatiga                             </v>
          </cell>
          <cell r="N3305" t="str">
            <v xml:space="preserve">KC Salatiga                             </v>
          </cell>
          <cell r="O3305" t="str">
            <v xml:space="preserve">Semarang                                </v>
          </cell>
          <cell r="P3305" t="str">
            <v>Tidak</v>
          </cell>
          <cell r="Q3305" t="str">
            <v>Tidak</v>
          </cell>
          <cell r="R3305" t="str">
            <v>Done</v>
          </cell>
          <cell r="S3305" t="str">
            <v>Pending Checker</v>
          </cell>
          <cell r="T3305" t="str">
            <v>90150130 - Intan Aida Pratiwi</v>
          </cell>
          <cell r="U3305" t="str">
            <v>"-"</v>
          </cell>
        </row>
        <row r="3306">
          <cell r="A3306">
            <v>46265</v>
          </cell>
          <cell r="B3306" t="str">
            <v xml:space="preserve">BANGUN RUPA SALATIGA                    </v>
          </cell>
          <cell r="C3306" t="str">
            <v>BIH4558</v>
          </cell>
          <cell r="D3306">
            <v>8101010109563</v>
          </cell>
          <cell r="F3306" t="str">
            <v>Tidak</v>
          </cell>
          <cell r="G3306" t="str">
            <v>Tidak</v>
          </cell>
          <cell r="H3306" t="str">
            <v>Tidak</v>
          </cell>
          <cell r="I3306" t="str">
            <v>Perpajakan</v>
          </cell>
          <cell r="J3306">
            <v>38</v>
          </cell>
          <cell r="K3306">
            <v>41</v>
          </cell>
          <cell r="L3306" t="str">
            <v>Perpajakan</v>
          </cell>
          <cell r="M3306" t="str">
            <v xml:space="preserve">KC Salatiga                             </v>
          </cell>
          <cell r="N3306" t="str">
            <v xml:space="preserve">KC Salatiga                             </v>
          </cell>
          <cell r="O3306" t="str">
            <v xml:space="preserve">Semarang                                </v>
          </cell>
          <cell r="P3306" t="str">
            <v>Tidak</v>
          </cell>
          <cell r="Q3306" t="str">
            <v>Tidak</v>
          </cell>
          <cell r="R3306" t="str">
            <v>Done</v>
          </cell>
          <cell r="S3306" t="str">
            <v>Pending Checker</v>
          </cell>
          <cell r="T3306" t="str">
            <v>00394521 - Muhammad Hibbanduta</v>
          </cell>
          <cell r="U3306" t="str">
            <v>"-"</v>
          </cell>
        </row>
        <row r="3307">
          <cell r="A3307">
            <v>46265</v>
          </cell>
          <cell r="B3307" t="str">
            <v xml:space="preserve">BANGUN RUPA SURABAYA                    </v>
          </cell>
          <cell r="C3307" t="str">
            <v>BIH4564</v>
          </cell>
          <cell r="D3307">
            <v>8101011208564</v>
          </cell>
          <cell r="F3307" t="str">
            <v>Tidak</v>
          </cell>
          <cell r="G3307" t="str">
            <v>Tidak</v>
          </cell>
          <cell r="H3307" t="str">
            <v>Tidak</v>
          </cell>
          <cell r="I3307" t="str">
            <v>Perpajakan</v>
          </cell>
          <cell r="J3307">
            <v>38</v>
          </cell>
          <cell r="K3307">
            <v>41</v>
          </cell>
          <cell r="L3307" t="str">
            <v>Perpajakan</v>
          </cell>
          <cell r="M3307" t="str">
            <v xml:space="preserve">KC Salatiga                             </v>
          </cell>
          <cell r="N3307" t="str">
            <v xml:space="preserve">KC Salatiga                             </v>
          </cell>
          <cell r="O3307" t="str">
            <v xml:space="preserve">Semarang                                </v>
          </cell>
          <cell r="P3307" t="str">
            <v>Tidak</v>
          </cell>
          <cell r="Q3307" t="str">
            <v>Tidak</v>
          </cell>
          <cell r="R3307" t="str">
            <v>Done</v>
          </cell>
          <cell r="S3307" t="str">
            <v>Pending Checker</v>
          </cell>
          <cell r="T3307" t="str">
            <v>00394520 - Frida Akbar Rani</v>
          </cell>
          <cell r="U3307" t="str">
            <v>"-"</v>
          </cell>
        </row>
        <row r="3308">
          <cell r="A3308">
            <v>46265</v>
          </cell>
          <cell r="B3308" t="str">
            <v xml:space="preserve">BANGUN RUPA KUDUS                       </v>
          </cell>
          <cell r="C3308" t="str">
            <v>BIH4876</v>
          </cell>
          <cell r="D3308">
            <v>8101010708561</v>
          </cell>
          <cell r="F3308" t="str">
            <v>Tidak</v>
          </cell>
          <cell r="G3308" t="str">
            <v>Tidak</v>
          </cell>
          <cell r="H3308" t="str">
            <v>Tidak</v>
          </cell>
          <cell r="I3308" t="str">
            <v>Perpajakan</v>
          </cell>
          <cell r="J3308">
            <v>38</v>
          </cell>
          <cell r="K3308">
            <v>41</v>
          </cell>
          <cell r="L3308" t="str">
            <v>Perpajakan</v>
          </cell>
          <cell r="M3308" t="str">
            <v xml:space="preserve">KC Salatiga                             </v>
          </cell>
          <cell r="N3308" t="str">
            <v xml:space="preserve">KC Salatiga                             </v>
          </cell>
          <cell r="O3308" t="str">
            <v xml:space="preserve">Semarang                                </v>
          </cell>
          <cell r="P3308" t="str">
            <v>Tidak</v>
          </cell>
          <cell r="Q3308" t="str">
            <v>Tidak</v>
          </cell>
          <cell r="R3308" t="str">
            <v>Done</v>
          </cell>
          <cell r="S3308" t="str">
            <v>Pending Checker</v>
          </cell>
          <cell r="T3308" t="str">
            <v>00336949 - Mochammad Al Farabi</v>
          </cell>
          <cell r="U3308" t="str">
            <v>"-"</v>
          </cell>
        </row>
        <row r="3309">
          <cell r="A3309">
            <v>46265</v>
          </cell>
          <cell r="B3309" t="str">
            <v xml:space="preserve">BANGUN RUPA MALANG                      </v>
          </cell>
          <cell r="C3309" t="str">
            <v>BIH4880</v>
          </cell>
          <cell r="D3309">
            <v>8101010812564</v>
          </cell>
          <cell r="F3309" t="str">
            <v>Tidak</v>
          </cell>
          <cell r="G3309" t="str">
            <v>Tidak</v>
          </cell>
          <cell r="H3309" t="str">
            <v>Tidak</v>
          </cell>
          <cell r="I3309" t="str">
            <v>Perpajakan</v>
          </cell>
          <cell r="J3309">
            <v>34</v>
          </cell>
          <cell r="K3309">
            <v>41</v>
          </cell>
          <cell r="L3309" t="str">
            <v>Perpajakan</v>
          </cell>
          <cell r="M3309" t="str">
            <v xml:space="preserve">KC Salatiga                             </v>
          </cell>
          <cell r="N3309" t="str">
            <v xml:space="preserve">KC Salatiga                             </v>
          </cell>
          <cell r="O3309" t="str">
            <v xml:space="preserve">Semarang                                </v>
          </cell>
          <cell r="P3309" t="str">
            <v>Tidak</v>
          </cell>
          <cell r="Q3309" t="str">
            <v>Tidak</v>
          </cell>
          <cell r="R3309" t="str">
            <v>Done</v>
          </cell>
          <cell r="S3309" t="str">
            <v>Pending Checker</v>
          </cell>
          <cell r="T3309" t="str">
            <v>90185537 - Moh.Khoerul Fajar Ar</v>
          </cell>
          <cell r="U3309" t="str">
            <v>"-"</v>
          </cell>
        </row>
        <row r="3310">
          <cell r="A3310">
            <v>46265</v>
          </cell>
          <cell r="B3310" t="str">
            <v xml:space="preserve">CITRA KREASI INDAH SENTOSA              </v>
          </cell>
          <cell r="C3310" t="str">
            <v>C430633</v>
          </cell>
          <cell r="D3310">
            <v>33201000546304</v>
          </cell>
          <cell r="E3310" t="str">
            <v>TINGGI</v>
          </cell>
          <cell r="F3310" t="str">
            <v>Tidak</v>
          </cell>
          <cell r="G3310" t="str">
            <v>Tidak</v>
          </cell>
          <cell r="H3310" t="str">
            <v>Tidak</v>
          </cell>
          <cell r="I3310" t="str">
            <v>Perpajakan</v>
          </cell>
          <cell r="J3310">
            <v>63</v>
          </cell>
          <cell r="K3310">
            <v>41</v>
          </cell>
          <cell r="L3310" t="str">
            <v>Perpajakan</v>
          </cell>
          <cell r="M3310" t="str">
            <v xml:space="preserve">KC Jakarta Hayam Wuruk                  </v>
          </cell>
          <cell r="N3310" t="str">
            <v xml:space="preserve">KC Jakarta Hayam Wuruk                  </v>
          </cell>
          <cell r="O3310" t="str">
            <v xml:space="preserve">KANWIL JAKARTA 3                        </v>
          </cell>
          <cell r="P3310" t="str">
            <v>Tidak</v>
          </cell>
          <cell r="Q3310" t="str">
            <v>Tidak</v>
          </cell>
          <cell r="R3310" t="str">
            <v>Done</v>
          </cell>
          <cell r="S3310" t="str">
            <v>Pending Checker</v>
          </cell>
          <cell r="T3310" t="str">
            <v>90150130 - Intan Aida Pratiwi</v>
          </cell>
          <cell r="U3310" t="str">
            <v>"-"</v>
          </cell>
        </row>
        <row r="3311">
          <cell r="A3311">
            <v>46265</v>
          </cell>
          <cell r="B3311" t="str">
            <v xml:space="preserve">BENGAWAN RAHMAT MERR                    </v>
          </cell>
          <cell r="C3311" t="str">
            <v>BHU9274</v>
          </cell>
          <cell r="D3311">
            <v>8101011202568</v>
          </cell>
          <cell r="F3311" t="str">
            <v>Tidak</v>
          </cell>
          <cell r="G3311" t="str">
            <v>Tidak</v>
          </cell>
          <cell r="H3311" t="str">
            <v>Tidak</v>
          </cell>
          <cell r="I3311" t="str">
            <v>Perpajakan</v>
          </cell>
          <cell r="J3311">
            <v>36</v>
          </cell>
          <cell r="K3311">
            <v>41</v>
          </cell>
          <cell r="L3311" t="str">
            <v>Perpajakan</v>
          </cell>
          <cell r="M3311" t="str">
            <v xml:space="preserve">KC Salatiga                             </v>
          </cell>
          <cell r="N3311" t="str">
            <v xml:space="preserve">KC Salatiga                             </v>
          </cell>
          <cell r="O3311" t="str">
            <v xml:space="preserve">Semarang                                </v>
          </cell>
          <cell r="P3311" t="str">
            <v>Tidak</v>
          </cell>
          <cell r="Q3311" t="str">
            <v>Tidak</v>
          </cell>
          <cell r="R3311" t="str">
            <v>Done</v>
          </cell>
          <cell r="S3311" t="str">
            <v>Pending Checker</v>
          </cell>
          <cell r="T3311" t="str">
            <v>00394521 - Muhammad Hibbanduta</v>
          </cell>
          <cell r="U3311" t="str">
            <v>"-"</v>
          </cell>
        </row>
        <row r="3312">
          <cell r="A3312">
            <v>46265</v>
          </cell>
          <cell r="B3312" t="str">
            <v xml:space="preserve">BARA PELITA MERR                        </v>
          </cell>
          <cell r="C3312" t="str">
            <v>BHU9275</v>
          </cell>
          <cell r="D3312">
            <v>8101011203564</v>
          </cell>
          <cell r="F3312" t="str">
            <v>Tidak</v>
          </cell>
          <cell r="G3312" t="str">
            <v>Tidak</v>
          </cell>
          <cell r="H3312" t="str">
            <v>Tidak</v>
          </cell>
          <cell r="I3312" t="str">
            <v>Perpajakan</v>
          </cell>
          <cell r="J3312">
            <v>38</v>
          </cell>
          <cell r="K3312">
            <v>41</v>
          </cell>
          <cell r="L3312" t="str">
            <v>Perpajakan</v>
          </cell>
          <cell r="M3312" t="str">
            <v xml:space="preserve">KC Salatiga                             </v>
          </cell>
          <cell r="N3312" t="str">
            <v xml:space="preserve">KC Salatiga                             </v>
          </cell>
          <cell r="O3312" t="str">
            <v xml:space="preserve">Semarang                                </v>
          </cell>
          <cell r="P3312" t="str">
            <v>Tidak</v>
          </cell>
          <cell r="Q3312" t="str">
            <v>Tidak</v>
          </cell>
          <cell r="R3312" t="str">
            <v>Done</v>
          </cell>
          <cell r="S3312" t="str">
            <v>Pending Checker</v>
          </cell>
          <cell r="T3312" t="str">
            <v>00394520 - Frida Akbar Rani</v>
          </cell>
          <cell r="U3312" t="str">
            <v>"-"</v>
          </cell>
        </row>
        <row r="3313">
          <cell r="A3313">
            <v>46265</v>
          </cell>
          <cell r="B3313" t="str">
            <v xml:space="preserve">BARA PELITA MAGELANG                    </v>
          </cell>
          <cell r="C3313" t="str">
            <v>BHV3487</v>
          </cell>
          <cell r="D3313">
            <v>8101010405561</v>
          </cell>
          <cell r="F3313" t="str">
            <v>Tidak</v>
          </cell>
          <cell r="G3313" t="str">
            <v>Tidak</v>
          </cell>
          <cell r="H3313" t="str">
            <v>Tidak</v>
          </cell>
          <cell r="I3313" t="str">
            <v>Perpajakan</v>
          </cell>
          <cell r="J3313">
            <v>38</v>
          </cell>
          <cell r="K3313">
            <v>41</v>
          </cell>
          <cell r="L3313" t="str">
            <v>Perpajakan</v>
          </cell>
          <cell r="M3313" t="str">
            <v xml:space="preserve">KC Salatiga                             </v>
          </cell>
          <cell r="N3313" t="str">
            <v xml:space="preserve">KC Salatiga                             </v>
          </cell>
          <cell r="O3313" t="str">
            <v xml:space="preserve">Semarang                                </v>
          </cell>
          <cell r="P3313" t="str">
            <v>Tidak</v>
          </cell>
          <cell r="Q3313" t="str">
            <v>Tidak</v>
          </cell>
          <cell r="R3313" t="str">
            <v>Done</v>
          </cell>
          <cell r="S3313" t="str">
            <v>Pending Checker</v>
          </cell>
          <cell r="T3313" t="str">
            <v>00336949 - Mochammad Al Farabi</v>
          </cell>
          <cell r="U3313" t="str">
            <v>"-"</v>
          </cell>
        </row>
        <row r="3314">
          <cell r="A3314">
            <v>46265</v>
          </cell>
          <cell r="B3314" t="str">
            <v xml:space="preserve">BARA PELITA MADIUN                      </v>
          </cell>
          <cell r="C3314" t="str">
            <v>BHV3657</v>
          </cell>
          <cell r="D3314">
            <v>8101011005568</v>
          </cell>
          <cell r="F3314" t="str">
            <v>Tidak</v>
          </cell>
          <cell r="G3314" t="str">
            <v>Tidak</v>
          </cell>
          <cell r="H3314" t="str">
            <v>Tidak</v>
          </cell>
          <cell r="I3314" t="str">
            <v>Perpajakan</v>
          </cell>
          <cell r="J3314">
            <v>38</v>
          </cell>
          <cell r="K3314">
            <v>41</v>
          </cell>
          <cell r="L3314" t="str">
            <v>Perpajakan</v>
          </cell>
          <cell r="M3314" t="str">
            <v xml:space="preserve">KC Salatiga                             </v>
          </cell>
          <cell r="N3314" t="str">
            <v xml:space="preserve">KC Salatiga                             </v>
          </cell>
          <cell r="O3314" t="str">
            <v xml:space="preserve">Semarang                                </v>
          </cell>
          <cell r="P3314" t="str">
            <v>Tidak</v>
          </cell>
          <cell r="Q3314" t="str">
            <v>Tidak</v>
          </cell>
          <cell r="R3314" t="str">
            <v>Done</v>
          </cell>
          <cell r="S3314" t="str">
            <v>Pending Checker</v>
          </cell>
          <cell r="T3314" t="str">
            <v>90186796 - Devito Arya Wiradila</v>
          </cell>
          <cell r="U3314" t="str">
            <v>"-"</v>
          </cell>
        </row>
        <row r="3315">
          <cell r="A3315">
            <v>46265</v>
          </cell>
          <cell r="B3315" t="str">
            <v xml:space="preserve">BARA PELITA MOJOKERTO                   </v>
          </cell>
          <cell r="C3315" t="str">
            <v>BHV3658</v>
          </cell>
          <cell r="D3315">
            <v>8101011107564</v>
          </cell>
          <cell r="F3315" t="str">
            <v>Tidak</v>
          </cell>
          <cell r="G3315" t="str">
            <v>Tidak</v>
          </cell>
          <cell r="H3315" t="str">
            <v>Tidak</v>
          </cell>
          <cell r="I3315" t="str">
            <v>Perpajakan</v>
          </cell>
          <cell r="J3315">
            <v>38</v>
          </cell>
          <cell r="K3315">
            <v>41</v>
          </cell>
          <cell r="L3315" t="str">
            <v>Perpajakan</v>
          </cell>
          <cell r="M3315" t="str">
            <v xml:space="preserve">KC Salatiga                             </v>
          </cell>
          <cell r="N3315" t="str">
            <v xml:space="preserve">KC Salatiga                             </v>
          </cell>
          <cell r="O3315" t="str">
            <v xml:space="preserve">Semarang                                </v>
          </cell>
          <cell r="P3315" t="str">
            <v>Tidak</v>
          </cell>
          <cell r="Q3315" t="str">
            <v>Tidak</v>
          </cell>
          <cell r="R3315" t="str">
            <v>Done</v>
          </cell>
          <cell r="S3315" t="str">
            <v>Pending Checker</v>
          </cell>
          <cell r="T3315" t="str">
            <v>90186790 - Muhammad Alfin Farha</v>
          </cell>
          <cell r="U3315" t="str">
            <v>"-"</v>
          </cell>
        </row>
        <row r="3316">
          <cell r="A3316">
            <v>46265</v>
          </cell>
          <cell r="B3316" t="str">
            <v xml:space="preserve">BARA PELITA KEDIRI                      </v>
          </cell>
          <cell r="C3316" t="str">
            <v>BHV3827</v>
          </cell>
          <cell r="D3316">
            <v>8101010905561</v>
          </cell>
          <cell r="F3316" t="str">
            <v>Tidak</v>
          </cell>
          <cell r="G3316" t="str">
            <v>Tidak</v>
          </cell>
          <cell r="H3316" t="str">
            <v>Tidak</v>
          </cell>
          <cell r="I3316" t="str">
            <v>Perpajakan</v>
          </cell>
          <cell r="J3316">
            <v>38</v>
          </cell>
          <cell r="K3316">
            <v>41</v>
          </cell>
          <cell r="L3316" t="str">
            <v>Perpajakan</v>
          </cell>
          <cell r="M3316" t="str">
            <v xml:space="preserve">KC Salatiga                             </v>
          </cell>
          <cell r="N3316" t="str">
            <v xml:space="preserve">KC Salatiga                             </v>
          </cell>
          <cell r="O3316" t="str">
            <v xml:space="preserve">Semarang                                </v>
          </cell>
          <cell r="P3316" t="str">
            <v>Tidak</v>
          </cell>
          <cell r="Q3316" t="str">
            <v>Tidak</v>
          </cell>
          <cell r="R3316" t="str">
            <v>Done</v>
          </cell>
          <cell r="S3316" t="str">
            <v>Pending Checker</v>
          </cell>
          <cell r="T3316" t="str">
            <v>90185538 - Muhammad Fahikal Auz</v>
          </cell>
          <cell r="U3316" t="str">
            <v>"-"</v>
          </cell>
        </row>
        <row r="3317">
          <cell r="A3317">
            <v>46265</v>
          </cell>
          <cell r="B3317" t="str">
            <v xml:space="preserve">BARA PELITA PURWOKERTO                  </v>
          </cell>
          <cell r="C3317" t="str">
            <v>BHV3828</v>
          </cell>
          <cell r="D3317">
            <v>8101010305567</v>
          </cell>
          <cell r="F3317" t="str">
            <v>Tidak</v>
          </cell>
          <cell r="G3317" t="str">
            <v>Tidak</v>
          </cell>
          <cell r="H3317" t="str">
            <v>Tidak</v>
          </cell>
          <cell r="I3317" t="str">
            <v>Perpajakan</v>
          </cell>
          <cell r="J3317">
            <v>34</v>
          </cell>
          <cell r="K3317">
            <v>41</v>
          </cell>
          <cell r="L3317" t="str">
            <v>Perpajakan</v>
          </cell>
          <cell r="M3317" t="str">
            <v xml:space="preserve">KC Salatiga                             </v>
          </cell>
          <cell r="N3317" t="str">
            <v xml:space="preserve">KC Salatiga                             </v>
          </cell>
          <cell r="O3317" t="str">
            <v xml:space="preserve">Semarang                                </v>
          </cell>
          <cell r="P3317" t="str">
            <v>Tidak</v>
          </cell>
          <cell r="Q3317" t="str">
            <v>Tidak</v>
          </cell>
          <cell r="R3317" t="str">
            <v>Done</v>
          </cell>
          <cell r="S3317" t="str">
            <v>Pending Checker</v>
          </cell>
          <cell r="T3317" t="str">
            <v>90185537 - Moh.Khoerul Fajar Ar</v>
          </cell>
          <cell r="U3317" t="str">
            <v>"-"</v>
          </cell>
        </row>
        <row r="3318">
          <cell r="A3318">
            <v>46265</v>
          </cell>
          <cell r="B3318" t="str">
            <v xml:space="preserve">BITUMEN MARASENDE                       </v>
          </cell>
          <cell r="C3318" t="str">
            <v>BDB5855</v>
          </cell>
          <cell r="D3318">
            <v>5001004766308</v>
          </cell>
          <cell r="E3318" t="str">
            <v>SEDANG</v>
          </cell>
          <cell r="F3318" t="str">
            <v>Tidak</v>
          </cell>
          <cell r="G3318" t="str">
            <v>Tidak</v>
          </cell>
          <cell r="H3318" t="str">
            <v>Tidak</v>
          </cell>
          <cell r="I3318" t="str">
            <v>Perpajakan</v>
          </cell>
          <cell r="J3318">
            <v>48</v>
          </cell>
          <cell r="K3318">
            <v>41</v>
          </cell>
          <cell r="L3318" t="str">
            <v>Perpajakan</v>
          </cell>
          <cell r="M3318" t="str">
            <v xml:space="preserve">KC Makassar Ahmad Yani                  </v>
          </cell>
          <cell r="N3318" t="str">
            <v xml:space="preserve">KC Makassar Ahmad Yani                  </v>
          </cell>
          <cell r="O3318" t="str">
            <v xml:space="preserve">Makassar                                </v>
          </cell>
          <cell r="P3318" t="str">
            <v>Tidak</v>
          </cell>
          <cell r="Q3318" t="str">
            <v>Tidak</v>
          </cell>
          <cell r="R3318" t="str">
            <v>Done</v>
          </cell>
          <cell r="S3318" t="str">
            <v>Pending Checker</v>
          </cell>
          <cell r="T3318" t="str">
            <v>90171841 - Rifqi Aziz</v>
          </cell>
          <cell r="U3318" t="str">
            <v>"-"</v>
          </cell>
        </row>
        <row r="3319">
          <cell r="A3319">
            <v>46265</v>
          </cell>
          <cell r="B3319" t="str">
            <v xml:space="preserve">BERKAH SAWIT PESISIR                    </v>
          </cell>
          <cell r="C3319" t="str">
            <v>BCZ0721</v>
          </cell>
          <cell r="D3319">
            <v>548201000019567</v>
          </cell>
          <cell r="E3319" t="str">
            <v>SEDANG</v>
          </cell>
          <cell r="F3319" t="str">
            <v>Ya</v>
          </cell>
          <cell r="G3319" t="str">
            <v>Tidak</v>
          </cell>
          <cell r="H3319" t="str">
            <v>Tidak</v>
          </cell>
          <cell r="I3319" t="str">
            <v>Perpajakan</v>
          </cell>
          <cell r="J3319">
            <v>50</v>
          </cell>
          <cell r="K3319">
            <v>1.33</v>
          </cell>
          <cell r="L3319" t="str">
            <v>Perpajakan</v>
          </cell>
          <cell r="M3319" t="str">
            <v xml:space="preserve">UNIT LUNANG PAINAN                      </v>
          </cell>
          <cell r="N3319" t="str">
            <v xml:space="preserve">KC Painan                               </v>
          </cell>
          <cell r="O3319" t="str">
            <v xml:space="preserve">Padang                                  </v>
          </cell>
          <cell r="P3319" t="str">
            <v>Tidak</v>
          </cell>
          <cell r="Q3319" t="str">
            <v>Tidak</v>
          </cell>
          <cell r="R3319" t="str">
            <v>Done</v>
          </cell>
          <cell r="S3319" t="str">
            <v>Pending Checker</v>
          </cell>
          <cell r="T3319" t="str">
            <v>90171841 - Rifqi Aziz</v>
          </cell>
          <cell r="U3319" t="str">
            <v>"-"</v>
          </cell>
        </row>
        <row r="3320">
          <cell r="A3320">
            <v>46265</v>
          </cell>
          <cell r="B3320" t="str">
            <v xml:space="preserve">AUTO GREEN AAS                          </v>
          </cell>
          <cell r="C3320" t="str">
            <v>AETBQ57</v>
          </cell>
          <cell r="D3320">
            <v>40301232323305</v>
          </cell>
          <cell r="F3320" t="str">
            <v>Tidak</v>
          </cell>
          <cell r="G3320" t="str">
            <v>Tidak</v>
          </cell>
          <cell r="H3320" t="str">
            <v>Tidak</v>
          </cell>
          <cell r="I3320" t="str">
            <v>Perpajakan</v>
          </cell>
          <cell r="J3320">
            <v>33</v>
          </cell>
          <cell r="K3320">
            <v>41</v>
          </cell>
          <cell r="L3320" t="str">
            <v>Perpajakan</v>
          </cell>
          <cell r="M3320" t="str">
            <v xml:space="preserve">KC Tamalanrea                           </v>
          </cell>
          <cell r="N3320" t="str">
            <v xml:space="preserve">KC Tamalanrea                           </v>
          </cell>
          <cell r="O3320" t="str">
            <v xml:space="preserve">Makassar                                </v>
          </cell>
          <cell r="P3320" t="str">
            <v>Tidak</v>
          </cell>
          <cell r="Q3320" t="str">
            <v>Tidak</v>
          </cell>
          <cell r="R3320" t="str">
            <v>Done</v>
          </cell>
          <cell r="S3320" t="str">
            <v>Pending Checker</v>
          </cell>
          <cell r="T3320" t="str">
            <v>90186796 - Devito Arya Wiradila</v>
          </cell>
          <cell r="U3320" t="str">
            <v>"-"</v>
          </cell>
        </row>
        <row r="3321">
          <cell r="A3321">
            <v>46265</v>
          </cell>
          <cell r="B3321" t="str">
            <v xml:space="preserve">ARMYANTI INDAH JAYA                     </v>
          </cell>
          <cell r="C3321" t="str">
            <v>AIIF194</v>
          </cell>
          <cell r="D3321">
            <v>62701069353503</v>
          </cell>
          <cell r="E3321" t="str">
            <v>SEDANG</v>
          </cell>
          <cell r="F3321" t="str">
            <v>Tidak</v>
          </cell>
          <cell r="G3321" t="str">
            <v>Tidak</v>
          </cell>
          <cell r="H3321" t="str">
            <v>Tidak</v>
          </cell>
          <cell r="I3321" t="str">
            <v>Narkotika - Area Lapas</v>
          </cell>
          <cell r="J3321">
            <v>50</v>
          </cell>
          <cell r="K3321">
            <v>46</v>
          </cell>
          <cell r="L3321" t="str">
            <v>Narkotika</v>
          </cell>
          <cell r="M3321" t="str">
            <v>KC Nunukan</v>
          </cell>
          <cell r="N3321" t="str">
            <v>KC Nunukan</v>
          </cell>
          <cell r="O3321" t="str">
            <v>Banjarmasin</v>
          </cell>
          <cell r="P3321" t="str">
            <v>Tidak</v>
          </cell>
          <cell r="Q3321" t="str">
            <v>Tidak</v>
          </cell>
          <cell r="R3321" t="str">
            <v>Done</v>
          </cell>
          <cell r="S3321" t="str">
            <v>Pending Checker</v>
          </cell>
          <cell r="T3321" t="str">
            <v>90150130 - Intan Aida Pratiwi</v>
          </cell>
          <cell r="U3321" t="str">
            <v>"-"</v>
          </cell>
        </row>
        <row r="3322">
          <cell r="A3322">
            <v>46265</v>
          </cell>
          <cell r="B3322" t="str">
            <v xml:space="preserve">ANDREW                                  </v>
          </cell>
          <cell r="C3322" t="str">
            <v>AQIE420</v>
          </cell>
          <cell r="D3322">
            <v>37701001748561</v>
          </cell>
          <cell r="E3322" t="str">
            <v>TINGGI</v>
          </cell>
          <cell r="F3322" t="str">
            <v>Tidak</v>
          </cell>
          <cell r="G3322" t="str">
            <v>Tidak</v>
          </cell>
          <cell r="H3322" t="str">
            <v>Tidak</v>
          </cell>
          <cell r="I3322" t="str">
            <v>Perpajakan</v>
          </cell>
          <cell r="J3322">
            <v>76</v>
          </cell>
          <cell r="K3322">
            <v>1.33</v>
          </cell>
          <cell r="L3322" t="str">
            <v>Perpajakan</v>
          </cell>
          <cell r="M3322" t="str">
            <v xml:space="preserve">KC Jakarta Kebon Jeruk                  </v>
          </cell>
          <cell r="N3322" t="str">
            <v xml:space="preserve">KC Jakarta Kebon Jeruk                  </v>
          </cell>
          <cell r="O3322" t="str">
            <v xml:space="preserve">KANWIL JAKARTA 3                        </v>
          </cell>
          <cell r="P3322" t="str">
            <v>Tidak</v>
          </cell>
          <cell r="Q3322" t="str">
            <v>Tidak</v>
          </cell>
          <cell r="R3322" t="str">
            <v>Done</v>
          </cell>
          <cell r="S3322" t="str">
            <v>Pending Checker</v>
          </cell>
          <cell r="T3322" t="str">
            <v>90150130 - Intan Aida Pratiwi</v>
          </cell>
          <cell r="U3322" t="str">
            <v>"-"</v>
          </cell>
        </row>
        <row r="3323">
          <cell r="A3323">
            <v>46265</v>
          </cell>
          <cell r="B3323" t="str">
            <v xml:space="preserve">ADINATA PURI LESTARI                    </v>
          </cell>
          <cell r="C3323" t="str">
            <v>ADCPH74</v>
          </cell>
          <cell r="D3323">
            <v>60901002528567</v>
          </cell>
          <cell r="F3323" t="str">
            <v>Tidak</v>
          </cell>
          <cell r="G3323" t="str">
            <v>Tidak</v>
          </cell>
          <cell r="H3323" t="str">
            <v>Tidak</v>
          </cell>
          <cell r="I3323" t="str">
            <v>Perpajakan</v>
          </cell>
          <cell r="J3323">
            <v>33</v>
          </cell>
          <cell r="K3323">
            <v>41</v>
          </cell>
          <cell r="L3323" t="str">
            <v>Perpajakan</v>
          </cell>
          <cell r="M3323" t="str">
            <v xml:space="preserve">KC Semarang A. Yani                     </v>
          </cell>
          <cell r="N3323" t="str">
            <v xml:space="preserve">KC Semarang A. Yani                     </v>
          </cell>
          <cell r="O3323" t="str">
            <v xml:space="preserve">Semarang                                </v>
          </cell>
          <cell r="P3323" t="str">
            <v>Tidak</v>
          </cell>
          <cell r="Q3323" t="str">
            <v>Tidak</v>
          </cell>
          <cell r="R3323" t="str">
            <v>Done</v>
          </cell>
          <cell r="S3323" t="str">
            <v>Pending Checker</v>
          </cell>
          <cell r="T3323" t="str">
            <v>90186790 - Muhammad Alfin Farha</v>
          </cell>
          <cell r="U3323" t="str">
            <v>"-"</v>
          </cell>
        </row>
        <row r="3324">
          <cell r="A3324">
            <v>46265</v>
          </cell>
          <cell r="B3324" t="str">
            <v xml:space="preserve">ANGKASA PELANGI KUDUS                   </v>
          </cell>
          <cell r="C3324" t="str">
            <v>ADBVA32</v>
          </cell>
          <cell r="D3324">
            <v>8101010706569</v>
          </cell>
          <cell r="F3324" t="str">
            <v>Tidak</v>
          </cell>
          <cell r="G3324" t="str">
            <v>Tidak</v>
          </cell>
          <cell r="H3324" t="str">
            <v>Tidak</v>
          </cell>
          <cell r="I3324" t="str">
            <v>Perpajakan</v>
          </cell>
          <cell r="J3324">
            <v>38</v>
          </cell>
          <cell r="K3324">
            <v>41</v>
          </cell>
          <cell r="L3324" t="str">
            <v>Perpajakan</v>
          </cell>
          <cell r="M3324" t="str">
            <v xml:space="preserve">KC Salatiga                             </v>
          </cell>
          <cell r="N3324" t="str">
            <v xml:space="preserve">KC Salatiga                             </v>
          </cell>
          <cell r="O3324" t="str">
            <v xml:space="preserve">Semarang                                </v>
          </cell>
          <cell r="P3324" t="str">
            <v>Tidak</v>
          </cell>
          <cell r="Q3324" t="str">
            <v>Tidak</v>
          </cell>
          <cell r="R3324" t="str">
            <v>Done</v>
          </cell>
          <cell r="S3324" t="str">
            <v>Pending Checker</v>
          </cell>
          <cell r="T3324" t="str">
            <v>00394520 - Frida Akbar Rani</v>
          </cell>
          <cell r="U3324" t="str">
            <v>"-"</v>
          </cell>
        </row>
        <row r="3325">
          <cell r="A3325">
            <v>46265</v>
          </cell>
          <cell r="B3325" t="str">
            <v xml:space="preserve">AURA CAHAYA NUSANTARA                   </v>
          </cell>
          <cell r="C3325" t="str">
            <v>ADBVN15</v>
          </cell>
          <cell r="D3325">
            <v>8101030002563</v>
          </cell>
          <cell r="F3325" t="str">
            <v>Tidak</v>
          </cell>
          <cell r="G3325" t="str">
            <v>Tidak</v>
          </cell>
          <cell r="H3325" t="str">
            <v>Tidak</v>
          </cell>
          <cell r="I3325" t="str">
            <v>Perpajakan</v>
          </cell>
          <cell r="J3325">
            <v>36</v>
          </cell>
          <cell r="K3325">
            <v>41</v>
          </cell>
          <cell r="L3325" t="str">
            <v>Perpajakan</v>
          </cell>
          <cell r="M3325" t="str">
            <v xml:space="preserve">KC Salatiga                             </v>
          </cell>
          <cell r="N3325" t="str">
            <v xml:space="preserve">KC Salatiga                             </v>
          </cell>
          <cell r="O3325" t="str">
            <v xml:space="preserve">Semarang                                </v>
          </cell>
          <cell r="P3325" t="str">
            <v>Tidak</v>
          </cell>
          <cell r="Q3325" t="str">
            <v>Tidak</v>
          </cell>
          <cell r="R3325" t="str">
            <v>Done</v>
          </cell>
          <cell r="S3325" t="str">
            <v>Pending Checker</v>
          </cell>
          <cell r="T3325" t="str">
            <v>90186796 - Devito Arya Wiradila</v>
          </cell>
          <cell r="U3325" t="str">
            <v>"-"</v>
          </cell>
        </row>
        <row r="3326">
          <cell r="A3326">
            <v>46265</v>
          </cell>
          <cell r="B3326" t="str">
            <v xml:space="preserve">ANGKASA PELANGI MOJOKERTO               </v>
          </cell>
          <cell r="C3326" t="str">
            <v>ADBVQ81</v>
          </cell>
          <cell r="D3326">
            <v>8101011105562</v>
          </cell>
          <cell r="F3326" t="str">
            <v>Tidak</v>
          </cell>
          <cell r="G3326" t="str">
            <v>Tidak</v>
          </cell>
          <cell r="H3326" t="str">
            <v>Tidak</v>
          </cell>
          <cell r="I3326" t="str">
            <v>Perpajakan</v>
          </cell>
          <cell r="J3326">
            <v>36</v>
          </cell>
          <cell r="K3326">
            <v>41</v>
          </cell>
          <cell r="L3326" t="str">
            <v>Perpajakan</v>
          </cell>
          <cell r="M3326" t="str">
            <v xml:space="preserve">KC Salatiga                             </v>
          </cell>
          <cell r="N3326" t="str">
            <v xml:space="preserve">KC Salatiga                             </v>
          </cell>
          <cell r="O3326" t="str">
            <v xml:space="preserve">Semarang                                </v>
          </cell>
          <cell r="P3326" t="str">
            <v>Tidak</v>
          </cell>
          <cell r="Q3326" t="str">
            <v>Tidak</v>
          </cell>
          <cell r="R3326" t="str">
            <v>Done</v>
          </cell>
          <cell r="S3326" t="str">
            <v>Pending Checker</v>
          </cell>
          <cell r="T3326" t="str">
            <v>90186790 - Muhammad Alfin Farha</v>
          </cell>
          <cell r="U3326" t="str">
            <v>"-"</v>
          </cell>
        </row>
        <row r="3327">
          <cell r="A3327">
            <v>46265</v>
          </cell>
          <cell r="B3327" t="str">
            <v xml:space="preserve">ANGKASA PELANGI SIDOARJO                </v>
          </cell>
          <cell r="C3327" t="str">
            <v>ADBUA55</v>
          </cell>
          <cell r="D3327">
            <v>8101010610564</v>
          </cell>
          <cell r="F3327" t="str">
            <v>Tidak</v>
          </cell>
          <cell r="G3327" t="str">
            <v>Tidak</v>
          </cell>
          <cell r="H3327" t="str">
            <v>Tidak</v>
          </cell>
          <cell r="I3327" t="str">
            <v>Perpajakan</v>
          </cell>
          <cell r="J3327">
            <v>38</v>
          </cell>
          <cell r="K3327">
            <v>41</v>
          </cell>
          <cell r="L3327" t="str">
            <v>Perpajakan</v>
          </cell>
          <cell r="M3327" t="str">
            <v xml:space="preserve">KC Salatiga                             </v>
          </cell>
          <cell r="N3327" t="str">
            <v xml:space="preserve">KC Salatiga                             </v>
          </cell>
          <cell r="O3327" t="str">
            <v xml:space="preserve">Semarang                                </v>
          </cell>
          <cell r="P3327" t="str">
            <v>Tidak</v>
          </cell>
          <cell r="Q3327" t="str">
            <v>Tidak</v>
          </cell>
          <cell r="R3327" t="str">
            <v>Done</v>
          </cell>
          <cell r="S3327" t="str">
            <v>Pending Checker</v>
          </cell>
          <cell r="T3327" t="str">
            <v>90150130 - Intan Aida Pratiwi</v>
          </cell>
          <cell r="U3327" t="str">
            <v>"-"</v>
          </cell>
        </row>
        <row r="3328">
          <cell r="A3328">
            <v>46265</v>
          </cell>
          <cell r="B3328" t="str">
            <v xml:space="preserve">ANGKASA PELANGI SURABAYA                </v>
          </cell>
          <cell r="C3328" t="str">
            <v>ADBUC72</v>
          </cell>
          <cell r="D3328">
            <v>8101010507567</v>
          </cell>
          <cell r="F3328" t="str">
            <v>Tidak</v>
          </cell>
          <cell r="G3328" t="str">
            <v>Tidak</v>
          </cell>
          <cell r="H3328" t="str">
            <v>Tidak</v>
          </cell>
          <cell r="I3328" t="str">
            <v>Perpajakan</v>
          </cell>
          <cell r="J3328">
            <v>38</v>
          </cell>
          <cell r="K3328">
            <v>41</v>
          </cell>
          <cell r="L3328" t="str">
            <v>Perpajakan</v>
          </cell>
          <cell r="M3328" t="str">
            <v xml:space="preserve">KC Salatiga                             </v>
          </cell>
          <cell r="N3328" t="str">
            <v xml:space="preserve">KC Salatiga                             </v>
          </cell>
          <cell r="O3328" t="str">
            <v xml:space="preserve">Semarang                                </v>
          </cell>
          <cell r="P3328" t="str">
            <v>Tidak</v>
          </cell>
          <cell r="Q3328" t="str">
            <v>Tidak</v>
          </cell>
          <cell r="R3328" t="str">
            <v>Done</v>
          </cell>
          <cell r="S3328" t="str">
            <v>Pending Checker</v>
          </cell>
          <cell r="T3328" t="str">
            <v>00336949 - Mochammad Al Farabi</v>
          </cell>
          <cell r="U3328" t="str">
            <v>"-"</v>
          </cell>
        </row>
        <row r="3329">
          <cell r="A3329">
            <v>46265</v>
          </cell>
          <cell r="B3329" t="str">
            <v xml:space="preserve">ANGKASA PELANGI MERR                    </v>
          </cell>
          <cell r="C3329" t="str">
            <v>ADBUR26</v>
          </cell>
          <cell r="D3329">
            <v>8101011206562</v>
          </cell>
          <cell r="F3329" t="str">
            <v>Tidak</v>
          </cell>
          <cell r="G3329" t="str">
            <v>Tidak</v>
          </cell>
          <cell r="H3329" t="str">
            <v>Tidak</v>
          </cell>
          <cell r="I3329" t="str">
            <v>Perpajakan</v>
          </cell>
          <cell r="J3329">
            <v>36</v>
          </cell>
          <cell r="K3329">
            <v>41</v>
          </cell>
          <cell r="L3329" t="str">
            <v>Perpajakan</v>
          </cell>
          <cell r="M3329" t="str">
            <v xml:space="preserve">KC Salatiga                             </v>
          </cell>
          <cell r="N3329" t="str">
            <v xml:space="preserve">KC Salatiga                             </v>
          </cell>
          <cell r="O3329" t="str">
            <v xml:space="preserve">Semarang                                </v>
          </cell>
          <cell r="P3329" t="str">
            <v>Tidak</v>
          </cell>
          <cell r="Q3329" t="str">
            <v>Tidak</v>
          </cell>
          <cell r="R3329" t="str">
            <v>Done</v>
          </cell>
          <cell r="S3329" t="str">
            <v>Pending Checker</v>
          </cell>
          <cell r="T3329" t="str">
            <v>00394521 - Muhammad Hibbanduta</v>
          </cell>
          <cell r="U3329" t="str">
            <v>"-"</v>
          </cell>
        </row>
        <row r="3330">
          <cell r="A3330">
            <v>46265</v>
          </cell>
          <cell r="B3330" t="str">
            <v xml:space="preserve">AGUNG SEJAHTERA MERR                    </v>
          </cell>
          <cell r="C3330" t="str">
            <v>ADBIK55</v>
          </cell>
          <cell r="D3330">
            <v>8101011205566</v>
          </cell>
          <cell r="F3330" t="str">
            <v>Tidak</v>
          </cell>
          <cell r="G3330" t="str">
            <v>Tidak</v>
          </cell>
          <cell r="H3330" t="str">
            <v>Tidak</v>
          </cell>
          <cell r="I3330" t="str">
            <v>Perpajakan</v>
          </cell>
          <cell r="J3330">
            <v>36</v>
          </cell>
          <cell r="K3330">
            <v>41</v>
          </cell>
          <cell r="L3330" t="str">
            <v>Perpajakan</v>
          </cell>
          <cell r="M3330" t="str">
            <v xml:space="preserve">KC Salatiga                             </v>
          </cell>
          <cell r="N3330" t="str">
            <v xml:space="preserve">KC Salatiga                             </v>
          </cell>
          <cell r="O3330" t="str">
            <v xml:space="preserve">Semarang                                </v>
          </cell>
          <cell r="P3330" t="str">
            <v>Tidak</v>
          </cell>
          <cell r="Q3330" t="str">
            <v>Tidak</v>
          </cell>
          <cell r="R3330" t="str">
            <v>Done</v>
          </cell>
          <cell r="S3330" t="str">
            <v>Pending Checker</v>
          </cell>
          <cell r="T3330" t="str">
            <v>90170665 - Mutiara Ayuningtyas</v>
          </cell>
          <cell r="U3330" t="str">
            <v>"-"</v>
          </cell>
        </row>
        <row r="3331">
          <cell r="A3331">
            <v>46265</v>
          </cell>
          <cell r="B3331" t="str">
            <v xml:space="preserve">ALJERINDO NAWA SENA                     </v>
          </cell>
          <cell r="C3331" t="str">
            <v>ADBNF29</v>
          </cell>
          <cell r="D3331">
            <v>207101000459301</v>
          </cell>
          <cell r="F3331" t="str">
            <v>Tidak</v>
          </cell>
          <cell r="G3331" t="str">
            <v>Tidak</v>
          </cell>
          <cell r="H3331" t="str">
            <v>Tidak</v>
          </cell>
          <cell r="I3331" t="str">
            <v>Perpajakan</v>
          </cell>
          <cell r="J3331">
            <v>33</v>
          </cell>
          <cell r="K3331">
            <v>41</v>
          </cell>
          <cell r="L3331" t="str">
            <v>Perpajakan</v>
          </cell>
          <cell r="M3331" t="str">
            <v xml:space="preserve">KCP JAMSOSTEK                           </v>
          </cell>
          <cell r="N3331" t="str">
            <v xml:space="preserve">KC Jakarta Gatot Subroto                </v>
          </cell>
          <cell r="O3331" t="str">
            <v xml:space="preserve">DKI2                                    </v>
          </cell>
          <cell r="P3331" t="str">
            <v>Tidak</v>
          </cell>
          <cell r="Q3331" t="str">
            <v>Tidak</v>
          </cell>
          <cell r="R3331" t="str">
            <v>Done</v>
          </cell>
          <cell r="S3331" t="str">
            <v>Pending Checker</v>
          </cell>
          <cell r="T3331" t="str">
            <v>00394520 - Frida Akbar Rani</v>
          </cell>
          <cell r="U3331" t="str">
            <v>"-"</v>
          </cell>
        </row>
        <row r="3332">
          <cell r="A3332">
            <v>46265</v>
          </cell>
          <cell r="B3332" t="str">
            <v xml:space="preserve">AMAN JAYA                               </v>
          </cell>
          <cell r="C3332" t="str">
            <v>ACSV920</v>
          </cell>
          <cell r="D3332">
            <v>68701001351565</v>
          </cell>
          <cell r="E3332" t="str">
            <v>SEDANG</v>
          </cell>
          <cell r="F3332" t="str">
            <v>Tidak</v>
          </cell>
          <cell r="G3332" t="str">
            <v>Tidak</v>
          </cell>
          <cell r="H3332" t="str">
            <v>Tidak</v>
          </cell>
          <cell r="I3332" t="str">
            <v>Perpajakan</v>
          </cell>
          <cell r="J3332">
            <v>48</v>
          </cell>
          <cell r="K3332">
            <v>1.33</v>
          </cell>
          <cell r="L3332" t="str">
            <v>Perpajakan</v>
          </cell>
          <cell r="M3332" t="str">
            <v xml:space="preserve">KC Nabire                               </v>
          </cell>
          <cell r="N3332" t="str">
            <v xml:space="preserve">KC Nabire                               </v>
          </cell>
          <cell r="O3332" t="str">
            <v xml:space="preserve">KANWIL JAYAPURA                         </v>
          </cell>
          <cell r="P3332" t="str">
            <v>Tidak</v>
          </cell>
          <cell r="Q3332" t="str">
            <v>Tidak</v>
          </cell>
          <cell r="R3332" t="str">
            <v>Done</v>
          </cell>
          <cell r="S3332" t="str">
            <v>Pending Checker</v>
          </cell>
          <cell r="T3332" t="str">
            <v>90185537 - Moh.Khoerul Fajar Ar</v>
          </cell>
          <cell r="U3332" t="str">
            <v>"-"</v>
          </cell>
        </row>
        <row r="3333">
          <cell r="A3333">
            <v>46265</v>
          </cell>
          <cell r="B3333" t="str">
            <v xml:space="preserve">ANAMI LOKA JAYA                         </v>
          </cell>
          <cell r="C3333" t="str">
            <v>ADUWA75</v>
          </cell>
          <cell r="D3333">
            <v>50901003226306</v>
          </cell>
          <cell r="F3333" t="str">
            <v>Tidak</v>
          </cell>
          <cell r="G3333" t="str">
            <v>Tidak</v>
          </cell>
          <cell r="H3333" t="str">
            <v>Tidak</v>
          </cell>
          <cell r="I3333" t="str">
            <v>Perpajakan</v>
          </cell>
          <cell r="J3333">
            <v>33</v>
          </cell>
          <cell r="K3333">
            <v>41</v>
          </cell>
          <cell r="L3333" t="str">
            <v>Perpajakan</v>
          </cell>
          <cell r="M3333" t="str">
            <v xml:space="preserve">KC Bumi Serpong Damai                   </v>
          </cell>
          <cell r="N3333" t="str">
            <v xml:space="preserve">KC Bumi Serpong Damai                   </v>
          </cell>
          <cell r="O3333" t="str">
            <v xml:space="preserve">KANWIL JAKARTA 3                        </v>
          </cell>
          <cell r="P3333" t="str">
            <v>Tidak</v>
          </cell>
          <cell r="Q3333" t="str">
            <v>Tidak</v>
          </cell>
          <cell r="R3333" t="str">
            <v>Done</v>
          </cell>
          <cell r="S3333" t="str">
            <v>Pending Checker</v>
          </cell>
          <cell r="T3333" t="str">
            <v>90185537 - Moh.Khoerul Fajar Ar</v>
          </cell>
          <cell r="U3333" t="str">
            <v>"-"</v>
          </cell>
        </row>
        <row r="3334">
          <cell r="A3334">
            <v>46265</v>
          </cell>
          <cell r="B3334" t="str">
            <v xml:space="preserve">BRI ASURANSI INDONESIA                  </v>
          </cell>
          <cell r="C3334" t="str">
            <v>A826883</v>
          </cell>
          <cell r="D3334">
            <v>5001000182308</v>
          </cell>
          <cell r="E3334" t="str">
            <v>RENDAH</v>
          </cell>
          <cell r="F3334" t="str">
            <v>Tidak</v>
          </cell>
          <cell r="G3334" t="str">
            <v>Tidak</v>
          </cell>
          <cell r="H3334" t="str">
            <v>Tidak</v>
          </cell>
          <cell r="I3334" t="str">
            <v>Bandar Judol Depo</v>
          </cell>
          <cell r="J3334">
            <v>35</v>
          </cell>
          <cell r="K3334" t="str">
            <v>86,74,87</v>
          </cell>
          <cell r="L3334" t="str">
            <v>Judi Online</v>
          </cell>
          <cell r="M3334" t="str">
            <v xml:space="preserve">Kas Kanpus                              </v>
          </cell>
          <cell r="N3334" t="str">
            <v xml:space="preserve">Kas Kanpus                              </v>
          </cell>
          <cell r="O3334" t="str">
            <v xml:space="preserve">KAS KANPUS                              </v>
          </cell>
          <cell r="P3334" t="str">
            <v>Tidak</v>
          </cell>
          <cell r="Q3334" t="str">
            <v>Tidak</v>
          </cell>
          <cell r="R3334" t="str">
            <v>Done</v>
          </cell>
          <cell r="S3334" t="str">
            <v>Pending Checker</v>
          </cell>
          <cell r="T3334" t="str">
            <v>90150130 - Intan Aida Pratiwi</v>
          </cell>
          <cell r="U3334" t="str">
            <v>"-"</v>
          </cell>
        </row>
        <row r="3335">
          <cell r="A3335">
            <v>46265</v>
          </cell>
          <cell r="B3335" t="str">
            <v xml:space="preserve">AZALEA GWEN MODE                        </v>
          </cell>
          <cell r="C3335" t="str">
            <v>ACLUT14</v>
          </cell>
          <cell r="D3335">
            <v>28601003368562</v>
          </cell>
          <cell r="E3335" t="str">
            <v>SEDANG</v>
          </cell>
          <cell r="F3335" t="str">
            <v>Tidak</v>
          </cell>
          <cell r="G3335" t="str">
            <v>Tidak</v>
          </cell>
          <cell r="H3335" t="str">
            <v>Tidak</v>
          </cell>
          <cell r="I3335" t="str">
            <v>Perpajakan</v>
          </cell>
          <cell r="J3335">
            <v>50</v>
          </cell>
          <cell r="K3335">
            <v>41</v>
          </cell>
          <cell r="L3335" t="str">
            <v>Perpajakan</v>
          </cell>
          <cell r="M3335" t="str">
            <v xml:space="preserve">KC Bandung Dewi Sartika                 </v>
          </cell>
          <cell r="N3335" t="str">
            <v xml:space="preserve">KC Bandung Dewi Sartika                 </v>
          </cell>
          <cell r="O3335" t="str">
            <v xml:space="preserve">Bandung                                 </v>
          </cell>
          <cell r="P3335" t="str">
            <v>Tidak</v>
          </cell>
          <cell r="Q3335" t="str">
            <v>Tidak</v>
          </cell>
          <cell r="R3335" t="str">
            <v>Done</v>
          </cell>
          <cell r="S3335" t="str">
            <v>Pending Checker</v>
          </cell>
          <cell r="T3335" t="str">
            <v>00336949 - Mochammad Al Farabi</v>
          </cell>
          <cell r="U3335" t="str">
            <v>"-"</v>
          </cell>
        </row>
        <row r="3336">
          <cell r="A3336">
            <v>46265</v>
          </cell>
          <cell r="B3336" t="str">
            <v xml:space="preserve">ANDI NURHADI NUSANTARA                  </v>
          </cell>
          <cell r="C3336" t="str">
            <v>ACFPH79</v>
          </cell>
          <cell r="D3336">
            <v>40301001760302</v>
          </cell>
          <cell r="E3336" t="str">
            <v>SEDANG</v>
          </cell>
          <cell r="F3336" t="str">
            <v>Tidak</v>
          </cell>
          <cell r="G3336" t="str">
            <v>Tidak</v>
          </cell>
          <cell r="H3336" t="str">
            <v>Tidak</v>
          </cell>
          <cell r="I3336" t="str">
            <v>Perpajakan</v>
          </cell>
          <cell r="J3336">
            <v>48</v>
          </cell>
          <cell r="K3336">
            <v>41</v>
          </cell>
          <cell r="L3336" t="str">
            <v>Perpajakan</v>
          </cell>
          <cell r="M3336" t="str">
            <v xml:space="preserve">KC Tamalanrea                           </v>
          </cell>
          <cell r="N3336" t="str">
            <v xml:space="preserve">KC Tamalanrea                           </v>
          </cell>
          <cell r="O3336" t="str">
            <v xml:space="preserve">Makassar                                </v>
          </cell>
          <cell r="P3336" t="str">
            <v>Tidak</v>
          </cell>
          <cell r="Q3336" t="str">
            <v>Tidak</v>
          </cell>
          <cell r="R3336" t="str">
            <v>Done</v>
          </cell>
          <cell r="S3336" t="str">
            <v>Pending Checker</v>
          </cell>
          <cell r="T3336" t="str">
            <v>90186790 - Muhammad Alfin Farha</v>
          </cell>
          <cell r="U3336" t="str">
            <v>"-"</v>
          </cell>
        </row>
        <row r="3337">
          <cell r="A3337">
            <v>46265</v>
          </cell>
          <cell r="B3337" t="str">
            <v xml:space="preserve">DWITARI SEJAHTERA PROPERTINDO           </v>
          </cell>
          <cell r="C3337" t="str">
            <v>DVL0242</v>
          </cell>
          <cell r="D3337">
            <v>60901001713567</v>
          </cell>
          <cell r="E3337" t="str">
            <v>SEDANG</v>
          </cell>
          <cell r="F3337" t="str">
            <v>Tidak</v>
          </cell>
          <cell r="G3337" t="str">
            <v>Tidak</v>
          </cell>
          <cell r="H3337" t="str">
            <v>Tidak</v>
          </cell>
          <cell r="I3337" t="str">
            <v>Perpajakan</v>
          </cell>
          <cell r="J3337">
            <v>48</v>
          </cell>
          <cell r="K3337">
            <v>41</v>
          </cell>
          <cell r="L3337" t="str">
            <v>Perpajakan</v>
          </cell>
          <cell r="M3337" t="str">
            <v xml:space="preserve">KC Semarang A. Yani                     </v>
          </cell>
          <cell r="N3337" t="str">
            <v xml:space="preserve">KC Semarang A. Yani                     </v>
          </cell>
          <cell r="O3337" t="str">
            <v xml:space="preserve">Semarang                                </v>
          </cell>
          <cell r="P3337" t="str">
            <v>Tidak</v>
          </cell>
          <cell r="Q3337" t="str">
            <v>Tidak</v>
          </cell>
          <cell r="R3337" t="str">
            <v>Done</v>
          </cell>
          <cell r="S3337" t="str">
            <v>Pending Signer</v>
          </cell>
          <cell r="T3337" t="str">
            <v>90170665 - Mutiara Ayuningtyas</v>
          </cell>
          <cell r="U3337" t="str">
            <v>"-"</v>
          </cell>
        </row>
        <row r="3338">
          <cell r="A3338">
            <v>46265</v>
          </cell>
          <cell r="B3338" t="str">
            <v xml:space="preserve">DIMAS ALPIANA PUTRA                     </v>
          </cell>
          <cell r="C3338" t="str">
            <v>DVL2098</v>
          </cell>
          <cell r="D3338">
            <v>118701017348507</v>
          </cell>
          <cell r="E3338" t="str">
            <v>RENDAH</v>
          </cell>
          <cell r="F3338" t="str">
            <v>Tidak</v>
          </cell>
          <cell r="G3338" t="str">
            <v>Tidak</v>
          </cell>
          <cell r="H3338" t="str">
            <v>Tidak</v>
          </cell>
          <cell r="I3338" t="str">
            <v>Bandar Judol Withdrawal</v>
          </cell>
          <cell r="J3338">
            <v>35</v>
          </cell>
          <cell r="K3338" t="str">
            <v>86,88,87</v>
          </cell>
          <cell r="L3338" t="str">
            <v>Judi Online</v>
          </cell>
          <cell r="M3338" t="str">
            <v xml:space="preserve">Kas Kanpus                              </v>
          </cell>
          <cell r="N3338" t="str">
            <v xml:space="preserve">Kas Kanpus                              </v>
          </cell>
          <cell r="O3338" t="str">
            <v xml:space="preserve">KAS KANPUS                              </v>
          </cell>
          <cell r="P3338" t="str">
            <v>Ya</v>
          </cell>
          <cell r="Q3338" t="str">
            <v>Ya</v>
          </cell>
          <cell r="R3338" t="str">
            <v>Done</v>
          </cell>
          <cell r="S3338" t="str">
            <v>Approved</v>
          </cell>
          <cell r="T3338" t="str">
            <v>00394520 - Frida Akbar Rani</v>
          </cell>
          <cell r="U3338" t="str">
            <v>"-"</v>
          </cell>
        </row>
        <row r="3339">
          <cell r="A3339">
            <v>46265</v>
          </cell>
          <cell r="B3339" t="str">
            <v xml:space="preserve">DHONY PRAYUDI                           </v>
          </cell>
          <cell r="C3339" t="str">
            <v>DTR0216</v>
          </cell>
          <cell r="D3339">
            <v>531201000022561</v>
          </cell>
          <cell r="E3339" t="str">
            <v>SEDANG</v>
          </cell>
          <cell r="F3339" t="str">
            <v>Tidak</v>
          </cell>
          <cell r="G3339" t="str">
            <v>Tidak</v>
          </cell>
          <cell r="H3339" t="str">
            <v>Tidak</v>
          </cell>
          <cell r="I3339" t="str">
            <v>Bandar Judol Withdrawal</v>
          </cell>
          <cell r="J3339">
            <v>50</v>
          </cell>
          <cell r="K3339" t="str">
            <v>86,88,87</v>
          </cell>
          <cell r="L3339" t="str">
            <v>Judi Online</v>
          </cell>
          <cell r="M3339" t="str">
            <v xml:space="preserve">Kas Kanpus                              </v>
          </cell>
          <cell r="N3339" t="str">
            <v xml:space="preserve">Kas Kanpus                              </v>
          </cell>
          <cell r="O3339" t="str">
            <v xml:space="preserve">KAS KANPUS                              </v>
          </cell>
          <cell r="P3339" t="str">
            <v>Ya</v>
          </cell>
          <cell r="Q3339" t="str">
            <v>Ya</v>
          </cell>
          <cell r="R3339" t="str">
            <v>Done</v>
          </cell>
          <cell r="S3339" t="str">
            <v>Approved</v>
          </cell>
          <cell r="T3339" t="str">
            <v>00394520 - Frida Akbar Rani</v>
          </cell>
          <cell r="U3339" t="str">
            <v>"-"</v>
          </cell>
        </row>
        <row r="3340">
          <cell r="A3340">
            <v>46265</v>
          </cell>
          <cell r="B3340" t="str">
            <v xml:space="preserve">DIKKY FATRIN                            </v>
          </cell>
          <cell r="C3340" t="str">
            <v>DX06874</v>
          </cell>
          <cell r="D3340">
            <v>11501134274502</v>
          </cell>
          <cell r="E3340" t="str">
            <v>TINGGI</v>
          </cell>
          <cell r="F3340" t="str">
            <v>Tidak</v>
          </cell>
          <cell r="G3340" t="str">
            <v>Tidak</v>
          </cell>
          <cell r="H3340" t="str">
            <v>Tidak</v>
          </cell>
          <cell r="I3340" t="str">
            <v>Bandar Judol Withdrawal</v>
          </cell>
          <cell r="J3340">
            <v>75</v>
          </cell>
          <cell r="K3340" t="str">
            <v>86,88,87</v>
          </cell>
          <cell r="L3340" t="str">
            <v>Judi Online</v>
          </cell>
          <cell r="M3340" t="str">
            <v xml:space="preserve">Kas Kanpus                              </v>
          </cell>
          <cell r="N3340" t="str">
            <v xml:space="preserve">Kas Kanpus                              </v>
          </cell>
          <cell r="O3340" t="str">
            <v xml:space="preserve">KAS KANPUS                              </v>
          </cell>
          <cell r="P3340" t="str">
            <v>Tidak</v>
          </cell>
          <cell r="Q3340" t="str">
            <v>Tidak</v>
          </cell>
          <cell r="R3340" t="str">
            <v>Done</v>
          </cell>
          <cell r="S3340" t="str">
            <v>Approved</v>
          </cell>
          <cell r="T3340" t="str">
            <v>90150130 - Intan Aida Pratiwi</v>
          </cell>
          <cell r="U3340" t="str">
            <v>"-"</v>
          </cell>
        </row>
        <row r="3341">
          <cell r="A3341">
            <v>46265</v>
          </cell>
          <cell r="B3341" t="str">
            <v xml:space="preserve">DASRIP                                  </v>
          </cell>
          <cell r="C3341" t="str">
            <v>DX66829</v>
          </cell>
          <cell r="D3341">
            <v>583001006957534</v>
          </cell>
          <cell r="E3341" t="str">
            <v>SEDANG</v>
          </cell>
          <cell r="F3341" t="str">
            <v>Tidak</v>
          </cell>
          <cell r="G3341" t="str">
            <v>Tidak</v>
          </cell>
          <cell r="H3341" t="str">
            <v>Tidak</v>
          </cell>
          <cell r="I3341" t="str">
            <v>Bandar Judol Depo</v>
          </cell>
          <cell r="J3341">
            <v>50</v>
          </cell>
          <cell r="K3341" t="str">
            <v>86,74,87</v>
          </cell>
          <cell r="L3341" t="str">
            <v>Judi Online</v>
          </cell>
          <cell r="M3341" t="str">
            <v xml:space="preserve">Kas Kanpus                              </v>
          </cell>
          <cell r="N3341" t="str">
            <v xml:space="preserve">Kas Kanpus                              </v>
          </cell>
          <cell r="O3341" t="str">
            <v xml:space="preserve">KAS KANPUS                              </v>
          </cell>
          <cell r="P3341" t="str">
            <v>Tidak</v>
          </cell>
          <cell r="Q3341" t="str">
            <v>Ya</v>
          </cell>
          <cell r="R3341" t="str">
            <v>Done</v>
          </cell>
          <cell r="S3341" t="str">
            <v>Approved</v>
          </cell>
          <cell r="T3341" t="str">
            <v>00394521 - Muhammad Hibbanduta</v>
          </cell>
          <cell r="U3341" t="str">
            <v>"-"</v>
          </cell>
        </row>
        <row r="3342">
          <cell r="A3342">
            <v>46265</v>
          </cell>
          <cell r="B3342" t="str">
            <v xml:space="preserve">DEVYLLA PRALAYA                         </v>
          </cell>
          <cell r="C3342" t="str">
            <v>DXV5947</v>
          </cell>
          <cell r="D3342">
            <v>63801027918530</v>
          </cell>
          <cell r="E3342" t="str">
            <v>SEDANG</v>
          </cell>
          <cell r="F3342" t="str">
            <v>Tidak</v>
          </cell>
          <cell r="G3342" t="str">
            <v>Tidak</v>
          </cell>
          <cell r="H3342" t="str">
            <v>Tidak</v>
          </cell>
          <cell r="I3342" t="str">
            <v>Bandar Judol Depo</v>
          </cell>
          <cell r="J3342">
            <v>50</v>
          </cell>
          <cell r="K3342" t="str">
            <v>86,74,87</v>
          </cell>
          <cell r="L3342" t="str">
            <v>Judi Online</v>
          </cell>
          <cell r="M3342" t="str">
            <v xml:space="preserve">Kas Kanpus                              </v>
          </cell>
          <cell r="N3342" t="str">
            <v xml:space="preserve">Kas Kanpus                              </v>
          </cell>
          <cell r="O3342" t="str">
            <v xml:space="preserve">KAS KANPUS                              </v>
          </cell>
          <cell r="P3342" t="str">
            <v>Tidak</v>
          </cell>
          <cell r="Q3342" t="str">
            <v>Ya</v>
          </cell>
          <cell r="R3342" t="str">
            <v>Done</v>
          </cell>
          <cell r="S3342" t="str">
            <v>Approved</v>
          </cell>
          <cell r="T3342" t="str">
            <v>90185537 - Moh.Khoerul Fajar Ar</v>
          </cell>
          <cell r="U3342" t="str">
            <v>"-"</v>
          </cell>
        </row>
        <row r="3343">
          <cell r="A3343">
            <v>46265</v>
          </cell>
          <cell r="B3343" t="str">
            <v xml:space="preserve">DAVID SUSANTO                           </v>
          </cell>
          <cell r="C3343" t="str">
            <v>DW22104</v>
          </cell>
          <cell r="D3343">
            <v>86801007793507</v>
          </cell>
          <cell r="E3343" t="str">
            <v>SEDANG</v>
          </cell>
          <cell r="F3343" t="str">
            <v>Tidak</v>
          </cell>
          <cell r="G3343" t="str">
            <v>Tidak</v>
          </cell>
          <cell r="H3343" t="str">
            <v>Tidak</v>
          </cell>
          <cell r="I3343" t="str">
            <v>Bandar Judol Withdrawal</v>
          </cell>
          <cell r="J3343">
            <v>50</v>
          </cell>
          <cell r="K3343" t="str">
            <v>86,88,87</v>
          </cell>
          <cell r="L3343" t="str">
            <v>Judi Online</v>
          </cell>
          <cell r="M3343" t="str">
            <v xml:space="preserve">Kas Kanpus                              </v>
          </cell>
          <cell r="N3343" t="str">
            <v xml:space="preserve">Kas Kanpus                              </v>
          </cell>
          <cell r="O3343" t="str">
            <v xml:space="preserve">KAS KANPUS                              </v>
          </cell>
          <cell r="P3343" t="str">
            <v>Ya</v>
          </cell>
          <cell r="Q3343" t="str">
            <v>Ya</v>
          </cell>
          <cell r="R3343" t="str">
            <v>Done</v>
          </cell>
          <cell r="S3343" t="str">
            <v>Approved</v>
          </cell>
          <cell r="T3343" t="str">
            <v>00394520 - Frida Akbar Rani</v>
          </cell>
          <cell r="U3343" t="str">
            <v>"-"</v>
          </cell>
        </row>
        <row r="3344">
          <cell r="A3344">
            <v>46265</v>
          </cell>
          <cell r="B3344" t="str">
            <v xml:space="preserve">DESI AMELLIA                            </v>
          </cell>
          <cell r="C3344" t="str">
            <v>DWR7524</v>
          </cell>
          <cell r="D3344">
            <v>734901000018563</v>
          </cell>
          <cell r="E3344" t="str">
            <v>SEDANG</v>
          </cell>
          <cell r="F3344" t="str">
            <v>Tidak</v>
          </cell>
          <cell r="G3344" t="str">
            <v>Tidak</v>
          </cell>
          <cell r="H3344" t="str">
            <v>Tidak</v>
          </cell>
          <cell r="I3344" t="str">
            <v>Bandar Judol Withdrawal</v>
          </cell>
          <cell r="J3344">
            <v>50</v>
          </cell>
          <cell r="K3344" t="str">
            <v>86,88,87</v>
          </cell>
          <cell r="L3344" t="str">
            <v>Judi Online</v>
          </cell>
          <cell r="M3344" t="str">
            <v xml:space="preserve">Kas Kanpus                              </v>
          </cell>
          <cell r="N3344" t="str">
            <v xml:space="preserve">Kas Kanpus                              </v>
          </cell>
          <cell r="O3344" t="str">
            <v xml:space="preserve">KAS KANPUS                              </v>
          </cell>
          <cell r="P3344" t="str">
            <v>Ya</v>
          </cell>
          <cell r="Q3344" t="str">
            <v>Ya</v>
          </cell>
          <cell r="R3344" t="str">
            <v>Done</v>
          </cell>
          <cell r="S3344" t="str">
            <v>Approved</v>
          </cell>
          <cell r="T3344" t="str">
            <v>00336949 - Mochammad Al Farabi</v>
          </cell>
          <cell r="U3344" t="str">
            <v>"-"</v>
          </cell>
        </row>
        <row r="3345">
          <cell r="A3345">
            <v>46265</v>
          </cell>
          <cell r="B3345" t="str">
            <v xml:space="preserve">DIKKY FATRIN                            </v>
          </cell>
          <cell r="C3345" t="str">
            <v>DX06874</v>
          </cell>
          <cell r="D3345">
            <v>110401000585560</v>
          </cell>
          <cell r="E3345" t="str">
            <v>TINGGI</v>
          </cell>
          <cell r="F3345" t="str">
            <v>Tidak</v>
          </cell>
          <cell r="G3345" t="str">
            <v>Tidak</v>
          </cell>
          <cell r="H3345" t="str">
            <v>Tidak</v>
          </cell>
          <cell r="I3345" t="str">
            <v>Bandar Judol Withdrawal</v>
          </cell>
          <cell r="J3345">
            <v>75</v>
          </cell>
          <cell r="K3345" t="str">
            <v>86,88,87</v>
          </cell>
          <cell r="L3345" t="str">
            <v>Judi Online</v>
          </cell>
          <cell r="M3345" t="str">
            <v xml:space="preserve">Kas Kanpus                              </v>
          </cell>
          <cell r="N3345" t="str">
            <v xml:space="preserve">Kas Kanpus                              </v>
          </cell>
          <cell r="O3345" t="str">
            <v xml:space="preserve">KAS KANPUS                              </v>
          </cell>
          <cell r="P3345" t="str">
            <v>Tidak</v>
          </cell>
          <cell r="Q3345" t="str">
            <v>Tidak</v>
          </cell>
          <cell r="R3345" t="str">
            <v>Done</v>
          </cell>
          <cell r="S3345" t="str">
            <v>Approved</v>
          </cell>
          <cell r="T3345" t="str">
            <v>90186796 - Devito Arya Wiradila</v>
          </cell>
          <cell r="U3345" t="str">
            <v>"-"</v>
          </cell>
        </row>
        <row r="3346">
          <cell r="A3346">
            <v>46265</v>
          </cell>
          <cell r="B3346" t="str">
            <v xml:space="preserve">DANDY ISLAMI                            </v>
          </cell>
          <cell r="C3346" t="str">
            <v>DNA0927</v>
          </cell>
          <cell r="D3346">
            <v>41801027289507</v>
          </cell>
          <cell r="E3346" t="str">
            <v>RENDAH</v>
          </cell>
          <cell r="F3346" t="str">
            <v>Tidak</v>
          </cell>
          <cell r="G3346" t="str">
            <v>Tidak</v>
          </cell>
          <cell r="H3346" t="str">
            <v>Tidak</v>
          </cell>
          <cell r="I3346" t="str">
            <v>Bandar Judol Withdrawal</v>
          </cell>
          <cell r="J3346">
            <v>35</v>
          </cell>
          <cell r="K3346" t="str">
            <v>86,88,87</v>
          </cell>
          <cell r="L3346" t="str">
            <v>Judi Online</v>
          </cell>
          <cell r="M3346" t="str">
            <v xml:space="preserve">Kas Kanpus                              </v>
          </cell>
          <cell r="N3346" t="str">
            <v xml:space="preserve">Kas Kanpus                              </v>
          </cell>
          <cell r="O3346" t="str">
            <v xml:space="preserve">KAS KANPUS                              </v>
          </cell>
          <cell r="P3346" t="str">
            <v>Ya</v>
          </cell>
          <cell r="Q3346" t="str">
            <v>Ya</v>
          </cell>
          <cell r="R3346" t="str">
            <v>Done</v>
          </cell>
          <cell r="S3346" t="str">
            <v>Approved</v>
          </cell>
          <cell r="T3346" t="str">
            <v>90186790 - Muhammad Alfin Farha</v>
          </cell>
          <cell r="U3346" t="str">
            <v>"-"</v>
          </cell>
        </row>
        <row r="3347">
          <cell r="A3347">
            <v>46265</v>
          </cell>
          <cell r="B3347" t="str">
            <v xml:space="preserve">DICKY HERMAWAN                          </v>
          </cell>
          <cell r="C3347" t="str">
            <v>DUG6401</v>
          </cell>
          <cell r="D3347">
            <v>23801002050567</v>
          </cell>
          <cell r="E3347" t="str">
            <v>SEDANG</v>
          </cell>
          <cell r="F3347" t="str">
            <v>Tidak</v>
          </cell>
          <cell r="G3347" t="str">
            <v>Tidak</v>
          </cell>
          <cell r="H3347" t="str">
            <v>Tidak</v>
          </cell>
          <cell r="I3347" t="str">
            <v>Bandar Judol Withdrawal</v>
          </cell>
          <cell r="J3347">
            <v>50</v>
          </cell>
          <cell r="K3347" t="str">
            <v>86,88,87</v>
          </cell>
          <cell r="L3347" t="str">
            <v>Judi Online</v>
          </cell>
          <cell r="M3347" t="str">
            <v xml:space="preserve">Kas Kanpus                              </v>
          </cell>
          <cell r="N3347" t="str">
            <v xml:space="preserve">Kas Kanpus                              </v>
          </cell>
          <cell r="O3347" t="str">
            <v xml:space="preserve">KAS KANPUS                              </v>
          </cell>
          <cell r="P3347" t="str">
            <v>Ya</v>
          </cell>
          <cell r="Q3347" t="str">
            <v>Ya</v>
          </cell>
          <cell r="R3347" t="str">
            <v>Done</v>
          </cell>
          <cell r="S3347" t="str">
            <v>Approved</v>
          </cell>
          <cell r="T3347" t="str">
            <v>90186790 - Muhammad Alfin Farha</v>
          </cell>
          <cell r="U3347" t="str">
            <v>"-"</v>
          </cell>
        </row>
        <row r="3348">
          <cell r="A3348">
            <v>46265</v>
          </cell>
          <cell r="B3348" t="str">
            <v xml:space="preserve">DEDI HARYANTO                           </v>
          </cell>
          <cell r="C3348" t="str">
            <v>DUI5621</v>
          </cell>
          <cell r="D3348">
            <v>8301187799506</v>
          </cell>
          <cell r="E3348" t="str">
            <v>RENDAH</v>
          </cell>
          <cell r="F3348" t="str">
            <v>Tidak</v>
          </cell>
          <cell r="G3348" t="str">
            <v>Tidak</v>
          </cell>
          <cell r="H3348" t="str">
            <v>Tidak</v>
          </cell>
          <cell r="I3348" t="str">
            <v>Bandar Judol Withdrawal</v>
          </cell>
          <cell r="J3348">
            <v>35</v>
          </cell>
          <cell r="K3348" t="str">
            <v>86,88,87</v>
          </cell>
          <cell r="L3348" t="str">
            <v>Judi Online</v>
          </cell>
          <cell r="M3348" t="str">
            <v xml:space="preserve">Kas Kanpus                              </v>
          </cell>
          <cell r="N3348" t="str">
            <v xml:space="preserve">Kas Kanpus                              </v>
          </cell>
          <cell r="O3348" t="str">
            <v xml:space="preserve">KAS KANPUS                              </v>
          </cell>
          <cell r="P3348" t="str">
            <v>Tidak</v>
          </cell>
          <cell r="Q3348" t="str">
            <v>Ya</v>
          </cell>
          <cell r="R3348" t="str">
            <v>Done</v>
          </cell>
          <cell r="S3348" t="str">
            <v>Approved</v>
          </cell>
          <cell r="T3348" t="str">
            <v>00394521 - Muhammad Hibbanduta</v>
          </cell>
          <cell r="U3348" t="str">
            <v>"-"</v>
          </cell>
        </row>
        <row r="3349">
          <cell r="A3349">
            <v>46265</v>
          </cell>
          <cell r="B3349" t="str">
            <v xml:space="preserve">DEDE BUHORI                             </v>
          </cell>
          <cell r="C3349" t="str">
            <v>DSY3589</v>
          </cell>
          <cell r="D3349">
            <v>126301000114565</v>
          </cell>
          <cell r="E3349" t="str">
            <v>SEDANG</v>
          </cell>
          <cell r="F3349" t="str">
            <v>Tidak</v>
          </cell>
          <cell r="G3349" t="str">
            <v>Tidak</v>
          </cell>
          <cell r="H3349" t="str">
            <v>Ya</v>
          </cell>
          <cell r="I3349" t="str">
            <v>Bandar Judol Withdrawal</v>
          </cell>
          <cell r="J3349">
            <v>50</v>
          </cell>
          <cell r="K3349" t="str">
            <v>86,88,87</v>
          </cell>
          <cell r="L3349" t="str">
            <v>Judi Online</v>
          </cell>
          <cell r="M3349" t="str">
            <v xml:space="preserve">Kas Kanpus                              </v>
          </cell>
          <cell r="N3349" t="str">
            <v xml:space="preserve">Kas Kanpus                              </v>
          </cell>
          <cell r="O3349" t="str">
            <v xml:space="preserve">KAS KANPUS                              </v>
          </cell>
          <cell r="P3349" t="str">
            <v>Ya</v>
          </cell>
          <cell r="Q3349" t="str">
            <v>Ya</v>
          </cell>
          <cell r="R3349" t="str">
            <v>Done</v>
          </cell>
          <cell r="S3349" t="str">
            <v>Approved</v>
          </cell>
          <cell r="T3349" t="str">
            <v>90185537 - Moh.Khoerul Fajar Ar</v>
          </cell>
          <cell r="U3349" t="str">
            <v>"-"</v>
          </cell>
        </row>
        <row r="3350">
          <cell r="A3350">
            <v>46265</v>
          </cell>
          <cell r="B3350" t="str">
            <v xml:space="preserve">ERWIN SUDJONO                           </v>
          </cell>
          <cell r="C3350" t="str">
            <v>E634416</v>
          </cell>
          <cell r="D3350">
            <v>20601040976500</v>
          </cell>
          <cell r="E3350" t="str">
            <v>TINGGI</v>
          </cell>
          <cell r="F3350" t="str">
            <v>Tidak</v>
          </cell>
          <cell r="G3350" t="str">
            <v>Tidak</v>
          </cell>
          <cell r="H3350" t="str">
            <v>Tidak</v>
          </cell>
          <cell r="I3350" t="str">
            <v>Private or Priority Customer Investment</v>
          </cell>
          <cell r="J3350">
            <v>78</v>
          </cell>
          <cell r="K3350">
            <v>93</v>
          </cell>
          <cell r="L3350" t="str">
            <v>Pasar Modal</v>
          </cell>
          <cell r="M3350" t="str">
            <v xml:space="preserve">Jkt KCK                                 </v>
          </cell>
          <cell r="N3350" t="str">
            <v xml:space="preserve">Jkt KCK                                 </v>
          </cell>
          <cell r="O3350" t="str">
            <v xml:space="preserve">DKI                                     </v>
          </cell>
          <cell r="P3350" t="str">
            <v>Tidak</v>
          </cell>
          <cell r="Q3350" t="str">
            <v>Tidak</v>
          </cell>
          <cell r="R3350" t="str">
            <v>Done</v>
          </cell>
          <cell r="S3350" t="str">
            <v>Approved</v>
          </cell>
          <cell r="T3350" t="str">
            <v>90171841 - Rifqi Aziz</v>
          </cell>
          <cell r="U3350" t="str">
            <v>"-"</v>
          </cell>
        </row>
        <row r="3351">
          <cell r="A3351">
            <v>46265</v>
          </cell>
          <cell r="B3351" t="str">
            <v xml:space="preserve">EKO WIBOWO SAPUTRO                      </v>
          </cell>
          <cell r="C3351" t="str">
            <v>EBG7867</v>
          </cell>
          <cell r="D3351">
            <v>22701085351503</v>
          </cell>
          <cell r="E3351" t="str">
            <v>SEDANG</v>
          </cell>
          <cell r="F3351" t="str">
            <v>Tidak</v>
          </cell>
          <cell r="G3351" t="str">
            <v>Tidak</v>
          </cell>
          <cell r="H3351" t="str">
            <v>Tidak</v>
          </cell>
          <cell r="I3351" t="str">
            <v>Perikanan dan Kelautan</v>
          </cell>
          <cell r="J3351">
            <v>49</v>
          </cell>
          <cell r="K3351">
            <v>101</v>
          </cell>
          <cell r="L3351" t="str">
            <v>Perikanan dan Kelautan</v>
          </cell>
          <cell r="M3351" t="str">
            <v xml:space="preserve">UNIT PINANG KENCANA TANJUNG PI          </v>
          </cell>
          <cell r="N3351" t="str">
            <v xml:space="preserve">KC Tanjung Pinang                       </v>
          </cell>
          <cell r="O3351" t="str">
            <v xml:space="preserve">KANWIL PEKANBARU                        </v>
          </cell>
          <cell r="P3351" t="str">
            <v>Tidak</v>
          </cell>
          <cell r="Q3351" t="str">
            <v>Tidak</v>
          </cell>
          <cell r="R3351" t="str">
            <v>Done</v>
          </cell>
          <cell r="S3351" t="str">
            <v>Approved</v>
          </cell>
          <cell r="T3351" t="str">
            <v>90185538 - Muhammad Fahikal Auz</v>
          </cell>
          <cell r="U3351" t="str">
            <v>"-"</v>
          </cell>
        </row>
        <row r="3352">
          <cell r="A3352">
            <v>46265</v>
          </cell>
          <cell r="B3352" t="str">
            <v xml:space="preserve">DONA SUPRIYATNA                         </v>
          </cell>
          <cell r="C3352" t="str">
            <v>DW09113</v>
          </cell>
          <cell r="D3352">
            <v>122301022386502</v>
          </cell>
          <cell r="E3352" t="str">
            <v>SEDANG</v>
          </cell>
          <cell r="F3352" t="str">
            <v>Tidak</v>
          </cell>
          <cell r="G3352" t="str">
            <v>Tidak</v>
          </cell>
          <cell r="H3352" t="str">
            <v>Tidak</v>
          </cell>
          <cell r="I3352" t="str">
            <v>Bandar Judol Withdrawal</v>
          </cell>
          <cell r="J3352">
            <v>50</v>
          </cell>
          <cell r="K3352" t="str">
            <v>86,88,87</v>
          </cell>
          <cell r="L3352" t="str">
            <v>Judi Online</v>
          </cell>
          <cell r="M3352" t="str">
            <v xml:space="preserve">Kas Kanpus                              </v>
          </cell>
          <cell r="N3352" t="str">
            <v xml:space="preserve">Kas Kanpus                              </v>
          </cell>
          <cell r="O3352" t="str">
            <v xml:space="preserve">KAS KANPUS                              </v>
          </cell>
          <cell r="P3352" t="str">
            <v>Ya</v>
          </cell>
          <cell r="Q3352" t="str">
            <v>Ya</v>
          </cell>
          <cell r="R3352" t="str">
            <v>Done</v>
          </cell>
          <cell r="S3352" t="str">
            <v>Approved</v>
          </cell>
          <cell r="T3352" t="str">
            <v>90185538 - Muhammad Fahikal Auz</v>
          </cell>
          <cell r="U3352" t="str">
            <v>"-"</v>
          </cell>
        </row>
        <row r="3353">
          <cell r="A3353">
            <v>46265</v>
          </cell>
          <cell r="B3353" t="str">
            <v xml:space="preserve">EFFIE TJANDRA                           </v>
          </cell>
          <cell r="C3353" t="str">
            <v>EAR6902</v>
          </cell>
          <cell r="D3353">
            <v>111801000134300</v>
          </cell>
          <cell r="E3353" t="str">
            <v>TINGGI</v>
          </cell>
          <cell r="F3353" t="str">
            <v>Tidak</v>
          </cell>
          <cell r="G3353" t="str">
            <v>Tidak</v>
          </cell>
          <cell r="H3353" t="str">
            <v>Tidak</v>
          </cell>
          <cell r="I3353" t="str">
            <v>Bandar Judol Depo</v>
          </cell>
          <cell r="J3353">
            <v>65</v>
          </cell>
          <cell r="K3353" t="str">
            <v>86,74,87</v>
          </cell>
          <cell r="L3353" t="str">
            <v>Judi Online</v>
          </cell>
          <cell r="M3353" t="str">
            <v xml:space="preserve">Kas Kanpus                              </v>
          </cell>
          <cell r="N3353" t="str">
            <v xml:space="preserve">Kas Kanpus                              </v>
          </cell>
          <cell r="O3353" t="str">
            <v xml:space="preserve">KAS KANPUS                              </v>
          </cell>
          <cell r="P3353" t="str">
            <v>Tidak</v>
          </cell>
          <cell r="Q3353" t="str">
            <v>Ya</v>
          </cell>
          <cell r="R3353" t="str">
            <v>Done</v>
          </cell>
          <cell r="S3353" t="str">
            <v>Approved</v>
          </cell>
          <cell r="T3353" t="str">
            <v>00394521 - Muhammad Hibbanduta</v>
          </cell>
          <cell r="U3353" t="str">
            <v>"-"</v>
          </cell>
        </row>
        <row r="3354">
          <cell r="A3354">
            <v>46265</v>
          </cell>
          <cell r="B3354" t="str">
            <v xml:space="preserve">EKO TEGUH HARIYANTO                     </v>
          </cell>
          <cell r="C3354" t="str">
            <v>EEF5772</v>
          </cell>
          <cell r="D3354">
            <v>2201002080569</v>
          </cell>
          <cell r="E3354" t="str">
            <v>SEDANG</v>
          </cell>
          <cell r="F3354" t="str">
            <v>Tidak</v>
          </cell>
          <cell r="G3354" t="str">
            <v>Tidak</v>
          </cell>
          <cell r="H3354" t="str">
            <v>Tidak</v>
          </cell>
          <cell r="I3354" t="str">
            <v>Perikanan dan Kelautan</v>
          </cell>
          <cell r="J3354">
            <v>59</v>
          </cell>
          <cell r="K3354">
            <v>101</v>
          </cell>
          <cell r="L3354" t="str">
            <v>Perikanan dan Kelautan</v>
          </cell>
          <cell r="M3354" t="str">
            <v xml:space="preserve">UNIT BANDAR BINTUAN MANNA               </v>
          </cell>
          <cell r="N3354" t="str">
            <v xml:space="preserve">KC Manna                                </v>
          </cell>
          <cell r="O3354" t="str">
            <v xml:space="preserve">KANWIL BANDAR LAMPUNG                   </v>
          </cell>
          <cell r="P3354" t="str">
            <v>Tidak</v>
          </cell>
          <cell r="Q3354" t="str">
            <v>Ya</v>
          </cell>
          <cell r="R3354" t="str">
            <v>Done</v>
          </cell>
          <cell r="S3354" t="str">
            <v>Approved</v>
          </cell>
          <cell r="T3354" t="str">
            <v>00394521 - Muhammad Hibbanduta</v>
          </cell>
          <cell r="U3354" t="str">
            <v>"-"</v>
          </cell>
        </row>
        <row r="3355">
          <cell r="A3355">
            <v>46265</v>
          </cell>
          <cell r="B3355" t="str">
            <v xml:space="preserve">ELLEN PATRICIA S.SASIANG                </v>
          </cell>
          <cell r="C3355" t="str">
            <v>EEM5210</v>
          </cell>
          <cell r="D3355">
            <v>51001000210565</v>
          </cell>
          <cell r="E3355" t="str">
            <v>SEDANG</v>
          </cell>
          <cell r="F3355" t="str">
            <v>Tidak</v>
          </cell>
          <cell r="G3355" t="str">
            <v>Tidak</v>
          </cell>
          <cell r="H3355" t="str">
            <v>Tidak</v>
          </cell>
          <cell r="I3355" t="str">
            <v>Perikanan dan Kelautan</v>
          </cell>
          <cell r="J3355">
            <v>50</v>
          </cell>
          <cell r="K3355">
            <v>98</v>
          </cell>
          <cell r="L3355" t="str">
            <v>Perikanan dan Kelautan</v>
          </cell>
          <cell r="M3355" t="str">
            <v xml:space="preserve">KCP CIJANTUNG                           </v>
          </cell>
          <cell r="N3355" t="str">
            <v xml:space="preserve">KC Jakarta Kramat Jati                  </v>
          </cell>
          <cell r="O3355" t="str">
            <v xml:space="preserve">DKI                                     </v>
          </cell>
          <cell r="P3355" t="str">
            <v>Tidak</v>
          </cell>
          <cell r="Q3355" t="str">
            <v>Tidak</v>
          </cell>
          <cell r="R3355" t="str">
            <v>Done</v>
          </cell>
          <cell r="S3355" t="str">
            <v>Approved</v>
          </cell>
          <cell r="T3355" t="str">
            <v>90186790 - Muhammad Alfin Farha</v>
          </cell>
          <cell r="U3355" t="str">
            <v>"-"</v>
          </cell>
        </row>
        <row r="3356">
          <cell r="A3356">
            <v>46265</v>
          </cell>
          <cell r="B3356" t="str">
            <v xml:space="preserve">ERLANGGA                                </v>
          </cell>
          <cell r="C3356" t="str">
            <v>EHE9714</v>
          </cell>
          <cell r="D3356">
            <v>8401003167564</v>
          </cell>
          <cell r="E3356" t="str">
            <v>SEDANG</v>
          </cell>
          <cell r="F3356" t="str">
            <v>Tidak</v>
          </cell>
          <cell r="G3356" t="str">
            <v>Tidak</v>
          </cell>
          <cell r="H3356" t="str">
            <v>Tidak</v>
          </cell>
          <cell r="I3356" t="str">
            <v>Bandar Judol Depo</v>
          </cell>
          <cell r="J3356">
            <v>50</v>
          </cell>
          <cell r="K3356" t="str">
            <v>86,74,87</v>
          </cell>
          <cell r="L3356" t="str">
            <v>Judi Online</v>
          </cell>
          <cell r="M3356" t="str">
            <v xml:space="preserve">Kas Kanpus                              </v>
          </cell>
          <cell r="N3356" t="str">
            <v xml:space="preserve">Kas Kanpus                              </v>
          </cell>
          <cell r="O3356" t="str">
            <v xml:space="preserve">KAS KANPUS                              </v>
          </cell>
          <cell r="P3356" t="str">
            <v>Ya</v>
          </cell>
          <cell r="Q3356" t="str">
            <v>Ya</v>
          </cell>
          <cell r="R3356" t="str">
            <v>Done</v>
          </cell>
          <cell r="S3356" t="str">
            <v>Approved</v>
          </cell>
          <cell r="T3356" t="str">
            <v>90150130 - Intan Aida Pratiwi</v>
          </cell>
          <cell r="U3356" t="str">
            <v>"-"</v>
          </cell>
        </row>
        <row r="3357">
          <cell r="A3357">
            <v>46265</v>
          </cell>
          <cell r="B3357" t="str">
            <v xml:space="preserve">ERAWATI                                 </v>
          </cell>
          <cell r="C3357" t="str">
            <v>EG19549</v>
          </cell>
          <cell r="D3357">
            <v>563201000060569</v>
          </cell>
          <cell r="E3357" t="str">
            <v>TINGGI</v>
          </cell>
          <cell r="F3357" t="str">
            <v>Tidak</v>
          </cell>
          <cell r="G3357" t="str">
            <v>Tidak</v>
          </cell>
          <cell r="H3357" t="str">
            <v>Tidak</v>
          </cell>
          <cell r="I3357" t="str">
            <v>Bandar Judol Withdrawal</v>
          </cell>
          <cell r="J3357">
            <v>65</v>
          </cell>
          <cell r="K3357" t="str">
            <v>86,88,87</v>
          </cell>
          <cell r="L3357" t="str">
            <v>Judi Online</v>
          </cell>
          <cell r="M3357" t="str">
            <v xml:space="preserve">Kas Kanpus                              </v>
          </cell>
          <cell r="N3357" t="str">
            <v xml:space="preserve">Kas Kanpus                              </v>
          </cell>
          <cell r="O3357" t="str">
            <v xml:space="preserve">KAS KANPUS                              </v>
          </cell>
          <cell r="P3357" t="str">
            <v>Ya</v>
          </cell>
          <cell r="Q3357" t="str">
            <v>Tidak</v>
          </cell>
          <cell r="R3357" t="str">
            <v>Done</v>
          </cell>
          <cell r="S3357" t="str">
            <v>Approved</v>
          </cell>
          <cell r="T3357" t="str">
            <v>00394521 - Muhammad Hibbanduta</v>
          </cell>
          <cell r="U3357" t="str">
            <v>"-"</v>
          </cell>
        </row>
        <row r="3358">
          <cell r="A3358">
            <v>46265</v>
          </cell>
          <cell r="B3358" t="str">
            <v xml:space="preserve">EVA APRIANTI                            </v>
          </cell>
          <cell r="C3358" t="str">
            <v>EG41277</v>
          </cell>
          <cell r="D3358">
            <v>114501028430509</v>
          </cell>
          <cell r="E3358" t="str">
            <v>SEDANG</v>
          </cell>
          <cell r="F3358" t="str">
            <v>Tidak</v>
          </cell>
          <cell r="G3358" t="str">
            <v>Tidak</v>
          </cell>
          <cell r="H3358" t="str">
            <v>Tidak</v>
          </cell>
          <cell r="I3358" t="str">
            <v>Bandar Judol Withdrawal</v>
          </cell>
          <cell r="J3358">
            <v>50</v>
          </cell>
          <cell r="K3358" t="str">
            <v>86,88,87</v>
          </cell>
          <cell r="L3358" t="str">
            <v>Judi Online</v>
          </cell>
          <cell r="M3358" t="str">
            <v xml:space="preserve">Kas Kanpus                              </v>
          </cell>
          <cell r="N3358" t="str">
            <v xml:space="preserve">Kas Kanpus                              </v>
          </cell>
          <cell r="O3358" t="str">
            <v xml:space="preserve">KAS KANPUS                              </v>
          </cell>
          <cell r="P3358" t="str">
            <v>Ya</v>
          </cell>
          <cell r="Q3358" t="str">
            <v>Ya</v>
          </cell>
          <cell r="R3358" t="str">
            <v>Done</v>
          </cell>
          <cell r="S3358" t="str">
            <v>Approved</v>
          </cell>
          <cell r="T3358" t="str">
            <v>00394520 - Frida Akbar Rani</v>
          </cell>
          <cell r="U3358" t="str">
            <v>"-"</v>
          </cell>
        </row>
        <row r="3359">
          <cell r="A3359">
            <v>46265</v>
          </cell>
          <cell r="B3359" t="str">
            <v xml:space="preserve">EVI ZAQIYAH                             </v>
          </cell>
          <cell r="C3359" t="str">
            <v>EDV8324</v>
          </cell>
          <cell r="D3359">
            <v>59101005481533</v>
          </cell>
          <cell r="E3359" t="str">
            <v>SEDANG</v>
          </cell>
          <cell r="F3359" t="str">
            <v>Tidak</v>
          </cell>
          <cell r="G3359" t="str">
            <v>Tidak</v>
          </cell>
          <cell r="H3359" t="str">
            <v>Tidak</v>
          </cell>
          <cell r="I3359" t="str">
            <v>Bandar Judol Depo</v>
          </cell>
          <cell r="J3359">
            <v>50</v>
          </cell>
          <cell r="K3359" t="str">
            <v>86,74,87</v>
          </cell>
          <cell r="L3359" t="str">
            <v>Judi Online</v>
          </cell>
          <cell r="M3359" t="str">
            <v xml:space="preserve">Kas Kanpus                              </v>
          </cell>
          <cell r="N3359" t="str">
            <v xml:space="preserve">Kas Kanpus                              </v>
          </cell>
          <cell r="O3359" t="str">
            <v xml:space="preserve">KAS KANPUS                              </v>
          </cell>
          <cell r="P3359" t="str">
            <v>Ya</v>
          </cell>
          <cell r="Q3359" t="str">
            <v>Ya</v>
          </cell>
          <cell r="R3359" t="str">
            <v>Done</v>
          </cell>
          <cell r="S3359" t="str">
            <v>Approved</v>
          </cell>
          <cell r="T3359" t="str">
            <v>90186796 - Devito Arya Wiradila</v>
          </cell>
          <cell r="U3359" t="str">
            <v>"-"</v>
          </cell>
        </row>
        <row r="3360">
          <cell r="A3360">
            <v>46265</v>
          </cell>
          <cell r="B3360" t="str">
            <v xml:space="preserve">EVI ULANDARI                            </v>
          </cell>
          <cell r="C3360" t="str">
            <v>ECY1402</v>
          </cell>
          <cell r="D3360">
            <v>56001018412538</v>
          </cell>
          <cell r="E3360" t="str">
            <v>SEDANG</v>
          </cell>
          <cell r="F3360" t="str">
            <v>Tidak</v>
          </cell>
          <cell r="G3360" t="str">
            <v>Tidak</v>
          </cell>
          <cell r="H3360" t="str">
            <v>Tidak</v>
          </cell>
          <cell r="I3360" t="str">
            <v>Bandar Judol Depo</v>
          </cell>
          <cell r="J3360">
            <v>50</v>
          </cell>
          <cell r="K3360" t="str">
            <v>86,74,87</v>
          </cell>
          <cell r="L3360" t="str">
            <v>Judi Online</v>
          </cell>
          <cell r="M3360" t="str">
            <v xml:space="preserve">Kas Kanpus                              </v>
          </cell>
          <cell r="N3360" t="str">
            <v xml:space="preserve">Kas Kanpus                              </v>
          </cell>
          <cell r="O3360" t="str">
            <v xml:space="preserve">KAS KANPUS                              </v>
          </cell>
          <cell r="P3360" t="str">
            <v>Ya</v>
          </cell>
          <cell r="Q3360" t="str">
            <v>Tidak</v>
          </cell>
          <cell r="R3360" t="str">
            <v>Done</v>
          </cell>
          <cell r="S3360" t="str">
            <v>Approved</v>
          </cell>
          <cell r="T3360" t="str">
            <v>00394520 - Frida Akbar Rani</v>
          </cell>
          <cell r="U3360" t="str">
            <v>"-"</v>
          </cell>
        </row>
        <row r="3361">
          <cell r="A3361">
            <v>46265</v>
          </cell>
          <cell r="B3361" t="str">
            <v xml:space="preserve">ERWIN MASTAN                            </v>
          </cell>
          <cell r="C3361" t="str">
            <v>EDJ2894</v>
          </cell>
          <cell r="D3361">
            <v>8201128826508</v>
          </cell>
          <cell r="E3361" t="str">
            <v>TINGGI</v>
          </cell>
          <cell r="F3361" t="str">
            <v>Tidak</v>
          </cell>
          <cell r="G3361" t="str">
            <v>Tidak</v>
          </cell>
          <cell r="H3361" t="str">
            <v>Tidak</v>
          </cell>
          <cell r="I3361" t="str">
            <v>Bandar Judol Withdrawal</v>
          </cell>
          <cell r="J3361">
            <v>65</v>
          </cell>
          <cell r="K3361" t="str">
            <v>86,88,87</v>
          </cell>
          <cell r="L3361" t="str">
            <v>Judi Online</v>
          </cell>
          <cell r="M3361" t="str">
            <v xml:space="preserve">Kas Kanpus                              </v>
          </cell>
          <cell r="N3361" t="str">
            <v xml:space="preserve">Kas Kanpus                              </v>
          </cell>
          <cell r="O3361" t="str">
            <v xml:space="preserve">KAS KANPUS                              </v>
          </cell>
          <cell r="P3361" t="str">
            <v>Tidak</v>
          </cell>
          <cell r="Q3361" t="str">
            <v>Tidak</v>
          </cell>
          <cell r="R3361" t="str">
            <v>Done</v>
          </cell>
          <cell r="S3361" t="str">
            <v>Approved</v>
          </cell>
          <cell r="T3361" t="str">
            <v>00394520 - Frida Akbar Rani</v>
          </cell>
          <cell r="U3361" t="str">
            <v>"-"</v>
          </cell>
        </row>
        <row r="3362">
          <cell r="A3362">
            <v>46265</v>
          </cell>
          <cell r="B3362" t="str">
            <v xml:space="preserve">ERIKA SINURAT                           </v>
          </cell>
          <cell r="C3362" t="str">
            <v>EDN3274</v>
          </cell>
          <cell r="D3362">
            <v>550001011412534</v>
          </cell>
          <cell r="E3362" t="str">
            <v>SEDANG</v>
          </cell>
          <cell r="F3362" t="str">
            <v>Tidak</v>
          </cell>
          <cell r="G3362" t="str">
            <v>Tidak</v>
          </cell>
          <cell r="H3362" t="str">
            <v>Tidak</v>
          </cell>
          <cell r="I3362" t="str">
            <v>Bandar Judol Depo</v>
          </cell>
          <cell r="J3362">
            <v>50</v>
          </cell>
          <cell r="K3362" t="str">
            <v>86,74,87</v>
          </cell>
          <cell r="L3362" t="str">
            <v>Judi Online</v>
          </cell>
          <cell r="M3362" t="str">
            <v xml:space="preserve">Kas Kanpus                              </v>
          </cell>
          <cell r="N3362" t="str">
            <v xml:space="preserve">Kas Kanpus                              </v>
          </cell>
          <cell r="O3362" t="str">
            <v xml:space="preserve">KAS KANPUS                              </v>
          </cell>
          <cell r="P3362" t="str">
            <v>Tidak</v>
          </cell>
          <cell r="Q3362" t="str">
            <v>Ya</v>
          </cell>
          <cell r="R3362" t="str">
            <v>Done</v>
          </cell>
          <cell r="S3362" t="str">
            <v>Approved</v>
          </cell>
          <cell r="T3362" t="str">
            <v>90185537 - Moh.Khoerul Fajar Ar</v>
          </cell>
          <cell r="U3362" t="str">
            <v>"-"</v>
          </cell>
        </row>
        <row r="3363">
          <cell r="A3363">
            <v>46265</v>
          </cell>
          <cell r="B3363" t="str">
            <v xml:space="preserve">EVITAMALA BR NAINGGOLAN                 </v>
          </cell>
          <cell r="C3363" t="str">
            <v>EDQ4426</v>
          </cell>
          <cell r="D3363">
            <v>15901022745534</v>
          </cell>
          <cell r="E3363" t="str">
            <v>SEDANG</v>
          </cell>
          <cell r="F3363" t="str">
            <v>Tidak</v>
          </cell>
          <cell r="G3363" t="str">
            <v>Tidak</v>
          </cell>
          <cell r="H3363" t="str">
            <v>Tidak</v>
          </cell>
          <cell r="I3363" t="str">
            <v>Bandar Judol Withdrawal</v>
          </cell>
          <cell r="J3363">
            <v>50</v>
          </cell>
          <cell r="K3363" t="str">
            <v>86,88,87</v>
          </cell>
          <cell r="L3363" t="str">
            <v>Judi Online</v>
          </cell>
          <cell r="M3363" t="str">
            <v xml:space="preserve">Kas Kanpus                              </v>
          </cell>
          <cell r="N3363" t="str">
            <v xml:space="preserve">Kas Kanpus                              </v>
          </cell>
          <cell r="O3363" t="str">
            <v xml:space="preserve">KAS KANPUS                              </v>
          </cell>
          <cell r="P3363" t="str">
            <v>Ya</v>
          </cell>
          <cell r="Q3363" t="str">
            <v>Ya</v>
          </cell>
          <cell r="R3363" t="str">
            <v>Done</v>
          </cell>
          <cell r="S3363" t="str">
            <v>Approved</v>
          </cell>
          <cell r="T3363" t="str">
            <v>90171841 - Rifqi Aziz</v>
          </cell>
          <cell r="U3363" t="str">
            <v>"-"</v>
          </cell>
        </row>
        <row r="3364">
          <cell r="A3364">
            <v>46265</v>
          </cell>
          <cell r="B3364" t="str">
            <v xml:space="preserve">ELLY MULYATI                            </v>
          </cell>
          <cell r="C3364" t="str">
            <v>ETZ3119</v>
          </cell>
          <cell r="D3364">
            <v>12001001604564</v>
          </cell>
          <cell r="E3364" t="str">
            <v>SEDANG</v>
          </cell>
          <cell r="F3364" t="str">
            <v>Tidak</v>
          </cell>
          <cell r="G3364" t="str">
            <v>Tidak</v>
          </cell>
          <cell r="H3364" t="str">
            <v>Tidak</v>
          </cell>
          <cell r="I3364" t="str">
            <v>Bandar Judol Withdrawal</v>
          </cell>
          <cell r="J3364">
            <v>50</v>
          </cell>
          <cell r="K3364" t="str">
            <v>86,88,87</v>
          </cell>
          <cell r="L3364" t="str">
            <v>Judi Online</v>
          </cell>
          <cell r="M3364" t="str">
            <v xml:space="preserve">Kas Kanpus                              </v>
          </cell>
          <cell r="N3364" t="str">
            <v xml:space="preserve">Kas Kanpus                              </v>
          </cell>
          <cell r="O3364" t="str">
            <v xml:space="preserve">KAS KANPUS                              </v>
          </cell>
          <cell r="P3364" t="str">
            <v>Ya</v>
          </cell>
          <cell r="Q3364" t="str">
            <v>Ya</v>
          </cell>
          <cell r="R3364" t="str">
            <v>Done</v>
          </cell>
          <cell r="S3364" t="str">
            <v>Approved</v>
          </cell>
          <cell r="T3364" t="str">
            <v>00394521 - Muhammad Hibbanduta</v>
          </cell>
          <cell r="U3364" t="str">
            <v>"-"</v>
          </cell>
        </row>
        <row r="3365">
          <cell r="A3365">
            <v>46265</v>
          </cell>
          <cell r="B3365" t="str">
            <v xml:space="preserve">ERICA MILENIA PUTRI                     </v>
          </cell>
          <cell r="C3365" t="str">
            <v>ESV2516</v>
          </cell>
          <cell r="D3365">
            <v>1701004592569</v>
          </cell>
          <cell r="E3365" t="str">
            <v>SEDANG</v>
          </cell>
          <cell r="F3365" t="str">
            <v>Tidak</v>
          </cell>
          <cell r="G3365" t="str">
            <v>Tidak</v>
          </cell>
          <cell r="H3365" t="str">
            <v>Tidak</v>
          </cell>
          <cell r="I3365" t="str">
            <v>Bandar Judol Withdrawal</v>
          </cell>
          <cell r="J3365">
            <v>50</v>
          </cell>
          <cell r="K3365" t="str">
            <v>86,88,87</v>
          </cell>
          <cell r="L3365" t="str">
            <v>Judi Online</v>
          </cell>
          <cell r="M3365" t="str">
            <v xml:space="preserve">Kas Kanpus                              </v>
          </cell>
          <cell r="N3365" t="str">
            <v xml:space="preserve">Kas Kanpus                              </v>
          </cell>
          <cell r="O3365" t="str">
            <v xml:space="preserve">KAS KANPUS                              </v>
          </cell>
          <cell r="P3365" t="str">
            <v>Ya</v>
          </cell>
          <cell r="Q3365" t="str">
            <v>Ya</v>
          </cell>
          <cell r="R3365" t="str">
            <v>Done</v>
          </cell>
          <cell r="S3365" t="str">
            <v>Approved</v>
          </cell>
          <cell r="T3365" t="str">
            <v>00336949 - Mochammad Al Farabi</v>
          </cell>
          <cell r="U3365" t="str">
            <v>"-"</v>
          </cell>
        </row>
        <row r="3366">
          <cell r="A3366">
            <v>46265</v>
          </cell>
          <cell r="B3366" t="str">
            <v xml:space="preserve">EKA LESTARI                             </v>
          </cell>
          <cell r="C3366" t="str">
            <v>ESZ7700</v>
          </cell>
          <cell r="D3366">
            <v>340901042479537</v>
          </cell>
          <cell r="E3366" t="str">
            <v>SEDANG</v>
          </cell>
          <cell r="F3366" t="str">
            <v>Tidak</v>
          </cell>
          <cell r="G3366" t="str">
            <v>Tidak</v>
          </cell>
          <cell r="H3366" t="str">
            <v>Tidak</v>
          </cell>
          <cell r="I3366" t="str">
            <v>Bandar Judol Depo</v>
          </cell>
          <cell r="J3366">
            <v>50</v>
          </cell>
          <cell r="K3366" t="str">
            <v>86,74,87</v>
          </cell>
          <cell r="L3366" t="str">
            <v>Judi Online</v>
          </cell>
          <cell r="M3366" t="str">
            <v xml:space="preserve">Kas Kanpus                              </v>
          </cell>
          <cell r="N3366" t="str">
            <v xml:space="preserve">Kas Kanpus                              </v>
          </cell>
          <cell r="O3366" t="str">
            <v xml:space="preserve">KAS KANPUS                              </v>
          </cell>
          <cell r="P3366" t="str">
            <v>Tidak</v>
          </cell>
          <cell r="Q3366" t="str">
            <v>Tidak</v>
          </cell>
          <cell r="R3366" t="str">
            <v>Done</v>
          </cell>
          <cell r="S3366" t="str">
            <v>Approved</v>
          </cell>
          <cell r="T3366" t="str">
            <v>00394520 - Frida Akbar Rani</v>
          </cell>
          <cell r="U3366" t="str">
            <v>"-"</v>
          </cell>
        </row>
        <row r="3367">
          <cell r="A3367">
            <v>46265</v>
          </cell>
          <cell r="B3367" t="str">
            <v xml:space="preserve">EVI YUNITA                              </v>
          </cell>
          <cell r="C3367" t="str">
            <v>ETE8233</v>
          </cell>
          <cell r="D3367">
            <v>338301014511503</v>
          </cell>
          <cell r="E3367" t="str">
            <v>SEDANG</v>
          </cell>
          <cell r="F3367" t="str">
            <v>Tidak</v>
          </cell>
          <cell r="G3367" t="str">
            <v>Tidak</v>
          </cell>
          <cell r="H3367" t="str">
            <v>Tidak</v>
          </cell>
          <cell r="I3367" t="str">
            <v>Bandar Judol Withdrawal</v>
          </cell>
          <cell r="J3367">
            <v>50</v>
          </cell>
          <cell r="K3367" t="str">
            <v>86,88,87</v>
          </cell>
          <cell r="L3367" t="str">
            <v>Judi Online</v>
          </cell>
          <cell r="M3367" t="str">
            <v xml:space="preserve">Kas Kanpus                              </v>
          </cell>
          <cell r="N3367" t="str">
            <v xml:space="preserve">Kas Kanpus                              </v>
          </cell>
          <cell r="O3367" t="str">
            <v xml:space="preserve">KAS KANPUS                              </v>
          </cell>
          <cell r="P3367" t="str">
            <v>Ya</v>
          </cell>
          <cell r="Q3367" t="str">
            <v>Ya</v>
          </cell>
          <cell r="R3367" t="str">
            <v>Done</v>
          </cell>
          <cell r="S3367" t="str">
            <v>Approved</v>
          </cell>
          <cell r="T3367" t="str">
            <v>90150130 - Intan Aida Pratiwi</v>
          </cell>
          <cell r="U3367" t="str">
            <v>"-"</v>
          </cell>
        </row>
        <row r="3368">
          <cell r="A3368">
            <v>46265</v>
          </cell>
          <cell r="B3368" t="str">
            <v xml:space="preserve">ELVANTI KARULITA                        </v>
          </cell>
          <cell r="C3368" t="str">
            <v>ERG6661</v>
          </cell>
          <cell r="D3368">
            <v>13001001630568</v>
          </cell>
          <cell r="E3368" t="str">
            <v>SEDANG</v>
          </cell>
          <cell r="F3368" t="str">
            <v>Tidak</v>
          </cell>
          <cell r="G3368" t="str">
            <v>Tidak</v>
          </cell>
          <cell r="H3368" t="str">
            <v>Tidak</v>
          </cell>
          <cell r="I3368" t="str">
            <v>Bandar Judol Depo</v>
          </cell>
          <cell r="J3368">
            <v>50</v>
          </cell>
          <cell r="K3368" t="str">
            <v>86,74,87</v>
          </cell>
          <cell r="L3368" t="str">
            <v>Judi Online</v>
          </cell>
          <cell r="M3368" t="str">
            <v xml:space="preserve">Kas Kanpus                              </v>
          </cell>
          <cell r="N3368" t="str">
            <v xml:space="preserve">Kas Kanpus                              </v>
          </cell>
          <cell r="O3368" t="str">
            <v xml:space="preserve">KAS KANPUS                              </v>
          </cell>
          <cell r="P3368" t="str">
            <v>Ya</v>
          </cell>
          <cell r="Q3368" t="str">
            <v>Ya</v>
          </cell>
          <cell r="R3368" t="str">
            <v>Done</v>
          </cell>
          <cell r="S3368" t="str">
            <v>Approved</v>
          </cell>
          <cell r="T3368" t="str">
            <v>90186790 - Muhammad Alfin Farha</v>
          </cell>
          <cell r="U3368" t="str">
            <v>"-"</v>
          </cell>
        </row>
        <row r="3369">
          <cell r="A3369">
            <v>46265</v>
          </cell>
          <cell r="B3369" t="str">
            <v xml:space="preserve">EIRENE CHRISTINE BENIFAERI ZEBUA        </v>
          </cell>
          <cell r="C3369" t="str">
            <v>ERL1979</v>
          </cell>
          <cell r="D3369">
            <v>210801000510568</v>
          </cell>
          <cell r="E3369" t="str">
            <v>SEDANG</v>
          </cell>
          <cell r="F3369" t="str">
            <v>Tidak</v>
          </cell>
          <cell r="G3369" t="str">
            <v>Tidak</v>
          </cell>
          <cell r="H3369" t="str">
            <v>Ya</v>
          </cell>
          <cell r="I3369" t="str">
            <v>Bandar Judol Withdrawal</v>
          </cell>
          <cell r="J3369">
            <v>50</v>
          </cell>
          <cell r="K3369" t="str">
            <v>86,88,87</v>
          </cell>
          <cell r="L3369" t="str">
            <v>Judi Online</v>
          </cell>
          <cell r="M3369" t="str">
            <v xml:space="preserve">Kas Kanpus                              </v>
          </cell>
          <cell r="N3369" t="str">
            <v xml:space="preserve">Kas Kanpus                              </v>
          </cell>
          <cell r="O3369" t="str">
            <v xml:space="preserve">KAS KANPUS                              </v>
          </cell>
          <cell r="P3369" t="str">
            <v>Ya</v>
          </cell>
          <cell r="Q3369" t="str">
            <v>Tidak</v>
          </cell>
          <cell r="R3369" t="str">
            <v>Done</v>
          </cell>
          <cell r="S3369" t="str">
            <v>Approved</v>
          </cell>
          <cell r="T3369" t="str">
            <v>00394520 - Frida Akbar Rani</v>
          </cell>
          <cell r="U3369" t="str">
            <v>"-"</v>
          </cell>
        </row>
        <row r="3370">
          <cell r="A3370">
            <v>46265</v>
          </cell>
          <cell r="B3370" t="str">
            <v xml:space="preserve">EKO SURYA RAMADHAN                      </v>
          </cell>
          <cell r="C3370" t="str">
            <v>ERV8418</v>
          </cell>
          <cell r="D3370">
            <v>23801038677531</v>
          </cell>
          <cell r="E3370" t="str">
            <v>RENDAH</v>
          </cell>
          <cell r="F3370" t="str">
            <v>Tidak</v>
          </cell>
          <cell r="G3370" t="str">
            <v>Tidak</v>
          </cell>
          <cell r="H3370" t="str">
            <v>Tidak</v>
          </cell>
          <cell r="I3370" t="str">
            <v>Bandar Judol Withdrawal</v>
          </cell>
          <cell r="J3370">
            <v>35</v>
          </cell>
          <cell r="K3370" t="str">
            <v>86,88,87</v>
          </cell>
          <cell r="L3370" t="str">
            <v>Judi Online</v>
          </cell>
          <cell r="M3370" t="str">
            <v xml:space="preserve">Kas Kanpus                              </v>
          </cell>
          <cell r="N3370" t="str">
            <v xml:space="preserve">Kas Kanpus                              </v>
          </cell>
          <cell r="O3370" t="str">
            <v xml:space="preserve">KAS KANPUS                              </v>
          </cell>
          <cell r="P3370" t="str">
            <v>Ya</v>
          </cell>
          <cell r="Q3370" t="str">
            <v>Ya</v>
          </cell>
          <cell r="R3370" t="str">
            <v>Done</v>
          </cell>
          <cell r="S3370" t="str">
            <v>Approved</v>
          </cell>
          <cell r="T3370" t="str">
            <v>90170665 - Mutiara Ayuningtyas</v>
          </cell>
          <cell r="U3370" t="str">
            <v>"-"</v>
          </cell>
        </row>
        <row r="3371">
          <cell r="A3371">
            <v>46265</v>
          </cell>
          <cell r="B3371" t="str">
            <v xml:space="preserve">ENENG JUHARYATI                         </v>
          </cell>
          <cell r="C3371" t="str">
            <v>ESE2393</v>
          </cell>
          <cell r="D3371">
            <v>119101022540509</v>
          </cell>
          <cell r="E3371" t="str">
            <v>SEDANG</v>
          </cell>
          <cell r="F3371" t="str">
            <v>Tidak</v>
          </cell>
          <cell r="G3371" t="str">
            <v>Tidak</v>
          </cell>
          <cell r="H3371" t="str">
            <v>Tidak</v>
          </cell>
          <cell r="I3371" t="str">
            <v>Bandar Judol Withdrawal</v>
          </cell>
          <cell r="J3371">
            <v>50</v>
          </cell>
          <cell r="K3371" t="str">
            <v>86,88,87</v>
          </cell>
          <cell r="L3371" t="str">
            <v>Judi Online</v>
          </cell>
          <cell r="M3371" t="str">
            <v xml:space="preserve">Kas Kanpus                              </v>
          </cell>
          <cell r="N3371" t="str">
            <v xml:space="preserve">Kas Kanpus                              </v>
          </cell>
          <cell r="O3371" t="str">
            <v xml:space="preserve">KAS KANPUS                              </v>
          </cell>
          <cell r="P3371" t="str">
            <v>Ya</v>
          </cell>
          <cell r="Q3371" t="str">
            <v>Tidak</v>
          </cell>
          <cell r="R3371" t="str">
            <v>Done</v>
          </cell>
          <cell r="S3371" t="str">
            <v>Approved</v>
          </cell>
          <cell r="T3371" t="str">
            <v>00336949 - Mochammad Al Farabi</v>
          </cell>
          <cell r="U3371" t="str">
            <v>"-"</v>
          </cell>
        </row>
        <row r="3372">
          <cell r="A3372">
            <v>46265</v>
          </cell>
          <cell r="B3372" t="str">
            <v xml:space="preserve">ERIK RINANDA                            </v>
          </cell>
          <cell r="C3372" t="str">
            <v>ESE7124</v>
          </cell>
          <cell r="D3372">
            <v>209101009574502</v>
          </cell>
          <cell r="E3372" t="str">
            <v>SEDANG</v>
          </cell>
          <cell r="F3372" t="str">
            <v>Tidak</v>
          </cell>
          <cell r="G3372" t="str">
            <v>Tidak</v>
          </cell>
          <cell r="H3372" t="str">
            <v>Tidak</v>
          </cell>
          <cell r="I3372" t="str">
            <v>Bandar Judol Withdrawal</v>
          </cell>
          <cell r="J3372">
            <v>50</v>
          </cell>
          <cell r="K3372" t="str">
            <v>86,88,87</v>
          </cell>
          <cell r="L3372" t="str">
            <v>Judi Online</v>
          </cell>
          <cell r="M3372" t="str">
            <v xml:space="preserve">Kas Kanpus                              </v>
          </cell>
          <cell r="N3372" t="str">
            <v xml:space="preserve">Kas Kanpus                              </v>
          </cell>
          <cell r="O3372" t="str">
            <v xml:space="preserve">KAS KANPUS                              </v>
          </cell>
          <cell r="P3372" t="str">
            <v>Ya</v>
          </cell>
          <cell r="Q3372" t="str">
            <v>Tidak</v>
          </cell>
          <cell r="R3372" t="str">
            <v>Done</v>
          </cell>
          <cell r="S3372" t="str">
            <v>Approved</v>
          </cell>
          <cell r="T3372" t="str">
            <v>90185538 - Muhammad Fahikal Auz</v>
          </cell>
          <cell r="U3372" t="str">
            <v>"-"</v>
          </cell>
        </row>
        <row r="3373">
          <cell r="A3373">
            <v>46265</v>
          </cell>
          <cell r="B3373" t="str">
            <v xml:space="preserve">ENG HONG KIEW                           </v>
          </cell>
          <cell r="C3373" t="str">
            <v>ESG7996</v>
          </cell>
          <cell r="D3373">
            <v>35901000886562</v>
          </cell>
          <cell r="E3373" t="str">
            <v>TINGGI</v>
          </cell>
          <cell r="F3373" t="str">
            <v>Tidak</v>
          </cell>
          <cell r="G3373" t="str">
            <v>Tidak</v>
          </cell>
          <cell r="H3373" t="str">
            <v>Tidak</v>
          </cell>
          <cell r="I3373" t="str">
            <v>Bandar Judol Withdrawal</v>
          </cell>
          <cell r="J3373">
            <v>65</v>
          </cell>
          <cell r="K3373" t="str">
            <v>86,88,87</v>
          </cell>
          <cell r="L3373" t="str">
            <v>Judi Online</v>
          </cell>
          <cell r="M3373" t="str">
            <v xml:space="preserve">Kas Kanpus                              </v>
          </cell>
          <cell r="N3373" t="str">
            <v xml:space="preserve">Kas Kanpus                              </v>
          </cell>
          <cell r="O3373" t="str">
            <v xml:space="preserve">KAS KANPUS                              </v>
          </cell>
          <cell r="P3373" t="str">
            <v>Tidak</v>
          </cell>
          <cell r="Q3373" t="str">
            <v>Ya</v>
          </cell>
          <cell r="R3373" t="str">
            <v>Done</v>
          </cell>
          <cell r="S3373" t="str">
            <v>Approved</v>
          </cell>
          <cell r="T3373" t="str">
            <v>90171841 - Rifqi Aziz</v>
          </cell>
          <cell r="U3373" t="str">
            <v>"-"</v>
          </cell>
        </row>
        <row r="3374">
          <cell r="A3374">
            <v>46265</v>
          </cell>
          <cell r="B3374" t="str">
            <v xml:space="preserve">ERMANTO                                 </v>
          </cell>
          <cell r="C3374" t="str">
            <v>EJ18867</v>
          </cell>
          <cell r="D3374">
            <v>423401006847536</v>
          </cell>
          <cell r="E3374" t="str">
            <v>SEDANG</v>
          </cell>
          <cell r="F3374" t="str">
            <v>Ya</v>
          </cell>
          <cell r="G3374" t="str">
            <v>Tidak</v>
          </cell>
          <cell r="H3374" t="str">
            <v>Tidak</v>
          </cell>
          <cell r="I3374" t="str">
            <v>Transaksi Agen BRILink terindikasi Judi Online</v>
          </cell>
          <cell r="J3374">
            <v>50</v>
          </cell>
          <cell r="K3374">
            <v>105</v>
          </cell>
          <cell r="L3374" t="str">
            <v>Agen BRILink</v>
          </cell>
          <cell r="M3374" t="str">
            <v xml:space="preserve">Kas Kanpus                              </v>
          </cell>
          <cell r="N3374" t="str">
            <v xml:space="preserve">Kas Kanpus                              </v>
          </cell>
          <cell r="O3374" t="str">
            <v xml:space="preserve">KAS KANPUS                              </v>
          </cell>
          <cell r="P3374" t="str">
            <v>Tidak</v>
          </cell>
          <cell r="Q3374" t="str">
            <v>Tidak</v>
          </cell>
          <cell r="R3374" t="str">
            <v>Done</v>
          </cell>
          <cell r="S3374" t="str">
            <v>Approved</v>
          </cell>
          <cell r="T3374" t="str">
            <v>90186796 - Devito Arya Wiradila</v>
          </cell>
          <cell r="U3374" t="str">
            <v>"-"</v>
          </cell>
        </row>
        <row r="3375">
          <cell r="A3375">
            <v>46265</v>
          </cell>
          <cell r="B3375" t="str">
            <v xml:space="preserve">EFFANDER ELIVAN PRASETYO                </v>
          </cell>
          <cell r="C3375" t="str">
            <v>EQ73466</v>
          </cell>
          <cell r="D3375">
            <v>202501001666562</v>
          </cell>
          <cell r="E3375" t="str">
            <v>SEDANG</v>
          </cell>
          <cell r="F3375" t="str">
            <v>Tidak</v>
          </cell>
          <cell r="G3375" t="str">
            <v>Tidak</v>
          </cell>
          <cell r="H3375" t="str">
            <v>Tidak</v>
          </cell>
          <cell r="I3375" t="str">
            <v>Bandar Judol Depo</v>
          </cell>
          <cell r="J3375">
            <v>50</v>
          </cell>
          <cell r="K3375" t="str">
            <v>86,74,87</v>
          </cell>
          <cell r="L3375" t="str">
            <v>Judi Online</v>
          </cell>
          <cell r="M3375" t="str">
            <v xml:space="preserve">Kas Kanpus                              </v>
          </cell>
          <cell r="N3375" t="str">
            <v xml:space="preserve">Kas Kanpus                              </v>
          </cell>
          <cell r="O3375" t="str">
            <v xml:space="preserve">KAS KANPUS                              </v>
          </cell>
          <cell r="P3375" t="str">
            <v>Tidak</v>
          </cell>
          <cell r="Q3375" t="str">
            <v>Ya</v>
          </cell>
          <cell r="R3375" t="str">
            <v>Done</v>
          </cell>
          <cell r="S3375" t="str">
            <v>Approved</v>
          </cell>
          <cell r="T3375" t="str">
            <v>00394520 - Frida Akbar Rani</v>
          </cell>
          <cell r="U3375" t="str">
            <v>"-"</v>
          </cell>
        </row>
        <row r="3376">
          <cell r="A3376">
            <v>46265</v>
          </cell>
          <cell r="B3376" t="str">
            <v xml:space="preserve">ESTER KRISTIN MAYA LEMA                 </v>
          </cell>
          <cell r="C3376" t="str">
            <v>ENB9483</v>
          </cell>
          <cell r="D3376">
            <v>3901124994506</v>
          </cell>
          <cell r="E3376" t="str">
            <v>SEDANG</v>
          </cell>
          <cell r="F3376" t="str">
            <v>Tidak</v>
          </cell>
          <cell r="G3376" t="str">
            <v>Tidak</v>
          </cell>
          <cell r="H3376" t="str">
            <v>Tidak</v>
          </cell>
          <cell r="I3376" t="str">
            <v>Bandar Judol Depo</v>
          </cell>
          <cell r="J3376">
            <v>50</v>
          </cell>
          <cell r="K3376" t="str">
            <v>86,74,87</v>
          </cell>
          <cell r="L3376" t="str">
            <v>Judi Online</v>
          </cell>
          <cell r="M3376" t="str">
            <v xml:space="preserve">Kas Kanpus                              </v>
          </cell>
          <cell r="N3376" t="str">
            <v xml:space="preserve">Kas Kanpus                              </v>
          </cell>
          <cell r="O3376" t="str">
            <v xml:space="preserve">KAS KANPUS                              </v>
          </cell>
          <cell r="P3376" t="str">
            <v>Tidak</v>
          </cell>
          <cell r="Q3376" t="str">
            <v>Ya</v>
          </cell>
          <cell r="R3376" t="str">
            <v>Done</v>
          </cell>
          <cell r="S3376" t="str">
            <v>Approved</v>
          </cell>
          <cell r="T3376" t="str">
            <v>00394520 - Frida Akbar Rani</v>
          </cell>
          <cell r="U3376" t="str">
            <v>"-"</v>
          </cell>
        </row>
        <row r="3377">
          <cell r="A3377">
            <v>46265</v>
          </cell>
          <cell r="B3377" t="str">
            <v xml:space="preserve">Endra                                   </v>
          </cell>
          <cell r="C3377" t="str">
            <v>ENJ5589</v>
          </cell>
          <cell r="D3377">
            <v>109001041643502</v>
          </cell>
          <cell r="E3377" t="str">
            <v>SEDANG</v>
          </cell>
          <cell r="F3377" t="str">
            <v>Tidak</v>
          </cell>
          <cell r="G3377" t="str">
            <v>Tidak</v>
          </cell>
          <cell r="H3377" t="str">
            <v>Tidak</v>
          </cell>
          <cell r="I3377" t="str">
            <v>Bandar Judol Withdrawal</v>
          </cell>
          <cell r="J3377">
            <v>50</v>
          </cell>
          <cell r="K3377" t="str">
            <v>86,88,87</v>
          </cell>
          <cell r="L3377" t="str">
            <v>Judi Online</v>
          </cell>
          <cell r="M3377" t="str">
            <v xml:space="preserve">Kas Kanpus                              </v>
          </cell>
          <cell r="N3377" t="str">
            <v xml:space="preserve">Kas Kanpus                              </v>
          </cell>
          <cell r="O3377" t="str">
            <v xml:space="preserve">KAS KANPUS                              </v>
          </cell>
          <cell r="P3377" t="str">
            <v>Ya</v>
          </cell>
          <cell r="Q3377" t="str">
            <v>Ya</v>
          </cell>
          <cell r="R3377" t="str">
            <v>Done</v>
          </cell>
          <cell r="S3377" t="str">
            <v>Approved</v>
          </cell>
          <cell r="T3377" t="str">
            <v>00394520 - Frida Akbar Rani</v>
          </cell>
          <cell r="U3377" t="str">
            <v>"-"</v>
          </cell>
        </row>
        <row r="3378">
          <cell r="A3378">
            <v>46265</v>
          </cell>
          <cell r="B3378" t="str">
            <v xml:space="preserve">ELAS SULASTRI                           </v>
          </cell>
          <cell r="C3378" t="str">
            <v>EP37621</v>
          </cell>
          <cell r="D3378">
            <v>228601000584561</v>
          </cell>
          <cell r="E3378" t="str">
            <v>TINGGI</v>
          </cell>
          <cell r="F3378" t="str">
            <v>Tidak</v>
          </cell>
          <cell r="G3378" t="str">
            <v>Tidak</v>
          </cell>
          <cell r="H3378" t="str">
            <v>Tidak</v>
          </cell>
          <cell r="I3378" t="str">
            <v>Terorisme - SIPENDAR</v>
          </cell>
          <cell r="J3378">
            <v>185</v>
          </cell>
          <cell r="K3378">
            <v>36</v>
          </cell>
          <cell r="L3378" t="str">
            <v>Terorisme</v>
          </cell>
          <cell r="M3378" t="str">
            <v xml:space="preserve">Kas Kanpus                              </v>
          </cell>
          <cell r="N3378" t="str">
            <v xml:space="preserve">Kas Kanpus                              </v>
          </cell>
          <cell r="O3378" t="str">
            <v xml:space="preserve">KAS KANPUS                              </v>
          </cell>
          <cell r="P3378" t="str">
            <v>Tidak</v>
          </cell>
          <cell r="Q3378" t="str">
            <v>Ya</v>
          </cell>
          <cell r="R3378" t="str">
            <v>Done</v>
          </cell>
          <cell r="S3378" t="str">
            <v>Approved</v>
          </cell>
          <cell r="T3378" t="str">
            <v>90150130 - Intan Aida Pratiwi</v>
          </cell>
          <cell r="U3378" t="str">
            <v>"-"</v>
          </cell>
        </row>
        <row r="3379">
          <cell r="A3379">
            <v>46265</v>
          </cell>
          <cell r="B3379" t="str">
            <v xml:space="preserve">ERIC                                    </v>
          </cell>
          <cell r="C3379" t="str">
            <v>EPJ7132</v>
          </cell>
          <cell r="D3379">
            <v>40401003496563</v>
          </cell>
          <cell r="E3379" t="str">
            <v>SEDANG</v>
          </cell>
          <cell r="F3379" t="str">
            <v>Tidak</v>
          </cell>
          <cell r="G3379" t="str">
            <v>Tidak</v>
          </cell>
          <cell r="H3379" t="str">
            <v>Tidak</v>
          </cell>
          <cell r="I3379" t="str">
            <v>Bandar Judol Withdrawal</v>
          </cell>
          <cell r="J3379">
            <v>50</v>
          </cell>
          <cell r="K3379" t="str">
            <v>86,88,87</v>
          </cell>
          <cell r="L3379" t="str">
            <v>Judi Online</v>
          </cell>
          <cell r="M3379" t="str">
            <v xml:space="preserve">Kas Kanpus                              </v>
          </cell>
          <cell r="N3379" t="str">
            <v xml:space="preserve">Kas Kanpus                              </v>
          </cell>
          <cell r="O3379" t="str">
            <v xml:space="preserve">KAS KANPUS                              </v>
          </cell>
          <cell r="P3379" t="str">
            <v>Ya</v>
          </cell>
          <cell r="Q3379" t="str">
            <v>Ya</v>
          </cell>
          <cell r="R3379" t="str">
            <v>Done</v>
          </cell>
          <cell r="S3379" t="str">
            <v>Approved</v>
          </cell>
          <cell r="T3379" t="str">
            <v>90171841 - Rifqi Aziz</v>
          </cell>
          <cell r="U3379" t="str">
            <v>"-"</v>
          </cell>
        </row>
        <row r="3380">
          <cell r="A3380">
            <v>46265</v>
          </cell>
          <cell r="B3380" t="str">
            <v xml:space="preserve">ENI WAHYUNI                             </v>
          </cell>
          <cell r="C3380" t="str">
            <v>EIE0261</v>
          </cell>
          <cell r="D3380">
            <v>37901057830500</v>
          </cell>
          <cell r="E3380" t="str">
            <v>SEDANG</v>
          </cell>
          <cell r="F3380" t="str">
            <v>Tidak</v>
          </cell>
          <cell r="G3380" t="str">
            <v>Tidak</v>
          </cell>
          <cell r="H3380" t="str">
            <v>Tidak</v>
          </cell>
          <cell r="I3380" t="str">
            <v>Bandar Judol Withdrawal</v>
          </cell>
          <cell r="J3380">
            <v>50</v>
          </cell>
          <cell r="K3380" t="str">
            <v>86,88,87</v>
          </cell>
          <cell r="L3380" t="str">
            <v>Judi Online</v>
          </cell>
          <cell r="M3380" t="str">
            <v xml:space="preserve">Kas Kanpus                              </v>
          </cell>
          <cell r="N3380" t="str">
            <v xml:space="preserve">Kas Kanpus                              </v>
          </cell>
          <cell r="O3380" t="str">
            <v xml:space="preserve">KAS KANPUS                              </v>
          </cell>
          <cell r="P3380" t="str">
            <v>Ya</v>
          </cell>
          <cell r="Q3380" t="str">
            <v>Ya</v>
          </cell>
          <cell r="R3380" t="str">
            <v>Done</v>
          </cell>
          <cell r="S3380" t="str">
            <v>Approved</v>
          </cell>
          <cell r="T3380" t="str">
            <v>00394520 - Frida Akbar Rani</v>
          </cell>
          <cell r="U3380" t="str">
            <v>"-"</v>
          </cell>
        </row>
        <row r="3381">
          <cell r="A3381">
            <v>46265</v>
          </cell>
          <cell r="B3381" t="str">
            <v xml:space="preserve">ERVIN MAULANA                           </v>
          </cell>
          <cell r="C3381" t="str">
            <v>EXR8820</v>
          </cell>
          <cell r="D3381">
            <v>67801020527500</v>
          </cell>
          <cell r="F3381" t="str">
            <v>Tidak</v>
          </cell>
          <cell r="G3381" t="str">
            <v>Tidak</v>
          </cell>
          <cell r="H3381" t="str">
            <v>Tidak</v>
          </cell>
          <cell r="I3381" t="str">
            <v>Bandar Judol Withdrawal</v>
          </cell>
          <cell r="J3381">
            <v>35</v>
          </cell>
          <cell r="K3381" t="str">
            <v>86,88,87</v>
          </cell>
          <cell r="L3381" t="str">
            <v>Judi Online</v>
          </cell>
          <cell r="M3381" t="str">
            <v xml:space="preserve">Kas Kanpus                              </v>
          </cell>
          <cell r="N3381" t="str">
            <v xml:space="preserve">Kas Kanpus                              </v>
          </cell>
          <cell r="O3381" t="str">
            <v xml:space="preserve">KAS KANPUS                              </v>
          </cell>
          <cell r="P3381" t="str">
            <v>Ya</v>
          </cell>
          <cell r="Q3381" t="str">
            <v>Ya</v>
          </cell>
          <cell r="R3381" t="str">
            <v>Done</v>
          </cell>
          <cell r="S3381" t="str">
            <v>Approved</v>
          </cell>
          <cell r="T3381" t="str">
            <v>00394520 - Frida Akbar Rani</v>
          </cell>
          <cell r="U3381" t="str">
            <v>"-"</v>
          </cell>
        </row>
        <row r="3382">
          <cell r="A3382">
            <v>46265</v>
          </cell>
          <cell r="B3382" t="str">
            <v xml:space="preserve">ENANG MULYANA                           </v>
          </cell>
          <cell r="C3382" t="str">
            <v>EXT3420</v>
          </cell>
          <cell r="D3382">
            <v>1201261786501</v>
          </cell>
          <cell r="F3382" t="str">
            <v>Tidak</v>
          </cell>
          <cell r="G3382" t="str">
            <v>Tidak</v>
          </cell>
          <cell r="H3382" t="str">
            <v>Tidak</v>
          </cell>
          <cell r="I3382" t="str">
            <v>Bandar Judol Withdrawal</v>
          </cell>
          <cell r="J3382">
            <v>35</v>
          </cell>
          <cell r="K3382" t="str">
            <v>86,88,87</v>
          </cell>
          <cell r="L3382" t="str">
            <v>Judi Online</v>
          </cell>
          <cell r="M3382" t="str">
            <v xml:space="preserve">Kas Kanpus                              </v>
          </cell>
          <cell r="N3382" t="str">
            <v xml:space="preserve">Kas Kanpus                              </v>
          </cell>
          <cell r="O3382" t="str">
            <v xml:space="preserve">KAS KANPUS                              </v>
          </cell>
          <cell r="P3382" t="str">
            <v>Ya</v>
          </cell>
          <cell r="Q3382" t="str">
            <v>Ya</v>
          </cell>
          <cell r="R3382" t="str">
            <v>Done</v>
          </cell>
          <cell r="S3382" t="str">
            <v>Approved</v>
          </cell>
          <cell r="T3382" t="str">
            <v>90171841 - Rifqi Aziz</v>
          </cell>
          <cell r="U3382" t="str">
            <v>"-"</v>
          </cell>
        </row>
        <row r="3383">
          <cell r="A3383">
            <v>46265</v>
          </cell>
          <cell r="B3383" t="str">
            <v xml:space="preserve">EVI KOMALA SARI                         </v>
          </cell>
          <cell r="C3383" t="str">
            <v>EXV7044</v>
          </cell>
          <cell r="D3383">
            <v>81401006865504</v>
          </cell>
          <cell r="F3383" t="str">
            <v>Tidak</v>
          </cell>
          <cell r="G3383" t="str">
            <v>Tidak</v>
          </cell>
          <cell r="H3383" t="str">
            <v>Tidak</v>
          </cell>
          <cell r="I3383" t="str">
            <v>Bandar Judol Withdrawal</v>
          </cell>
          <cell r="J3383">
            <v>35</v>
          </cell>
          <cell r="K3383" t="str">
            <v>86,88,87</v>
          </cell>
          <cell r="L3383" t="str">
            <v>Judi Online</v>
          </cell>
          <cell r="M3383" t="str">
            <v xml:space="preserve">Kas Kanpus                              </v>
          </cell>
          <cell r="N3383" t="str">
            <v xml:space="preserve">Kas Kanpus                              </v>
          </cell>
          <cell r="O3383" t="str">
            <v xml:space="preserve">KAS KANPUS                              </v>
          </cell>
          <cell r="P3383" t="str">
            <v>Tidak</v>
          </cell>
          <cell r="Q3383" t="str">
            <v>Ya</v>
          </cell>
          <cell r="R3383" t="str">
            <v>Done</v>
          </cell>
          <cell r="S3383" t="str">
            <v>Approved</v>
          </cell>
          <cell r="T3383" t="str">
            <v>90186790 - Muhammad Alfin Farha</v>
          </cell>
          <cell r="U3383" t="str">
            <v>"-"</v>
          </cell>
        </row>
        <row r="3384">
          <cell r="A3384">
            <v>46265</v>
          </cell>
          <cell r="B3384" t="str">
            <v xml:space="preserve">EKA YANUAR WIJAKSONO                    </v>
          </cell>
          <cell r="C3384" t="str">
            <v>EXE8198</v>
          </cell>
          <cell r="D3384">
            <v>12001002138566</v>
          </cell>
          <cell r="E3384" t="str">
            <v>SEDANG</v>
          </cell>
          <cell r="F3384" t="str">
            <v>Tidak</v>
          </cell>
          <cell r="G3384" t="str">
            <v>Tidak</v>
          </cell>
          <cell r="H3384" t="str">
            <v>Tidak</v>
          </cell>
          <cell r="I3384" t="str">
            <v>Bandar Judol Withdrawal</v>
          </cell>
          <cell r="J3384">
            <v>50</v>
          </cell>
          <cell r="K3384" t="str">
            <v>86,88,87</v>
          </cell>
          <cell r="L3384" t="str">
            <v>Judi Online</v>
          </cell>
          <cell r="M3384" t="str">
            <v xml:space="preserve">Kas Kanpus                              </v>
          </cell>
          <cell r="N3384" t="str">
            <v xml:space="preserve">Kas Kanpus                              </v>
          </cell>
          <cell r="O3384" t="str">
            <v xml:space="preserve">KAS KANPUS                              </v>
          </cell>
          <cell r="P3384" t="str">
            <v>Ya</v>
          </cell>
          <cell r="Q3384" t="str">
            <v>Ya</v>
          </cell>
          <cell r="R3384" t="str">
            <v>Done</v>
          </cell>
          <cell r="S3384" t="str">
            <v>Approved</v>
          </cell>
          <cell r="T3384" t="str">
            <v>90150130 - Intan Aida Pratiwi</v>
          </cell>
          <cell r="U3384" t="str">
            <v>"-"</v>
          </cell>
        </row>
        <row r="3385">
          <cell r="A3385">
            <v>46265</v>
          </cell>
          <cell r="B3385" t="str">
            <v xml:space="preserve">EDI PURWANTO SYAHPUTRA                  </v>
          </cell>
          <cell r="C3385" t="str">
            <v>EXF5849</v>
          </cell>
          <cell r="D3385">
            <v>529401005532507</v>
          </cell>
          <cell r="E3385" t="str">
            <v>SEDANG</v>
          </cell>
          <cell r="F3385" t="str">
            <v>Tidak</v>
          </cell>
          <cell r="G3385" t="str">
            <v>Tidak</v>
          </cell>
          <cell r="H3385" t="str">
            <v>Tidak</v>
          </cell>
          <cell r="I3385" t="str">
            <v>Bandar Judol Withdrawal</v>
          </cell>
          <cell r="J3385">
            <v>50</v>
          </cell>
          <cell r="K3385" t="str">
            <v>86,88,87</v>
          </cell>
          <cell r="L3385" t="str">
            <v>Judi Online</v>
          </cell>
          <cell r="M3385" t="str">
            <v xml:space="preserve">Kas Kanpus                              </v>
          </cell>
          <cell r="N3385" t="str">
            <v xml:space="preserve">Kas Kanpus                              </v>
          </cell>
          <cell r="O3385" t="str">
            <v xml:space="preserve">KAS KANPUS                              </v>
          </cell>
          <cell r="P3385" t="str">
            <v>Ya</v>
          </cell>
          <cell r="Q3385" t="str">
            <v>Ya</v>
          </cell>
          <cell r="R3385" t="str">
            <v>Done</v>
          </cell>
          <cell r="S3385" t="str">
            <v>Approved</v>
          </cell>
          <cell r="T3385" t="str">
            <v>90186796 - Devito Arya Wiradila</v>
          </cell>
          <cell r="U3385" t="str">
            <v>"-"</v>
          </cell>
        </row>
        <row r="3386">
          <cell r="A3386">
            <v>46265</v>
          </cell>
          <cell r="B3386" t="str">
            <v xml:space="preserve">EPIT PITRIANI                           </v>
          </cell>
          <cell r="C3386" t="str">
            <v>EXG4298</v>
          </cell>
          <cell r="D3386">
            <v>91701033877506</v>
          </cell>
          <cell r="E3386" t="str">
            <v>SEDANG</v>
          </cell>
          <cell r="F3386" t="str">
            <v>Tidak</v>
          </cell>
          <cell r="G3386" t="str">
            <v>Tidak</v>
          </cell>
          <cell r="H3386" t="str">
            <v>Tidak</v>
          </cell>
          <cell r="I3386" t="str">
            <v>Bandar Judol Depo</v>
          </cell>
          <cell r="J3386">
            <v>50</v>
          </cell>
          <cell r="K3386" t="str">
            <v>86,74,87</v>
          </cell>
          <cell r="L3386" t="str">
            <v>Judi Online</v>
          </cell>
          <cell r="M3386" t="str">
            <v xml:space="preserve">Kas Kanpus                              </v>
          </cell>
          <cell r="N3386" t="str">
            <v xml:space="preserve">Kas Kanpus                              </v>
          </cell>
          <cell r="O3386" t="str">
            <v xml:space="preserve">KAS KANPUS                              </v>
          </cell>
          <cell r="P3386" t="str">
            <v>Ya</v>
          </cell>
          <cell r="Q3386" t="str">
            <v>Ya</v>
          </cell>
          <cell r="R3386" t="str">
            <v>Done</v>
          </cell>
          <cell r="S3386" t="str">
            <v>Approved</v>
          </cell>
          <cell r="T3386" t="str">
            <v>90150130 - Intan Aida Pratiwi</v>
          </cell>
          <cell r="U3386" t="str">
            <v>"-"</v>
          </cell>
        </row>
        <row r="3387">
          <cell r="A3387">
            <v>46265</v>
          </cell>
          <cell r="B3387" t="str">
            <v xml:space="preserve">ENJELITA BR SIBARANI                    </v>
          </cell>
          <cell r="C3387" t="str">
            <v>EVX9998</v>
          </cell>
          <cell r="D3387">
            <v>530501010218509</v>
          </cell>
          <cell r="E3387" t="str">
            <v>SEDANG</v>
          </cell>
          <cell r="F3387" t="str">
            <v>Tidak</v>
          </cell>
          <cell r="G3387" t="str">
            <v>Tidak</v>
          </cell>
          <cell r="H3387" t="str">
            <v>Tidak</v>
          </cell>
          <cell r="I3387" t="str">
            <v>Bandar Judol Depo</v>
          </cell>
          <cell r="J3387">
            <v>50</v>
          </cell>
          <cell r="K3387" t="str">
            <v>86,74,87</v>
          </cell>
          <cell r="L3387" t="str">
            <v>Judi Online</v>
          </cell>
          <cell r="M3387" t="str">
            <v xml:space="preserve">Kas Kanpus                              </v>
          </cell>
          <cell r="N3387" t="str">
            <v xml:space="preserve">Kas Kanpus                              </v>
          </cell>
          <cell r="O3387" t="str">
            <v xml:space="preserve">KAS KANPUS                              </v>
          </cell>
          <cell r="P3387" t="str">
            <v>Ya</v>
          </cell>
          <cell r="Q3387" t="str">
            <v>Ya</v>
          </cell>
          <cell r="R3387" t="str">
            <v>Done</v>
          </cell>
          <cell r="S3387" t="str">
            <v>Approved</v>
          </cell>
          <cell r="T3387" t="str">
            <v>90185538 - Muhammad Fahikal Auz</v>
          </cell>
          <cell r="U3387" t="str">
            <v>"-"</v>
          </cell>
        </row>
        <row r="3388">
          <cell r="A3388">
            <v>46265</v>
          </cell>
          <cell r="B3388" t="str">
            <v xml:space="preserve">EDUARDUS GARUNG                         </v>
          </cell>
          <cell r="C3388" t="str">
            <v>EW48295</v>
          </cell>
          <cell r="D3388">
            <v>722701000157501</v>
          </cell>
          <cell r="E3388" t="str">
            <v>SEDANG</v>
          </cell>
          <cell r="F3388" t="str">
            <v>Ya</v>
          </cell>
          <cell r="G3388" t="str">
            <v>Tidak</v>
          </cell>
          <cell r="H3388" t="str">
            <v>Tidak</v>
          </cell>
          <cell r="I3388" t="str">
            <v>Pencurian Rekening</v>
          </cell>
          <cell r="J3388">
            <v>49</v>
          </cell>
          <cell r="K3388">
            <v>59</v>
          </cell>
          <cell r="L3388" t="str">
            <v>Perbankan</v>
          </cell>
          <cell r="M3388" t="str">
            <v xml:space="preserve">UNIT CENDANA SOLOR LARANTUKA            </v>
          </cell>
          <cell r="N3388" t="str">
            <v xml:space="preserve">KC Larantuka                            </v>
          </cell>
          <cell r="O3388" t="str">
            <v xml:space="preserve">Denpasar                                </v>
          </cell>
          <cell r="P3388" t="str">
            <v>Tidak</v>
          </cell>
          <cell r="Q3388" t="str">
            <v>Tidak</v>
          </cell>
          <cell r="R3388" t="str">
            <v>Done</v>
          </cell>
          <cell r="S3388" t="str">
            <v>Approved</v>
          </cell>
          <cell r="T3388" t="str">
            <v>90185538 - Muhammad Fahikal Auz</v>
          </cell>
          <cell r="U3388" t="str">
            <v>"-"</v>
          </cell>
        </row>
        <row r="3389">
          <cell r="A3389">
            <v>46265</v>
          </cell>
          <cell r="B3389" t="str">
            <v xml:space="preserve">EPITASARI                               </v>
          </cell>
          <cell r="C3389" t="str">
            <v>EVF2718</v>
          </cell>
          <cell r="D3389">
            <v>108801019148501</v>
          </cell>
          <cell r="E3389" t="str">
            <v>SEDANG</v>
          </cell>
          <cell r="F3389" t="str">
            <v>Tidak</v>
          </cell>
          <cell r="G3389" t="str">
            <v>Tidak</v>
          </cell>
          <cell r="H3389" t="str">
            <v>Tidak</v>
          </cell>
          <cell r="I3389" t="str">
            <v>Bandar Judol Depo</v>
          </cell>
          <cell r="J3389">
            <v>50</v>
          </cell>
          <cell r="K3389" t="str">
            <v>86,74,87</v>
          </cell>
          <cell r="L3389" t="str">
            <v>Judi Online</v>
          </cell>
          <cell r="M3389" t="str">
            <v xml:space="preserve">Kas Kanpus                              </v>
          </cell>
          <cell r="N3389" t="str">
            <v xml:space="preserve">Kas Kanpus                              </v>
          </cell>
          <cell r="O3389" t="str">
            <v xml:space="preserve">KAS KANPUS                              </v>
          </cell>
          <cell r="P3389" t="str">
            <v>Ya</v>
          </cell>
          <cell r="Q3389" t="str">
            <v>Ya</v>
          </cell>
          <cell r="R3389" t="str">
            <v>Done</v>
          </cell>
          <cell r="S3389" t="str">
            <v>Approved</v>
          </cell>
          <cell r="T3389" t="str">
            <v>90186790 - Muhammad Alfin Farha</v>
          </cell>
          <cell r="U3389" t="str">
            <v>"-"</v>
          </cell>
        </row>
        <row r="3390">
          <cell r="A3390">
            <v>46265</v>
          </cell>
          <cell r="B3390" t="str">
            <v xml:space="preserve">ERLANGGA                                </v>
          </cell>
          <cell r="C3390" t="str">
            <v>EWG9829</v>
          </cell>
          <cell r="D3390">
            <v>734701009160505</v>
          </cell>
          <cell r="E3390" t="str">
            <v>SEDANG</v>
          </cell>
          <cell r="F3390" t="str">
            <v>Tidak</v>
          </cell>
          <cell r="G3390" t="str">
            <v>Tidak</v>
          </cell>
          <cell r="H3390" t="str">
            <v>Tidak</v>
          </cell>
          <cell r="I3390" t="str">
            <v>Bandar Judol Depo</v>
          </cell>
          <cell r="J3390">
            <v>50</v>
          </cell>
          <cell r="K3390" t="str">
            <v>86,74,87</v>
          </cell>
          <cell r="L3390" t="str">
            <v>Judi Online</v>
          </cell>
          <cell r="M3390" t="str">
            <v xml:space="preserve">Kas Kanpus                              </v>
          </cell>
          <cell r="N3390" t="str">
            <v xml:space="preserve">Kas Kanpus                              </v>
          </cell>
          <cell r="O3390" t="str">
            <v xml:space="preserve">KAS KANPUS                              </v>
          </cell>
          <cell r="P3390" t="str">
            <v>Tidak</v>
          </cell>
          <cell r="Q3390" t="str">
            <v>Ya</v>
          </cell>
          <cell r="R3390" t="str">
            <v>Done</v>
          </cell>
          <cell r="S3390" t="str">
            <v>Approved</v>
          </cell>
          <cell r="T3390" t="str">
            <v>90150130 - Intan Aida Pratiwi</v>
          </cell>
          <cell r="U3390" t="str">
            <v>"-"</v>
          </cell>
        </row>
        <row r="3391">
          <cell r="A3391">
            <v>46265</v>
          </cell>
          <cell r="B3391" t="str">
            <v xml:space="preserve">EMIR DYFAN TAHANG PETRAB                </v>
          </cell>
          <cell r="C3391" t="str">
            <v>EV25529</v>
          </cell>
          <cell r="D3391">
            <v>225901000485566</v>
          </cell>
          <cell r="E3391" t="str">
            <v>TINGGI</v>
          </cell>
          <cell r="F3391" t="str">
            <v>Ya</v>
          </cell>
          <cell r="G3391" t="str">
            <v>Tidak</v>
          </cell>
          <cell r="H3391" t="str">
            <v>Tidak</v>
          </cell>
          <cell r="I3391" t="str">
            <v>Bandar Judol Depo</v>
          </cell>
          <cell r="J3391">
            <v>75</v>
          </cell>
          <cell r="K3391" t="str">
            <v>86,74,87</v>
          </cell>
          <cell r="L3391" t="str">
            <v>Judi Online</v>
          </cell>
          <cell r="M3391" t="str">
            <v xml:space="preserve">Kas Kanpus                              </v>
          </cell>
          <cell r="N3391" t="str">
            <v xml:space="preserve">Kas Kanpus                              </v>
          </cell>
          <cell r="O3391" t="str">
            <v xml:space="preserve">KAS KANPUS                              </v>
          </cell>
          <cell r="P3391" t="str">
            <v>Tidak</v>
          </cell>
          <cell r="Q3391" t="str">
            <v>Ya</v>
          </cell>
          <cell r="R3391" t="str">
            <v>Done</v>
          </cell>
          <cell r="S3391" t="str">
            <v>Approved</v>
          </cell>
          <cell r="T3391" t="str">
            <v>90186790 - Muhammad Alfin Farha</v>
          </cell>
          <cell r="U3391" t="str">
            <v>"-"</v>
          </cell>
        </row>
        <row r="3392">
          <cell r="A3392">
            <v>46265</v>
          </cell>
          <cell r="B3392" t="str">
            <v xml:space="preserve">ELAN SUMIANTO                           </v>
          </cell>
          <cell r="C3392" t="str">
            <v>EV30359</v>
          </cell>
          <cell r="D3392">
            <v>3401007033534</v>
          </cell>
          <cell r="E3392" t="str">
            <v>SEDANG</v>
          </cell>
          <cell r="F3392" t="str">
            <v>Ya</v>
          </cell>
          <cell r="G3392" t="str">
            <v>Tidak</v>
          </cell>
          <cell r="H3392" t="str">
            <v>Tidak</v>
          </cell>
          <cell r="I3392" t="str">
            <v>Narkotika - Area Lapas</v>
          </cell>
          <cell r="J3392">
            <v>50</v>
          </cell>
          <cell r="K3392">
            <v>46</v>
          </cell>
          <cell r="L3392" t="str">
            <v>Narkotika</v>
          </cell>
          <cell r="M3392" t="str">
            <v>KC Kendal</v>
          </cell>
          <cell r="N3392" t="str">
            <v>KC Kendal</v>
          </cell>
          <cell r="O3392" t="str">
            <v>Semarang</v>
          </cell>
          <cell r="P3392" t="str">
            <v>Tidak</v>
          </cell>
          <cell r="Q3392" t="str">
            <v>Tidak</v>
          </cell>
          <cell r="R3392" t="str">
            <v>Done</v>
          </cell>
          <cell r="S3392" t="str">
            <v>Approved</v>
          </cell>
          <cell r="T3392" t="str">
            <v>90170665 - Mutiara Ayuningtyas</v>
          </cell>
          <cell r="U3392" t="str">
            <v>"-"</v>
          </cell>
        </row>
        <row r="3393">
          <cell r="A3393">
            <v>46265</v>
          </cell>
          <cell r="B3393" t="str">
            <v xml:space="preserve">EULIS RITA                              </v>
          </cell>
          <cell r="C3393" t="str">
            <v>EYU4778</v>
          </cell>
          <cell r="D3393">
            <v>217101012646502</v>
          </cell>
          <cell r="F3393" t="str">
            <v>Tidak</v>
          </cell>
          <cell r="G3393" t="str">
            <v>Tidak</v>
          </cell>
          <cell r="H3393" t="str">
            <v>Tidak</v>
          </cell>
          <cell r="I3393" t="str">
            <v>Bandar Judol Withdrawal</v>
          </cell>
          <cell r="J3393">
            <v>35</v>
          </cell>
          <cell r="K3393" t="str">
            <v>86,88,87</v>
          </cell>
          <cell r="L3393" t="str">
            <v>Judi Online</v>
          </cell>
          <cell r="M3393" t="str">
            <v xml:space="preserve">Kas Kanpus                              </v>
          </cell>
          <cell r="N3393" t="str">
            <v xml:space="preserve">Kas Kanpus                              </v>
          </cell>
          <cell r="O3393" t="str">
            <v xml:space="preserve">KAS KANPUS                              </v>
          </cell>
          <cell r="P3393" t="str">
            <v>Ya</v>
          </cell>
          <cell r="Q3393" t="str">
            <v>Ya</v>
          </cell>
          <cell r="R3393" t="str">
            <v>Done</v>
          </cell>
          <cell r="S3393" t="str">
            <v>Approved</v>
          </cell>
          <cell r="T3393" t="str">
            <v>90186796 - Devito Arya Wiradila</v>
          </cell>
          <cell r="U3393" t="str">
            <v>"-"</v>
          </cell>
        </row>
        <row r="3394">
          <cell r="A3394">
            <v>46265</v>
          </cell>
          <cell r="B3394" t="str">
            <v xml:space="preserve">EGI DWIDAGDO JULIO                      </v>
          </cell>
          <cell r="C3394" t="str">
            <v>EZH3847</v>
          </cell>
          <cell r="D3394">
            <v>119101022845501</v>
          </cell>
          <cell r="F3394" t="str">
            <v>Tidak</v>
          </cell>
          <cell r="G3394" t="str">
            <v>Tidak</v>
          </cell>
          <cell r="H3394" t="str">
            <v>Tidak</v>
          </cell>
          <cell r="I3394" t="str">
            <v>Bandar Judol Withdrawal</v>
          </cell>
          <cell r="J3394">
            <v>35</v>
          </cell>
          <cell r="K3394" t="str">
            <v>86,88,87</v>
          </cell>
          <cell r="L3394" t="str">
            <v>Judi Online</v>
          </cell>
          <cell r="M3394" t="str">
            <v xml:space="preserve">Kas Kanpus                              </v>
          </cell>
          <cell r="N3394" t="str">
            <v xml:space="preserve">Kas Kanpus                              </v>
          </cell>
          <cell r="O3394" t="str">
            <v xml:space="preserve">KAS KANPUS                              </v>
          </cell>
          <cell r="P3394" t="str">
            <v>Ya</v>
          </cell>
          <cell r="Q3394" t="str">
            <v>Ya</v>
          </cell>
          <cell r="R3394" t="str">
            <v>Done</v>
          </cell>
          <cell r="S3394" t="str">
            <v>Approved</v>
          </cell>
          <cell r="T3394" t="str">
            <v>90170665 - Mutiara Ayuningtyas</v>
          </cell>
          <cell r="U3394" t="str">
            <v>"-"</v>
          </cell>
        </row>
        <row r="3395">
          <cell r="A3395">
            <v>46265</v>
          </cell>
          <cell r="B3395" t="str">
            <v xml:space="preserve">ERWIN GUSTIAWAN                         </v>
          </cell>
          <cell r="C3395" t="str">
            <v>EYF7827</v>
          </cell>
          <cell r="D3395">
            <v>179101000060563</v>
          </cell>
          <cell r="F3395" t="str">
            <v>Tidak</v>
          </cell>
          <cell r="G3395" t="str">
            <v>Tidak</v>
          </cell>
          <cell r="H3395" t="str">
            <v>Tidak</v>
          </cell>
          <cell r="I3395" t="str">
            <v>Bandar Judol Withdrawal</v>
          </cell>
          <cell r="J3395">
            <v>35</v>
          </cell>
          <cell r="K3395" t="str">
            <v>86,88,87</v>
          </cell>
          <cell r="L3395" t="str">
            <v>Judi Online</v>
          </cell>
          <cell r="M3395" t="str">
            <v xml:space="preserve">Kas Kanpus                              </v>
          </cell>
          <cell r="N3395" t="str">
            <v xml:space="preserve">Kas Kanpus                              </v>
          </cell>
          <cell r="O3395" t="str">
            <v xml:space="preserve">KAS KANPUS                              </v>
          </cell>
          <cell r="P3395" t="str">
            <v>Ya</v>
          </cell>
          <cell r="Q3395" t="str">
            <v>Ya</v>
          </cell>
          <cell r="R3395" t="str">
            <v>Done</v>
          </cell>
          <cell r="S3395" t="str">
            <v>Approved</v>
          </cell>
          <cell r="T3395" t="str">
            <v>00394521 - Muhammad Hibbanduta</v>
          </cell>
          <cell r="U3395" t="str">
            <v>"-"</v>
          </cell>
        </row>
        <row r="3396">
          <cell r="A3396">
            <v>46265</v>
          </cell>
          <cell r="B3396" t="str">
            <v xml:space="preserve">ELIA                                    </v>
          </cell>
          <cell r="C3396" t="str">
            <v>EYI3266</v>
          </cell>
          <cell r="D3396">
            <v>36701004397560</v>
          </cell>
          <cell r="F3396" t="str">
            <v>Tidak</v>
          </cell>
          <cell r="G3396" t="str">
            <v>Tidak</v>
          </cell>
          <cell r="H3396" t="str">
            <v>Tidak</v>
          </cell>
          <cell r="I3396" t="str">
            <v>Bandar Judol Withdrawal</v>
          </cell>
          <cell r="J3396">
            <v>35</v>
          </cell>
          <cell r="K3396" t="str">
            <v>86,88,87</v>
          </cell>
          <cell r="L3396" t="str">
            <v>Judi Online</v>
          </cell>
          <cell r="M3396" t="str">
            <v xml:space="preserve">Kas Kanpus                              </v>
          </cell>
          <cell r="N3396" t="str">
            <v xml:space="preserve">Kas Kanpus                              </v>
          </cell>
          <cell r="O3396" t="str">
            <v xml:space="preserve">KAS KANPUS                              </v>
          </cell>
          <cell r="P3396" t="str">
            <v>Ya</v>
          </cell>
          <cell r="Q3396" t="str">
            <v>Ya</v>
          </cell>
          <cell r="R3396" t="str">
            <v>Done</v>
          </cell>
          <cell r="S3396" t="str">
            <v>Approved</v>
          </cell>
          <cell r="T3396" t="str">
            <v>00394520 - Frida Akbar Rani</v>
          </cell>
          <cell r="U3396" t="str">
            <v>"-"</v>
          </cell>
        </row>
        <row r="3397">
          <cell r="A3397">
            <v>46265</v>
          </cell>
          <cell r="B3397" t="str">
            <v xml:space="preserve">EGA SAPUTRA                             </v>
          </cell>
          <cell r="C3397" t="str">
            <v>EYP6185</v>
          </cell>
          <cell r="D3397">
            <v>82601000045563</v>
          </cell>
          <cell r="F3397" t="str">
            <v>Tidak</v>
          </cell>
          <cell r="G3397" t="str">
            <v>Tidak</v>
          </cell>
          <cell r="H3397" t="str">
            <v>Tidak</v>
          </cell>
          <cell r="I3397" t="str">
            <v>Bandar Judol Depo</v>
          </cell>
          <cell r="J3397">
            <v>35</v>
          </cell>
          <cell r="K3397" t="str">
            <v>86,74,87</v>
          </cell>
          <cell r="L3397" t="str">
            <v>Judi Online</v>
          </cell>
          <cell r="M3397" t="str">
            <v xml:space="preserve">Kas Kanpus                              </v>
          </cell>
          <cell r="N3397" t="str">
            <v xml:space="preserve">Kas Kanpus                              </v>
          </cell>
          <cell r="O3397" t="str">
            <v xml:space="preserve">KAS KANPUS                              </v>
          </cell>
          <cell r="P3397" t="str">
            <v>Ya</v>
          </cell>
          <cell r="Q3397" t="str">
            <v>Ya</v>
          </cell>
          <cell r="R3397" t="str">
            <v>Done</v>
          </cell>
          <cell r="S3397" t="str">
            <v>Approved</v>
          </cell>
          <cell r="T3397" t="str">
            <v>90150130 - Intan Aida Pratiwi</v>
          </cell>
          <cell r="U3397" t="str">
            <v>"-"</v>
          </cell>
        </row>
        <row r="3398">
          <cell r="A3398">
            <v>46265</v>
          </cell>
          <cell r="B3398" t="str">
            <v xml:space="preserve">ERICO DARMA PUTRA                       </v>
          </cell>
          <cell r="C3398" t="str">
            <v>EWV9192</v>
          </cell>
          <cell r="D3398">
            <v>1701004581568</v>
          </cell>
          <cell r="E3398" t="str">
            <v>SEDANG</v>
          </cell>
          <cell r="F3398" t="str">
            <v>Tidak</v>
          </cell>
          <cell r="G3398" t="str">
            <v>Tidak</v>
          </cell>
          <cell r="H3398" t="str">
            <v>Tidak</v>
          </cell>
          <cell r="I3398" t="str">
            <v>Judi Online</v>
          </cell>
          <cell r="J3398">
            <v>50</v>
          </cell>
          <cell r="K3398" t="str">
            <v>73,76,34,74,6</v>
          </cell>
          <cell r="L3398" t="str">
            <v>Judi Online</v>
          </cell>
          <cell r="M3398" t="str">
            <v xml:space="preserve">Kas Kanpus                              </v>
          </cell>
          <cell r="N3398" t="str">
            <v xml:space="preserve">Kas Kanpus                              </v>
          </cell>
          <cell r="O3398" t="str">
            <v xml:space="preserve">KAS KANPUS                              </v>
          </cell>
          <cell r="P3398" t="str">
            <v>Ya</v>
          </cell>
          <cell r="Q3398" t="str">
            <v>Ya</v>
          </cell>
          <cell r="R3398" t="str">
            <v>Done</v>
          </cell>
          <cell r="S3398" t="str">
            <v>Approved</v>
          </cell>
          <cell r="T3398" t="str">
            <v>00336949 - Mochammad Al Farabi</v>
          </cell>
          <cell r="U3398" t="str">
            <v>"-"</v>
          </cell>
        </row>
        <row r="3399">
          <cell r="A3399">
            <v>46265</v>
          </cell>
          <cell r="B3399" t="str">
            <v xml:space="preserve">ERICO DARMA PUTRA                       </v>
          </cell>
          <cell r="C3399" t="str">
            <v>EWV9192</v>
          </cell>
          <cell r="D3399">
            <v>1701004581568</v>
          </cell>
          <cell r="E3399" t="str">
            <v>SEDANG</v>
          </cell>
          <cell r="F3399" t="str">
            <v>Tidak</v>
          </cell>
          <cell r="G3399" t="str">
            <v>Tidak</v>
          </cell>
          <cell r="H3399" t="str">
            <v>Tidak</v>
          </cell>
          <cell r="I3399" t="str">
            <v>Bandar Judol Depo</v>
          </cell>
          <cell r="J3399">
            <v>50</v>
          </cell>
          <cell r="K3399" t="str">
            <v>86,74,87</v>
          </cell>
          <cell r="L3399" t="str">
            <v>Judi Online</v>
          </cell>
          <cell r="M3399" t="str">
            <v xml:space="preserve">Kas Kanpus                              </v>
          </cell>
          <cell r="N3399" t="str">
            <v xml:space="preserve">Kas Kanpus                              </v>
          </cell>
          <cell r="O3399" t="str">
            <v xml:space="preserve">KAS KANPUS                              </v>
          </cell>
          <cell r="P3399" t="str">
            <v>Ya</v>
          </cell>
          <cell r="Q3399" t="str">
            <v>Ya</v>
          </cell>
          <cell r="R3399" t="str">
            <v>Done</v>
          </cell>
          <cell r="S3399" t="str">
            <v>Approved</v>
          </cell>
          <cell r="T3399" t="str">
            <v>90186790 - Muhammad Alfin Farha</v>
          </cell>
          <cell r="U3399" t="str">
            <v>"-"</v>
          </cell>
        </row>
        <row r="3400">
          <cell r="A3400">
            <v>46265</v>
          </cell>
          <cell r="B3400" t="str">
            <v xml:space="preserve">EMPAT MACAN ASIA                        </v>
          </cell>
          <cell r="C3400" t="str">
            <v>EYV9064</v>
          </cell>
          <cell r="D3400">
            <v>51601601602567</v>
          </cell>
          <cell r="F3400" t="str">
            <v>Tidak</v>
          </cell>
          <cell r="G3400" t="str">
            <v>Tidak</v>
          </cell>
          <cell r="H3400" t="str">
            <v>Tidak</v>
          </cell>
          <cell r="I3400" t="str">
            <v>Perpajakan</v>
          </cell>
          <cell r="J3400">
            <v>33</v>
          </cell>
          <cell r="K3400">
            <v>41</v>
          </cell>
          <cell r="L3400" t="str">
            <v>Perpajakan</v>
          </cell>
          <cell r="M3400" t="str">
            <v xml:space="preserve">KC Kepanjen                             </v>
          </cell>
          <cell r="N3400" t="str">
            <v xml:space="preserve">KC Kepanjen                             </v>
          </cell>
          <cell r="O3400" t="str">
            <v xml:space="preserve">KANWIL MALANG                           </v>
          </cell>
          <cell r="P3400" t="str">
            <v>Tidak</v>
          </cell>
          <cell r="Q3400" t="str">
            <v>Tidak</v>
          </cell>
          <cell r="R3400" t="str">
            <v>Done</v>
          </cell>
          <cell r="S3400" t="str">
            <v>Approved</v>
          </cell>
          <cell r="T3400" t="str">
            <v>90185537 - Moh.Khoerul Fajar Ar</v>
          </cell>
          <cell r="U3400" t="str">
            <v>"-"</v>
          </cell>
        </row>
        <row r="3401">
          <cell r="A3401">
            <v>46265</v>
          </cell>
          <cell r="B3401" t="str">
            <v xml:space="preserve">ELIVIA DIVANSYIAH                       </v>
          </cell>
          <cell r="C3401" t="str">
            <v>EYV9441</v>
          </cell>
          <cell r="D3401">
            <v>388301002109506</v>
          </cell>
          <cell r="F3401" t="str">
            <v>Tidak</v>
          </cell>
          <cell r="G3401" t="str">
            <v>Tidak</v>
          </cell>
          <cell r="H3401" t="str">
            <v>Tidak</v>
          </cell>
          <cell r="I3401" t="str">
            <v>Bandar Judol Depo</v>
          </cell>
          <cell r="J3401">
            <v>35</v>
          </cell>
          <cell r="K3401" t="str">
            <v>86,74,87</v>
          </cell>
          <cell r="L3401" t="str">
            <v>Judi Online</v>
          </cell>
          <cell r="M3401" t="str">
            <v xml:space="preserve">Kas Kanpus                              </v>
          </cell>
          <cell r="N3401" t="str">
            <v xml:space="preserve">Kas Kanpus                              </v>
          </cell>
          <cell r="O3401" t="str">
            <v xml:space="preserve">KAS KANPUS                              </v>
          </cell>
          <cell r="P3401" t="str">
            <v>Tidak</v>
          </cell>
          <cell r="Q3401" t="str">
            <v>Tidak</v>
          </cell>
          <cell r="R3401" t="str">
            <v>Done</v>
          </cell>
          <cell r="S3401" t="str">
            <v>Approved</v>
          </cell>
          <cell r="T3401" t="str">
            <v>90170665 - Mutiara Ayuningtyas</v>
          </cell>
          <cell r="U3401" t="str">
            <v>"-"</v>
          </cell>
        </row>
        <row r="3402">
          <cell r="A3402">
            <v>46265</v>
          </cell>
          <cell r="B3402" t="str">
            <v xml:space="preserve">ERLITA NENGSIH                          </v>
          </cell>
          <cell r="C3402" t="str">
            <v>EYW0301</v>
          </cell>
          <cell r="D3402">
            <v>721101025743500</v>
          </cell>
          <cell r="F3402" t="str">
            <v>Tidak</v>
          </cell>
          <cell r="G3402" t="str">
            <v>Tidak</v>
          </cell>
          <cell r="H3402" t="str">
            <v>Tidak</v>
          </cell>
          <cell r="I3402" t="str">
            <v>Bandar Judol Withdrawal</v>
          </cell>
          <cell r="J3402">
            <v>35</v>
          </cell>
          <cell r="K3402" t="str">
            <v>86,88,87</v>
          </cell>
          <cell r="L3402" t="str">
            <v>Judi Online</v>
          </cell>
          <cell r="M3402" t="str">
            <v xml:space="preserve">Kas Kanpus                              </v>
          </cell>
          <cell r="N3402" t="str">
            <v xml:space="preserve">Kas Kanpus                              </v>
          </cell>
          <cell r="O3402" t="str">
            <v xml:space="preserve">KAS KANPUS                              </v>
          </cell>
          <cell r="P3402" t="str">
            <v>Ya</v>
          </cell>
          <cell r="Q3402" t="str">
            <v>Ya</v>
          </cell>
          <cell r="R3402" t="str">
            <v>Done</v>
          </cell>
          <cell r="S3402" t="str">
            <v>Approved</v>
          </cell>
          <cell r="T3402" t="str">
            <v>90150130 - Intan Aida Pratiwi</v>
          </cell>
          <cell r="U3402" t="str">
            <v>"-"</v>
          </cell>
        </row>
        <row r="3403">
          <cell r="A3403">
            <v>46265</v>
          </cell>
          <cell r="B3403" t="str">
            <v xml:space="preserve">ESAPUTLII PRAKARSA UTAMA                </v>
          </cell>
          <cell r="C3403" t="str">
            <v>EYS9559</v>
          </cell>
          <cell r="D3403">
            <v>6401999999308</v>
          </cell>
          <cell r="F3403" t="str">
            <v>Tidak</v>
          </cell>
          <cell r="G3403" t="str">
            <v>Tidak</v>
          </cell>
          <cell r="H3403" t="str">
            <v>Tidak</v>
          </cell>
          <cell r="I3403" t="str">
            <v>Perikanan dan Kelautan</v>
          </cell>
          <cell r="J3403">
            <v>35</v>
          </cell>
          <cell r="K3403">
            <v>100</v>
          </cell>
          <cell r="L3403" t="str">
            <v>Perikanan dan Kelautan</v>
          </cell>
          <cell r="M3403" t="str">
            <v xml:space="preserve">KC Pare-Pare                            </v>
          </cell>
          <cell r="N3403" t="str">
            <v xml:space="preserve">KC Pare-Pare                            </v>
          </cell>
          <cell r="O3403" t="str">
            <v xml:space="preserve">Makassar                                </v>
          </cell>
          <cell r="P3403" t="str">
            <v>Tidak</v>
          </cell>
          <cell r="Q3403" t="str">
            <v>Tidak</v>
          </cell>
          <cell r="R3403" t="str">
            <v>Done</v>
          </cell>
          <cell r="S3403" t="str">
            <v>Approved</v>
          </cell>
          <cell r="T3403" t="str">
            <v>90186796 - Devito Arya Wiradila</v>
          </cell>
          <cell r="U3403" t="str">
            <v>"-"</v>
          </cell>
        </row>
        <row r="3404">
          <cell r="A3404">
            <v>46265</v>
          </cell>
          <cell r="B3404" t="str">
            <v xml:space="preserve">EUIS SUMARNI                            </v>
          </cell>
          <cell r="C3404" t="str">
            <v>EYS9969</v>
          </cell>
          <cell r="D3404">
            <v>1201282450507</v>
          </cell>
          <cell r="F3404" t="str">
            <v>Tidak</v>
          </cell>
          <cell r="G3404" t="str">
            <v>Tidak</v>
          </cell>
          <cell r="H3404" t="str">
            <v>Tidak</v>
          </cell>
          <cell r="I3404" t="str">
            <v>Bandar Judol Withdrawal</v>
          </cell>
          <cell r="J3404">
            <v>35</v>
          </cell>
          <cell r="K3404" t="str">
            <v>86,88,87</v>
          </cell>
          <cell r="L3404" t="str">
            <v>Judi Online</v>
          </cell>
          <cell r="M3404" t="str">
            <v xml:space="preserve">Kas Kanpus                              </v>
          </cell>
          <cell r="N3404" t="str">
            <v xml:space="preserve">Kas Kanpus                              </v>
          </cell>
          <cell r="O3404" t="str">
            <v xml:space="preserve">KAS KANPUS                              </v>
          </cell>
          <cell r="P3404" t="str">
            <v>Tidak</v>
          </cell>
          <cell r="Q3404" t="str">
            <v>Ya</v>
          </cell>
          <cell r="R3404" t="str">
            <v>Done</v>
          </cell>
          <cell r="S3404" t="str">
            <v>Approved</v>
          </cell>
          <cell r="T3404" t="str">
            <v>90150130 - Intan Aida Pratiwi</v>
          </cell>
          <cell r="U3404" t="str">
            <v>"-"</v>
          </cell>
        </row>
        <row r="3405">
          <cell r="A3405">
            <v>46265</v>
          </cell>
          <cell r="B3405" t="str">
            <v xml:space="preserve">EDI PRANDANA                            </v>
          </cell>
          <cell r="C3405" t="str">
            <v>EYT3777</v>
          </cell>
          <cell r="D3405">
            <v>42101005271565</v>
          </cell>
          <cell r="F3405" t="str">
            <v>Tidak</v>
          </cell>
          <cell r="G3405" t="str">
            <v>Tidak</v>
          </cell>
          <cell r="H3405" t="str">
            <v>Tidak</v>
          </cell>
          <cell r="I3405" t="str">
            <v>Bandar Judol Withdrawal</v>
          </cell>
          <cell r="J3405">
            <v>35</v>
          </cell>
          <cell r="K3405" t="str">
            <v>86,88,87</v>
          </cell>
          <cell r="L3405" t="str">
            <v>Judi Online</v>
          </cell>
          <cell r="M3405" t="str">
            <v xml:space="preserve">Kas Kanpus                              </v>
          </cell>
          <cell r="N3405" t="str">
            <v xml:space="preserve">Kas Kanpus                              </v>
          </cell>
          <cell r="O3405" t="str">
            <v xml:space="preserve">KAS KANPUS                              </v>
          </cell>
          <cell r="P3405" t="str">
            <v>Ya</v>
          </cell>
          <cell r="Q3405" t="str">
            <v>Ya</v>
          </cell>
          <cell r="R3405" t="str">
            <v>Done</v>
          </cell>
          <cell r="S3405" t="str">
            <v>Approved</v>
          </cell>
          <cell r="T3405" t="str">
            <v>00336949 - Mochammad Al Farabi</v>
          </cell>
          <cell r="U3405" t="str">
            <v>"-"</v>
          </cell>
        </row>
        <row r="3406">
          <cell r="A3406">
            <v>46265</v>
          </cell>
          <cell r="B3406" t="str">
            <v xml:space="preserve">FERDIAN ARI WIBOWO                      </v>
          </cell>
          <cell r="C3406" t="str">
            <v>FA09919</v>
          </cell>
          <cell r="D3406">
            <v>303901034058530</v>
          </cell>
          <cell r="E3406" t="str">
            <v>SEDANG</v>
          </cell>
          <cell r="F3406" t="str">
            <v>Tidak</v>
          </cell>
          <cell r="G3406" t="str">
            <v>Tidak</v>
          </cell>
          <cell r="H3406" t="str">
            <v>Tidak</v>
          </cell>
          <cell r="I3406" t="str">
            <v>Bandar Judol Withdrawal</v>
          </cell>
          <cell r="J3406">
            <v>50</v>
          </cell>
          <cell r="K3406" t="str">
            <v>86,88,87</v>
          </cell>
          <cell r="L3406" t="str">
            <v>Judi Online</v>
          </cell>
          <cell r="M3406" t="str">
            <v xml:space="preserve">Kas Kanpus                              </v>
          </cell>
          <cell r="N3406" t="str">
            <v xml:space="preserve">Kas Kanpus                              </v>
          </cell>
          <cell r="O3406" t="str">
            <v xml:space="preserve">KAS KANPUS                              </v>
          </cell>
          <cell r="P3406" t="str">
            <v>Tidak</v>
          </cell>
          <cell r="Q3406" t="str">
            <v>Ya</v>
          </cell>
          <cell r="R3406" t="str">
            <v>Done</v>
          </cell>
          <cell r="S3406" t="str">
            <v>Approved</v>
          </cell>
          <cell r="T3406" t="str">
            <v>90171841 - Rifqi Aziz</v>
          </cell>
          <cell r="U3406" t="str">
            <v>"-"</v>
          </cell>
        </row>
        <row r="3407">
          <cell r="A3407">
            <v>46265</v>
          </cell>
          <cell r="B3407" t="str">
            <v xml:space="preserve">FAULIA FAJRIN                           </v>
          </cell>
          <cell r="C3407" t="str">
            <v>FAC8867</v>
          </cell>
          <cell r="D3407">
            <v>55301041731502</v>
          </cell>
          <cell r="E3407" t="str">
            <v>SEDANG</v>
          </cell>
          <cell r="F3407" t="str">
            <v>Tidak</v>
          </cell>
          <cell r="G3407" t="str">
            <v>Tidak</v>
          </cell>
          <cell r="H3407" t="str">
            <v>Tidak</v>
          </cell>
          <cell r="I3407" t="str">
            <v>Bandar Judol Withdrawal</v>
          </cell>
          <cell r="J3407">
            <v>50</v>
          </cell>
          <cell r="K3407" t="str">
            <v>86,88,87</v>
          </cell>
          <cell r="L3407" t="str">
            <v>Judi Online</v>
          </cell>
          <cell r="M3407" t="str">
            <v xml:space="preserve">Kas Kanpus                              </v>
          </cell>
          <cell r="N3407" t="str">
            <v xml:space="preserve">Kas Kanpus                              </v>
          </cell>
          <cell r="O3407" t="str">
            <v xml:space="preserve">KAS KANPUS                              </v>
          </cell>
          <cell r="P3407" t="str">
            <v>Ya</v>
          </cell>
          <cell r="Q3407" t="str">
            <v>Ya</v>
          </cell>
          <cell r="R3407" t="str">
            <v>Done</v>
          </cell>
          <cell r="S3407" t="str">
            <v>Approved</v>
          </cell>
          <cell r="T3407" t="str">
            <v>90171841 - Rifqi Aziz</v>
          </cell>
          <cell r="U3407" t="str">
            <v>"-"</v>
          </cell>
        </row>
        <row r="3408">
          <cell r="A3408">
            <v>46265</v>
          </cell>
          <cell r="B3408" t="str">
            <v xml:space="preserve">FAJAR SIDIQ                             </v>
          </cell>
          <cell r="C3408" t="str">
            <v>FBI2835</v>
          </cell>
          <cell r="D3408">
            <v>10001003503564</v>
          </cell>
          <cell r="E3408" t="str">
            <v>TINGGI</v>
          </cell>
          <cell r="F3408" t="str">
            <v>Tidak</v>
          </cell>
          <cell r="G3408" t="str">
            <v>Tidak</v>
          </cell>
          <cell r="H3408" t="str">
            <v>Tidak</v>
          </cell>
          <cell r="I3408" t="str">
            <v>Terorisme - SIPENDAR</v>
          </cell>
          <cell r="J3408">
            <v>184</v>
          </cell>
          <cell r="K3408">
            <v>36</v>
          </cell>
          <cell r="L3408" t="str">
            <v>Terorisme</v>
          </cell>
          <cell r="M3408" t="str">
            <v xml:space="preserve">Kas Kanpus                              </v>
          </cell>
          <cell r="N3408" t="str">
            <v xml:space="preserve">Kas Kanpus                              </v>
          </cell>
          <cell r="O3408" t="str">
            <v xml:space="preserve">KAS KANPUS                              </v>
          </cell>
          <cell r="P3408" t="str">
            <v>Tidak</v>
          </cell>
          <cell r="Q3408" t="str">
            <v>Tidak</v>
          </cell>
          <cell r="R3408" t="str">
            <v>Done</v>
          </cell>
          <cell r="S3408" t="str">
            <v>Approved</v>
          </cell>
          <cell r="T3408" t="str">
            <v>90185538 - Muhammad Fahikal Auz</v>
          </cell>
          <cell r="U3408" t="str">
            <v>"-"</v>
          </cell>
        </row>
        <row r="3409">
          <cell r="A3409">
            <v>46265</v>
          </cell>
          <cell r="B3409" t="str">
            <v xml:space="preserve">FITRIA  YULIANA                         </v>
          </cell>
          <cell r="C3409" t="str">
            <v>FDA7029</v>
          </cell>
          <cell r="D3409">
            <v>1701004430563</v>
          </cell>
          <cell r="E3409" t="str">
            <v>SEDANG</v>
          </cell>
          <cell r="F3409" t="str">
            <v>Tidak</v>
          </cell>
          <cell r="G3409" t="str">
            <v>Tidak</v>
          </cell>
          <cell r="H3409" t="str">
            <v>Tidak</v>
          </cell>
          <cell r="I3409" t="str">
            <v>Bandar Judol Withdrawal</v>
          </cell>
          <cell r="J3409">
            <v>50</v>
          </cell>
          <cell r="K3409" t="str">
            <v>86,88,87</v>
          </cell>
          <cell r="L3409" t="str">
            <v>Judi Online</v>
          </cell>
          <cell r="M3409" t="str">
            <v xml:space="preserve">Kas Kanpus                              </v>
          </cell>
          <cell r="N3409" t="str">
            <v xml:space="preserve">Kas Kanpus                              </v>
          </cell>
          <cell r="O3409" t="str">
            <v xml:space="preserve">KAS KANPUS                              </v>
          </cell>
          <cell r="P3409" t="str">
            <v>Ya</v>
          </cell>
          <cell r="Q3409" t="str">
            <v>Ya</v>
          </cell>
          <cell r="R3409" t="str">
            <v>Done</v>
          </cell>
          <cell r="S3409" t="str">
            <v>Approved</v>
          </cell>
          <cell r="T3409" t="str">
            <v>00394521 - Muhammad Hibbanduta</v>
          </cell>
          <cell r="U3409" t="str">
            <v>"-"</v>
          </cell>
        </row>
        <row r="3410">
          <cell r="A3410">
            <v>46265</v>
          </cell>
          <cell r="B3410" t="str">
            <v xml:space="preserve">FITA MARWATI                            </v>
          </cell>
          <cell r="C3410" t="str">
            <v>FLA1936</v>
          </cell>
          <cell r="D3410">
            <v>59501000776565</v>
          </cell>
          <cell r="E3410" t="str">
            <v>SEDANG</v>
          </cell>
          <cell r="F3410" t="str">
            <v>Tidak</v>
          </cell>
          <cell r="G3410" t="str">
            <v>Tidak</v>
          </cell>
          <cell r="H3410" t="str">
            <v>Tidak</v>
          </cell>
          <cell r="I3410" t="str">
            <v>Bandar Judol Withdrawal</v>
          </cell>
          <cell r="J3410">
            <v>50</v>
          </cell>
          <cell r="K3410" t="str">
            <v>86,88,87</v>
          </cell>
          <cell r="L3410" t="str">
            <v>Judi Online</v>
          </cell>
          <cell r="M3410" t="str">
            <v xml:space="preserve">Kas Kanpus                              </v>
          </cell>
          <cell r="N3410" t="str">
            <v xml:space="preserve">Kas Kanpus                              </v>
          </cell>
          <cell r="O3410" t="str">
            <v xml:space="preserve">KAS KANPUS                              </v>
          </cell>
          <cell r="P3410" t="str">
            <v>Ya</v>
          </cell>
          <cell r="Q3410" t="str">
            <v>Ya</v>
          </cell>
          <cell r="R3410" t="str">
            <v>Done</v>
          </cell>
          <cell r="S3410" t="str">
            <v>Approved</v>
          </cell>
          <cell r="T3410" t="str">
            <v>00336949 - Mochammad Al Farabi</v>
          </cell>
          <cell r="U3410" t="str">
            <v>"-"</v>
          </cell>
        </row>
        <row r="3411">
          <cell r="A3411">
            <v>46265</v>
          </cell>
          <cell r="B3411" t="str">
            <v xml:space="preserve">FAHMI AULIA                             </v>
          </cell>
          <cell r="C3411" t="str">
            <v>FKC7921</v>
          </cell>
          <cell r="D3411">
            <v>63801069432508</v>
          </cell>
          <cell r="E3411" t="str">
            <v>SEDANG</v>
          </cell>
          <cell r="F3411" t="str">
            <v>Tidak</v>
          </cell>
          <cell r="G3411" t="str">
            <v>Tidak</v>
          </cell>
          <cell r="H3411" t="str">
            <v>Tidak</v>
          </cell>
          <cell r="I3411" t="str">
            <v>Bandar Judol Depo</v>
          </cell>
          <cell r="J3411">
            <v>50</v>
          </cell>
          <cell r="K3411" t="str">
            <v>86,74,87</v>
          </cell>
          <cell r="L3411" t="str">
            <v>Judi Online</v>
          </cell>
          <cell r="M3411" t="str">
            <v xml:space="preserve">Kas Kanpus                              </v>
          </cell>
          <cell r="N3411" t="str">
            <v xml:space="preserve">Kas Kanpus                              </v>
          </cell>
          <cell r="O3411" t="str">
            <v xml:space="preserve">KAS KANPUS                              </v>
          </cell>
          <cell r="P3411" t="str">
            <v>Tidak</v>
          </cell>
          <cell r="Q3411" t="str">
            <v>Ya</v>
          </cell>
          <cell r="R3411" t="str">
            <v>Done</v>
          </cell>
          <cell r="S3411" t="str">
            <v>Approved</v>
          </cell>
          <cell r="T3411" t="str">
            <v>90185538 - Muhammad Fahikal Auz</v>
          </cell>
          <cell r="U3411" t="str">
            <v>"-"</v>
          </cell>
        </row>
        <row r="3412">
          <cell r="A3412">
            <v>46265</v>
          </cell>
          <cell r="B3412" t="str">
            <v xml:space="preserve">FERDIANSYAH                             </v>
          </cell>
          <cell r="C3412" t="str">
            <v>FMN0961</v>
          </cell>
          <cell r="D3412">
            <v>39901045393500</v>
          </cell>
          <cell r="E3412" t="str">
            <v>SEDANG</v>
          </cell>
          <cell r="F3412" t="str">
            <v>Tidak</v>
          </cell>
          <cell r="G3412" t="str">
            <v>Tidak</v>
          </cell>
          <cell r="H3412" t="str">
            <v>Tidak</v>
          </cell>
          <cell r="I3412" t="str">
            <v>Bandar Judol Withdrawal</v>
          </cell>
          <cell r="J3412">
            <v>50</v>
          </cell>
          <cell r="K3412" t="str">
            <v>86,88,87</v>
          </cell>
          <cell r="L3412" t="str">
            <v>Judi Online</v>
          </cell>
          <cell r="M3412" t="str">
            <v xml:space="preserve">Kas Kanpus                              </v>
          </cell>
          <cell r="N3412" t="str">
            <v xml:space="preserve">Kas Kanpus                              </v>
          </cell>
          <cell r="O3412" t="str">
            <v xml:space="preserve">KAS KANPUS                              </v>
          </cell>
          <cell r="P3412" t="str">
            <v>Ya</v>
          </cell>
          <cell r="Q3412" t="str">
            <v>Ya</v>
          </cell>
          <cell r="R3412" t="str">
            <v>Done</v>
          </cell>
          <cell r="S3412" t="str">
            <v>Approved</v>
          </cell>
          <cell r="T3412" t="str">
            <v>00336949 - Mochammad Al Farabi</v>
          </cell>
          <cell r="U3412" t="str">
            <v>"-"</v>
          </cell>
        </row>
        <row r="3413">
          <cell r="A3413">
            <v>46265</v>
          </cell>
          <cell r="B3413" t="str">
            <v xml:space="preserve">FAJAR UTAMI                             </v>
          </cell>
          <cell r="C3413" t="str">
            <v>FMP4883</v>
          </cell>
          <cell r="D3413">
            <v>683701034561530</v>
          </cell>
          <cell r="E3413" t="str">
            <v>SEDANG</v>
          </cell>
          <cell r="F3413" t="str">
            <v>Tidak</v>
          </cell>
          <cell r="G3413" t="str">
            <v>Tidak</v>
          </cell>
          <cell r="H3413" t="str">
            <v>Tidak</v>
          </cell>
          <cell r="I3413" t="str">
            <v>Bandar Judol Depo</v>
          </cell>
          <cell r="J3413">
            <v>50</v>
          </cell>
          <cell r="K3413" t="str">
            <v>86,74,87</v>
          </cell>
          <cell r="L3413" t="str">
            <v>Judi Online</v>
          </cell>
          <cell r="M3413" t="str">
            <v xml:space="preserve">Kas Kanpus                              </v>
          </cell>
          <cell r="N3413" t="str">
            <v xml:space="preserve">Kas Kanpus                              </v>
          </cell>
          <cell r="O3413" t="str">
            <v xml:space="preserve">KAS KANPUS                              </v>
          </cell>
          <cell r="P3413" t="str">
            <v>Tidak</v>
          </cell>
          <cell r="Q3413" t="str">
            <v>Ya</v>
          </cell>
          <cell r="R3413" t="str">
            <v>Done</v>
          </cell>
          <cell r="S3413" t="str">
            <v>Approved</v>
          </cell>
          <cell r="T3413" t="str">
            <v>00394520 - Frida Akbar Rani</v>
          </cell>
          <cell r="U3413" t="str">
            <v>"-"</v>
          </cell>
        </row>
        <row r="3414">
          <cell r="A3414">
            <v>46265</v>
          </cell>
          <cell r="B3414" t="str">
            <v xml:space="preserve">FERONIKA                                </v>
          </cell>
          <cell r="C3414" t="str">
            <v>FMQ4214</v>
          </cell>
          <cell r="D3414">
            <v>217401000832567</v>
          </cell>
          <cell r="E3414" t="str">
            <v>SEDANG</v>
          </cell>
          <cell r="F3414" t="str">
            <v>Tidak</v>
          </cell>
          <cell r="G3414" t="str">
            <v>Tidak</v>
          </cell>
          <cell r="H3414" t="str">
            <v>Tidak</v>
          </cell>
          <cell r="I3414" t="str">
            <v>Bandar Judol Withdrawal</v>
          </cell>
          <cell r="J3414">
            <v>50</v>
          </cell>
          <cell r="K3414" t="str">
            <v>86,88,87</v>
          </cell>
          <cell r="L3414" t="str">
            <v>Judi Online</v>
          </cell>
          <cell r="M3414" t="str">
            <v xml:space="preserve">Kas Kanpus                              </v>
          </cell>
          <cell r="N3414" t="str">
            <v xml:space="preserve">Kas Kanpus                              </v>
          </cell>
          <cell r="O3414" t="str">
            <v xml:space="preserve">KAS KANPUS                              </v>
          </cell>
          <cell r="P3414" t="str">
            <v>Ya</v>
          </cell>
          <cell r="Q3414" t="str">
            <v>Ya</v>
          </cell>
          <cell r="R3414" t="str">
            <v>Done</v>
          </cell>
          <cell r="S3414" t="str">
            <v>Approved</v>
          </cell>
          <cell r="T3414" t="str">
            <v>90171841 - Rifqi Aziz</v>
          </cell>
          <cell r="U3414" t="str">
            <v>"-"</v>
          </cell>
        </row>
        <row r="3415">
          <cell r="A3415">
            <v>46265</v>
          </cell>
          <cell r="B3415" t="str">
            <v xml:space="preserve">FATHI NASRULLAH                         </v>
          </cell>
          <cell r="C3415" t="str">
            <v>FLK9302</v>
          </cell>
          <cell r="D3415">
            <v>59801000538561</v>
          </cell>
          <cell r="E3415" t="str">
            <v>TINGGI</v>
          </cell>
          <cell r="F3415" t="str">
            <v>Tidak</v>
          </cell>
          <cell r="G3415" t="str">
            <v>Tidak</v>
          </cell>
          <cell r="H3415" t="str">
            <v>Tidak</v>
          </cell>
          <cell r="I3415" t="str">
            <v>Terorisme - SIPENDAR</v>
          </cell>
          <cell r="J3415">
            <v>186</v>
          </cell>
          <cell r="K3415">
            <v>36</v>
          </cell>
          <cell r="L3415" t="str">
            <v>Terorisme</v>
          </cell>
          <cell r="M3415" t="str">
            <v xml:space="preserve">Kas Kanpus                              </v>
          </cell>
          <cell r="N3415" t="str">
            <v xml:space="preserve">Kas Kanpus                              </v>
          </cell>
          <cell r="O3415" t="str">
            <v xml:space="preserve">KAS KANPUS                              </v>
          </cell>
          <cell r="P3415" t="str">
            <v>Tidak</v>
          </cell>
          <cell r="Q3415" t="str">
            <v>Ya</v>
          </cell>
          <cell r="R3415" t="str">
            <v>Done</v>
          </cell>
          <cell r="S3415" t="str">
            <v>Approved</v>
          </cell>
          <cell r="T3415" t="str">
            <v>00394520 - Frida Akbar Rani</v>
          </cell>
          <cell r="U3415" t="str">
            <v>"-"</v>
          </cell>
        </row>
        <row r="3416">
          <cell r="A3416">
            <v>46265</v>
          </cell>
          <cell r="B3416" t="str">
            <v xml:space="preserve">FITRIA WULAN DARI                       </v>
          </cell>
          <cell r="C3416" t="str">
            <v>FLP5720</v>
          </cell>
          <cell r="D3416">
            <v>656101001291507</v>
          </cell>
          <cell r="E3416" t="str">
            <v>SEDANG</v>
          </cell>
          <cell r="F3416" t="str">
            <v>Tidak</v>
          </cell>
          <cell r="G3416" t="str">
            <v>Tidak</v>
          </cell>
          <cell r="H3416" t="str">
            <v>Tidak</v>
          </cell>
          <cell r="I3416" t="str">
            <v>Bandar Judol Depo</v>
          </cell>
          <cell r="J3416">
            <v>50</v>
          </cell>
          <cell r="K3416" t="str">
            <v>86,74,87</v>
          </cell>
          <cell r="L3416" t="str">
            <v>Judi Online</v>
          </cell>
          <cell r="M3416" t="str">
            <v xml:space="preserve">Kas Kanpus                              </v>
          </cell>
          <cell r="N3416" t="str">
            <v xml:space="preserve">Kas Kanpus                              </v>
          </cell>
          <cell r="O3416" t="str">
            <v xml:space="preserve">KAS KANPUS                              </v>
          </cell>
          <cell r="P3416" t="str">
            <v>Tidak</v>
          </cell>
          <cell r="Q3416" t="str">
            <v>Tidak</v>
          </cell>
          <cell r="R3416" t="str">
            <v>Done</v>
          </cell>
          <cell r="S3416" t="str">
            <v>Approved</v>
          </cell>
          <cell r="T3416" t="str">
            <v>00336949 - Mochammad Al Farabi</v>
          </cell>
          <cell r="U3416" t="str">
            <v>"-"</v>
          </cell>
        </row>
        <row r="3417">
          <cell r="A3417">
            <v>46265</v>
          </cell>
          <cell r="B3417" t="str">
            <v xml:space="preserve">FICHA ALFIANTI DEA NINGTYAS             </v>
          </cell>
          <cell r="C3417" t="str">
            <v>FGM6410</v>
          </cell>
          <cell r="D3417">
            <v>34401130035509</v>
          </cell>
          <cell r="E3417" t="str">
            <v>SEDANG</v>
          </cell>
          <cell r="F3417" t="str">
            <v>Tidak</v>
          </cell>
          <cell r="G3417" t="str">
            <v>Tidak</v>
          </cell>
          <cell r="H3417" t="str">
            <v>Tidak</v>
          </cell>
          <cell r="I3417" t="str">
            <v>Bandar Judol Depo</v>
          </cell>
          <cell r="J3417">
            <v>50</v>
          </cell>
          <cell r="K3417" t="str">
            <v>86,74,87</v>
          </cell>
          <cell r="L3417" t="str">
            <v>Judi Online</v>
          </cell>
          <cell r="M3417" t="str">
            <v xml:space="preserve">Kas Kanpus                              </v>
          </cell>
          <cell r="N3417" t="str">
            <v xml:space="preserve">Kas Kanpus                              </v>
          </cell>
          <cell r="O3417" t="str">
            <v xml:space="preserve">KAS KANPUS                              </v>
          </cell>
          <cell r="P3417" t="str">
            <v>Ya</v>
          </cell>
          <cell r="Q3417" t="str">
            <v>Ya</v>
          </cell>
          <cell r="R3417" t="str">
            <v>Done</v>
          </cell>
          <cell r="S3417" t="str">
            <v>Approved</v>
          </cell>
          <cell r="T3417" t="str">
            <v>00394520 - Frida Akbar Rani</v>
          </cell>
          <cell r="U3417" t="str">
            <v>"-"</v>
          </cell>
        </row>
        <row r="3418">
          <cell r="A3418">
            <v>46265</v>
          </cell>
          <cell r="B3418" t="str">
            <v xml:space="preserve">FIKRI HIDAYAT                           </v>
          </cell>
          <cell r="C3418" t="str">
            <v>FFW0904</v>
          </cell>
          <cell r="D3418">
            <v>384801026064508</v>
          </cell>
          <cell r="E3418" t="str">
            <v>SEDANG</v>
          </cell>
          <cell r="F3418" t="str">
            <v>Tidak</v>
          </cell>
          <cell r="G3418" t="str">
            <v>Tidak</v>
          </cell>
          <cell r="H3418" t="str">
            <v>Tidak</v>
          </cell>
          <cell r="I3418" t="str">
            <v>Bandar Judol Withdrawal</v>
          </cell>
          <cell r="J3418">
            <v>50</v>
          </cell>
          <cell r="K3418" t="str">
            <v>86,88,87</v>
          </cell>
          <cell r="L3418" t="str">
            <v>Judi Online</v>
          </cell>
          <cell r="M3418" t="str">
            <v xml:space="preserve">Kas Kanpus                              </v>
          </cell>
          <cell r="N3418" t="str">
            <v xml:space="preserve">Kas Kanpus                              </v>
          </cell>
          <cell r="O3418" t="str">
            <v xml:space="preserve">KAS KANPUS                              </v>
          </cell>
          <cell r="P3418" t="str">
            <v>Ya</v>
          </cell>
          <cell r="Q3418" t="str">
            <v>Tidak</v>
          </cell>
          <cell r="R3418" t="str">
            <v>Done</v>
          </cell>
          <cell r="S3418" t="str">
            <v>Approved</v>
          </cell>
          <cell r="T3418" t="str">
            <v>90185537 - Moh.Khoerul Fajar Ar</v>
          </cell>
          <cell r="U3418" t="str">
            <v>"-"</v>
          </cell>
        </row>
        <row r="3419">
          <cell r="A3419">
            <v>46265</v>
          </cell>
          <cell r="B3419" t="str">
            <v xml:space="preserve">FIRMAN HAKIM                            </v>
          </cell>
          <cell r="C3419" t="str">
            <v>FI57053</v>
          </cell>
          <cell r="D3419">
            <v>108801004817505</v>
          </cell>
          <cell r="E3419" t="str">
            <v>SEDANG</v>
          </cell>
          <cell r="F3419" t="str">
            <v>Tidak</v>
          </cell>
          <cell r="G3419" t="str">
            <v>Tidak</v>
          </cell>
          <cell r="H3419" t="str">
            <v>Tidak</v>
          </cell>
          <cell r="I3419" t="str">
            <v>Bandar Judol Withdrawal</v>
          </cell>
          <cell r="J3419">
            <v>50</v>
          </cell>
          <cell r="K3419" t="str">
            <v>86,88,87</v>
          </cell>
          <cell r="L3419" t="str">
            <v>Judi Online</v>
          </cell>
          <cell r="M3419" t="str">
            <v xml:space="preserve">Kas Kanpus                              </v>
          </cell>
          <cell r="N3419" t="str">
            <v xml:space="preserve">Kas Kanpus                              </v>
          </cell>
          <cell r="O3419" t="str">
            <v xml:space="preserve">KAS KANPUS                              </v>
          </cell>
          <cell r="P3419" t="str">
            <v>Ya</v>
          </cell>
          <cell r="Q3419" t="str">
            <v>Ya</v>
          </cell>
          <cell r="R3419" t="str">
            <v>Done</v>
          </cell>
          <cell r="S3419" t="str">
            <v>Approved</v>
          </cell>
          <cell r="T3419" t="str">
            <v>00394521 - Muhammad Hibbanduta</v>
          </cell>
          <cell r="U3419" t="str">
            <v>"-"</v>
          </cell>
        </row>
        <row r="3420">
          <cell r="A3420">
            <v>46265</v>
          </cell>
          <cell r="B3420" t="str">
            <v xml:space="preserve">FARHAN AIMAN                            </v>
          </cell>
          <cell r="C3420" t="str">
            <v>FPY4366</v>
          </cell>
          <cell r="D3420">
            <v>39901052602500</v>
          </cell>
          <cell r="F3420" t="str">
            <v>Tidak</v>
          </cell>
          <cell r="G3420" t="str">
            <v>Tidak</v>
          </cell>
          <cell r="H3420" t="str">
            <v>Tidak</v>
          </cell>
          <cell r="I3420" t="str">
            <v>Bandar Judol Withdrawal</v>
          </cell>
          <cell r="J3420">
            <v>35</v>
          </cell>
          <cell r="K3420" t="str">
            <v>86,88,87</v>
          </cell>
          <cell r="L3420" t="str">
            <v>Judi Online</v>
          </cell>
          <cell r="M3420" t="str">
            <v xml:space="preserve">Kas Kanpus                              </v>
          </cell>
          <cell r="N3420" t="str">
            <v xml:space="preserve">Kas Kanpus                              </v>
          </cell>
          <cell r="O3420" t="str">
            <v xml:space="preserve">KAS KANPUS                              </v>
          </cell>
          <cell r="P3420" t="str">
            <v>Ya</v>
          </cell>
          <cell r="Q3420" t="str">
            <v>Tidak</v>
          </cell>
          <cell r="R3420" t="str">
            <v>Done</v>
          </cell>
          <cell r="S3420" t="str">
            <v>Approved</v>
          </cell>
          <cell r="T3420" t="str">
            <v>90150130 - Intan Aida Pratiwi</v>
          </cell>
          <cell r="U3420" t="str">
            <v>"-"</v>
          </cell>
        </row>
        <row r="3421">
          <cell r="A3421">
            <v>46265</v>
          </cell>
          <cell r="B3421" t="str">
            <v xml:space="preserve">FAJAR SHIBAB MAULANA                    </v>
          </cell>
          <cell r="C3421" t="str">
            <v>FPZ0775</v>
          </cell>
          <cell r="D3421">
            <v>82601000044567</v>
          </cell>
          <cell r="F3421" t="str">
            <v>Tidak</v>
          </cell>
          <cell r="G3421" t="str">
            <v>Tidak</v>
          </cell>
          <cell r="H3421" t="str">
            <v>Tidak</v>
          </cell>
          <cell r="I3421" t="str">
            <v>Bandar Judol Depo</v>
          </cell>
          <cell r="J3421">
            <v>35</v>
          </cell>
          <cell r="K3421" t="str">
            <v>86,74,87</v>
          </cell>
          <cell r="L3421" t="str">
            <v>Judi Online</v>
          </cell>
          <cell r="M3421" t="str">
            <v xml:space="preserve">Kas Kanpus                              </v>
          </cell>
          <cell r="N3421" t="str">
            <v xml:space="preserve">Kas Kanpus                              </v>
          </cell>
          <cell r="O3421" t="str">
            <v xml:space="preserve">KAS KANPUS                              </v>
          </cell>
          <cell r="P3421" t="str">
            <v>Ya</v>
          </cell>
          <cell r="Q3421" t="str">
            <v>Ya</v>
          </cell>
          <cell r="R3421" t="str">
            <v>Done</v>
          </cell>
          <cell r="S3421" t="str">
            <v>Approved</v>
          </cell>
          <cell r="T3421" t="str">
            <v>90150130 - Intan Aida Pratiwi</v>
          </cell>
          <cell r="U3421" t="str">
            <v>"-"</v>
          </cell>
        </row>
        <row r="3422">
          <cell r="A3422">
            <v>46265</v>
          </cell>
          <cell r="B3422" t="str">
            <v xml:space="preserve">FIFI FITRIA ARIYANI                     </v>
          </cell>
          <cell r="C3422" t="str">
            <v>FQD3319</v>
          </cell>
          <cell r="D3422">
            <v>301001000009567</v>
          </cell>
          <cell r="F3422" t="str">
            <v>Tidak</v>
          </cell>
          <cell r="G3422" t="str">
            <v>Tidak</v>
          </cell>
          <cell r="H3422" t="str">
            <v>Tidak</v>
          </cell>
          <cell r="I3422" t="str">
            <v>Bandar Judol Depo</v>
          </cell>
          <cell r="J3422">
            <v>35</v>
          </cell>
          <cell r="K3422" t="str">
            <v>86,74,87</v>
          </cell>
          <cell r="L3422" t="str">
            <v>Judi Online</v>
          </cell>
          <cell r="M3422" t="str">
            <v xml:space="preserve">Kas Kanpus                              </v>
          </cell>
          <cell r="N3422" t="str">
            <v xml:space="preserve">Kas Kanpus                              </v>
          </cell>
          <cell r="O3422" t="str">
            <v xml:space="preserve">KAS KANPUS                              </v>
          </cell>
          <cell r="P3422" t="str">
            <v>Ya</v>
          </cell>
          <cell r="Q3422" t="str">
            <v>Ya</v>
          </cell>
          <cell r="R3422" t="str">
            <v>Done</v>
          </cell>
          <cell r="S3422" t="str">
            <v>Approved</v>
          </cell>
          <cell r="T3422" t="str">
            <v>00394521 - Muhammad Hibbanduta</v>
          </cell>
          <cell r="U3422" t="str">
            <v>"-"</v>
          </cell>
        </row>
        <row r="3423">
          <cell r="A3423">
            <v>46265</v>
          </cell>
          <cell r="B3423" t="str">
            <v xml:space="preserve">FIRMAN SIBI                             </v>
          </cell>
          <cell r="C3423" t="str">
            <v>FPE3948</v>
          </cell>
          <cell r="D3423">
            <v>116301019367505</v>
          </cell>
          <cell r="F3423" t="str">
            <v>Tidak</v>
          </cell>
          <cell r="G3423" t="str">
            <v>Tidak</v>
          </cell>
          <cell r="H3423" t="str">
            <v>Tidak</v>
          </cell>
          <cell r="I3423" t="str">
            <v>Bandar Judol Depo</v>
          </cell>
          <cell r="J3423">
            <v>35</v>
          </cell>
          <cell r="K3423" t="str">
            <v>86,74,87</v>
          </cell>
          <cell r="L3423" t="str">
            <v>Judi Online</v>
          </cell>
          <cell r="M3423" t="str">
            <v xml:space="preserve">Kas Kanpus                              </v>
          </cell>
          <cell r="N3423" t="str">
            <v xml:space="preserve">Kas Kanpus                              </v>
          </cell>
          <cell r="O3423" t="str">
            <v xml:space="preserve">KAS KANPUS                              </v>
          </cell>
          <cell r="P3423" t="str">
            <v>Ya</v>
          </cell>
          <cell r="Q3423" t="str">
            <v>Ya</v>
          </cell>
          <cell r="R3423" t="str">
            <v>Done</v>
          </cell>
          <cell r="S3423" t="str">
            <v>Approved</v>
          </cell>
          <cell r="T3423" t="str">
            <v>00394521 - Muhammad Hibbanduta</v>
          </cell>
          <cell r="U3423" t="str">
            <v>"-"</v>
          </cell>
        </row>
        <row r="3424">
          <cell r="A3424">
            <v>46265</v>
          </cell>
          <cell r="B3424" t="str">
            <v xml:space="preserve">FERY SURYANTO                           </v>
          </cell>
          <cell r="C3424" t="str">
            <v>FPE4552</v>
          </cell>
          <cell r="D3424">
            <v>44501002274566</v>
          </cell>
          <cell r="F3424" t="str">
            <v>Tidak</v>
          </cell>
          <cell r="G3424" t="str">
            <v>Tidak</v>
          </cell>
          <cell r="H3424" t="str">
            <v>Tidak</v>
          </cell>
          <cell r="I3424" t="str">
            <v>Bandar Judol Withdrawal</v>
          </cell>
          <cell r="J3424">
            <v>35</v>
          </cell>
          <cell r="K3424" t="str">
            <v>86,88,87</v>
          </cell>
          <cell r="L3424" t="str">
            <v>Judi Online</v>
          </cell>
          <cell r="M3424" t="str">
            <v xml:space="preserve">Kas Kanpus                              </v>
          </cell>
          <cell r="N3424" t="str">
            <v xml:space="preserve">Kas Kanpus                              </v>
          </cell>
          <cell r="O3424" t="str">
            <v xml:space="preserve">KAS KANPUS                              </v>
          </cell>
          <cell r="P3424" t="str">
            <v>Ya</v>
          </cell>
          <cell r="Q3424" t="str">
            <v>Ya</v>
          </cell>
          <cell r="R3424" t="str">
            <v>Done</v>
          </cell>
          <cell r="S3424" t="str">
            <v>Approved</v>
          </cell>
          <cell r="T3424" t="str">
            <v>00336949 - Mochammad Al Farabi</v>
          </cell>
          <cell r="U3424" t="str">
            <v>"-"</v>
          </cell>
        </row>
        <row r="3425">
          <cell r="A3425">
            <v>46265</v>
          </cell>
          <cell r="B3425" t="str">
            <v xml:space="preserve">FEBRIAN SAIRATU ANDRITYAMAN LAMERE      </v>
          </cell>
          <cell r="C3425" t="str">
            <v>FPF1396</v>
          </cell>
          <cell r="D3425">
            <v>86301004855504</v>
          </cell>
          <cell r="F3425" t="str">
            <v>Tidak</v>
          </cell>
          <cell r="G3425" t="str">
            <v>Tidak</v>
          </cell>
          <cell r="H3425" t="str">
            <v>Tidak</v>
          </cell>
          <cell r="I3425" t="str">
            <v>Bandar Judol Withdrawal</v>
          </cell>
          <cell r="J3425">
            <v>35</v>
          </cell>
          <cell r="K3425" t="str">
            <v>86,88,87</v>
          </cell>
          <cell r="L3425" t="str">
            <v>Judi Online</v>
          </cell>
          <cell r="M3425" t="str">
            <v xml:space="preserve">Kas Kanpus                              </v>
          </cell>
          <cell r="N3425" t="str">
            <v xml:space="preserve">Kas Kanpus                              </v>
          </cell>
          <cell r="O3425" t="str">
            <v xml:space="preserve">KAS KANPUS                              </v>
          </cell>
          <cell r="P3425" t="str">
            <v>Ya</v>
          </cell>
          <cell r="Q3425" t="str">
            <v>Ya</v>
          </cell>
          <cell r="R3425" t="str">
            <v>Done</v>
          </cell>
          <cell r="S3425" t="str">
            <v>Approved</v>
          </cell>
          <cell r="T3425" t="str">
            <v>90150130 - Intan Aida Pratiwi</v>
          </cell>
          <cell r="U3425" t="str">
            <v>"-"</v>
          </cell>
        </row>
        <row r="3426">
          <cell r="A3426">
            <v>46265</v>
          </cell>
          <cell r="B3426" t="str">
            <v xml:space="preserve">FERRY TUERAH                            </v>
          </cell>
          <cell r="C3426" t="str">
            <v>FP22556</v>
          </cell>
          <cell r="D3426">
            <v>13501003455304</v>
          </cell>
          <cell r="E3426" t="str">
            <v>SEDANG</v>
          </cell>
          <cell r="F3426" t="str">
            <v>Tidak</v>
          </cell>
          <cell r="G3426" t="str">
            <v>Tidak</v>
          </cell>
          <cell r="H3426" t="str">
            <v>Tidak</v>
          </cell>
          <cell r="I3426" t="str">
            <v>Bandar Judol Withdrawal</v>
          </cell>
          <cell r="J3426">
            <v>50</v>
          </cell>
          <cell r="K3426" t="str">
            <v>86,88,87</v>
          </cell>
          <cell r="L3426" t="str">
            <v>Judi Online</v>
          </cell>
          <cell r="M3426" t="str">
            <v xml:space="preserve">Kas Kanpus                              </v>
          </cell>
          <cell r="N3426" t="str">
            <v xml:space="preserve">Kas Kanpus                              </v>
          </cell>
          <cell r="O3426" t="str">
            <v xml:space="preserve">KAS KANPUS                              </v>
          </cell>
          <cell r="P3426" t="str">
            <v>Tidak</v>
          </cell>
          <cell r="Q3426" t="str">
            <v>Ya</v>
          </cell>
          <cell r="R3426" t="str">
            <v>Done</v>
          </cell>
          <cell r="S3426" t="str">
            <v>Approved</v>
          </cell>
          <cell r="T3426" t="str">
            <v>90185537 - Moh.Khoerul Fajar Ar</v>
          </cell>
          <cell r="U3426" t="str">
            <v>"-"</v>
          </cell>
        </row>
        <row r="3427">
          <cell r="A3427">
            <v>46265</v>
          </cell>
          <cell r="B3427" t="str">
            <v xml:space="preserve">FERDI HARDIYANSAH                       </v>
          </cell>
          <cell r="C3427" t="str">
            <v>FPC3682</v>
          </cell>
          <cell r="D3427">
            <v>41801002014561</v>
          </cell>
          <cell r="F3427" t="str">
            <v>Tidak</v>
          </cell>
          <cell r="G3427" t="str">
            <v>Tidak</v>
          </cell>
          <cell r="H3427" t="str">
            <v>Tidak</v>
          </cell>
          <cell r="I3427" t="str">
            <v>Bandar Judol Withdrawal</v>
          </cell>
          <cell r="J3427">
            <v>35</v>
          </cell>
          <cell r="K3427" t="str">
            <v>86,88,87</v>
          </cell>
          <cell r="L3427" t="str">
            <v>Judi Online</v>
          </cell>
          <cell r="M3427" t="str">
            <v xml:space="preserve">Kas Kanpus                              </v>
          </cell>
          <cell r="N3427" t="str">
            <v xml:space="preserve">Kas Kanpus                              </v>
          </cell>
          <cell r="O3427" t="str">
            <v xml:space="preserve">KAS KANPUS                              </v>
          </cell>
          <cell r="P3427" t="str">
            <v>Ya</v>
          </cell>
          <cell r="Q3427" t="str">
            <v>Ya</v>
          </cell>
          <cell r="R3427" t="str">
            <v>Done</v>
          </cell>
          <cell r="S3427" t="str">
            <v>Approved</v>
          </cell>
          <cell r="T3427" t="str">
            <v>90171841 - Rifqi Aziz</v>
          </cell>
          <cell r="U3427" t="str">
            <v>"-"</v>
          </cell>
        </row>
        <row r="3428">
          <cell r="A3428">
            <v>46265</v>
          </cell>
          <cell r="B3428" t="str">
            <v xml:space="preserve">FAJRI WIDIANTO                          </v>
          </cell>
          <cell r="C3428" t="str">
            <v>FPC8795</v>
          </cell>
          <cell r="D3428">
            <v>722901000018569</v>
          </cell>
          <cell r="F3428" t="str">
            <v>Tidak</v>
          </cell>
          <cell r="G3428" t="str">
            <v>Tidak</v>
          </cell>
          <cell r="H3428" t="str">
            <v>Tidak</v>
          </cell>
          <cell r="I3428" t="str">
            <v>Bandar Judol Withdrawal</v>
          </cell>
          <cell r="J3428">
            <v>35</v>
          </cell>
          <cell r="K3428" t="str">
            <v>86,88,87</v>
          </cell>
          <cell r="L3428" t="str">
            <v>Judi Online</v>
          </cell>
          <cell r="M3428" t="str">
            <v xml:space="preserve">Kas Kanpus                              </v>
          </cell>
          <cell r="N3428" t="str">
            <v xml:space="preserve">Kas Kanpus                              </v>
          </cell>
          <cell r="O3428" t="str">
            <v xml:space="preserve">KAS KANPUS                              </v>
          </cell>
          <cell r="P3428" t="str">
            <v>Ya</v>
          </cell>
          <cell r="Q3428" t="str">
            <v>Ya</v>
          </cell>
          <cell r="R3428" t="str">
            <v>Done</v>
          </cell>
          <cell r="S3428" t="str">
            <v>Approved</v>
          </cell>
          <cell r="T3428" t="str">
            <v>90171841 - Rifqi Aziz</v>
          </cell>
          <cell r="U3428" t="str">
            <v>"-"</v>
          </cell>
        </row>
        <row r="3429">
          <cell r="A3429">
            <v>46265</v>
          </cell>
          <cell r="B3429" t="str">
            <v xml:space="preserve">FATHUR ROHMAN ALY                       </v>
          </cell>
          <cell r="C3429" t="str">
            <v>FPD4833</v>
          </cell>
          <cell r="D3429">
            <v>113201019279505</v>
          </cell>
          <cell r="F3429" t="str">
            <v>Tidak</v>
          </cell>
          <cell r="G3429" t="str">
            <v>Tidak</v>
          </cell>
          <cell r="H3429" t="str">
            <v>Tidak</v>
          </cell>
          <cell r="I3429" t="str">
            <v>Bandar Judol Withdrawal</v>
          </cell>
          <cell r="J3429">
            <v>35</v>
          </cell>
          <cell r="K3429" t="str">
            <v>86,88,87</v>
          </cell>
          <cell r="L3429" t="str">
            <v>Judi Online</v>
          </cell>
          <cell r="M3429" t="str">
            <v xml:space="preserve">Kas Kanpus                              </v>
          </cell>
          <cell r="N3429" t="str">
            <v xml:space="preserve">Kas Kanpus                              </v>
          </cell>
          <cell r="O3429" t="str">
            <v xml:space="preserve">KAS KANPUS                              </v>
          </cell>
          <cell r="P3429" t="str">
            <v>Ya</v>
          </cell>
          <cell r="Q3429" t="str">
            <v>Ya</v>
          </cell>
          <cell r="R3429" t="str">
            <v>Done</v>
          </cell>
          <cell r="S3429" t="str">
            <v>Approved</v>
          </cell>
          <cell r="T3429" t="str">
            <v>90150130 - Intan Aida Pratiwi</v>
          </cell>
          <cell r="U3429" t="str">
            <v>"-"</v>
          </cell>
        </row>
        <row r="3430">
          <cell r="A3430">
            <v>46265</v>
          </cell>
          <cell r="B3430" t="str">
            <v xml:space="preserve">FAREL ARJUNA YURIANDO EFENDI            </v>
          </cell>
          <cell r="C3430" t="str">
            <v>FOL8844</v>
          </cell>
          <cell r="D3430">
            <v>34501048199506</v>
          </cell>
          <cell r="F3430" t="str">
            <v>Tidak</v>
          </cell>
          <cell r="G3430" t="str">
            <v>Tidak</v>
          </cell>
          <cell r="H3430" t="str">
            <v>Tidak</v>
          </cell>
          <cell r="I3430" t="str">
            <v>Bandar Judol Withdrawal</v>
          </cell>
          <cell r="J3430">
            <v>35</v>
          </cell>
          <cell r="K3430" t="str">
            <v>86,88,87</v>
          </cell>
          <cell r="L3430" t="str">
            <v>Judi Online</v>
          </cell>
          <cell r="M3430" t="str">
            <v xml:space="preserve">Kas Kanpus                              </v>
          </cell>
          <cell r="N3430" t="str">
            <v xml:space="preserve">Kas Kanpus                              </v>
          </cell>
          <cell r="O3430" t="str">
            <v xml:space="preserve">KAS KANPUS                              </v>
          </cell>
          <cell r="P3430" t="str">
            <v>Ya</v>
          </cell>
          <cell r="Q3430" t="str">
            <v>Ya</v>
          </cell>
          <cell r="R3430" t="str">
            <v>Done</v>
          </cell>
          <cell r="S3430" t="str">
            <v>Approved</v>
          </cell>
          <cell r="T3430" t="str">
            <v>90171841 - Rifqi Aziz</v>
          </cell>
          <cell r="U3430" t="str">
            <v>"-"</v>
          </cell>
        </row>
        <row r="3431">
          <cell r="A3431">
            <v>46265</v>
          </cell>
          <cell r="B3431" t="str">
            <v xml:space="preserve">FAJAR RIDOWAN                           </v>
          </cell>
          <cell r="C3431" t="str">
            <v>FOT0058</v>
          </cell>
          <cell r="D3431">
            <v>5301021625535</v>
          </cell>
          <cell r="F3431" t="str">
            <v>Tidak</v>
          </cell>
          <cell r="G3431" t="str">
            <v>Tidak</v>
          </cell>
          <cell r="H3431" t="str">
            <v>Tidak</v>
          </cell>
          <cell r="I3431" t="str">
            <v>Bandar Judol Withdrawal</v>
          </cell>
          <cell r="J3431">
            <v>35</v>
          </cell>
          <cell r="K3431" t="str">
            <v>86,88,87</v>
          </cell>
          <cell r="L3431" t="str">
            <v>Judi Online</v>
          </cell>
          <cell r="M3431" t="str">
            <v xml:space="preserve">Kas Kanpus                              </v>
          </cell>
          <cell r="N3431" t="str">
            <v xml:space="preserve">Kas Kanpus                              </v>
          </cell>
          <cell r="O3431" t="str">
            <v xml:space="preserve">KAS KANPUS                              </v>
          </cell>
          <cell r="P3431" t="str">
            <v>Ya</v>
          </cell>
          <cell r="Q3431" t="str">
            <v>Tidak</v>
          </cell>
          <cell r="R3431" t="str">
            <v>Done</v>
          </cell>
          <cell r="S3431" t="str">
            <v>Approved</v>
          </cell>
          <cell r="T3431" t="str">
            <v>90185538 - Muhammad Fahikal Auz</v>
          </cell>
          <cell r="U3431" t="str">
            <v>"-"</v>
          </cell>
        </row>
        <row r="3432">
          <cell r="A3432">
            <v>46265</v>
          </cell>
          <cell r="B3432" t="str">
            <v xml:space="preserve">FAHMI SAPUTRA                           </v>
          </cell>
          <cell r="C3432" t="str">
            <v>FND7946</v>
          </cell>
          <cell r="D3432">
            <v>212601000668563</v>
          </cell>
          <cell r="E3432" t="str">
            <v>SEDANG</v>
          </cell>
          <cell r="F3432" t="str">
            <v>Tidak</v>
          </cell>
          <cell r="G3432" t="str">
            <v>Tidak</v>
          </cell>
          <cell r="H3432" t="str">
            <v>Tidak</v>
          </cell>
          <cell r="I3432" t="str">
            <v>Bandar Judol Depo</v>
          </cell>
          <cell r="J3432">
            <v>50</v>
          </cell>
          <cell r="K3432" t="str">
            <v>86,74,87</v>
          </cell>
          <cell r="L3432" t="str">
            <v>Judi Online</v>
          </cell>
          <cell r="M3432" t="str">
            <v xml:space="preserve">Kas Kanpus                              </v>
          </cell>
          <cell r="N3432" t="str">
            <v xml:space="preserve">Kas Kanpus                              </v>
          </cell>
          <cell r="O3432" t="str">
            <v xml:space="preserve">KAS KANPUS                              </v>
          </cell>
          <cell r="P3432" t="str">
            <v>Ya</v>
          </cell>
          <cell r="Q3432" t="str">
            <v>Ya</v>
          </cell>
          <cell r="R3432" t="str">
            <v>Done</v>
          </cell>
          <cell r="S3432" t="str">
            <v>Approved</v>
          </cell>
          <cell r="T3432" t="str">
            <v>00336949 - Mochammad Al Farabi</v>
          </cell>
          <cell r="U3432" t="str">
            <v>"-"</v>
          </cell>
        </row>
        <row r="3433">
          <cell r="A3433">
            <v>46265</v>
          </cell>
          <cell r="B3433" t="str">
            <v xml:space="preserve">FIFI ANDRIANI                           </v>
          </cell>
          <cell r="C3433" t="str">
            <v>FM09721</v>
          </cell>
          <cell r="D3433">
            <v>762601002241508</v>
          </cell>
          <cell r="E3433" t="str">
            <v>SEDANG</v>
          </cell>
          <cell r="F3433" t="str">
            <v>Tidak</v>
          </cell>
          <cell r="G3433" t="str">
            <v>Tidak</v>
          </cell>
          <cell r="H3433" t="str">
            <v>Tidak</v>
          </cell>
          <cell r="I3433" t="str">
            <v>Bandar Judol Withdrawal</v>
          </cell>
          <cell r="J3433">
            <v>50</v>
          </cell>
          <cell r="K3433" t="str">
            <v>86,88,87</v>
          </cell>
          <cell r="L3433" t="str">
            <v>Judi Online</v>
          </cell>
          <cell r="M3433" t="str">
            <v xml:space="preserve">Kas Kanpus                              </v>
          </cell>
          <cell r="N3433" t="str">
            <v xml:space="preserve">Kas Kanpus                              </v>
          </cell>
          <cell r="O3433" t="str">
            <v xml:space="preserve">KAS KANPUS                              </v>
          </cell>
          <cell r="P3433" t="str">
            <v>Ya</v>
          </cell>
          <cell r="Q3433" t="str">
            <v>Ya</v>
          </cell>
          <cell r="R3433" t="str">
            <v>Done</v>
          </cell>
          <cell r="S3433" t="str">
            <v>Approved</v>
          </cell>
          <cell r="T3433" t="str">
            <v>00336949 - Mochammad Al Farabi</v>
          </cell>
          <cell r="U3433" t="str">
            <v>"-"</v>
          </cell>
        </row>
        <row r="3434">
          <cell r="A3434">
            <v>46265</v>
          </cell>
          <cell r="B3434" t="str">
            <v xml:space="preserve">FACHRILADAM                             </v>
          </cell>
          <cell r="C3434" t="str">
            <v>FNG3002</v>
          </cell>
          <cell r="D3434">
            <v>352801085895530</v>
          </cell>
          <cell r="E3434" t="str">
            <v>SEDANG</v>
          </cell>
          <cell r="F3434" t="str">
            <v>Tidak</v>
          </cell>
          <cell r="G3434" t="str">
            <v>Tidak</v>
          </cell>
          <cell r="H3434" t="str">
            <v>Tidak</v>
          </cell>
          <cell r="I3434" t="str">
            <v>Bandar Judol Withdrawal</v>
          </cell>
          <cell r="J3434">
            <v>50</v>
          </cell>
          <cell r="K3434" t="str">
            <v>86,88,87</v>
          </cell>
          <cell r="L3434" t="str">
            <v>Judi Online</v>
          </cell>
          <cell r="M3434" t="str">
            <v xml:space="preserve">Kas Kanpus                              </v>
          </cell>
          <cell r="N3434" t="str">
            <v xml:space="preserve">Kas Kanpus                              </v>
          </cell>
          <cell r="O3434" t="str">
            <v xml:space="preserve">KAS KANPUS                              </v>
          </cell>
          <cell r="P3434" t="str">
            <v>Ya</v>
          </cell>
          <cell r="Q3434" t="str">
            <v>Ya</v>
          </cell>
          <cell r="R3434" t="str">
            <v>Done</v>
          </cell>
          <cell r="S3434" t="str">
            <v>Approved</v>
          </cell>
          <cell r="T3434" t="str">
            <v>90150130 - Intan Aida Pratiwi</v>
          </cell>
          <cell r="U3434" t="str">
            <v>"-"</v>
          </cell>
        </row>
        <row r="3435">
          <cell r="A3435">
            <v>46265</v>
          </cell>
          <cell r="B3435" t="str">
            <v xml:space="preserve">FARHAN NASUTION                         </v>
          </cell>
          <cell r="C3435" t="str">
            <v>FOV6242</v>
          </cell>
          <cell r="D3435">
            <v>36701004023569</v>
          </cell>
          <cell r="F3435" t="str">
            <v>Tidak</v>
          </cell>
          <cell r="G3435" t="str">
            <v>Tidak</v>
          </cell>
          <cell r="H3435" t="str">
            <v>Tidak</v>
          </cell>
          <cell r="I3435" t="str">
            <v>Bandar Judol Withdrawal</v>
          </cell>
          <cell r="J3435">
            <v>35</v>
          </cell>
          <cell r="K3435" t="str">
            <v>86,88,87</v>
          </cell>
          <cell r="L3435" t="str">
            <v>Judi Online</v>
          </cell>
          <cell r="M3435" t="str">
            <v xml:space="preserve">Kas Kanpus                              </v>
          </cell>
          <cell r="N3435" t="str">
            <v xml:space="preserve">Kas Kanpus                              </v>
          </cell>
          <cell r="O3435" t="str">
            <v xml:space="preserve">KAS KANPUS                              </v>
          </cell>
          <cell r="P3435" t="str">
            <v>Ya</v>
          </cell>
          <cell r="Q3435" t="str">
            <v>Ya</v>
          </cell>
          <cell r="R3435" t="str">
            <v>Done</v>
          </cell>
          <cell r="S3435" t="str">
            <v>Approved</v>
          </cell>
          <cell r="T3435" t="str">
            <v>00394520 - Frida Akbar Rani</v>
          </cell>
          <cell r="U3435" t="str">
            <v>"-"</v>
          </cell>
        </row>
        <row r="3436">
          <cell r="A3436">
            <v>46265</v>
          </cell>
          <cell r="B3436" t="str">
            <v xml:space="preserve">FAHREZY AGUSTIRA AKBARI                 </v>
          </cell>
          <cell r="C3436" t="str">
            <v>FOX6003</v>
          </cell>
          <cell r="D3436">
            <v>721201003974501</v>
          </cell>
          <cell r="F3436" t="str">
            <v>Tidak</v>
          </cell>
          <cell r="G3436" t="str">
            <v>Tidak</v>
          </cell>
          <cell r="H3436" t="str">
            <v>Tidak</v>
          </cell>
          <cell r="I3436" t="str">
            <v>Bandar Judol Withdrawal</v>
          </cell>
          <cell r="J3436">
            <v>35</v>
          </cell>
          <cell r="K3436" t="str">
            <v>86,88,87</v>
          </cell>
          <cell r="L3436" t="str">
            <v>Judi Online</v>
          </cell>
          <cell r="M3436" t="str">
            <v xml:space="preserve">Kas Kanpus                              </v>
          </cell>
          <cell r="N3436" t="str">
            <v xml:space="preserve">Kas Kanpus                              </v>
          </cell>
          <cell r="O3436" t="str">
            <v xml:space="preserve">KAS KANPUS                              </v>
          </cell>
          <cell r="P3436" t="str">
            <v>Ya</v>
          </cell>
          <cell r="Q3436" t="str">
            <v>Ya</v>
          </cell>
          <cell r="R3436" t="str">
            <v>Done</v>
          </cell>
          <cell r="S3436" t="str">
            <v>Approved</v>
          </cell>
          <cell r="T3436" t="str">
            <v>90185537 - Moh.Khoerul Fajar Ar</v>
          </cell>
          <cell r="U3436" t="str">
            <v>"-"</v>
          </cell>
        </row>
        <row r="3437">
          <cell r="A3437">
            <v>46265</v>
          </cell>
          <cell r="B3437" t="str">
            <v xml:space="preserve">FAUSAN                                  </v>
          </cell>
          <cell r="C3437" t="str">
            <v>FOX7581</v>
          </cell>
          <cell r="D3437">
            <v>610601000011564</v>
          </cell>
          <cell r="F3437" t="str">
            <v>Tidak</v>
          </cell>
          <cell r="G3437" t="str">
            <v>Tidak</v>
          </cell>
          <cell r="H3437" t="str">
            <v>Tidak</v>
          </cell>
          <cell r="I3437" t="str">
            <v>Bandar Judol Withdrawal</v>
          </cell>
          <cell r="J3437">
            <v>35</v>
          </cell>
          <cell r="K3437" t="str">
            <v>86,88,87</v>
          </cell>
          <cell r="L3437" t="str">
            <v>Judi Online</v>
          </cell>
          <cell r="M3437" t="str">
            <v xml:space="preserve">Kas Kanpus                              </v>
          </cell>
          <cell r="N3437" t="str">
            <v xml:space="preserve">Kas Kanpus                              </v>
          </cell>
          <cell r="O3437" t="str">
            <v xml:space="preserve">KAS KANPUS                              </v>
          </cell>
          <cell r="P3437" t="str">
            <v>Tidak</v>
          </cell>
          <cell r="Q3437" t="str">
            <v>Ya</v>
          </cell>
          <cell r="R3437" t="str">
            <v>Done</v>
          </cell>
          <cell r="S3437" t="str">
            <v>Approved</v>
          </cell>
          <cell r="T3437" t="str">
            <v>00336949 - Mochammad Al Farabi</v>
          </cell>
          <cell r="U3437" t="str">
            <v>"-"</v>
          </cell>
        </row>
        <row r="3438">
          <cell r="A3438">
            <v>46265</v>
          </cell>
          <cell r="B3438" t="str">
            <v xml:space="preserve">FAYIZ MUHAMMAD BRATA                    </v>
          </cell>
          <cell r="C3438" t="str">
            <v>FOY6099</v>
          </cell>
          <cell r="D3438">
            <v>36701122468504</v>
          </cell>
          <cell r="F3438" t="str">
            <v>Tidak</v>
          </cell>
          <cell r="G3438" t="str">
            <v>Tidak</v>
          </cell>
          <cell r="H3438" t="str">
            <v>Tidak</v>
          </cell>
          <cell r="I3438" t="str">
            <v>Bandar Judol Withdrawal</v>
          </cell>
          <cell r="J3438">
            <v>35</v>
          </cell>
          <cell r="K3438" t="str">
            <v>86,88,87</v>
          </cell>
          <cell r="L3438" t="str">
            <v>Judi Online</v>
          </cell>
          <cell r="M3438" t="str">
            <v xml:space="preserve">Kas Kanpus                              </v>
          </cell>
          <cell r="N3438" t="str">
            <v xml:space="preserve">Kas Kanpus                              </v>
          </cell>
          <cell r="O3438" t="str">
            <v xml:space="preserve">KAS KANPUS                              </v>
          </cell>
          <cell r="P3438" t="str">
            <v>Ya</v>
          </cell>
          <cell r="Q3438" t="str">
            <v>Ya</v>
          </cell>
          <cell r="R3438" t="str">
            <v>Done</v>
          </cell>
          <cell r="S3438" t="str">
            <v>Approved</v>
          </cell>
          <cell r="T3438" t="str">
            <v>00394520 - Frida Akbar Rani</v>
          </cell>
          <cell r="U3438" t="str">
            <v>"-"</v>
          </cell>
        </row>
        <row r="3439">
          <cell r="A3439">
            <v>46265</v>
          </cell>
          <cell r="B3439" t="str">
            <v xml:space="preserve">HENDRA SEPTIADI                         </v>
          </cell>
          <cell r="C3439" t="str">
            <v>HHI6380</v>
          </cell>
          <cell r="D3439">
            <v>34501001310565</v>
          </cell>
          <cell r="E3439" t="str">
            <v>SEDANG</v>
          </cell>
          <cell r="F3439" t="str">
            <v>Tidak</v>
          </cell>
          <cell r="G3439" t="str">
            <v>Tidak</v>
          </cell>
          <cell r="H3439" t="str">
            <v>Tidak</v>
          </cell>
          <cell r="I3439" t="str">
            <v>Bandar Judol Depo</v>
          </cell>
          <cell r="J3439">
            <v>50</v>
          </cell>
          <cell r="K3439" t="str">
            <v>86,74,87</v>
          </cell>
          <cell r="L3439" t="str">
            <v>Judi Online</v>
          </cell>
          <cell r="M3439" t="str">
            <v xml:space="preserve">Kas Kanpus                              </v>
          </cell>
          <cell r="N3439" t="str">
            <v xml:space="preserve">Kas Kanpus                              </v>
          </cell>
          <cell r="O3439" t="str">
            <v xml:space="preserve">KAS KANPUS                              </v>
          </cell>
          <cell r="P3439" t="str">
            <v>Ya</v>
          </cell>
          <cell r="Q3439" t="str">
            <v>Ya</v>
          </cell>
          <cell r="R3439" t="str">
            <v>Done</v>
          </cell>
          <cell r="S3439" t="str">
            <v>Approved</v>
          </cell>
          <cell r="T3439" t="str">
            <v>00394520 - Frida Akbar Rani</v>
          </cell>
          <cell r="U3439" t="str">
            <v>"-"</v>
          </cell>
        </row>
        <row r="3440">
          <cell r="A3440">
            <v>46265</v>
          </cell>
          <cell r="B3440" t="str">
            <v xml:space="preserve">HERIYANI                                </v>
          </cell>
          <cell r="C3440" t="str">
            <v>HHL7797</v>
          </cell>
          <cell r="D3440">
            <v>324201010527508</v>
          </cell>
          <cell r="E3440" t="str">
            <v>SEDANG</v>
          </cell>
          <cell r="F3440" t="str">
            <v>Tidak</v>
          </cell>
          <cell r="G3440" t="str">
            <v>Tidak</v>
          </cell>
          <cell r="H3440" t="str">
            <v>Tidak</v>
          </cell>
          <cell r="I3440" t="str">
            <v>Bandar Judol Withdrawal</v>
          </cell>
          <cell r="J3440">
            <v>50</v>
          </cell>
          <cell r="K3440" t="str">
            <v>86,88,87</v>
          </cell>
          <cell r="L3440" t="str">
            <v>Judi Online</v>
          </cell>
          <cell r="M3440" t="str">
            <v xml:space="preserve">Kas Kanpus                              </v>
          </cell>
          <cell r="N3440" t="str">
            <v xml:space="preserve">Kas Kanpus                              </v>
          </cell>
          <cell r="O3440" t="str">
            <v xml:space="preserve">KAS KANPUS                              </v>
          </cell>
          <cell r="P3440" t="str">
            <v>Ya</v>
          </cell>
          <cell r="Q3440" t="str">
            <v>Ya</v>
          </cell>
          <cell r="R3440" t="str">
            <v>Done</v>
          </cell>
          <cell r="S3440" t="str">
            <v>Approved</v>
          </cell>
          <cell r="T3440" t="str">
            <v>90171841 - Rifqi Aziz</v>
          </cell>
          <cell r="U3440" t="str">
            <v>"-"</v>
          </cell>
        </row>
        <row r="3441">
          <cell r="A3441">
            <v>46265</v>
          </cell>
          <cell r="B3441" t="str">
            <v xml:space="preserve">HANJAYA MANDALA SAMPOERNA               </v>
          </cell>
          <cell r="C3441" t="str">
            <v>HID5542</v>
          </cell>
          <cell r="D3441">
            <v>21101001592300</v>
          </cell>
          <cell r="E3441" t="str">
            <v>SEDANG</v>
          </cell>
          <cell r="F3441" t="str">
            <v>Tidak</v>
          </cell>
          <cell r="G3441" t="str">
            <v>Tidak</v>
          </cell>
          <cell r="H3441" t="str">
            <v>Tidak</v>
          </cell>
          <cell r="I3441" t="str">
            <v>Narkotika - Area Lapas</v>
          </cell>
          <cell r="J3441">
            <v>50</v>
          </cell>
          <cell r="K3441">
            <v>46</v>
          </cell>
          <cell r="L3441" t="str">
            <v>Narkotika</v>
          </cell>
          <cell r="M3441" t="str">
            <v>KC Surabaya Pahlawan</v>
          </cell>
          <cell r="N3441" t="str">
            <v>KC Surabaya Pahlawan</v>
          </cell>
          <cell r="O3441" t="str">
            <v>Surabaya</v>
          </cell>
          <cell r="P3441" t="str">
            <v>Tidak</v>
          </cell>
          <cell r="Q3441" t="str">
            <v>Tidak</v>
          </cell>
          <cell r="R3441" t="str">
            <v>Done</v>
          </cell>
          <cell r="S3441" t="str">
            <v>Approved</v>
          </cell>
          <cell r="T3441" t="str">
            <v>00336949 - Mochammad Al Farabi</v>
          </cell>
          <cell r="U3441" t="str">
            <v>"-"</v>
          </cell>
        </row>
        <row r="3442">
          <cell r="A3442">
            <v>46265</v>
          </cell>
          <cell r="B3442" t="str">
            <v xml:space="preserve">HARI SUSANTO                            </v>
          </cell>
          <cell r="C3442" t="str">
            <v>HGE4992</v>
          </cell>
          <cell r="D3442">
            <v>212601000788567</v>
          </cell>
          <cell r="E3442" t="str">
            <v>SEDANG</v>
          </cell>
          <cell r="F3442" t="str">
            <v>Tidak</v>
          </cell>
          <cell r="G3442" t="str">
            <v>Tidak</v>
          </cell>
          <cell r="H3442" t="str">
            <v>Tidak</v>
          </cell>
          <cell r="I3442" t="str">
            <v>Bandar Judol Depo</v>
          </cell>
          <cell r="J3442">
            <v>50</v>
          </cell>
          <cell r="K3442" t="str">
            <v>86,74,87</v>
          </cell>
          <cell r="L3442" t="str">
            <v>Judi Online</v>
          </cell>
          <cell r="M3442" t="str">
            <v xml:space="preserve">Kas Kanpus                              </v>
          </cell>
          <cell r="N3442" t="str">
            <v xml:space="preserve">Kas Kanpus                              </v>
          </cell>
          <cell r="O3442" t="str">
            <v xml:space="preserve">KAS KANPUS                              </v>
          </cell>
          <cell r="P3442" t="str">
            <v>Ya</v>
          </cell>
          <cell r="Q3442" t="str">
            <v>Ya</v>
          </cell>
          <cell r="R3442" t="str">
            <v>Done</v>
          </cell>
          <cell r="S3442" t="str">
            <v>Approved</v>
          </cell>
          <cell r="T3442" t="str">
            <v>90150130 - Intan Aida Pratiwi</v>
          </cell>
          <cell r="U3442" t="str">
            <v>"-"</v>
          </cell>
        </row>
        <row r="3443">
          <cell r="A3443">
            <v>46265</v>
          </cell>
          <cell r="B3443" t="str">
            <v xml:space="preserve">HENDRY YANTO                            </v>
          </cell>
          <cell r="C3443" t="str">
            <v>HGM6060</v>
          </cell>
          <cell r="D3443">
            <v>38501062189501</v>
          </cell>
          <cell r="E3443" t="str">
            <v>SEDANG</v>
          </cell>
          <cell r="F3443" t="str">
            <v>Tidak</v>
          </cell>
          <cell r="G3443" t="str">
            <v>Tidak</v>
          </cell>
          <cell r="H3443" t="str">
            <v>Tidak</v>
          </cell>
          <cell r="I3443" t="str">
            <v>Bandar Judol Withdrawal</v>
          </cell>
          <cell r="J3443">
            <v>50</v>
          </cell>
          <cell r="K3443" t="str">
            <v>86,88,87</v>
          </cell>
          <cell r="L3443" t="str">
            <v>Judi Online</v>
          </cell>
          <cell r="M3443" t="str">
            <v xml:space="preserve">Kas Kanpus                              </v>
          </cell>
          <cell r="N3443" t="str">
            <v xml:space="preserve">Kas Kanpus                              </v>
          </cell>
          <cell r="O3443" t="str">
            <v xml:space="preserve">KAS KANPUS                              </v>
          </cell>
          <cell r="P3443" t="str">
            <v>Ya</v>
          </cell>
          <cell r="Q3443" t="str">
            <v>Ya</v>
          </cell>
          <cell r="R3443" t="str">
            <v>Done</v>
          </cell>
          <cell r="S3443" t="str">
            <v>Approved</v>
          </cell>
          <cell r="T3443" t="str">
            <v>90185538 - Muhammad Fahikal Auz</v>
          </cell>
          <cell r="U3443" t="str">
            <v>"-"</v>
          </cell>
        </row>
        <row r="3444">
          <cell r="A3444">
            <v>46265</v>
          </cell>
          <cell r="B3444" t="str">
            <v xml:space="preserve">HADRIANSAH                              </v>
          </cell>
          <cell r="C3444" t="str">
            <v>HEB9825</v>
          </cell>
          <cell r="D3444">
            <v>112401000603568</v>
          </cell>
          <cell r="E3444" t="str">
            <v>SEDANG</v>
          </cell>
          <cell r="F3444" t="str">
            <v>Ya</v>
          </cell>
          <cell r="G3444" t="str">
            <v>Tidak</v>
          </cell>
          <cell r="H3444" t="str">
            <v>Tidak</v>
          </cell>
          <cell r="I3444" t="str">
            <v>Narkotika - Area Lapas</v>
          </cell>
          <cell r="J3444">
            <v>50</v>
          </cell>
          <cell r="K3444">
            <v>46</v>
          </cell>
          <cell r="L3444" t="str">
            <v>Narkotika</v>
          </cell>
          <cell r="M3444" t="str">
            <v>KCP PASAR INDUK KRAMAT JATI</v>
          </cell>
          <cell r="N3444" t="str">
            <v>KC Jakarta Kramat Jati</v>
          </cell>
          <cell r="O3444" t="str">
            <v>DKI</v>
          </cell>
          <cell r="P3444" t="str">
            <v>Tidak</v>
          </cell>
          <cell r="Q3444" t="str">
            <v>Tidak</v>
          </cell>
          <cell r="R3444" t="str">
            <v>Done</v>
          </cell>
          <cell r="S3444" t="str">
            <v>Approved</v>
          </cell>
          <cell r="T3444" t="str">
            <v>90150130 - Intan Aida Pratiwi</v>
          </cell>
          <cell r="U3444" t="str">
            <v>"-"</v>
          </cell>
        </row>
        <row r="3445">
          <cell r="A3445">
            <v>46265</v>
          </cell>
          <cell r="B3445" t="str">
            <v xml:space="preserve">HERMANDES TIMOTIUS                      </v>
          </cell>
          <cell r="C3445" t="str">
            <v>HEE6074</v>
          </cell>
          <cell r="D3445">
            <v>13901002760566</v>
          </cell>
          <cell r="E3445" t="str">
            <v>SEDANG</v>
          </cell>
          <cell r="F3445" t="str">
            <v>Tidak</v>
          </cell>
          <cell r="G3445" t="str">
            <v>Tidak</v>
          </cell>
          <cell r="H3445" t="str">
            <v>Tidak</v>
          </cell>
          <cell r="I3445" t="str">
            <v>Bandar Judol Withdrawal</v>
          </cell>
          <cell r="J3445">
            <v>50</v>
          </cell>
          <cell r="K3445" t="str">
            <v>86,88,87</v>
          </cell>
          <cell r="L3445" t="str">
            <v>Judi Online</v>
          </cell>
          <cell r="M3445" t="str">
            <v xml:space="preserve">Kas Kanpus                              </v>
          </cell>
          <cell r="N3445" t="str">
            <v xml:space="preserve">Kas Kanpus                              </v>
          </cell>
          <cell r="O3445" t="str">
            <v xml:space="preserve">KAS KANPUS                              </v>
          </cell>
          <cell r="P3445" t="str">
            <v>Ya</v>
          </cell>
          <cell r="Q3445" t="str">
            <v>Ya</v>
          </cell>
          <cell r="R3445" t="str">
            <v>Done</v>
          </cell>
          <cell r="S3445" t="str">
            <v>Approved</v>
          </cell>
          <cell r="T3445" t="str">
            <v>90171841 - Rifqi Aziz</v>
          </cell>
          <cell r="U3445" t="str">
            <v>"-"</v>
          </cell>
        </row>
        <row r="3446">
          <cell r="A3446">
            <v>46265</v>
          </cell>
          <cell r="B3446" t="str">
            <v xml:space="preserve">HAERUL MUHAMMAD                         </v>
          </cell>
          <cell r="C3446" t="str">
            <v>HFB4687</v>
          </cell>
          <cell r="D3446">
            <v>496901000016564</v>
          </cell>
          <cell r="E3446" t="str">
            <v>SEDANG</v>
          </cell>
          <cell r="F3446" t="str">
            <v>Tidak</v>
          </cell>
          <cell r="G3446" t="str">
            <v>Tidak</v>
          </cell>
          <cell r="H3446" t="str">
            <v>Tidak</v>
          </cell>
          <cell r="I3446" t="str">
            <v>Narkotika/Psikotropika- Remark</v>
          </cell>
          <cell r="J3446">
            <v>50</v>
          </cell>
          <cell r="K3446">
            <v>9</v>
          </cell>
          <cell r="L3446" t="str">
            <v>Narkotika/Psikotropika</v>
          </cell>
          <cell r="M3446" t="str">
            <v xml:space="preserve">UNIT PETTUADAE MAROS                    </v>
          </cell>
          <cell r="N3446" t="str">
            <v xml:space="preserve">KC Maros                                </v>
          </cell>
          <cell r="O3446" t="str">
            <v xml:space="preserve">Makassar                                </v>
          </cell>
          <cell r="P3446" t="str">
            <v>Tidak</v>
          </cell>
          <cell r="Q3446" t="str">
            <v>Tidak</v>
          </cell>
          <cell r="R3446" t="str">
            <v>Done</v>
          </cell>
          <cell r="S3446" t="str">
            <v>Approved</v>
          </cell>
          <cell r="T3446" t="str">
            <v>90171841 - Rifqi Aziz</v>
          </cell>
          <cell r="U3446" t="str">
            <v>"-"</v>
          </cell>
        </row>
        <row r="3447">
          <cell r="A3447">
            <v>46265</v>
          </cell>
          <cell r="B3447" t="str">
            <v xml:space="preserve">HEDI HERMAWAN                           </v>
          </cell>
          <cell r="C3447" t="str">
            <v>HEA4717</v>
          </cell>
          <cell r="D3447">
            <v>40101000525565</v>
          </cell>
          <cell r="E3447" t="str">
            <v>SEDANG</v>
          </cell>
          <cell r="F3447" t="str">
            <v>Tidak</v>
          </cell>
          <cell r="G3447" t="str">
            <v>Tidak</v>
          </cell>
          <cell r="H3447" t="str">
            <v>Tidak</v>
          </cell>
          <cell r="I3447" t="str">
            <v>Bandar Judol Withdrawal</v>
          </cell>
          <cell r="J3447">
            <v>60</v>
          </cell>
          <cell r="K3447" t="str">
            <v>86,88,87</v>
          </cell>
          <cell r="L3447" t="str">
            <v>Judi Online</v>
          </cell>
          <cell r="M3447" t="str">
            <v xml:space="preserve">Kas Kanpus                              </v>
          </cell>
          <cell r="N3447" t="str">
            <v xml:space="preserve">Kas Kanpus                              </v>
          </cell>
          <cell r="O3447" t="str">
            <v xml:space="preserve">KAS KANPUS                              </v>
          </cell>
          <cell r="P3447" t="str">
            <v>Tidak</v>
          </cell>
          <cell r="Q3447" t="str">
            <v>Tidak</v>
          </cell>
          <cell r="R3447" t="str">
            <v>Done</v>
          </cell>
          <cell r="S3447" t="str">
            <v>Approved</v>
          </cell>
          <cell r="T3447" t="str">
            <v>90150130 - Intan Aida Pratiwi</v>
          </cell>
          <cell r="U3447" t="str">
            <v>"-"</v>
          </cell>
        </row>
        <row r="3448">
          <cell r="A3448">
            <v>46265</v>
          </cell>
          <cell r="B3448" t="str">
            <v xml:space="preserve">HAIRIYAH                                </v>
          </cell>
          <cell r="C3448" t="str">
            <v>HDQ8397</v>
          </cell>
          <cell r="D3448">
            <v>105901000195566</v>
          </cell>
          <cell r="E3448" t="str">
            <v>SEDANG</v>
          </cell>
          <cell r="F3448" t="str">
            <v>Ya</v>
          </cell>
          <cell r="G3448" t="str">
            <v>Tidak</v>
          </cell>
          <cell r="H3448" t="str">
            <v>Tidak</v>
          </cell>
          <cell r="I3448" t="str">
            <v>Pencurian Rekening</v>
          </cell>
          <cell r="J3448">
            <v>49</v>
          </cell>
          <cell r="K3448">
            <v>59</v>
          </cell>
          <cell r="L3448" t="str">
            <v>Perbankan</v>
          </cell>
          <cell r="M3448" t="str">
            <v xml:space="preserve">KC PULAU ARU                            </v>
          </cell>
          <cell r="N3448" t="str">
            <v xml:space="preserve">KC PULAU ARU                            </v>
          </cell>
          <cell r="O3448" t="str">
            <v xml:space="preserve">Makassar                                </v>
          </cell>
          <cell r="P3448" t="str">
            <v>Ya</v>
          </cell>
          <cell r="Q3448" t="str">
            <v>Tidak</v>
          </cell>
          <cell r="R3448" t="str">
            <v>Done</v>
          </cell>
          <cell r="S3448" t="str">
            <v>Approved</v>
          </cell>
          <cell r="T3448" t="str">
            <v>00394520 - Frida Akbar Rani</v>
          </cell>
          <cell r="U3448" t="str">
            <v>"-"</v>
          </cell>
        </row>
        <row r="3449">
          <cell r="A3449">
            <v>46265</v>
          </cell>
          <cell r="B3449" t="str">
            <v xml:space="preserve">HENDRA                                  </v>
          </cell>
          <cell r="C3449" t="str">
            <v>HDF7118</v>
          </cell>
          <cell r="D3449">
            <v>530101052873539</v>
          </cell>
          <cell r="E3449" t="str">
            <v>SEDANG</v>
          </cell>
          <cell r="F3449" t="str">
            <v>Tidak</v>
          </cell>
          <cell r="G3449" t="str">
            <v>Tidak</v>
          </cell>
          <cell r="H3449" t="str">
            <v>Tidak</v>
          </cell>
          <cell r="I3449" t="str">
            <v>Bandar Judol Depo</v>
          </cell>
          <cell r="J3449">
            <v>50</v>
          </cell>
          <cell r="K3449" t="str">
            <v>86,74,87</v>
          </cell>
          <cell r="L3449" t="str">
            <v>Judi Online</v>
          </cell>
          <cell r="M3449" t="str">
            <v xml:space="preserve">Kas Kanpus                              </v>
          </cell>
          <cell r="N3449" t="str">
            <v xml:space="preserve">Kas Kanpus                              </v>
          </cell>
          <cell r="O3449" t="str">
            <v xml:space="preserve">KAS KANPUS                              </v>
          </cell>
          <cell r="P3449" t="str">
            <v>Ya</v>
          </cell>
          <cell r="Q3449" t="str">
            <v>Ya</v>
          </cell>
          <cell r="R3449" t="str">
            <v>Done</v>
          </cell>
          <cell r="S3449" t="str">
            <v>Approved</v>
          </cell>
          <cell r="T3449" t="str">
            <v>90186790 - Muhammad Alfin Farha</v>
          </cell>
          <cell r="U3449" t="str">
            <v>"-"</v>
          </cell>
        </row>
        <row r="3450">
          <cell r="A3450">
            <v>46265</v>
          </cell>
          <cell r="B3450" t="str">
            <v xml:space="preserve">HENDI SUTISNA                           </v>
          </cell>
          <cell r="C3450" t="str">
            <v>HBLW677</v>
          </cell>
          <cell r="D3450">
            <v>41501043397506</v>
          </cell>
          <cell r="F3450" t="str">
            <v>Tidak</v>
          </cell>
          <cell r="G3450" t="str">
            <v>Tidak</v>
          </cell>
          <cell r="H3450" t="str">
            <v>Tidak</v>
          </cell>
          <cell r="I3450" t="str">
            <v>Bandar Judol Withdrawal</v>
          </cell>
          <cell r="J3450">
            <v>35</v>
          </cell>
          <cell r="K3450" t="str">
            <v>86,88,87</v>
          </cell>
          <cell r="L3450" t="str">
            <v>Judi Online</v>
          </cell>
          <cell r="M3450" t="str">
            <v xml:space="preserve">Kas Kanpus                              </v>
          </cell>
          <cell r="N3450" t="str">
            <v xml:space="preserve">Kas Kanpus                              </v>
          </cell>
          <cell r="O3450" t="str">
            <v xml:space="preserve">KAS KANPUS                              </v>
          </cell>
          <cell r="P3450" t="str">
            <v>Ya</v>
          </cell>
          <cell r="Q3450" t="str">
            <v>Ya</v>
          </cell>
          <cell r="R3450" t="str">
            <v>Done</v>
          </cell>
          <cell r="S3450" t="str">
            <v>Approved</v>
          </cell>
          <cell r="T3450" t="str">
            <v>90185537 - Moh.Khoerul Fajar Ar</v>
          </cell>
          <cell r="U3450" t="str">
            <v>"-"</v>
          </cell>
        </row>
        <row r="3451">
          <cell r="A3451">
            <v>46265</v>
          </cell>
          <cell r="B3451" t="str">
            <v xml:space="preserve">HANDI                                   </v>
          </cell>
          <cell r="C3451" t="str">
            <v>HBLZ943</v>
          </cell>
          <cell r="D3451">
            <v>385401006482503</v>
          </cell>
          <cell r="F3451" t="str">
            <v>Tidak</v>
          </cell>
          <cell r="G3451" t="str">
            <v>Tidak</v>
          </cell>
          <cell r="H3451" t="str">
            <v>Tidak</v>
          </cell>
          <cell r="I3451" t="str">
            <v>Bandar Judol Withdrawal</v>
          </cell>
          <cell r="J3451">
            <v>35</v>
          </cell>
          <cell r="K3451" t="str">
            <v>86,88,87</v>
          </cell>
          <cell r="L3451" t="str">
            <v>Judi Online</v>
          </cell>
          <cell r="M3451" t="str">
            <v xml:space="preserve">Kas Kanpus                              </v>
          </cell>
          <cell r="N3451" t="str">
            <v xml:space="preserve">Kas Kanpus                              </v>
          </cell>
          <cell r="O3451" t="str">
            <v xml:space="preserve">KAS KANPUS                              </v>
          </cell>
          <cell r="P3451" t="str">
            <v>Ya</v>
          </cell>
          <cell r="Q3451" t="str">
            <v>Ya</v>
          </cell>
          <cell r="R3451" t="str">
            <v>Done</v>
          </cell>
          <cell r="S3451" t="str">
            <v>Approved</v>
          </cell>
          <cell r="T3451" t="str">
            <v>90185538 - Muhammad Fahikal Auz</v>
          </cell>
          <cell r="U3451" t="str">
            <v>"-"</v>
          </cell>
        </row>
        <row r="3452">
          <cell r="A3452">
            <v>46265</v>
          </cell>
          <cell r="B3452" t="str">
            <v xml:space="preserve">HANDIKA ANGGRIAWAN                      </v>
          </cell>
          <cell r="C3452" t="str">
            <v>HBHT634</v>
          </cell>
          <cell r="D3452">
            <v>1901112574500</v>
          </cell>
          <cell r="F3452" t="str">
            <v>Tidak</v>
          </cell>
          <cell r="G3452" t="str">
            <v>Tidak</v>
          </cell>
          <cell r="H3452" t="str">
            <v>Tidak</v>
          </cell>
          <cell r="I3452" t="str">
            <v>Bandar Judol Withdrawal</v>
          </cell>
          <cell r="J3452">
            <v>35</v>
          </cell>
          <cell r="K3452" t="str">
            <v>86,88,87</v>
          </cell>
          <cell r="L3452" t="str">
            <v>Judi Online</v>
          </cell>
          <cell r="M3452" t="str">
            <v xml:space="preserve">Kas Kanpus                              </v>
          </cell>
          <cell r="N3452" t="str">
            <v xml:space="preserve">Kas Kanpus                              </v>
          </cell>
          <cell r="O3452" t="str">
            <v xml:space="preserve">KAS KANPUS                              </v>
          </cell>
          <cell r="P3452" t="str">
            <v>Ya</v>
          </cell>
          <cell r="Q3452" t="str">
            <v>Ya</v>
          </cell>
          <cell r="R3452" t="str">
            <v>Done</v>
          </cell>
          <cell r="S3452" t="str">
            <v>Approved</v>
          </cell>
          <cell r="T3452" t="str">
            <v>00394520 - Frida Akbar Rani</v>
          </cell>
          <cell r="U3452" t="str">
            <v>"-"</v>
          </cell>
        </row>
        <row r="3453">
          <cell r="A3453">
            <v>46265</v>
          </cell>
          <cell r="B3453" t="str">
            <v xml:space="preserve">HARYANTI                                </v>
          </cell>
          <cell r="C3453" t="str">
            <v>HBHW697</v>
          </cell>
          <cell r="D3453">
            <v>324901018459503</v>
          </cell>
          <cell r="F3453" t="str">
            <v>Tidak</v>
          </cell>
          <cell r="G3453" t="str">
            <v>Tidak</v>
          </cell>
          <cell r="H3453" t="str">
            <v>Tidak</v>
          </cell>
          <cell r="I3453" t="str">
            <v>Bandar Judol Withdrawal</v>
          </cell>
          <cell r="J3453">
            <v>35</v>
          </cell>
          <cell r="K3453" t="str">
            <v>86,88,87</v>
          </cell>
          <cell r="L3453" t="str">
            <v>Judi Online</v>
          </cell>
          <cell r="M3453" t="str">
            <v xml:space="preserve">Kas Kanpus                              </v>
          </cell>
          <cell r="N3453" t="str">
            <v xml:space="preserve">Kas Kanpus                              </v>
          </cell>
          <cell r="O3453" t="str">
            <v xml:space="preserve">KAS KANPUS                              </v>
          </cell>
          <cell r="P3453" t="str">
            <v>Ya</v>
          </cell>
          <cell r="Q3453" t="str">
            <v>Ya</v>
          </cell>
          <cell r="R3453" t="str">
            <v>Done</v>
          </cell>
          <cell r="S3453" t="str">
            <v>Approved</v>
          </cell>
          <cell r="T3453" t="str">
            <v>00394521 - Muhammad Hibbanduta</v>
          </cell>
          <cell r="U3453" t="str">
            <v>"-"</v>
          </cell>
        </row>
        <row r="3454">
          <cell r="A3454">
            <v>46265</v>
          </cell>
          <cell r="B3454" t="str">
            <v xml:space="preserve">HERMANTO MANALU                         </v>
          </cell>
          <cell r="C3454" t="str">
            <v>HBIU724</v>
          </cell>
          <cell r="D3454">
            <v>719501013275505</v>
          </cell>
          <cell r="F3454" t="str">
            <v>Tidak</v>
          </cell>
          <cell r="G3454" t="str">
            <v>Tidak</v>
          </cell>
          <cell r="H3454" t="str">
            <v>Tidak</v>
          </cell>
          <cell r="I3454" t="str">
            <v>Bandar Judol Withdrawal</v>
          </cell>
          <cell r="J3454">
            <v>35</v>
          </cell>
          <cell r="K3454" t="str">
            <v>86,88,87</v>
          </cell>
          <cell r="L3454" t="str">
            <v>Judi Online</v>
          </cell>
          <cell r="M3454" t="str">
            <v xml:space="preserve">Kas Kanpus                              </v>
          </cell>
          <cell r="N3454" t="str">
            <v xml:space="preserve">Kas Kanpus                              </v>
          </cell>
          <cell r="O3454" t="str">
            <v xml:space="preserve">KAS KANPUS                              </v>
          </cell>
          <cell r="P3454" t="str">
            <v>Ya</v>
          </cell>
          <cell r="Q3454" t="str">
            <v>Tidak</v>
          </cell>
          <cell r="R3454" t="str">
            <v>Done</v>
          </cell>
          <cell r="S3454" t="str">
            <v>Approved</v>
          </cell>
          <cell r="T3454" t="str">
            <v>90171841 - Rifqi Aziz</v>
          </cell>
          <cell r="U3454" t="str">
            <v>"-"</v>
          </cell>
        </row>
        <row r="3455">
          <cell r="A3455">
            <v>46265</v>
          </cell>
          <cell r="B3455" t="str">
            <v xml:space="preserve">HENDRA LUCKY SEVEN TARIHORAN            </v>
          </cell>
          <cell r="C3455" t="str">
            <v>HBIY852</v>
          </cell>
          <cell r="D3455">
            <v>531101000070560</v>
          </cell>
          <cell r="F3455" t="str">
            <v>Tidak</v>
          </cell>
          <cell r="G3455" t="str">
            <v>Tidak</v>
          </cell>
          <cell r="H3455" t="str">
            <v>Tidak</v>
          </cell>
          <cell r="I3455" t="str">
            <v>Bandar Judol Withdrawal</v>
          </cell>
          <cell r="J3455">
            <v>35</v>
          </cell>
          <cell r="K3455" t="str">
            <v>86,88,87</v>
          </cell>
          <cell r="L3455" t="str">
            <v>Judi Online</v>
          </cell>
          <cell r="M3455" t="str">
            <v xml:space="preserve">Kas Kanpus                              </v>
          </cell>
          <cell r="N3455" t="str">
            <v xml:space="preserve">Kas Kanpus                              </v>
          </cell>
          <cell r="O3455" t="str">
            <v xml:space="preserve">KAS KANPUS                              </v>
          </cell>
          <cell r="P3455" t="str">
            <v>Tidak</v>
          </cell>
          <cell r="Q3455" t="str">
            <v>Ya</v>
          </cell>
          <cell r="R3455" t="str">
            <v>Done</v>
          </cell>
          <cell r="S3455" t="str">
            <v>Approved</v>
          </cell>
          <cell r="T3455" t="str">
            <v>00336949 - Mochammad Al Farabi</v>
          </cell>
          <cell r="U3455" t="str">
            <v>"-"</v>
          </cell>
        </row>
        <row r="3456">
          <cell r="A3456">
            <v>46265</v>
          </cell>
          <cell r="B3456" t="str">
            <v xml:space="preserve">HENRI ADIVA RAMADHAN                    </v>
          </cell>
          <cell r="C3456" t="str">
            <v>HBJJ012</v>
          </cell>
          <cell r="D3456">
            <v>65301021013508</v>
          </cell>
          <cell r="F3456" t="str">
            <v>Tidak</v>
          </cell>
          <cell r="G3456" t="str">
            <v>Tidak</v>
          </cell>
          <cell r="H3456" t="str">
            <v>Tidak</v>
          </cell>
          <cell r="I3456" t="str">
            <v>Bandar Judol Withdrawal</v>
          </cell>
          <cell r="J3456">
            <v>35</v>
          </cell>
          <cell r="K3456" t="str">
            <v>86,88,87</v>
          </cell>
          <cell r="L3456" t="str">
            <v>Judi Online</v>
          </cell>
          <cell r="M3456" t="str">
            <v xml:space="preserve">Kas Kanpus                              </v>
          </cell>
          <cell r="N3456" t="str">
            <v xml:space="preserve">Kas Kanpus                              </v>
          </cell>
          <cell r="O3456" t="str">
            <v xml:space="preserve">KAS KANPUS                              </v>
          </cell>
          <cell r="P3456" t="str">
            <v>Ya</v>
          </cell>
          <cell r="Q3456" t="str">
            <v>Ya</v>
          </cell>
          <cell r="R3456" t="str">
            <v>Done</v>
          </cell>
          <cell r="S3456" t="str">
            <v>Approved</v>
          </cell>
          <cell r="T3456" t="str">
            <v>90170665 - Mutiara Ayuningtyas</v>
          </cell>
          <cell r="U3456" t="str">
            <v>"-"</v>
          </cell>
        </row>
        <row r="3457">
          <cell r="A3457">
            <v>46265</v>
          </cell>
          <cell r="B3457" t="str">
            <v xml:space="preserve">HENDRIANSYAH                            </v>
          </cell>
          <cell r="C3457" t="str">
            <v>HBJJ271</v>
          </cell>
          <cell r="D3457">
            <v>33201173532501</v>
          </cell>
          <cell r="F3457" t="str">
            <v>Tidak</v>
          </cell>
          <cell r="G3457" t="str">
            <v>Tidak</v>
          </cell>
          <cell r="H3457" t="str">
            <v>Tidak</v>
          </cell>
          <cell r="I3457" t="str">
            <v>Bandar Judol Withdrawal</v>
          </cell>
          <cell r="J3457">
            <v>35</v>
          </cell>
          <cell r="K3457" t="str">
            <v>86,88,87</v>
          </cell>
          <cell r="L3457" t="str">
            <v>Judi Online</v>
          </cell>
          <cell r="M3457" t="str">
            <v xml:space="preserve">Kas Kanpus                              </v>
          </cell>
          <cell r="N3457" t="str">
            <v xml:space="preserve">Kas Kanpus                              </v>
          </cell>
          <cell r="O3457" t="str">
            <v xml:space="preserve">KAS KANPUS                              </v>
          </cell>
          <cell r="P3457" t="str">
            <v>Ya</v>
          </cell>
          <cell r="Q3457" t="str">
            <v>Ya</v>
          </cell>
          <cell r="R3457" t="str">
            <v>Done</v>
          </cell>
          <cell r="S3457" t="str">
            <v>Approved</v>
          </cell>
          <cell r="T3457" t="str">
            <v>00394521 - Muhammad Hibbanduta</v>
          </cell>
          <cell r="U3457" t="str">
            <v>"-"</v>
          </cell>
        </row>
        <row r="3458">
          <cell r="A3458">
            <v>46265</v>
          </cell>
          <cell r="B3458" t="str">
            <v xml:space="preserve">HAFIZ AL MASYHURIL KHAMIS               </v>
          </cell>
          <cell r="C3458" t="str">
            <v>HBGL522</v>
          </cell>
          <cell r="D3458">
            <v>732501003012506</v>
          </cell>
          <cell r="F3458" t="str">
            <v>Tidak</v>
          </cell>
          <cell r="G3458" t="str">
            <v>Tidak</v>
          </cell>
          <cell r="H3458" t="str">
            <v>Tidak</v>
          </cell>
          <cell r="I3458" t="str">
            <v>Bandar Judol Withdrawal</v>
          </cell>
          <cell r="J3458">
            <v>35</v>
          </cell>
          <cell r="K3458" t="str">
            <v>86,88,87</v>
          </cell>
          <cell r="L3458" t="str">
            <v>Judi Online</v>
          </cell>
          <cell r="M3458" t="str">
            <v xml:space="preserve">Kas Kanpus                              </v>
          </cell>
          <cell r="N3458" t="str">
            <v xml:space="preserve">Kas Kanpus                              </v>
          </cell>
          <cell r="O3458" t="str">
            <v xml:space="preserve">KAS KANPUS                              </v>
          </cell>
          <cell r="P3458" t="str">
            <v>Ya</v>
          </cell>
          <cell r="Q3458" t="str">
            <v>Ya</v>
          </cell>
          <cell r="R3458" t="str">
            <v>Done</v>
          </cell>
          <cell r="S3458" t="str">
            <v>Approved</v>
          </cell>
          <cell r="T3458" t="str">
            <v>00394521 - Muhammad Hibbanduta</v>
          </cell>
          <cell r="U3458" t="str">
            <v>"-"</v>
          </cell>
        </row>
        <row r="3459">
          <cell r="A3459">
            <v>46265</v>
          </cell>
          <cell r="B3459" t="str">
            <v xml:space="preserve">HENDRO SUSANTO                          </v>
          </cell>
          <cell r="C3459" t="str">
            <v>HBCW921</v>
          </cell>
          <cell r="D3459">
            <v>99301000030565</v>
          </cell>
          <cell r="F3459" t="str">
            <v>Tidak</v>
          </cell>
          <cell r="G3459" t="str">
            <v>Tidak</v>
          </cell>
          <cell r="H3459" t="str">
            <v>Tidak</v>
          </cell>
          <cell r="I3459" t="str">
            <v>Bandar Judol Depo</v>
          </cell>
          <cell r="J3459">
            <v>35</v>
          </cell>
          <cell r="K3459" t="str">
            <v>86,74,87</v>
          </cell>
          <cell r="L3459" t="str">
            <v>Judi Online</v>
          </cell>
          <cell r="M3459" t="str">
            <v xml:space="preserve">Kas Kanpus                              </v>
          </cell>
          <cell r="N3459" t="str">
            <v xml:space="preserve">Kas Kanpus                              </v>
          </cell>
          <cell r="O3459" t="str">
            <v xml:space="preserve">KAS KANPUS                              </v>
          </cell>
          <cell r="P3459" t="str">
            <v>Tidak</v>
          </cell>
          <cell r="Q3459" t="str">
            <v>Tidak</v>
          </cell>
          <cell r="R3459" t="str">
            <v>Done</v>
          </cell>
          <cell r="S3459" t="str">
            <v>Approved</v>
          </cell>
          <cell r="T3459" t="str">
            <v>90150130 - Intan Aida Pratiwi</v>
          </cell>
          <cell r="U3459" t="str">
            <v>"-"</v>
          </cell>
        </row>
        <row r="3460">
          <cell r="A3460">
            <v>46265</v>
          </cell>
          <cell r="B3460" t="str">
            <v xml:space="preserve">HENDRO SUSANTO SE                       </v>
          </cell>
          <cell r="C3460" t="str">
            <v>HBF2914</v>
          </cell>
          <cell r="D3460">
            <v>204901001794503</v>
          </cell>
          <cell r="E3460" t="str">
            <v>SEDANG</v>
          </cell>
          <cell r="F3460" t="str">
            <v>Tidak</v>
          </cell>
          <cell r="G3460" t="str">
            <v>Tidak</v>
          </cell>
          <cell r="H3460" t="str">
            <v>Tidak</v>
          </cell>
          <cell r="I3460" t="str">
            <v>Pencurian Rekening</v>
          </cell>
          <cell r="J3460">
            <v>46</v>
          </cell>
          <cell r="K3460">
            <v>59</v>
          </cell>
          <cell r="L3460" t="str">
            <v>Perbankan</v>
          </cell>
          <cell r="M3460" t="str">
            <v xml:space="preserve">KCP SUNGAI DURIAN                       </v>
          </cell>
          <cell r="N3460" t="str">
            <v xml:space="preserve">KC Sintang                              </v>
          </cell>
          <cell r="O3460" t="str">
            <v xml:space="preserve">Banjarmasin                             </v>
          </cell>
          <cell r="P3460" t="str">
            <v>Tidak</v>
          </cell>
          <cell r="Q3460" t="str">
            <v>Tidak</v>
          </cell>
          <cell r="R3460" t="str">
            <v>Done</v>
          </cell>
          <cell r="S3460" t="str">
            <v>Approved</v>
          </cell>
          <cell r="T3460" t="str">
            <v>90185537 - Moh.Khoerul Fajar Ar</v>
          </cell>
          <cell r="U3460" t="str">
            <v>"-"</v>
          </cell>
        </row>
        <row r="3461">
          <cell r="A3461">
            <v>46265</v>
          </cell>
          <cell r="B3461" t="str">
            <v xml:space="preserve">HAFIZ GARIN TARUNA                      </v>
          </cell>
          <cell r="C3461" t="str">
            <v>HBAG827</v>
          </cell>
          <cell r="D3461">
            <v>530401047443537</v>
          </cell>
          <cell r="F3461" t="str">
            <v>Tidak</v>
          </cell>
          <cell r="G3461" t="str">
            <v>Tidak</v>
          </cell>
          <cell r="H3461" t="str">
            <v>Tidak</v>
          </cell>
          <cell r="I3461" t="str">
            <v>Bandar Judol Withdrawal</v>
          </cell>
          <cell r="J3461">
            <v>35</v>
          </cell>
          <cell r="K3461" t="str">
            <v>86,88,87</v>
          </cell>
          <cell r="L3461" t="str">
            <v>Judi Online</v>
          </cell>
          <cell r="M3461" t="str">
            <v xml:space="preserve">Kas Kanpus                              </v>
          </cell>
          <cell r="N3461" t="str">
            <v xml:space="preserve">Kas Kanpus                              </v>
          </cell>
          <cell r="O3461" t="str">
            <v xml:space="preserve">KAS KANPUS                              </v>
          </cell>
          <cell r="P3461" t="str">
            <v>Ya</v>
          </cell>
          <cell r="Q3461" t="str">
            <v>Tidak</v>
          </cell>
          <cell r="R3461" t="str">
            <v>Done</v>
          </cell>
          <cell r="S3461" t="str">
            <v>Approved</v>
          </cell>
          <cell r="T3461" t="str">
            <v>90171841 - Rifqi Aziz</v>
          </cell>
          <cell r="U3461" t="str">
            <v>"-"</v>
          </cell>
        </row>
        <row r="3462">
          <cell r="A3462">
            <v>46265</v>
          </cell>
          <cell r="B3462" t="str">
            <v xml:space="preserve">HAMZAH FADLI                            </v>
          </cell>
          <cell r="C3462" t="str">
            <v>HBAV884</v>
          </cell>
          <cell r="D3462">
            <v>121401000163563</v>
          </cell>
          <cell r="F3462" t="str">
            <v>Tidak</v>
          </cell>
          <cell r="G3462" t="str">
            <v>Tidak</v>
          </cell>
          <cell r="H3462" t="str">
            <v>Tidak</v>
          </cell>
          <cell r="I3462" t="str">
            <v>Bandar Judol Withdrawal</v>
          </cell>
          <cell r="J3462">
            <v>35</v>
          </cell>
          <cell r="K3462" t="str">
            <v>86,88,87</v>
          </cell>
          <cell r="L3462" t="str">
            <v>Judi Online</v>
          </cell>
          <cell r="M3462" t="str">
            <v xml:space="preserve">Kas Kanpus                              </v>
          </cell>
          <cell r="N3462" t="str">
            <v xml:space="preserve">Kas Kanpus                              </v>
          </cell>
          <cell r="O3462" t="str">
            <v xml:space="preserve">KAS KANPUS                              </v>
          </cell>
          <cell r="P3462" t="str">
            <v>Ya</v>
          </cell>
          <cell r="Q3462" t="str">
            <v>Ya</v>
          </cell>
          <cell r="R3462" t="str">
            <v>Done</v>
          </cell>
          <cell r="S3462" t="str">
            <v>Approved</v>
          </cell>
          <cell r="T3462" t="str">
            <v>90171841 - Rifqi Aziz</v>
          </cell>
          <cell r="U3462" t="str">
            <v>"-"</v>
          </cell>
        </row>
        <row r="3463">
          <cell r="A3463">
            <v>46265</v>
          </cell>
          <cell r="B3463" t="str">
            <v xml:space="preserve">HAGI MAULANA                            </v>
          </cell>
          <cell r="C3463" t="str">
            <v>HBAA527</v>
          </cell>
          <cell r="D3463">
            <v>112901009915530</v>
          </cell>
          <cell r="F3463" t="str">
            <v>Tidak</v>
          </cell>
          <cell r="G3463" t="str">
            <v>Tidak</v>
          </cell>
          <cell r="H3463" t="str">
            <v>Tidak</v>
          </cell>
          <cell r="I3463" t="str">
            <v>Bandar Judol Withdrawal</v>
          </cell>
          <cell r="J3463">
            <v>35</v>
          </cell>
          <cell r="K3463" t="str">
            <v>86,88,87</v>
          </cell>
          <cell r="L3463" t="str">
            <v>Judi Online</v>
          </cell>
          <cell r="M3463" t="str">
            <v xml:space="preserve">Kas Kanpus                              </v>
          </cell>
          <cell r="N3463" t="str">
            <v xml:space="preserve">Kas Kanpus                              </v>
          </cell>
          <cell r="O3463" t="str">
            <v xml:space="preserve">KAS KANPUS                              </v>
          </cell>
          <cell r="P3463" t="str">
            <v>Ya</v>
          </cell>
          <cell r="Q3463" t="str">
            <v>Ya</v>
          </cell>
          <cell r="R3463" t="str">
            <v>Done</v>
          </cell>
          <cell r="S3463" t="str">
            <v>Approved</v>
          </cell>
          <cell r="T3463" t="str">
            <v>90171841 - Rifqi Aziz</v>
          </cell>
          <cell r="U3463" t="str">
            <v>"-"</v>
          </cell>
        </row>
        <row r="3464">
          <cell r="A3464">
            <v>46265</v>
          </cell>
          <cell r="B3464" t="str">
            <v xml:space="preserve">HABIB MAIL DIANSYAH                     </v>
          </cell>
          <cell r="C3464" t="str">
            <v>HBPH097</v>
          </cell>
          <cell r="D3464">
            <v>109001047039507</v>
          </cell>
          <cell r="F3464" t="str">
            <v>Tidak</v>
          </cell>
          <cell r="G3464" t="str">
            <v>Tidak</v>
          </cell>
          <cell r="H3464" t="str">
            <v>Tidak</v>
          </cell>
          <cell r="I3464" t="str">
            <v>Bandar Judol Depo</v>
          </cell>
          <cell r="J3464">
            <v>35</v>
          </cell>
          <cell r="K3464" t="str">
            <v>86,74,87</v>
          </cell>
          <cell r="L3464" t="str">
            <v>Judi Online</v>
          </cell>
          <cell r="M3464" t="str">
            <v xml:space="preserve">Kas Kanpus                              </v>
          </cell>
          <cell r="N3464" t="str">
            <v xml:space="preserve">Kas Kanpus                              </v>
          </cell>
          <cell r="O3464" t="str">
            <v xml:space="preserve">KAS KANPUS                              </v>
          </cell>
          <cell r="P3464" t="str">
            <v>Ya</v>
          </cell>
          <cell r="Q3464" t="str">
            <v>Ya</v>
          </cell>
          <cell r="R3464" t="str">
            <v>Done</v>
          </cell>
          <cell r="S3464" t="str">
            <v>Approved</v>
          </cell>
          <cell r="T3464" t="str">
            <v>00394520 - Frida Akbar Rani</v>
          </cell>
          <cell r="U3464" t="str">
            <v>"-"</v>
          </cell>
        </row>
        <row r="3465">
          <cell r="A3465">
            <v>46265</v>
          </cell>
          <cell r="B3465" t="str">
            <v xml:space="preserve">HABIBAH MAULANI                         </v>
          </cell>
          <cell r="C3465" t="str">
            <v>HBPJ289</v>
          </cell>
          <cell r="D3465">
            <v>53101016109508</v>
          </cell>
          <cell r="F3465" t="str">
            <v>Tidak</v>
          </cell>
          <cell r="G3465" t="str">
            <v>Tidak</v>
          </cell>
          <cell r="H3465" t="str">
            <v>Tidak</v>
          </cell>
          <cell r="I3465" t="str">
            <v>Bandar Judol Depo</v>
          </cell>
          <cell r="J3465">
            <v>35</v>
          </cell>
          <cell r="K3465" t="str">
            <v>86,74,87</v>
          </cell>
          <cell r="L3465" t="str">
            <v>Judi Online</v>
          </cell>
          <cell r="M3465" t="str">
            <v xml:space="preserve">Kas Kanpus                              </v>
          </cell>
          <cell r="N3465" t="str">
            <v xml:space="preserve">Kas Kanpus                              </v>
          </cell>
          <cell r="O3465" t="str">
            <v xml:space="preserve">KAS KANPUS                              </v>
          </cell>
          <cell r="P3465" t="str">
            <v>Ya</v>
          </cell>
          <cell r="Q3465" t="str">
            <v>Ya</v>
          </cell>
          <cell r="R3465" t="str">
            <v>Done</v>
          </cell>
          <cell r="S3465" t="str">
            <v>Approved</v>
          </cell>
          <cell r="T3465" t="str">
            <v>00394520 - Frida Akbar Rani</v>
          </cell>
          <cell r="U3465" t="str">
            <v>"-"</v>
          </cell>
        </row>
        <row r="3466">
          <cell r="A3466">
            <v>46265</v>
          </cell>
          <cell r="B3466" t="str">
            <v xml:space="preserve">HARMILA                                 </v>
          </cell>
          <cell r="C3466" t="str">
            <v>HBR6083</v>
          </cell>
          <cell r="D3466">
            <v>183701003510503</v>
          </cell>
          <cell r="E3466" t="str">
            <v>SEDANG</v>
          </cell>
          <cell r="F3466" t="str">
            <v>Ya</v>
          </cell>
          <cell r="G3466" t="str">
            <v>Tidak</v>
          </cell>
          <cell r="H3466" t="str">
            <v>Ya</v>
          </cell>
          <cell r="I3466" t="str">
            <v>Narkotika - Area Lapas</v>
          </cell>
          <cell r="J3466">
            <v>50</v>
          </cell>
          <cell r="K3466">
            <v>46</v>
          </cell>
          <cell r="L3466" t="str">
            <v>Narkotika</v>
          </cell>
          <cell r="M3466" t="str">
            <v>KK RS ABUNAWAS KENDARI</v>
          </cell>
          <cell r="N3466" t="str">
            <v>KC Kendari Samratulangi</v>
          </cell>
          <cell r="O3466" t="str">
            <v>Makassar</v>
          </cell>
          <cell r="P3466" t="str">
            <v>Tidak</v>
          </cell>
          <cell r="Q3466" t="str">
            <v>Tidak</v>
          </cell>
          <cell r="R3466" t="str">
            <v>Done</v>
          </cell>
          <cell r="S3466" t="str">
            <v>Approved</v>
          </cell>
          <cell r="T3466" t="str">
            <v>00394521 - Muhammad Hibbanduta</v>
          </cell>
          <cell r="U3466" t="str">
            <v>"-"</v>
          </cell>
        </row>
        <row r="3467">
          <cell r="A3467">
            <v>46265</v>
          </cell>
          <cell r="B3467" t="str">
            <v xml:space="preserve">HENDRIK SETIAWAN                        </v>
          </cell>
          <cell r="C3467" t="str">
            <v>HBRM568</v>
          </cell>
          <cell r="D3467">
            <v>781901004558508</v>
          </cell>
          <cell r="F3467" t="str">
            <v>Tidak</v>
          </cell>
          <cell r="G3467" t="str">
            <v>Tidak</v>
          </cell>
          <cell r="H3467" t="str">
            <v>Tidak</v>
          </cell>
          <cell r="I3467" t="str">
            <v>Bandar Judol Withdrawal</v>
          </cell>
          <cell r="J3467">
            <v>35</v>
          </cell>
          <cell r="K3467" t="str">
            <v>86,88,87</v>
          </cell>
          <cell r="L3467" t="str">
            <v>Judi Online</v>
          </cell>
          <cell r="M3467" t="str">
            <v xml:space="preserve">Kas Kanpus                              </v>
          </cell>
          <cell r="N3467" t="str">
            <v xml:space="preserve">Kas Kanpus                              </v>
          </cell>
          <cell r="O3467" t="str">
            <v xml:space="preserve">KAS KANPUS                              </v>
          </cell>
          <cell r="P3467" t="str">
            <v>Ya</v>
          </cell>
          <cell r="Q3467" t="str">
            <v>Ya</v>
          </cell>
          <cell r="R3467" t="str">
            <v>Done</v>
          </cell>
          <cell r="S3467" t="str">
            <v>Approved</v>
          </cell>
          <cell r="T3467" t="str">
            <v>00336949 - Mochammad Al Farabi</v>
          </cell>
          <cell r="U3467" t="str">
            <v>"-"</v>
          </cell>
        </row>
        <row r="3468">
          <cell r="A3468">
            <v>46265</v>
          </cell>
          <cell r="B3468" t="str">
            <v xml:space="preserve">HANIMAH                                 </v>
          </cell>
          <cell r="C3468" t="str">
            <v>HBSJ788</v>
          </cell>
          <cell r="D3468">
            <v>324101004861504</v>
          </cell>
          <cell r="F3468" t="str">
            <v>Tidak</v>
          </cell>
          <cell r="G3468" t="str">
            <v>Tidak</v>
          </cell>
          <cell r="H3468" t="str">
            <v>Tidak</v>
          </cell>
          <cell r="I3468" t="str">
            <v>Bandar Judol Withdrawal</v>
          </cell>
          <cell r="J3468">
            <v>35</v>
          </cell>
          <cell r="K3468" t="str">
            <v>86,88,87</v>
          </cell>
          <cell r="L3468" t="str">
            <v>Judi Online</v>
          </cell>
          <cell r="M3468" t="str">
            <v xml:space="preserve">Kas Kanpus                              </v>
          </cell>
          <cell r="N3468" t="str">
            <v xml:space="preserve">Kas Kanpus                              </v>
          </cell>
          <cell r="O3468" t="str">
            <v xml:space="preserve">KAS KANPUS                              </v>
          </cell>
          <cell r="P3468" t="str">
            <v>Ya</v>
          </cell>
          <cell r="Q3468" t="str">
            <v>Ya</v>
          </cell>
          <cell r="R3468" t="str">
            <v>Done</v>
          </cell>
          <cell r="S3468" t="str">
            <v>Approved</v>
          </cell>
          <cell r="T3468" t="str">
            <v>90171841 - Rifqi Aziz</v>
          </cell>
          <cell r="U3468" t="str">
            <v>"-"</v>
          </cell>
        </row>
        <row r="3469">
          <cell r="A3469">
            <v>46265</v>
          </cell>
          <cell r="B3469" t="str">
            <v xml:space="preserve">HARIYANTO                               </v>
          </cell>
          <cell r="C3469" t="str">
            <v>HBTB690</v>
          </cell>
          <cell r="D3469">
            <v>39501042448504</v>
          </cell>
          <cell r="F3469" t="str">
            <v>Tidak</v>
          </cell>
          <cell r="G3469" t="str">
            <v>Tidak</v>
          </cell>
          <cell r="H3469" t="str">
            <v>Tidak</v>
          </cell>
          <cell r="I3469" t="str">
            <v>Bandar Judol Withdrawal</v>
          </cell>
          <cell r="J3469">
            <v>35</v>
          </cell>
          <cell r="K3469" t="str">
            <v>86,88,87</v>
          </cell>
          <cell r="L3469" t="str">
            <v>Judi Online</v>
          </cell>
          <cell r="M3469" t="str">
            <v xml:space="preserve">Kas Kanpus                              </v>
          </cell>
          <cell r="N3469" t="str">
            <v xml:space="preserve">Kas Kanpus                              </v>
          </cell>
          <cell r="O3469" t="str">
            <v xml:space="preserve">KAS KANPUS                              </v>
          </cell>
          <cell r="P3469" t="str">
            <v>Ya</v>
          </cell>
          <cell r="Q3469" t="str">
            <v>Ya</v>
          </cell>
          <cell r="R3469" t="str">
            <v>Done</v>
          </cell>
          <cell r="S3469" t="str">
            <v>Approved</v>
          </cell>
          <cell r="T3469" t="str">
            <v>00394521 - Muhammad Hibbanduta</v>
          </cell>
          <cell r="U3469" t="str">
            <v>"-"</v>
          </cell>
        </row>
        <row r="3470">
          <cell r="A3470">
            <v>46265</v>
          </cell>
          <cell r="B3470" t="str">
            <v xml:space="preserve">HERLINA WATI                            </v>
          </cell>
          <cell r="C3470" t="str">
            <v>HCB8085</v>
          </cell>
          <cell r="D3470">
            <v>334601033469539</v>
          </cell>
          <cell r="E3470" t="str">
            <v>SEDANG</v>
          </cell>
          <cell r="F3470" t="str">
            <v>Tidak</v>
          </cell>
          <cell r="G3470" t="str">
            <v>Tidak</v>
          </cell>
          <cell r="H3470" t="str">
            <v>Tidak</v>
          </cell>
          <cell r="I3470" t="str">
            <v>Bandar Judol Withdrawal</v>
          </cell>
          <cell r="J3470">
            <v>50</v>
          </cell>
          <cell r="K3470" t="str">
            <v>86,88,87</v>
          </cell>
          <cell r="L3470" t="str">
            <v>Judi Online</v>
          </cell>
          <cell r="M3470" t="str">
            <v xml:space="preserve">Kas Kanpus                              </v>
          </cell>
          <cell r="N3470" t="str">
            <v xml:space="preserve">Kas Kanpus                              </v>
          </cell>
          <cell r="O3470" t="str">
            <v xml:space="preserve">KAS KANPUS                              </v>
          </cell>
          <cell r="P3470" t="str">
            <v>Ya</v>
          </cell>
          <cell r="Q3470" t="str">
            <v>Ya</v>
          </cell>
          <cell r="R3470" t="str">
            <v>Done</v>
          </cell>
          <cell r="S3470" t="str">
            <v>Approved</v>
          </cell>
          <cell r="T3470" t="str">
            <v>00394520 - Frida Akbar Rani</v>
          </cell>
          <cell r="U3470" t="str">
            <v>"-"</v>
          </cell>
        </row>
        <row r="3471">
          <cell r="A3471">
            <v>46265</v>
          </cell>
          <cell r="B3471" t="str">
            <v xml:space="preserve">HENI PAISAL                             </v>
          </cell>
          <cell r="C3471" t="str">
            <v>HWG2282</v>
          </cell>
          <cell r="D3471">
            <v>33201173400500</v>
          </cell>
          <cell r="E3471" t="str">
            <v>SEDANG</v>
          </cell>
          <cell r="F3471" t="str">
            <v>Tidak</v>
          </cell>
          <cell r="G3471" t="str">
            <v>Tidak</v>
          </cell>
          <cell r="H3471" t="str">
            <v>Tidak</v>
          </cell>
          <cell r="I3471" t="str">
            <v>Bandar Judol Depo</v>
          </cell>
          <cell r="J3471">
            <v>50</v>
          </cell>
          <cell r="K3471" t="str">
            <v>86,74,87</v>
          </cell>
          <cell r="L3471" t="str">
            <v>Judi Online</v>
          </cell>
          <cell r="M3471" t="str">
            <v xml:space="preserve">Kas Kanpus                              </v>
          </cell>
          <cell r="N3471" t="str">
            <v xml:space="preserve">Kas Kanpus                              </v>
          </cell>
          <cell r="O3471" t="str">
            <v xml:space="preserve">KAS KANPUS                              </v>
          </cell>
          <cell r="P3471" t="str">
            <v>Ya</v>
          </cell>
          <cell r="Q3471" t="str">
            <v>Tidak</v>
          </cell>
          <cell r="R3471" t="str">
            <v>Done</v>
          </cell>
          <cell r="S3471" t="str">
            <v>Approved</v>
          </cell>
          <cell r="T3471" t="str">
            <v>90170665 - Mutiara Ayuningtyas</v>
          </cell>
          <cell r="U3471" t="str">
            <v>"-"</v>
          </cell>
        </row>
        <row r="3472">
          <cell r="A3472">
            <v>46265</v>
          </cell>
          <cell r="B3472" t="str">
            <v xml:space="preserve">HASRI FAJAR HABIBI                      </v>
          </cell>
          <cell r="C3472" t="str">
            <v>HUC0730</v>
          </cell>
          <cell r="D3472">
            <v>28301074006507</v>
          </cell>
          <cell r="E3472" t="str">
            <v>SEDANG</v>
          </cell>
          <cell r="F3472" t="str">
            <v>Tidak</v>
          </cell>
          <cell r="G3472" t="str">
            <v>Tidak</v>
          </cell>
          <cell r="H3472" t="str">
            <v>Tidak</v>
          </cell>
          <cell r="I3472" t="str">
            <v>Bandar Judol Withdrawal</v>
          </cell>
          <cell r="J3472">
            <v>50</v>
          </cell>
          <cell r="K3472" t="str">
            <v>86,88,87</v>
          </cell>
          <cell r="L3472" t="str">
            <v>Judi Online</v>
          </cell>
          <cell r="M3472" t="str">
            <v xml:space="preserve">Kas Kanpus                              </v>
          </cell>
          <cell r="N3472" t="str">
            <v xml:space="preserve">Kas Kanpus                              </v>
          </cell>
          <cell r="O3472" t="str">
            <v xml:space="preserve">KAS KANPUS                              </v>
          </cell>
          <cell r="P3472" t="str">
            <v>Ya</v>
          </cell>
          <cell r="Q3472" t="str">
            <v>Ya</v>
          </cell>
          <cell r="R3472" t="str">
            <v>Done</v>
          </cell>
          <cell r="S3472" t="str">
            <v>Approved</v>
          </cell>
          <cell r="T3472" t="str">
            <v>90186790 - Muhammad Alfin Farha</v>
          </cell>
          <cell r="U3472" t="str">
            <v>"-"</v>
          </cell>
        </row>
        <row r="3473">
          <cell r="A3473">
            <v>46265</v>
          </cell>
          <cell r="B3473" t="str">
            <v xml:space="preserve">HO SUN TEK                              </v>
          </cell>
          <cell r="C3473" t="str">
            <v>HX54584</v>
          </cell>
          <cell r="D3473">
            <v>330901002702508</v>
          </cell>
          <cell r="E3473" t="str">
            <v>SEDANG</v>
          </cell>
          <cell r="F3473" t="str">
            <v>Tidak</v>
          </cell>
          <cell r="G3473" t="str">
            <v>Tidak</v>
          </cell>
          <cell r="H3473" t="str">
            <v>Tidak</v>
          </cell>
          <cell r="I3473" t="str">
            <v>Bandar Judol Withdrawal</v>
          </cell>
          <cell r="J3473">
            <v>50</v>
          </cell>
          <cell r="K3473" t="str">
            <v>86,88,87</v>
          </cell>
          <cell r="L3473" t="str">
            <v>Judi Online</v>
          </cell>
          <cell r="M3473" t="str">
            <v xml:space="preserve">Kas Kanpus                              </v>
          </cell>
          <cell r="N3473" t="str">
            <v xml:space="preserve">Kas Kanpus                              </v>
          </cell>
          <cell r="O3473" t="str">
            <v xml:space="preserve">KAS KANPUS                              </v>
          </cell>
          <cell r="P3473" t="str">
            <v>Ya</v>
          </cell>
          <cell r="Q3473" t="str">
            <v>Ya</v>
          </cell>
          <cell r="R3473" t="str">
            <v>Done</v>
          </cell>
          <cell r="S3473" t="str">
            <v>Approved</v>
          </cell>
          <cell r="T3473" t="str">
            <v>90150130 - Intan Aida Pratiwi</v>
          </cell>
          <cell r="U3473" t="str">
            <v>"-"</v>
          </cell>
        </row>
        <row r="3474">
          <cell r="A3474">
            <v>46265</v>
          </cell>
          <cell r="B3474" t="str">
            <v xml:space="preserve">HESTIN FITRIAH                          </v>
          </cell>
          <cell r="C3474" t="str">
            <v>HW28252</v>
          </cell>
          <cell r="D3474">
            <v>43801003110560</v>
          </cell>
          <cell r="E3474" t="str">
            <v>SEDANG</v>
          </cell>
          <cell r="F3474" t="str">
            <v>Tidak</v>
          </cell>
          <cell r="G3474" t="str">
            <v>Tidak</v>
          </cell>
          <cell r="H3474" t="str">
            <v>Tidak</v>
          </cell>
          <cell r="I3474" t="str">
            <v>Bandar Judol Depo</v>
          </cell>
          <cell r="J3474">
            <v>50</v>
          </cell>
          <cell r="K3474" t="str">
            <v>86,74,87</v>
          </cell>
          <cell r="L3474" t="str">
            <v>Judi Online</v>
          </cell>
          <cell r="M3474" t="str">
            <v xml:space="preserve">Kas Kanpus                              </v>
          </cell>
          <cell r="N3474" t="str">
            <v xml:space="preserve">Kas Kanpus                              </v>
          </cell>
          <cell r="O3474" t="str">
            <v xml:space="preserve">KAS KANPUS                              </v>
          </cell>
          <cell r="P3474" t="str">
            <v>Ya</v>
          </cell>
          <cell r="Q3474" t="str">
            <v>Ya</v>
          </cell>
          <cell r="R3474" t="str">
            <v>Done</v>
          </cell>
          <cell r="S3474" t="str">
            <v>Approved</v>
          </cell>
          <cell r="T3474" t="str">
            <v>00336949 - Mochammad Al Farabi</v>
          </cell>
          <cell r="U3474" t="str">
            <v>"-"</v>
          </cell>
        </row>
        <row r="3475">
          <cell r="A3475">
            <v>46265</v>
          </cell>
          <cell r="B3475" t="str">
            <v xml:space="preserve">HUSIN HANDOKO                           </v>
          </cell>
          <cell r="C3475" t="str">
            <v>HW28824</v>
          </cell>
          <cell r="D3475">
            <v>208701025602504</v>
          </cell>
          <cell r="E3475" t="str">
            <v>TINGGI</v>
          </cell>
          <cell r="F3475" t="str">
            <v>Tidak</v>
          </cell>
          <cell r="G3475" t="str">
            <v>Tidak</v>
          </cell>
          <cell r="H3475" t="str">
            <v>Tidak</v>
          </cell>
          <cell r="I3475" t="str">
            <v>Terorisme - SIPENDAR</v>
          </cell>
          <cell r="J3475">
            <v>185</v>
          </cell>
          <cell r="K3475">
            <v>36</v>
          </cell>
          <cell r="L3475" t="str">
            <v>Terorisme</v>
          </cell>
          <cell r="M3475" t="str">
            <v xml:space="preserve">Kas Kanpus                              </v>
          </cell>
          <cell r="N3475" t="str">
            <v xml:space="preserve">Kas Kanpus                              </v>
          </cell>
          <cell r="O3475" t="str">
            <v xml:space="preserve">KAS KANPUS                              </v>
          </cell>
          <cell r="P3475" t="str">
            <v>Tidak</v>
          </cell>
          <cell r="Q3475" t="str">
            <v>Tidak</v>
          </cell>
          <cell r="R3475" t="str">
            <v>Done</v>
          </cell>
          <cell r="S3475" t="str">
            <v>Approved</v>
          </cell>
          <cell r="T3475" t="str">
            <v>90185537 - Moh.Khoerul Fajar Ar</v>
          </cell>
          <cell r="U3475" t="str">
            <v>"-"</v>
          </cell>
        </row>
        <row r="3476">
          <cell r="A3476">
            <v>46265</v>
          </cell>
          <cell r="B3476" t="str">
            <v xml:space="preserve">HARDAYA INTI PLANTATIONS                </v>
          </cell>
          <cell r="C3476" t="str">
            <v>HXZ5646</v>
          </cell>
          <cell r="D3476">
            <v>37601001929309</v>
          </cell>
          <cell r="E3476" t="str">
            <v>SEDANG</v>
          </cell>
          <cell r="F3476" t="str">
            <v>Tidak</v>
          </cell>
          <cell r="G3476" t="str">
            <v>Tidak</v>
          </cell>
          <cell r="H3476" t="str">
            <v>Tidak</v>
          </cell>
          <cell r="I3476" t="str">
            <v>Perpajakan</v>
          </cell>
          <cell r="J3476">
            <v>48</v>
          </cell>
          <cell r="K3476">
            <v>41</v>
          </cell>
          <cell r="L3476" t="str">
            <v>Perpajakan</v>
          </cell>
          <cell r="M3476" t="str">
            <v xml:space="preserve">KC Jakarta Sudirman 1                   </v>
          </cell>
          <cell r="N3476" t="str">
            <v xml:space="preserve">KC Jakarta Sudirman 1                   </v>
          </cell>
          <cell r="O3476" t="str">
            <v xml:space="preserve">DKI2                                    </v>
          </cell>
          <cell r="P3476" t="str">
            <v>Tidak</v>
          </cell>
          <cell r="Q3476" t="str">
            <v>Tidak</v>
          </cell>
          <cell r="R3476" t="str">
            <v>Done</v>
          </cell>
          <cell r="S3476" t="str">
            <v>Approved</v>
          </cell>
          <cell r="T3476" t="str">
            <v>90185537 - Moh.Khoerul Fajar Ar</v>
          </cell>
          <cell r="U3476" t="str">
            <v>"-"</v>
          </cell>
        </row>
        <row r="3477">
          <cell r="A3477">
            <v>46265</v>
          </cell>
          <cell r="B3477" t="str">
            <v xml:space="preserve">HARIYADI                                </v>
          </cell>
          <cell r="C3477" t="str">
            <v>HY10981</v>
          </cell>
          <cell r="D3477">
            <v>7001002379567</v>
          </cell>
          <cell r="E3477" t="str">
            <v>SEDANG</v>
          </cell>
          <cell r="F3477" t="str">
            <v>Tidak</v>
          </cell>
          <cell r="G3477" t="str">
            <v>Tidak</v>
          </cell>
          <cell r="H3477" t="str">
            <v>Tidak</v>
          </cell>
          <cell r="I3477" t="str">
            <v>Bandar Judol Withdrawal</v>
          </cell>
          <cell r="J3477">
            <v>50</v>
          </cell>
          <cell r="K3477" t="str">
            <v>86,88,87</v>
          </cell>
          <cell r="L3477" t="str">
            <v>Judi Online</v>
          </cell>
          <cell r="M3477" t="str">
            <v xml:space="preserve">Kas Kanpus                              </v>
          </cell>
          <cell r="N3477" t="str">
            <v xml:space="preserve">Kas Kanpus                              </v>
          </cell>
          <cell r="O3477" t="str">
            <v xml:space="preserve">KAS KANPUS                              </v>
          </cell>
          <cell r="P3477" t="str">
            <v>Tidak</v>
          </cell>
          <cell r="Q3477" t="str">
            <v>Ya</v>
          </cell>
          <cell r="R3477" t="str">
            <v>Done</v>
          </cell>
          <cell r="S3477" t="str">
            <v>Approved</v>
          </cell>
          <cell r="T3477" t="str">
            <v>90185538 - Muhammad Fahikal Auz</v>
          </cell>
          <cell r="U3477" t="str">
            <v>"-"</v>
          </cell>
        </row>
        <row r="3478">
          <cell r="A3478">
            <v>46265</v>
          </cell>
          <cell r="B3478" t="str">
            <v xml:space="preserve">HALIM                                   </v>
          </cell>
          <cell r="C3478" t="str">
            <v>HYZ4166</v>
          </cell>
          <cell r="D3478">
            <v>711201004110500</v>
          </cell>
          <cell r="E3478" t="str">
            <v>SEDANG</v>
          </cell>
          <cell r="F3478" t="str">
            <v>Tidak</v>
          </cell>
          <cell r="G3478" t="str">
            <v>Tidak</v>
          </cell>
          <cell r="H3478" t="str">
            <v>Ya</v>
          </cell>
          <cell r="I3478" t="str">
            <v>Bandar Judol Withdrawal</v>
          </cell>
          <cell r="J3478">
            <v>50</v>
          </cell>
          <cell r="K3478" t="str">
            <v>86,88,87</v>
          </cell>
          <cell r="L3478" t="str">
            <v>Judi Online</v>
          </cell>
          <cell r="M3478" t="str">
            <v xml:space="preserve">Kas Kanpus                              </v>
          </cell>
          <cell r="N3478" t="str">
            <v xml:space="preserve">Kas Kanpus                              </v>
          </cell>
          <cell r="O3478" t="str">
            <v xml:space="preserve">KAS KANPUS                              </v>
          </cell>
          <cell r="P3478" t="str">
            <v>Ya</v>
          </cell>
          <cell r="Q3478" t="str">
            <v>Ya</v>
          </cell>
          <cell r="R3478" t="str">
            <v>Done</v>
          </cell>
          <cell r="S3478" t="str">
            <v>Approved</v>
          </cell>
          <cell r="T3478" t="str">
            <v>00336949 - Mochammad Al Farabi</v>
          </cell>
          <cell r="U3478" t="str">
            <v>"-"</v>
          </cell>
        </row>
        <row r="3479">
          <cell r="A3479">
            <v>46265</v>
          </cell>
          <cell r="B3479" t="str">
            <v xml:space="preserve">HANIS TASYA LUSIYANTI                   </v>
          </cell>
          <cell r="C3479" t="str">
            <v>HZE3306</v>
          </cell>
          <cell r="D3479">
            <v>12001002511560</v>
          </cell>
          <cell r="E3479" t="str">
            <v>SEDANG</v>
          </cell>
          <cell r="F3479" t="str">
            <v>Tidak</v>
          </cell>
          <cell r="G3479" t="str">
            <v>Tidak</v>
          </cell>
          <cell r="H3479" t="str">
            <v>Tidak</v>
          </cell>
          <cell r="I3479" t="str">
            <v>Bandar Judol Withdrawal</v>
          </cell>
          <cell r="J3479">
            <v>50</v>
          </cell>
          <cell r="K3479" t="str">
            <v>86,88,87</v>
          </cell>
          <cell r="L3479" t="str">
            <v>Judi Online</v>
          </cell>
          <cell r="M3479" t="str">
            <v xml:space="preserve">Kas Kanpus                              </v>
          </cell>
          <cell r="N3479" t="str">
            <v xml:space="preserve">Kas Kanpus                              </v>
          </cell>
          <cell r="O3479" t="str">
            <v xml:space="preserve">KAS KANPUS                              </v>
          </cell>
          <cell r="P3479" t="str">
            <v>Ya</v>
          </cell>
          <cell r="Q3479" t="str">
            <v>Ya</v>
          </cell>
          <cell r="R3479" t="str">
            <v>Done</v>
          </cell>
          <cell r="S3479" t="str">
            <v>Approved</v>
          </cell>
          <cell r="T3479" t="str">
            <v>90150130 - Intan Aida Pratiwi</v>
          </cell>
          <cell r="U3479" t="str">
            <v>"-"</v>
          </cell>
        </row>
        <row r="3480">
          <cell r="A3480">
            <v>46265</v>
          </cell>
          <cell r="B3480" t="str">
            <v xml:space="preserve">INDOMARCO ADI PRIMA, PT.                </v>
          </cell>
          <cell r="C3480" t="str">
            <v>I157190</v>
          </cell>
          <cell r="D3480">
            <v>9801000412309</v>
          </cell>
          <cell r="E3480" t="str">
            <v>SEDANG</v>
          </cell>
          <cell r="F3480" t="str">
            <v>Tidak</v>
          </cell>
          <cell r="G3480" t="str">
            <v>Tidak</v>
          </cell>
          <cell r="H3480" t="str">
            <v>Tidak</v>
          </cell>
          <cell r="I3480" t="str">
            <v>Narkotika - Area Lapas</v>
          </cell>
          <cell r="J3480">
            <v>50</v>
          </cell>
          <cell r="K3480">
            <v>46</v>
          </cell>
          <cell r="L3480" t="str">
            <v>Narkotika</v>
          </cell>
          <cell r="M3480" t="str">
            <v>KC Tanjung Karang</v>
          </cell>
          <cell r="N3480" t="str">
            <v>KC Tanjung Karang</v>
          </cell>
          <cell r="O3480" t="str">
            <v>KANWIL BANDAR LAMPUNG</v>
          </cell>
          <cell r="P3480" t="str">
            <v>Tidak</v>
          </cell>
          <cell r="Q3480" t="str">
            <v>Tidak</v>
          </cell>
          <cell r="R3480" t="str">
            <v>Done</v>
          </cell>
          <cell r="S3480" t="str">
            <v>Approved</v>
          </cell>
          <cell r="T3480" t="str">
            <v>00394520 - Frida Akbar Rani</v>
          </cell>
          <cell r="U3480" t="str">
            <v>"-"</v>
          </cell>
        </row>
        <row r="3481">
          <cell r="A3481">
            <v>46265</v>
          </cell>
          <cell r="B3481" t="str">
            <v xml:space="preserve">INDOMARCO ADI PRIMA PT                  </v>
          </cell>
          <cell r="C3481" t="str">
            <v>I161743</v>
          </cell>
          <cell r="D3481">
            <v>5001005396300</v>
          </cell>
          <cell r="E3481" t="str">
            <v>SEDANG</v>
          </cell>
          <cell r="F3481" t="str">
            <v>Tidak</v>
          </cell>
          <cell r="G3481" t="str">
            <v>Tidak</v>
          </cell>
          <cell r="H3481" t="str">
            <v>Tidak</v>
          </cell>
          <cell r="I3481" t="str">
            <v>Narkotika - Area Lapas</v>
          </cell>
          <cell r="J3481">
            <v>50</v>
          </cell>
          <cell r="K3481">
            <v>46</v>
          </cell>
          <cell r="L3481" t="str">
            <v>Narkotika</v>
          </cell>
          <cell r="M3481" t="str">
            <v>KC Makassar Ahmad Yani</v>
          </cell>
          <cell r="N3481" t="str">
            <v>KC Makassar Ahmad Yani</v>
          </cell>
          <cell r="O3481" t="str">
            <v>Makassar</v>
          </cell>
          <cell r="P3481" t="str">
            <v>Tidak</v>
          </cell>
          <cell r="Q3481" t="str">
            <v>Tidak</v>
          </cell>
          <cell r="R3481" t="str">
            <v>Done</v>
          </cell>
          <cell r="S3481" t="str">
            <v>Approved</v>
          </cell>
          <cell r="T3481" t="str">
            <v>90171841 - Rifqi Aziz</v>
          </cell>
          <cell r="U3481" t="str">
            <v>"-"</v>
          </cell>
        </row>
        <row r="3482">
          <cell r="A3482">
            <v>46265</v>
          </cell>
          <cell r="B3482" t="str">
            <v xml:space="preserve">IIS BANDAWATI                           </v>
          </cell>
          <cell r="C3482" t="str">
            <v>IAG0082</v>
          </cell>
          <cell r="D3482">
            <v>1201280382504</v>
          </cell>
          <cell r="E3482" t="str">
            <v>SEDANG</v>
          </cell>
          <cell r="F3482" t="str">
            <v>Tidak</v>
          </cell>
          <cell r="G3482" t="str">
            <v>Tidak</v>
          </cell>
          <cell r="H3482" t="str">
            <v>Tidak</v>
          </cell>
          <cell r="I3482" t="str">
            <v>Bandar Judol Depo</v>
          </cell>
          <cell r="J3482">
            <v>50</v>
          </cell>
          <cell r="K3482" t="str">
            <v>86,74,87</v>
          </cell>
          <cell r="L3482" t="str">
            <v>Judi Online</v>
          </cell>
          <cell r="M3482" t="str">
            <v xml:space="preserve">Kas Kanpus                              </v>
          </cell>
          <cell r="N3482" t="str">
            <v xml:space="preserve">Kas Kanpus                              </v>
          </cell>
          <cell r="O3482" t="str">
            <v xml:space="preserve">KAS KANPUS                              </v>
          </cell>
          <cell r="P3482" t="str">
            <v>Ya</v>
          </cell>
          <cell r="Q3482" t="str">
            <v>Ya</v>
          </cell>
          <cell r="R3482" t="str">
            <v>Done</v>
          </cell>
          <cell r="S3482" t="str">
            <v>Approved</v>
          </cell>
          <cell r="T3482" t="str">
            <v>90186796 - Devito Arya Wiradila</v>
          </cell>
          <cell r="U3482" t="str">
            <v>"-"</v>
          </cell>
        </row>
        <row r="3483">
          <cell r="A3483">
            <v>46265</v>
          </cell>
          <cell r="B3483" t="str">
            <v xml:space="preserve">HERI GUNAWAN                            </v>
          </cell>
          <cell r="C3483" t="str">
            <v>HOS9892</v>
          </cell>
          <cell r="D3483">
            <v>59501000779563</v>
          </cell>
          <cell r="E3483" t="str">
            <v>SEDANG</v>
          </cell>
          <cell r="F3483" t="str">
            <v>Tidak</v>
          </cell>
          <cell r="G3483" t="str">
            <v>Tidak</v>
          </cell>
          <cell r="H3483" t="str">
            <v>Tidak</v>
          </cell>
          <cell r="I3483" t="str">
            <v>Bandar Judol Withdrawal</v>
          </cell>
          <cell r="J3483">
            <v>50</v>
          </cell>
          <cell r="K3483" t="str">
            <v>86,88,87</v>
          </cell>
          <cell r="L3483" t="str">
            <v>Judi Online</v>
          </cell>
          <cell r="M3483" t="str">
            <v xml:space="preserve">Kas Kanpus                              </v>
          </cell>
          <cell r="N3483" t="str">
            <v xml:space="preserve">Kas Kanpus                              </v>
          </cell>
          <cell r="O3483" t="str">
            <v xml:space="preserve">KAS KANPUS                              </v>
          </cell>
          <cell r="P3483" t="str">
            <v>Ya</v>
          </cell>
          <cell r="Q3483" t="str">
            <v>Ya</v>
          </cell>
          <cell r="R3483" t="str">
            <v>Done</v>
          </cell>
          <cell r="S3483" t="str">
            <v>Approved</v>
          </cell>
          <cell r="T3483" t="str">
            <v>00336949 - Mochammad Al Farabi</v>
          </cell>
          <cell r="U3483" t="str">
            <v>"-"</v>
          </cell>
        </row>
        <row r="3484">
          <cell r="A3484">
            <v>46265</v>
          </cell>
          <cell r="B3484" t="str">
            <v xml:space="preserve">HABEL PERDANA BUKIT                     </v>
          </cell>
          <cell r="C3484" t="str">
            <v>HLL5722</v>
          </cell>
          <cell r="D3484">
            <v>79001014195537</v>
          </cell>
          <cell r="E3484" t="str">
            <v>SEDANG</v>
          </cell>
          <cell r="F3484" t="str">
            <v>Tidak</v>
          </cell>
          <cell r="G3484" t="str">
            <v>Tidak</v>
          </cell>
          <cell r="H3484" t="str">
            <v>Tidak</v>
          </cell>
          <cell r="I3484" t="str">
            <v>Bandar Judol Withdrawal</v>
          </cell>
          <cell r="J3484">
            <v>50</v>
          </cell>
          <cell r="K3484" t="str">
            <v>86,88,87</v>
          </cell>
          <cell r="L3484" t="str">
            <v>Judi Online</v>
          </cell>
          <cell r="M3484" t="str">
            <v xml:space="preserve">Kas Kanpus                              </v>
          </cell>
          <cell r="N3484" t="str">
            <v xml:space="preserve">Kas Kanpus                              </v>
          </cell>
          <cell r="O3484" t="str">
            <v xml:space="preserve">KAS KANPUS                              </v>
          </cell>
          <cell r="P3484" t="str">
            <v>Tidak</v>
          </cell>
          <cell r="Q3484" t="str">
            <v>Ya</v>
          </cell>
          <cell r="R3484" t="str">
            <v>Done</v>
          </cell>
          <cell r="S3484" t="str">
            <v>Approved</v>
          </cell>
          <cell r="T3484" t="str">
            <v>00394521 - Muhammad Hibbanduta</v>
          </cell>
          <cell r="U3484" t="str">
            <v>"-"</v>
          </cell>
        </row>
        <row r="3485">
          <cell r="A3485">
            <v>46265</v>
          </cell>
          <cell r="B3485" t="str">
            <v xml:space="preserve">HANIPAH                                 </v>
          </cell>
          <cell r="C3485" t="str">
            <v>HNS1043</v>
          </cell>
          <cell r="D3485">
            <v>710201007082509</v>
          </cell>
          <cell r="E3485" t="str">
            <v>SEDANG</v>
          </cell>
          <cell r="F3485" t="str">
            <v>Ya</v>
          </cell>
          <cell r="G3485" t="str">
            <v>Tidak</v>
          </cell>
          <cell r="H3485" t="str">
            <v>Tidak</v>
          </cell>
          <cell r="I3485" t="str">
            <v>Narkotika - Area Lapas</v>
          </cell>
          <cell r="J3485">
            <v>60</v>
          </cell>
          <cell r="K3485">
            <v>46</v>
          </cell>
          <cell r="L3485" t="str">
            <v>Narkotika</v>
          </cell>
          <cell r="M3485" t="str">
            <v>UNIT RANTAU PANJANG BANGKO</v>
          </cell>
          <cell r="N3485" t="str">
            <v>KC Bangko</v>
          </cell>
          <cell r="O3485" t="str">
            <v>Palembang</v>
          </cell>
          <cell r="P3485" t="str">
            <v>Tidak</v>
          </cell>
          <cell r="Q3485" t="str">
            <v>Tidak</v>
          </cell>
          <cell r="R3485" t="str">
            <v>Done</v>
          </cell>
          <cell r="S3485" t="str">
            <v>Approved</v>
          </cell>
          <cell r="T3485" t="str">
            <v>90150130 - Intan Aida Pratiwi</v>
          </cell>
          <cell r="U3485" t="str">
            <v>"-"</v>
          </cell>
        </row>
        <row r="3486">
          <cell r="A3486">
            <v>46265</v>
          </cell>
          <cell r="B3486" t="str">
            <v xml:space="preserve">HASAN BASRI                             </v>
          </cell>
          <cell r="C3486" t="str">
            <v>HKA1613</v>
          </cell>
          <cell r="D3486">
            <v>50901005508568</v>
          </cell>
          <cell r="E3486" t="str">
            <v>SEDANG</v>
          </cell>
          <cell r="F3486" t="str">
            <v>Tidak</v>
          </cell>
          <cell r="G3486" t="str">
            <v>Tidak</v>
          </cell>
          <cell r="H3486" t="str">
            <v>Tidak</v>
          </cell>
          <cell r="I3486" t="str">
            <v>Bandar Judol Withdrawal</v>
          </cell>
          <cell r="J3486">
            <v>50</v>
          </cell>
          <cell r="K3486" t="str">
            <v>86,88,87</v>
          </cell>
          <cell r="L3486" t="str">
            <v>Judi Online</v>
          </cell>
          <cell r="M3486" t="str">
            <v xml:space="preserve">Kas Kanpus                              </v>
          </cell>
          <cell r="N3486" t="str">
            <v xml:space="preserve">Kas Kanpus                              </v>
          </cell>
          <cell r="O3486" t="str">
            <v xml:space="preserve">KAS KANPUS                              </v>
          </cell>
          <cell r="P3486" t="str">
            <v>Ya</v>
          </cell>
          <cell r="Q3486" t="str">
            <v>Ya</v>
          </cell>
          <cell r="R3486" t="str">
            <v>Done</v>
          </cell>
          <cell r="S3486" t="str">
            <v>Approved</v>
          </cell>
          <cell r="T3486" t="str">
            <v>90150130 - Intan Aida Pratiwi</v>
          </cell>
          <cell r="U3486" t="str">
            <v>"-"</v>
          </cell>
        </row>
        <row r="3487">
          <cell r="A3487">
            <v>46265</v>
          </cell>
          <cell r="B3487" t="str">
            <v xml:space="preserve">HILALUDIN                               </v>
          </cell>
          <cell r="C3487" t="str">
            <v>HKD5367</v>
          </cell>
          <cell r="D3487">
            <v>50901077042506</v>
          </cell>
          <cell r="E3487" t="str">
            <v>SEDANG</v>
          </cell>
          <cell r="F3487" t="str">
            <v>Tidak</v>
          </cell>
          <cell r="G3487" t="str">
            <v>Tidak</v>
          </cell>
          <cell r="H3487" t="str">
            <v>Tidak</v>
          </cell>
          <cell r="I3487" t="str">
            <v>Bandar Judol Withdrawal</v>
          </cell>
          <cell r="J3487">
            <v>50</v>
          </cell>
          <cell r="K3487" t="str">
            <v>86,88,87</v>
          </cell>
          <cell r="L3487" t="str">
            <v>Judi Online</v>
          </cell>
          <cell r="M3487" t="str">
            <v xml:space="preserve">Kas Kanpus                              </v>
          </cell>
          <cell r="N3487" t="str">
            <v xml:space="preserve">Kas Kanpus                              </v>
          </cell>
          <cell r="O3487" t="str">
            <v xml:space="preserve">KAS KANPUS                              </v>
          </cell>
          <cell r="P3487" t="str">
            <v>Ya</v>
          </cell>
          <cell r="Q3487" t="str">
            <v>Ya</v>
          </cell>
          <cell r="R3487" t="str">
            <v>Done</v>
          </cell>
          <cell r="S3487" t="str">
            <v>Approved</v>
          </cell>
          <cell r="T3487" t="str">
            <v>90185537 - Moh.Khoerul Fajar Ar</v>
          </cell>
          <cell r="U3487" t="str">
            <v>"-"</v>
          </cell>
        </row>
        <row r="3488">
          <cell r="A3488">
            <v>46265</v>
          </cell>
          <cell r="B3488" t="str">
            <v xml:space="preserve">HAKIAL                                  </v>
          </cell>
          <cell r="C3488" t="str">
            <v>HL20838</v>
          </cell>
          <cell r="D3488">
            <v>53201011146509</v>
          </cell>
          <cell r="E3488" t="str">
            <v>SEDANG</v>
          </cell>
          <cell r="F3488" t="str">
            <v>Tidak</v>
          </cell>
          <cell r="G3488" t="str">
            <v>Tidak</v>
          </cell>
          <cell r="H3488" t="str">
            <v>Tidak</v>
          </cell>
          <cell r="I3488" t="str">
            <v>Terorisme - SIPENDAR</v>
          </cell>
          <cell r="J3488">
            <v>168</v>
          </cell>
          <cell r="K3488">
            <v>36</v>
          </cell>
          <cell r="L3488" t="str">
            <v>Terorisme</v>
          </cell>
          <cell r="M3488" t="str">
            <v xml:space="preserve">Kas Kanpus                              </v>
          </cell>
          <cell r="N3488" t="str">
            <v xml:space="preserve">Kas Kanpus                              </v>
          </cell>
          <cell r="O3488" t="str">
            <v xml:space="preserve">KAS KANPUS                              </v>
          </cell>
          <cell r="P3488" t="str">
            <v>Tidak</v>
          </cell>
          <cell r="Q3488" t="str">
            <v>Tidak</v>
          </cell>
          <cell r="R3488" t="str">
            <v>Done</v>
          </cell>
          <cell r="S3488" t="str">
            <v>Approved</v>
          </cell>
          <cell r="T3488" t="str">
            <v>90185537 - Moh.Khoerul Fajar Ar</v>
          </cell>
          <cell r="U3488" t="str">
            <v>"-"</v>
          </cell>
        </row>
        <row r="3489">
          <cell r="A3489">
            <v>46265</v>
          </cell>
          <cell r="B3489" t="str">
            <v xml:space="preserve">HERIYANTO                               </v>
          </cell>
          <cell r="C3489" t="str">
            <v>HSD4340</v>
          </cell>
          <cell r="D3489">
            <v>35501003114560</v>
          </cell>
          <cell r="E3489" t="str">
            <v>SEDANG</v>
          </cell>
          <cell r="F3489" t="str">
            <v>Tidak</v>
          </cell>
          <cell r="G3489" t="str">
            <v>Tidak</v>
          </cell>
          <cell r="H3489" t="str">
            <v>Tidak</v>
          </cell>
          <cell r="I3489" t="str">
            <v>Pencurian Rekening</v>
          </cell>
          <cell r="J3489">
            <v>49</v>
          </cell>
          <cell r="K3489">
            <v>59</v>
          </cell>
          <cell r="L3489" t="str">
            <v>Perbankan</v>
          </cell>
          <cell r="M3489" t="str">
            <v xml:space="preserve">KC Pamanukan                            </v>
          </cell>
          <cell r="N3489" t="str">
            <v xml:space="preserve">KC Pamanukan                            </v>
          </cell>
          <cell r="O3489" t="str">
            <v xml:space="preserve">Bandung                                 </v>
          </cell>
          <cell r="P3489" t="str">
            <v>Tidak</v>
          </cell>
          <cell r="Q3489" t="str">
            <v>Tidak</v>
          </cell>
          <cell r="R3489" t="str">
            <v>Done</v>
          </cell>
          <cell r="S3489" t="str">
            <v>Approved</v>
          </cell>
          <cell r="T3489" t="str">
            <v>00336949 - Mochammad Al Farabi</v>
          </cell>
          <cell r="U3489" t="str">
            <v>"-"</v>
          </cell>
        </row>
        <row r="3490">
          <cell r="A3490">
            <v>46265</v>
          </cell>
          <cell r="B3490" t="str">
            <v xml:space="preserve">HASBYBULLAH                             </v>
          </cell>
          <cell r="C3490" t="str">
            <v>HSK1860</v>
          </cell>
          <cell r="D3490">
            <v>1901190104507</v>
          </cell>
          <cell r="E3490" t="str">
            <v>SEDANG</v>
          </cell>
          <cell r="F3490" t="str">
            <v>Tidak</v>
          </cell>
          <cell r="G3490" t="str">
            <v>Tidak</v>
          </cell>
          <cell r="H3490" t="str">
            <v>Tidak</v>
          </cell>
          <cell r="I3490" t="str">
            <v>Bandar Judol Withdrawal</v>
          </cell>
          <cell r="J3490">
            <v>50</v>
          </cell>
          <cell r="K3490" t="str">
            <v>86,88,87</v>
          </cell>
          <cell r="L3490" t="str">
            <v>Judi Online</v>
          </cell>
          <cell r="M3490" t="str">
            <v xml:space="preserve">Kas Kanpus                              </v>
          </cell>
          <cell r="N3490" t="str">
            <v xml:space="preserve">Kas Kanpus                              </v>
          </cell>
          <cell r="O3490" t="str">
            <v xml:space="preserve">KAS KANPUS                              </v>
          </cell>
          <cell r="P3490" t="str">
            <v>Ya</v>
          </cell>
          <cell r="Q3490" t="str">
            <v>Ya</v>
          </cell>
          <cell r="R3490" t="str">
            <v>Done</v>
          </cell>
          <cell r="S3490" t="str">
            <v>Approved</v>
          </cell>
          <cell r="T3490" t="str">
            <v>90186790 - Muhammad Alfin Farha</v>
          </cell>
          <cell r="U3490" t="str">
            <v>"-"</v>
          </cell>
        </row>
        <row r="3491">
          <cell r="A3491">
            <v>46265</v>
          </cell>
          <cell r="B3491" t="str">
            <v xml:space="preserve">HERY PRASETYA                           </v>
          </cell>
          <cell r="C3491" t="str">
            <v>HTO5757</v>
          </cell>
          <cell r="D3491">
            <v>12201179871506</v>
          </cell>
          <cell r="E3491" t="str">
            <v>SEDANG</v>
          </cell>
          <cell r="F3491" t="str">
            <v>Tidak</v>
          </cell>
          <cell r="G3491" t="str">
            <v>Tidak</v>
          </cell>
          <cell r="H3491" t="str">
            <v>Tidak</v>
          </cell>
          <cell r="I3491" t="str">
            <v>Bandar Judol Withdrawal</v>
          </cell>
          <cell r="J3491">
            <v>50</v>
          </cell>
          <cell r="K3491" t="str">
            <v>86,88,87</v>
          </cell>
          <cell r="L3491" t="str">
            <v>Judi Online</v>
          </cell>
          <cell r="M3491" t="str">
            <v xml:space="preserve">Kas Kanpus                              </v>
          </cell>
          <cell r="N3491" t="str">
            <v xml:space="preserve">Kas Kanpus                              </v>
          </cell>
          <cell r="O3491" t="str">
            <v xml:space="preserve">KAS KANPUS                              </v>
          </cell>
          <cell r="P3491" t="str">
            <v>Ya</v>
          </cell>
          <cell r="Q3491" t="str">
            <v>Ya</v>
          </cell>
          <cell r="R3491" t="str">
            <v>Done</v>
          </cell>
          <cell r="S3491" t="str">
            <v>Approved</v>
          </cell>
          <cell r="T3491" t="str">
            <v>00394520 - Frida Akbar Rani</v>
          </cell>
          <cell r="U3491" t="str">
            <v>"-"</v>
          </cell>
        </row>
        <row r="3492">
          <cell r="A3492">
            <v>46265</v>
          </cell>
          <cell r="B3492" t="str">
            <v xml:space="preserve">HUSNI TAMRIN                            </v>
          </cell>
          <cell r="C3492" t="str">
            <v>HTB5375</v>
          </cell>
          <cell r="D3492">
            <v>50201018225509</v>
          </cell>
          <cell r="E3492" t="str">
            <v>SEDANG</v>
          </cell>
          <cell r="F3492" t="str">
            <v>Tidak</v>
          </cell>
          <cell r="G3492" t="str">
            <v>Tidak</v>
          </cell>
          <cell r="H3492" t="str">
            <v>Tidak</v>
          </cell>
          <cell r="I3492" t="str">
            <v>Bandar Judol Depo</v>
          </cell>
          <cell r="J3492">
            <v>50</v>
          </cell>
          <cell r="K3492" t="str">
            <v>86,74,87</v>
          </cell>
          <cell r="L3492" t="str">
            <v>Judi Online</v>
          </cell>
          <cell r="M3492" t="str">
            <v xml:space="preserve">Kas Kanpus                              </v>
          </cell>
          <cell r="N3492" t="str">
            <v xml:space="preserve">Kas Kanpus                              </v>
          </cell>
          <cell r="O3492" t="str">
            <v xml:space="preserve">KAS KANPUS                              </v>
          </cell>
          <cell r="P3492" t="str">
            <v>Ya</v>
          </cell>
          <cell r="Q3492" t="str">
            <v>Ya</v>
          </cell>
          <cell r="R3492" t="str">
            <v>Done</v>
          </cell>
          <cell r="S3492" t="str">
            <v>Approved</v>
          </cell>
          <cell r="T3492" t="str">
            <v>90171841 - Rifqi Aziz</v>
          </cell>
          <cell r="U3492" t="str">
            <v>"-"</v>
          </cell>
        </row>
        <row r="3493">
          <cell r="A3493">
            <v>46265</v>
          </cell>
          <cell r="B3493" t="str">
            <v xml:space="preserve">HABIB MUHENDRA                          </v>
          </cell>
          <cell r="C3493" t="str">
            <v>HPF5904</v>
          </cell>
          <cell r="D3493">
            <v>761601001358503</v>
          </cell>
          <cell r="E3493" t="str">
            <v>TINGGI</v>
          </cell>
          <cell r="F3493" t="str">
            <v>Tidak</v>
          </cell>
          <cell r="G3493" t="str">
            <v>Tidak</v>
          </cell>
          <cell r="H3493" t="str">
            <v>Tidak</v>
          </cell>
          <cell r="I3493" t="str">
            <v>Bandar Judol Withdrawal</v>
          </cell>
          <cell r="J3493">
            <v>65</v>
          </cell>
          <cell r="K3493" t="str">
            <v>86,88,87</v>
          </cell>
          <cell r="L3493" t="str">
            <v>Judi Online</v>
          </cell>
          <cell r="M3493" t="str">
            <v xml:space="preserve">Kas Kanpus                              </v>
          </cell>
          <cell r="N3493" t="str">
            <v xml:space="preserve">Kas Kanpus                              </v>
          </cell>
          <cell r="O3493" t="str">
            <v xml:space="preserve">KAS KANPUS                              </v>
          </cell>
          <cell r="P3493" t="str">
            <v>Ya</v>
          </cell>
          <cell r="Q3493" t="str">
            <v>Ya</v>
          </cell>
          <cell r="R3493" t="str">
            <v>Done</v>
          </cell>
          <cell r="S3493" t="str">
            <v>Approved</v>
          </cell>
          <cell r="T3493" t="str">
            <v>90185537 - Moh.Khoerul Fajar Ar</v>
          </cell>
          <cell r="U3493" t="str">
            <v>"-"</v>
          </cell>
        </row>
        <row r="3494">
          <cell r="A3494">
            <v>46265</v>
          </cell>
          <cell r="B3494" t="str">
            <v xml:space="preserve">HAVAN DWI ANANDA HASIBUAN               </v>
          </cell>
          <cell r="C3494" t="str">
            <v>HQD3021</v>
          </cell>
          <cell r="D3494">
            <v>28301059497503</v>
          </cell>
          <cell r="E3494" t="str">
            <v>SEDANG</v>
          </cell>
          <cell r="F3494" t="str">
            <v>Tidak</v>
          </cell>
          <cell r="G3494" t="str">
            <v>Tidak</v>
          </cell>
          <cell r="H3494" t="str">
            <v>Tidak</v>
          </cell>
          <cell r="I3494" t="str">
            <v>Bandar Judol Withdrawal</v>
          </cell>
          <cell r="J3494">
            <v>50</v>
          </cell>
          <cell r="K3494" t="str">
            <v>86,88,87</v>
          </cell>
          <cell r="L3494" t="str">
            <v>Judi Online</v>
          </cell>
          <cell r="M3494" t="str">
            <v xml:space="preserve">Kas Kanpus                              </v>
          </cell>
          <cell r="N3494" t="str">
            <v xml:space="preserve">Kas Kanpus                              </v>
          </cell>
          <cell r="O3494" t="str">
            <v xml:space="preserve">KAS KANPUS                              </v>
          </cell>
          <cell r="P3494" t="str">
            <v>Ya</v>
          </cell>
          <cell r="Q3494" t="str">
            <v>Ya</v>
          </cell>
          <cell r="R3494" t="str">
            <v>Done</v>
          </cell>
          <cell r="S3494" t="str">
            <v>Approved</v>
          </cell>
          <cell r="T3494" t="str">
            <v>90185538 - Muhammad Fahikal Auz</v>
          </cell>
          <cell r="U3494" t="str">
            <v>"-"</v>
          </cell>
        </row>
        <row r="3495">
          <cell r="A3495">
            <v>46265</v>
          </cell>
          <cell r="B3495" t="str">
            <v xml:space="preserve">HAFITS SYAWALUDDIN                      </v>
          </cell>
          <cell r="C3495" t="str">
            <v>HAHD405</v>
          </cell>
          <cell r="D3495">
            <v>13901002713569</v>
          </cell>
          <cell r="E3495" t="str">
            <v>SEDANG</v>
          </cell>
          <cell r="F3495" t="str">
            <v>Tidak</v>
          </cell>
          <cell r="G3495" t="str">
            <v>Tidak</v>
          </cell>
          <cell r="H3495" t="str">
            <v>Tidak</v>
          </cell>
          <cell r="I3495" t="str">
            <v>Bandar Judol Withdrawal</v>
          </cell>
          <cell r="J3495">
            <v>50</v>
          </cell>
          <cell r="K3495" t="str">
            <v>86,88,87</v>
          </cell>
          <cell r="L3495" t="str">
            <v>Judi Online</v>
          </cell>
          <cell r="M3495" t="str">
            <v xml:space="preserve">Kas Kanpus                              </v>
          </cell>
          <cell r="N3495" t="str">
            <v xml:space="preserve">Kas Kanpus                              </v>
          </cell>
          <cell r="O3495" t="str">
            <v xml:space="preserve">KAS KANPUS                              </v>
          </cell>
          <cell r="P3495" t="str">
            <v>Ya</v>
          </cell>
          <cell r="Q3495" t="str">
            <v>Ya</v>
          </cell>
          <cell r="R3495" t="str">
            <v>Done</v>
          </cell>
          <cell r="S3495" t="str">
            <v>Approved</v>
          </cell>
          <cell r="T3495" t="str">
            <v>90150130 - Intan Aida Pratiwi</v>
          </cell>
          <cell r="U3495" t="str">
            <v>"-"</v>
          </cell>
        </row>
        <row r="3496">
          <cell r="A3496">
            <v>46265</v>
          </cell>
          <cell r="B3496" t="str">
            <v xml:space="preserve">HERU HANG TRYPUTRA                      </v>
          </cell>
          <cell r="C3496" t="str">
            <v>HAEC763</v>
          </cell>
          <cell r="D3496">
            <v>107901067264506</v>
          </cell>
          <cell r="E3496" t="str">
            <v>TINGGI</v>
          </cell>
          <cell r="F3496" t="str">
            <v>Tidak</v>
          </cell>
          <cell r="G3496" t="str">
            <v>Tidak</v>
          </cell>
          <cell r="H3496" t="str">
            <v>Tidak</v>
          </cell>
          <cell r="I3496" t="str">
            <v>Terorisme - SIPENDAR</v>
          </cell>
          <cell r="J3496">
            <v>183</v>
          </cell>
          <cell r="K3496">
            <v>36</v>
          </cell>
          <cell r="L3496" t="str">
            <v>Terorisme</v>
          </cell>
          <cell r="M3496" t="str">
            <v xml:space="preserve">Kas Kanpus                              </v>
          </cell>
          <cell r="N3496" t="str">
            <v xml:space="preserve">Kas Kanpus                              </v>
          </cell>
          <cell r="O3496" t="str">
            <v xml:space="preserve">KAS KANPUS                              </v>
          </cell>
          <cell r="P3496" t="str">
            <v>Tidak</v>
          </cell>
          <cell r="Q3496" t="str">
            <v>Tidak</v>
          </cell>
          <cell r="R3496" t="str">
            <v>Done</v>
          </cell>
          <cell r="S3496" t="str">
            <v>Approved</v>
          </cell>
          <cell r="T3496" t="str">
            <v>90185538 - Muhammad Fahikal Auz</v>
          </cell>
          <cell r="U3496" t="str">
            <v>"-"</v>
          </cell>
        </row>
        <row r="3497">
          <cell r="A3497">
            <v>46265</v>
          </cell>
          <cell r="B3497" t="str">
            <v xml:space="preserve">HARDIYANTO                              </v>
          </cell>
          <cell r="C3497" t="str">
            <v>HAEE403</v>
          </cell>
          <cell r="D3497">
            <v>708901018823502</v>
          </cell>
          <cell r="E3497" t="str">
            <v>SEDANG</v>
          </cell>
          <cell r="F3497" t="str">
            <v>Tidak</v>
          </cell>
          <cell r="G3497" t="str">
            <v>Tidak</v>
          </cell>
          <cell r="H3497" t="str">
            <v>Tidak</v>
          </cell>
          <cell r="I3497" t="str">
            <v>Bandar Judol Withdrawal</v>
          </cell>
          <cell r="J3497">
            <v>50</v>
          </cell>
          <cell r="K3497" t="str">
            <v>86,88,87</v>
          </cell>
          <cell r="L3497" t="str">
            <v>Judi Online</v>
          </cell>
          <cell r="M3497" t="str">
            <v xml:space="preserve">Kas Kanpus                              </v>
          </cell>
          <cell r="N3497" t="str">
            <v xml:space="preserve">Kas Kanpus                              </v>
          </cell>
          <cell r="O3497" t="str">
            <v xml:space="preserve">KAS KANPUS                              </v>
          </cell>
          <cell r="P3497" t="str">
            <v>Ya</v>
          </cell>
          <cell r="Q3497" t="str">
            <v>Ya</v>
          </cell>
          <cell r="R3497" t="str">
            <v>Done</v>
          </cell>
          <cell r="S3497" t="str">
            <v>Approved</v>
          </cell>
          <cell r="T3497" t="str">
            <v>00394521 - Muhammad Hibbanduta</v>
          </cell>
          <cell r="U3497" t="str">
            <v>"-"</v>
          </cell>
        </row>
        <row r="3498">
          <cell r="A3498">
            <v>46265</v>
          </cell>
          <cell r="B3498" t="str">
            <v xml:space="preserve">HENDRIK PRANATHA                        </v>
          </cell>
          <cell r="C3498" t="str">
            <v>HAK9721</v>
          </cell>
          <cell r="D3498">
            <v>28301001678561</v>
          </cell>
          <cell r="E3498" t="str">
            <v>RENDAH</v>
          </cell>
          <cell r="F3498" t="str">
            <v>Tidak</v>
          </cell>
          <cell r="G3498" t="str">
            <v>Tidak</v>
          </cell>
          <cell r="H3498" t="str">
            <v>Tidak</v>
          </cell>
          <cell r="I3498" t="str">
            <v>Bandar Judol Withdrawal</v>
          </cell>
          <cell r="J3498">
            <v>35</v>
          </cell>
          <cell r="K3498" t="str">
            <v>86,88,87</v>
          </cell>
          <cell r="L3498" t="str">
            <v>Judi Online</v>
          </cell>
          <cell r="M3498" t="str">
            <v xml:space="preserve">Kas Kanpus                              </v>
          </cell>
          <cell r="N3498" t="str">
            <v xml:space="preserve">Kas Kanpus                              </v>
          </cell>
          <cell r="O3498" t="str">
            <v xml:space="preserve">KAS KANPUS                              </v>
          </cell>
          <cell r="P3498" t="str">
            <v>Ya</v>
          </cell>
          <cell r="Q3498" t="str">
            <v>Ya</v>
          </cell>
          <cell r="R3498" t="str">
            <v>Done</v>
          </cell>
          <cell r="S3498" t="str">
            <v>Approved</v>
          </cell>
          <cell r="T3498" t="str">
            <v>90170665 - Mutiara Ayuningtyas</v>
          </cell>
          <cell r="U3498" t="str">
            <v>"-"</v>
          </cell>
        </row>
        <row r="3499">
          <cell r="A3499">
            <v>46265</v>
          </cell>
          <cell r="B3499" t="str">
            <v xml:space="preserve">HERDI PERDIANSYAH                       </v>
          </cell>
          <cell r="C3499" t="str">
            <v>HAKS593</v>
          </cell>
          <cell r="D3499">
            <v>43801003291560</v>
          </cell>
          <cell r="E3499" t="str">
            <v>SEDANG</v>
          </cell>
          <cell r="F3499" t="str">
            <v>Tidak</v>
          </cell>
          <cell r="G3499" t="str">
            <v>Tidak</v>
          </cell>
          <cell r="H3499" t="str">
            <v>Tidak</v>
          </cell>
          <cell r="I3499" t="str">
            <v>Bandar Judol Depo</v>
          </cell>
          <cell r="J3499">
            <v>50</v>
          </cell>
          <cell r="K3499" t="str">
            <v>86,74,87</v>
          </cell>
          <cell r="L3499" t="str">
            <v>Judi Online</v>
          </cell>
          <cell r="M3499" t="str">
            <v xml:space="preserve">Kas Kanpus                              </v>
          </cell>
          <cell r="N3499" t="str">
            <v xml:space="preserve">Kas Kanpus                              </v>
          </cell>
          <cell r="O3499" t="str">
            <v xml:space="preserve">KAS KANPUS                              </v>
          </cell>
          <cell r="P3499" t="str">
            <v>Ya</v>
          </cell>
          <cell r="Q3499" t="str">
            <v>Ya</v>
          </cell>
          <cell r="R3499" t="str">
            <v>Done</v>
          </cell>
          <cell r="S3499" t="str">
            <v>Approved</v>
          </cell>
          <cell r="T3499" t="str">
            <v>90171841 - Rifqi Aziz</v>
          </cell>
          <cell r="U3499" t="str">
            <v>"-"</v>
          </cell>
        </row>
        <row r="3500">
          <cell r="A3500">
            <v>46265</v>
          </cell>
          <cell r="B3500" t="str">
            <v xml:space="preserve">HAMDAN FERIZAL                          </v>
          </cell>
          <cell r="C3500" t="str">
            <v>HAKU030</v>
          </cell>
          <cell r="D3500">
            <v>63801077481509</v>
          </cell>
          <cell r="E3500" t="str">
            <v>TINGGI</v>
          </cell>
          <cell r="F3500" t="str">
            <v>Tidak</v>
          </cell>
          <cell r="G3500" t="str">
            <v>Tidak</v>
          </cell>
          <cell r="H3500" t="str">
            <v>Tidak</v>
          </cell>
          <cell r="I3500" t="str">
            <v>Terorisme - SIPENDAR</v>
          </cell>
          <cell r="J3500">
            <v>185</v>
          </cell>
          <cell r="K3500">
            <v>36</v>
          </cell>
          <cell r="L3500" t="str">
            <v>Terorisme</v>
          </cell>
          <cell r="M3500" t="str">
            <v xml:space="preserve">Kas Kanpus                              </v>
          </cell>
          <cell r="N3500" t="str">
            <v xml:space="preserve">Kas Kanpus                              </v>
          </cell>
          <cell r="O3500" t="str">
            <v xml:space="preserve">KAS KANPUS                              </v>
          </cell>
          <cell r="P3500" t="str">
            <v>Tidak</v>
          </cell>
          <cell r="Q3500" t="str">
            <v>Tidak</v>
          </cell>
          <cell r="R3500" t="str">
            <v>Done</v>
          </cell>
          <cell r="S3500" t="str">
            <v>Approved</v>
          </cell>
          <cell r="T3500" t="str">
            <v>90171841 - Rifqi Aziz</v>
          </cell>
          <cell r="U3500" t="str">
            <v>"-"</v>
          </cell>
        </row>
        <row r="3501">
          <cell r="A3501">
            <v>46265</v>
          </cell>
          <cell r="B3501" t="str">
            <v xml:space="preserve">HERU KURNIAWAN                          </v>
          </cell>
          <cell r="C3501" t="str">
            <v>HALK804</v>
          </cell>
          <cell r="D3501">
            <v>110901014025502</v>
          </cell>
          <cell r="E3501" t="str">
            <v>SEDANG</v>
          </cell>
          <cell r="F3501" t="str">
            <v>Tidak</v>
          </cell>
          <cell r="G3501" t="str">
            <v>Tidak</v>
          </cell>
          <cell r="H3501" t="str">
            <v>Tidak</v>
          </cell>
          <cell r="I3501" t="str">
            <v>Bandar Judol Depo</v>
          </cell>
          <cell r="J3501">
            <v>50</v>
          </cell>
          <cell r="K3501" t="str">
            <v>86,74,87</v>
          </cell>
          <cell r="L3501" t="str">
            <v>Judi Online</v>
          </cell>
          <cell r="M3501" t="str">
            <v xml:space="preserve">Kas Kanpus                              </v>
          </cell>
          <cell r="N3501" t="str">
            <v xml:space="preserve">Kas Kanpus                              </v>
          </cell>
          <cell r="O3501" t="str">
            <v xml:space="preserve">KAS KANPUS                              </v>
          </cell>
          <cell r="P3501" t="str">
            <v>Ya</v>
          </cell>
          <cell r="Q3501" t="str">
            <v>Ya</v>
          </cell>
          <cell r="R3501" t="str">
            <v>Done</v>
          </cell>
          <cell r="S3501" t="str">
            <v>Approved</v>
          </cell>
          <cell r="T3501" t="str">
            <v>00336949 - Mochammad Al Farabi</v>
          </cell>
          <cell r="U3501" t="str">
            <v>"-"</v>
          </cell>
        </row>
        <row r="3502">
          <cell r="A3502">
            <v>46265</v>
          </cell>
          <cell r="B3502" t="str">
            <v xml:space="preserve">HAEROEN                                 </v>
          </cell>
          <cell r="C3502" t="str">
            <v>HAN1335</v>
          </cell>
          <cell r="D3502">
            <v>210801000509567</v>
          </cell>
          <cell r="E3502" t="str">
            <v>SEDANG</v>
          </cell>
          <cell r="F3502" t="str">
            <v>Tidak</v>
          </cell>
          <cell r="G3502" t="str">
            <v>Tidak</v>
          </cell>
          <cell r="H3502" t="str">
            <v>Ya</v>
          </cell>
          <cell r="I3502" t="str">
            <v>Judi Online</v>
          </cell>
          <cell r="J3502">
            <v>50</v>
          </cell>
          <cell r="K3502" t="str">
            <v>73,76,34,74,6</v>
          </cell>
          <cell r="L3502" t="str">
            <v>Judi Online</v>
          </cell>
          <cell r="M3502" t="str">
            <v xml:space="preserve">Kas Kanpus                              </v>
          </cell>
          <cell r="N3502" t="str">
            <v xml:space="preserve">Kas Kanpus                              </v>
          </cell>
          <cell r="O3502" t="str">
            <v xml:space="preserve">KAS KANPUS                              </v>
          </cell>
          <cell r="P3502" t="str">
            <v>Ya</v>
          </cell>
          <cell r="Q3502" t="str">
            <v>Ya</v>
          </cell>
          <cell r="R3502" t="str">
            <v>Done</v>
          </cell>
          <cell r="S3502" t="str">
            <v>Approved</v>
          </cell>
          <cell r="T3502" t="str">
            <v>00336949 - Mochammad Al Farabi</v>
          </cell>
          <cell r="U3502" t="str">
            <v>"-"</v>
          </cell>
        </row>
        <row r="3503">
          <cell r="A3503">
            <v>46265</v>
          </cell>
          <cell r="B3503" t="str">
            <v xml:space="preserve">HAEROEN                                 </v>
          </cell>
          <cell r="C3503" t="str">
            <v>HAN1335</v>
          </cell>
          <cell r="D3503">
            <v>210801000509567</v>
          </cell>
          <cell r="E3503" t="str">
            <v>SEDANG</v>
          </cell>
          <cell r="F3503" t="str">
            <v>Tidak</v>
          </cell>
          <cell r="G3503" t="str">
            <v>Tidak</v>
          </cell>
          <cell r="H3503" t="str">
            <v>Ya</v>
          </cell>
          <cell r="I3503" t="str">
            <v>Bandar Judol Depo</v>
          </cell>
          <cell r="J3503">
            <v>50</v>
          </cell>
          <cell r="K3503" t="str">
            <v>86,74,87</v>
          </cell>
          <cell r="L3503" t="str">
            <v>Judi Online</v>
          </cell>
          <cell r="M3503" t="str">
            <v xml:space="preserve">Kas Kanpus                              </v>
          </cell>
          <cell r="N3503" t="str">
            <v xml:space="preserve">Kas Kanpus                              </v>
          </cell>
          <cell r="O3503" t="str">
            <v xml:space="preserve">KAS KANPUS                              </v>
          </cell>
          <cell r="P3503" t="str">
            <v>Ya</v>
          </cell>
          <cell r="Q3503" t="str">
            <v>Ya</v>
          </cell>
          <cell r="R3503" t="str">
            <v>Done</v>
          </cell>
          <cell r="S3503" t="str">
            <v>Approved</v>
          </cell>
          <cell r="T3503" t="str">
            <v>90185537 - Moh.Khoerul Fajar Ar</v>
          </cell>
          <cell r="U3503" t="str">
            <v>"-"</v>
          </cell>
        </row>
        <row r="3504">
          <cell r="A3504">
            <v>46265</v>
          </cell>
          <cell r="B3504" t="str">
            <v xml:space="preserve">HARLIANSYAH                             </v>
          </cell>
          <cell r="C3504" t="str">
            <v>HAOK265</v>
          </cell>
          <cell r="D3504">
            <v>63301050061506</v>
          </cell>
          <cell r="E3504" t="str">
            <v>SEDANG</v>
          </cell>
          <cell r="F3504" t="str">
            <v>Tidak</v>
          </cell>
          <cell r="G3504" t="str">
            <v>Tidak</v>
          </cell>
          <cell r="H3504" t="str">
            <v>Tidak</v>
          </cell>
          <cell r="I3504" t="str">
            <v>Bandar Judol Withdrawal</v>
          </cell>
          <cell r="J3504">
            <v>50</v>
          </cell>
          <cell r="K3504" t="str">
            <v>86,88,87</v>
          </cell>
          <cell r="L3504" t="str">
            <v>Judi Online</v>
          </cell>
          <cell r="M3504" t="str">
            <v xml:space="preserve">Kas Kanpus                              </v>
          </cell>
          <cell r="N3504" t="str">
            <v xml:space="preserve">Kas Kanpus                              </v>
          </cell>
          <cell r="O3504" t="str">
            <v xml:space="preserve">KAS KANPUS                              </v>
          </cell>
          <cell r="P3504" t="str">
            <v>Ya</v>
          </cell>
          <cell r="Q3504" t="str">
            <v>Ya</v>
          </cell>
          <cell r="R3504" t="str">
            <v>Done</v>
          </cell>
          <cell r="S3504" t="str">
            <v>Approved</v>
          </cell>
          <cell r="T3504" t="str">
            <v>00336949 - Mochammad Al Farabi</v>
          </cell>
          <cell r="U3504" t="str">
            <v>"-"</v>
          </cell>
        </row>
        <row r="3505">
          <cell r="A3505">
            <v>46265</v>
          </cell>
          <cell r="B3505" t="str">
            <v xml:space="preserve">HENDRI                                  </v>
          </cell>
          <cell r="C3505" t="str">
            <v>HAOX842</v>
          </cell>
          <cell r="D3505">
            <v>713801008639506</v>
          </cell>
          <cell r="E3505" t="str">
            <v>SEDANG</v>
          </cell>
          <cell r="F3505" t="str">
            <v>Tidak</v>
          </cell>
          <cell r="G3505" t="str">
            <v>Tidak</v>
          </cell>
          <cell r="H3505" t="str">
            <v>Tidak</v>
          </cell>
          <cell r="I3505" t="str">
            <v>Bandar Judol Depo</v>
          </cell>
          <cell r="J3505">
            <v>50</v>
          </cell>
          <cell r="K3505" t="str">
            <v>86,74,87</v>
          </cell>
          <cell r="L3505" t="str">
            <v>Judi Online</v>
          </cell>
          <cell r="M3505" t="str">
            <v xml:space="preserve">Kas Kanpus                              </v>
          </cell>
          <cell r="N3505" t="str">
            <v xml:space="preserve">Kas Kanpus                              </v>
          </cell>
          <cell r="O3505" t="str">
            <v xml:space="preserve">KAS KANPUS                              </v>
          </cell>
          <cell r="P3505" t="str">
            <v>Ya</v>
          </cell>
          <cell r="Q3505" t="str">
            <v>Tidak</v>
          </cell>
          <cell r="R3505" t="str">
            <v>Done</v>
          </cell>
          <cell r="S3505" t="str">
            <v>Approved</v>
          </cell>
          <cell r="T3505" t="str">
            <v>90185538 - Muhammad Fahikal Auz</v>
          </cell>
          <cell r="U3505" t="str">
            <v>"-"</v>
          </cell>
        </row>
        <row r="3506">
          <cell r="A3506">
            <v>46265</v>
          </cell>
          <cell r="B3506" t="str">
            <v xml:space="preserve">HERRI                                   </v>
          </cell>
          <cell r="C3506" t="str">
            <v>HAQI468</v>
          </cell>
          <cell r="D3506">
            <v>118001019059504</v>
          </cell>
          <cell r="E3506" t="str">
            <v>SEDANG</v>
          </cell>
          <cell r="F3506" t="str">
            <v>Tidak</v>
          </cell>
          <cell r="G3506" t="str">
            <v>Tidak</v>
          </cell>
          <cell r="H3506" t="str">
            <v>Tidak</v>
          </cell>
          <cell r="I3506" t="str">
            <v>Bandar Judol Withdrawal</v>
          </cell>
          <cell r="J3506">
            <v>50</v>
          </cell>
          <cell r="K3506" t="str">
            <v>86,88,87</v>
          </cell>
          <cell r="L3506" t="str">
            <v>Judi Online</v>
          </cell>
          <cell r="M3506" t="str">
            <v xml:space="preserve">Kas Kanpus                              </v>
          </cell>
          <cell r="N3506" t="str">
            <v xml:space="preserve">Kas Kanpus                              </v>
          </cell>
          <cell r="O3506" t="str">
            <v xml:space="preserve">KAS KANPUS                              </v>
          </cell>
          <cell r="P3506" t="str">
            <v>Ya</v>
          </cell>
          <cell r="Q3506" t="str">
            <v>Ya</v>
          </cell>
          <cell r="R3506" t="str">
            <v>Done</v>
          </cell>
          <cell r="S3506" t="str">
            <v>Approved</v>
          </cell>
          <cell r="T3506" t="str">
            <v>90185538 - Muhammad Fahikal Auz</v>
          </cell>
          <cell r="U3506" t="str">
            <v>"-"</v>
          </cell>
        </row>
        <row r="3507">
          <cell r="A3507">
            <v>46265</v>
          </cell>
          <cell r="B3507" t="str">
            <v xml:space="preserve">HEPRAN AMADA                            </v>
          </cell>
          <cell r="C3507" t="str">
            <v>HARH343</v>
          </cell>
          <cell r="D3507">
            <v>44501001949566</v>
          </cell>
          <cell r="E3507" t="str">
            <v>SEDANG</v>
          </cell>
          <cell r="F3507" t="str">
            <v>Tidak</v>
          </cell>
          <cell r="G3507" t="str">
            <v>Tidak</v>
          </cell>
          <cell r="H3507" t="str">
            <v>Tidak</v>
          </cell>
          <cell r="I3507" t="str">
            <v>Bandar Judol Depo</v>
          </cell>
          <cell r="J3507">
            <v>50</v>
          </cell>
          <cell r="K3507" t="str">
            <v>86,74,87</v>
          </cell>
          <cell r="L3507" t="str">
            <v>Judi Online</v>
          </cell>
          <cell r="M3507" t="str">
            <v xml:space="preserve">Kas Kanpus                              </v>
          </cell>
          <cell r="N3507" t="str">
            <v xml:space="preserve">Kas Kanpus                              </v>
          </cell>
          <cell r="O3507" t="str">
            <v xml:space="preserve">KAS KANPUS                              </v>
          </cell>
          <cell r="P3507" t="str">
            <v>Ya</v>
          </cell>
          <cell r="Q3507" t="str">
            <v>Ya</v>
          </cell>
          <cell r="R3507" t="str">
            <v>Done</v>
          </cell>
          <cell r="S3507" t="str">
            <v>Approved</v>
          </cell>
          <cell r="T3507" t="str">
            <v>90170665 - Mutiara Ayuningtyas</v>
          </cell>
          <cell r="U3507" t="str">
            <v>"-"</v>
          </cell>
        </row>
        <row r="3508">
          <cell r="A3508">
            <v>46265</v>
          </cell>
          <cell r="B3508" t="str">
            <v xml:space="preserve">HASTRI MARTINI                          </v>
          </cell>
          <cell r="C3508" t="str">
            <v>HAUY610</v>
          </cell>
          <cell r="D3508">
            <v>714401011210500</v>
          </cell>
          <cell r="F3508" t="str">
            <v>Tidak</v>
          </cell>
          <cell r="G3508" t="str">
            <v>Tidak</v>
          </cell>
          <cell r="H3508" t="str">
            <v>Tidak</v>
          </cell>
          <cell r="I3508" t="str">
            <v>Bandar Judol Depo</v>
          </cell>
          <cell r="J3508">
            <v>35</v>
          </cell>
          <cell r="K3508" t="str">
            <v>86,74,87</v>
          </cell>
          <cell r="L3508" t="str">
            <v>Judi Online</v>
          </cell>
          <cell r="M3508" t="str">
            <v xml:space="preserve">Kas Kanpus                              </v>
          </cell>
          <cell r="N3508" t="str">
            <v xml:space="preserve">Kas Kanpus                              </v>
          </cell>
          <cell r="O3508" t="str">
            <v xml:space="preserve">KAS KANPUS                              </v>
          </cell>
          <cell r="P3508" t="str">
            <v>Ya</v>
          </cell>
          <cell r="Q3508" t="str">
            <v>Ya</v>
          </cell>
          <cell r="R3508" t="str">
            <v>Done</v>
          </cell>
          <cell r="S3508" t="str">
            <v>Approved</v>
          </cell>
          <cell r="T3508" t="str">
            <v>00336949 - Mochammad Al Farabi</v>
          </cell>
          <cell r="U3508" t="str">
            <v>"-"</v>
          </cell>
        </row>
        <row r="3509">
          <cell r="A3509">
            <v>46265</v>
          </cell>
          <cell r="B3509" t="str">
            <v xml:space="preserve">HENRI SETIAWAN                          </v>
          </cell>
          <cell r="C3509" t="str">
            <v>HAVD486</v>
          </cell>
          <cell r="D3509">
            <v>214801011924532</v>
          </cell>
          <cell r="F3509" t="str">
            <v>Tidak</v>
          </cell>
          <cell r="G3509" t="str">
            <v>Tidak</v>
          </cell>
          <cell r="H3509" t="str">
            <v>Tidak</v>
          </cell>
          <cell r="I3509" t="str">
            <v>Bandar Judol Withdrawal</v>
          </cell>
          <cell r="J3509">
            <v>35</v>
          </cell>
          <cell r="K3509" t="str">
            <v>86,88,87</v>
          </cell>
          <cell r="L3509" t="str">
            <v>Judi Online</v>
          </cell>
          <cell r="M3509" t="str">
            <v xml:space="preserve">Kas Kanpus                              </v>
          </cell>
          <cell r="N3509" t="str">
            <v xml:space="preserve">Kas Kanpus                              </v>
          </cell>
          <cell r="O3509" t="str">
            <v xml:space="preserve">KAS KANPUS                              </v>
          </cell>
          <cell r="P3509" t="str">
            <v>Tidak</v>
          </cell>
          <cell r="Q3509" t="str">
            <v>Ya</v>
          </cell>
          <cell r="R3509" t="str">
            <v>Done</v>
          </cell>
          <cell r="S3509" t="str">
            <v>Approved</v>
          </cell>
          <cell r="T3509" t="str">
            <v>90186790 - Muhammad Alfin Farha</v>
          </cell>
          <cell r="U3509" t="str">
            <v>"-"</v>
          </cell>
        </row>
        <row r="3510">
          <cell r="A3510">
            <v>46265</v>
          </cell>
          <cell r="B3510" t="str">
            <v xml:space="preserve">HERDIYANTO                              </v>
          </cell>
          <cell r="C3510" t="str">
            <v>HAY4352</v>
          </cell>
          <cell r="D3510">
            <v>207701011562507</v>
          </cell>
          <cell r="E3510" t="str">
            <v>SEDANG</v>
          </cell>
          <cell r="F3510" t="str">
            <v>Tidak</v>
          </cell>
          <cell r="G3510" t="str">
            <v>Tidak</v>
          </cell>
          <cell r="H3510" t="str">
            <v>Tidak</v>
          </cell>
          <cell r="I3510" t="str">
            <v>Narkotika - Area Lapas</v>
          </cell>
          <cell r="J3510">
            <v>50</v>
          </cell>
          <cell r="K3510">
            <v>48</v>
          </cell>
          <cell r="L3510" t="str">
            <v>Narkotika</v>
          </cell>
          <cell r="M3510" t="str">
            <v>KCP KEMILING LAMPUNG</v>
          </cell>
          <cell r="N3510" t="str">
            <v>KC Tanjung Karang</v>
          </cell>
          <cell r="O3510" t="str">
            <v>KANWIL BANDAR LAMPUNG</v>
          </cell>
          <cell r="P3510" t="str">
            <v>Tidak</v>
          </cell>
          <cell r="Q3510" t="str">
            <v>Tidak</v>
          </cell>
          <cell r="R3510" t="str">
            <v>Done</v>
          </cell>
          <cell r="S3510" t="str">
            <v>Approved</v>
          </cell>
          <cell r="T3510" t="str">
            <v>00394521 - Muhammad Hibbanduta</v>
          </cell>
          <cell r="U3510" t="str">
            <v>"-"</v>
          </cell>
        </row>
        <row r="3511">
          <cell r="A3511">
            <v>46265</v>
          </cell>
          <cell r="B3511" t="str">
            <v xml:space="preserve">HIJRA PUTRA UTAMA                       </v>
          </cell>
          <cell r="C3511" t="str">
            <v>HAYH866</v>
          </cell>
          <cell r="D3511">
            <v>574901000041564</v>
          </cell>
          <cell r="F3511" t="str">
            <v>Tidak</v>
          </cell>
          <cell r="G3511" t="str">
            <v>Tidak</v>
          </cell>
          <cell r="H3511" t="str">
            <v>Tidak</v>
          </cell>
          <cell r="I3511" t="str">
            <v>Bandar Judol Withdrawal</v>
          </cell>
          <cell r="J3511">
            <v>35</v>
          </cell>
          <cell r="K3511" t="str">
            <v>86,88,87</v>
          </cell>
          <cell r="L3511" t="str">
            <v>Judi Online</v>
          </cell>
          <cell r="M3511" t="str">
            <v xml:space="preserve">Kas Kanpus                              </v>
          </cell>
          <cell r="N3511" t="str">
            <v xml:space="preserve">Kas Kanpus                              </v>
          </cell>
          <cell r="O3511" t="str">
            <v xml:space="preserve">KAS KANPUS                              </v>
          </cell>
          <cell r="P3511" t="str">
            <v>Tidak</v>
          </cell>
          <cell r="Q3511" t="str">
            <v>Ya</v>
          </cell>
          <cell r="R3511" t="str">
            <v>Done</v>
          </cell>
          <cell r="S3511" t="str">
            <v>Approved</v>
          </cell>
          <cell r="T3511" t="str">
            <v>90171841 - Rifqi Aziz</v>
          </cell>
          <cell r="U3511" t="str">
            <v>"-"</v>
          </cell>
        </row>
        <row r="3512">
          <cell r="A3512">
            <v>46265</v>
          </cell>
          <cell r="B3512" t="str">
            <v xml:space="preserve">HAERUL ULFA                             </v>
          </cell>
          <cell r="C3512" t="str">
            <v>HAYL861</v>
          </cell>
          <cell r="D3512">
            <v>112901036796509</v>
          </cell>
          <cell r="F3512" t="str">
            <v>Tidak</v>
          </cell>
          <cell r="G3512" t="str">
            <v>Tidak</v>
          </cell>
          <cell r="H3512" t="str">
            <v>Tidak</v>
          </cell>
          <cell r="I3512" t="str">
            <v>Bandar Judol Withdrawal</v>
          </cell>
          <cell r="J3512">
            <v>35</v>
          </cell>
          <cell r="K3512" t="str">
            <v>86,88,87</v>
          </cell>
          <cell r="L3512" t="str">
            <v>Judi Online</v>
          </cell>
          <cell r="M3512" t="str">
            <v xml:space="preserve">Kas Kanpus                              </v>
          </cell>
          <cell r="N3512" t="str">
            <v xml:space="preserve">Kas Kanpus                              </v>
          </cell>
          <cell r="O3512" t="str">
            <v xml:space="preserve">KAS KANPUS                              </v>
          </cell>
          <cell r="P3512" t="str">
            <v>Ya</v>
          </cell>
          <cell r="Q3512" t="str">
            <v>Ya</v>
          </cell>
          <cell r="R3512" t="str">
            <v>Done</v>
          </cell>
          <cell r="S3512" t="str">
            <v>Approved</v>
          </cell>
          <cell r="T3512" t="str">
            <v>00336949 - Mochammad Al Farabi</v>
          </cell>
          <cell r="U3512" t="str">
            <v>"-"</v>
          </cell>
        </row>
        <row r="3513">
          <cell r="A3513">
            <v>46265</v>
          </cell>
          <cell r="B3513" t="str">
            <v xml:space="preserve">HAERIYAH                                </v>
          </cell>
          <cell r="C3513" t="str">
            <v>HAZR830</v>
          </cell>
          <cell r="D3513">
            <v>50901005405566</v>
          </cell>
          <cell r="F3513" t="str">
            <v>Tidak</v>
          </cell>
          <cell r="G3513" t="str">
            <v>Tidak</v>
          </cell>
          <cell r="H3513" t="str">
            <v>Tidak</v>
          </cell>
          <cell r="I3513" t="str">
            <v>Bandar Judol Withdrawal</v>
          </cell>
          <cell r="J3513">
            <v>35</v>
          </cell>
          <cell r="K3513" t="str">
            <v>86,88,87</v>
          </cell>
          <cell r="L3513" t="str">
            <v>Judi Online</v>
          </cell>
          <cell r="M3513" t="str">
            <v xml:space="preserve">Kas Kanpus                              </v>
          </cell>
          <cell r="N3513" t="str">
            <v xml:space="preserve">Kas Kanpus                              </v>
          </cell>
          <cell r="O3513" t="str">
            <v xml:space="preserve">KAS KANPUS                              </v>
          </cell>
          <cell r="P3513" t="str">
            <v>Ya</v>
          </cell>
          <cell r="Q3513" t="str">
            <v>Ya</v>
          </cell>
          <cell r="R3513" t="str">
            <v>Done</v>
          </cell>
          <cell r="S3513" t="str">
            <v>Approved</v>
          </cell>
          <cell r="T3513" t="str">
            <v>90150130 - Intan Aida Pratiwi</v>
          </cell>
          <cell r="U3513" t="str">
            <v>"-"</v>
          </cell>
        </row>
        <row r="3514">
          <cell r="A3514">
            <v>46265</v>
          </cell>
          <cell r="B3514" t="str">
            <v xml:space="preserve">GUSTIN NURSETYAGINA                     </v>
          </cell>
          <cell r="C3514" t="str">
            <v>GM26844</v>
          </cell>
          <cell r="D3514">
            <v>445401035656530</v>
          </cell>
          <cell r="E3514" t="str">
            <v>SEDANG</v>
          </cell>
          <cell r="F3514" t="str">
            <v>Tidak</v>
          </cell>
          <cell r="G3514" t="str">
            <v>Tidak</v>
          </cell>
          <cell r="H3514" t="str">
            <v>Tidak</v>
          </cell>
          <cell r="I3514" t="str">
            <v>Bandar Judol Depo</v>
          </cell>
          <cell r="J3514">
            <v>50</v>
          </cell>
          <cell r="K3514" t="str">
            <v>86,74,87</v>
          </cell>
          <cell r="L3514" t="str">
            <v>Judi Online</v>
          </cell>
          <cell r="M3514" t="str">
            <v xml:space="preserve">Kas Kanpus                              </v>
          </cell>
          <cell r="N3514" t="str">
            <v xml:space="preserve">Kas Kanpus                              </v>
          </cell>
          <cell r="O3514" t="str">
            <v xml:space="preserve">KAS KANPUS                              </v>
          </cell>
          <cell r="P3514" t="str">
            <v>Tidak</v>
          </cell>
          <cell r="Q3514" t="str">
            <v>Tidak</v>
          </cell>
          <cell r="R3514" t="str">
            <v>Done</v>
          </cell>
          <cell r="S3514" t="str">
            <v>Approved</v>
          </cell>
          <cell r="T3514" t="str">
            <v>90170665 - Mutiara Ayuningtyas</v>
          </cell>
          <cell r="U3514" t="str">
            <v>"-"</v>
          </cell>
        </row>
        <row r="3515">
          <cell r="A3515">
            <v>46265</v>
          </cell>
          <cell r="B3515" t="str">
            <v xml:space="preserve">GUNAWAN AHMAD RIDWAN                    </v>
          </cell>
          <cell r="C3515" t="str">
            <v>GQ99489</v>
          </cell>
          <cell r="D3515">
            <v>528801035988535</v>
          </cell>
          <cell r="E3515" t="str">
            <v>SEDANG</v>
          </cell>
          <cell r="F3515" t="str">
            <v>Tidak</v>
          </cell>
          <cell r="G3515" t="str">
            <v>Tidak</v>
          </cell>
          <cell r="H3515" t="str">
            <v>Tidak</v>
          </cell>
          <cell r="I3515" t="str">
            <v>Bandar Judol Withdrawal</v>
          </cell>
          <cell r="J3515">
            <v>50</v>
          </cell>
          <cell r="K3515" t="str">
            <v>86,88,87</v>
          </cell>
          <cell r="L3515" t="str">
            <v>Judi Online</v>
          </cell>
          <cell r="M3515" t="str">
            <v xml:space="preserve">Kas Kanpus                              </v>
          </cell>
          <cell r="N3515" t="str">
            <v xml:space="preserve">Kas Kanpus                              </v>
          </cell>
          <cell r="O3515" t="str">
            <v xml:space="preserve">KAS KANPUS                              </v>
          </cell>
          <cell r="P3515" t="str">
            <v>Ya</v>
          </cell>
          <cell r="Q3515" t="str">
            <v>Ya</v>
          </cell>
          <cell r="R3515" t="str">
            <v>Done</v>
          </cell>
          <cell r="S3515" t="str">
            <v>Approved</v>
          </cell>
          <cell r="T3515" t="str">
            <v>90186790 - Muhammad Alfin Farha</v>
          </cell>
          <cell r="U3515" t="str">
            <v>"-"</v>
          </cell>
        </row>
        <row r="3516">
          <cell r="A3516">
            <v>46265</v>
          </cell>
          <cell r="B3516" t="str">
            <v xml:space="preserve">GUNAWAN                                 </v>
          </cell>
          <cell r="C3516" t="str">
            <v>GS50460</v>
          </cell>
          <cell r="D3516">
            <v>529401006876506</v>
          </cell>
          <cell r="F3516" t="str">
            <v>Tidak</v>
          </cell>
          <cell r="G3516" t="str">
            <v>Tidak</v>
          </cell>
          <cell r="H3516" t="str">
            <v>Tidak</v>
          </cell>
          <cell r="I3516" t="str">
            <v>Bandar Judol Withdrawal</v>
          </cell>
          <cell r="J3516">
            <v>35</v>
          </cell>
          <cell r="K3516" t="str">
            <v>86,88,87</v>
          </cell>
          <cell r="L3516" t="str">
            <v>Judi Online</v>
          </cell>
          <cell r="M3516" t="str">
            <v xml:space="preserve">Kas Kanpus                              </v>
          </cell>
          <cell r="N3516" t="str">
            <v xml:space="preserve">Kas Kanpus                              </v>
          </cell>
          <cell r="O3516" t="str">
            <v xml:space="preserve">KAS KANPUS                              </v>
          </cell>
          <cell r="P3516" t="str">
            <v>Ya</v>
          </cell>
          <cell r="Q3516" t="str">
            <v>Ya</v>
          </cell>
          <cell r="R3516" t="str">
            <v>Done</v>
          </cell>
          <cell r="S3516" t="str">
            <v>Approved</v>
          </cell>
          <cell r="T3516" t="str">
            <v>90185538 - Muhammad Fahikal Auz</v>
          </cell>
          <cell r="U3516" t="str">
            <v>"-"</v>
          </cell>
        </row>
        <row r="3517">
          <cell r="A3517">
            <v>46265</v>
          </cell>
          <cell r="B3517" t="str">
            <v xml:space="preserve">GILANG ILHAM BINTANG                    </v>
          </cell>
          <cell r="C3517" t="str">
            <v>GS58401</v>
          </cell>
          <cell r="D3517">
            <v>82601005956507</v>
          </cell>
          <cell r="F3517" t="str">
            <v>Tidak</v>
          </cell>
          <cell r="G3517" t="str">
            <v>Tidak</v>
          </cell>
          <cell r="H3517" t="str">
            <v>Tidak</v>
          </cell>
          <cell r="I3517" t="str">
            <v>Bandar Judol Withdrawal</v>
          </cell>
          <cell r="J3517">
            <v>35</v>
          </cell>
          <cell r="K3517" t="str">
            <v>86,88,87</v>
          </cell>
          <cell r="L3517" t="str">
            <v>Judi Online</v>
          </cell>
          <cell r="M3517" t="str">
            <v xml:space="preserve">Kas Kanpus                              </v>
          </cell>
          <cell r="N3517" t="str">
            <v xml:space="preserve">Kas Kanpus                              </v>
          </cell>
          <cell r="O3517" t="str">
            <v xml:space="preserve">KAS KANPUS                              </v>
          </cell>
          <cell r="P3517" t="str">
            <v>Ya</v>
          </cell>
          <cell r="Q3517" t="str">
            <v>Ya</v>
          </cell>
          <cell r="R3517" t="str">
            <v>Done</v>
          </cell>
          <cell r="S3517" t="str">
            <v>Approved</v>
          </cell>
          <cell r="T3517" t="str">
            <v>90150130 - Intan Aida Pratiwi</v>
          </cell>
          <cell r="U3517" t="str">
            <v>"-"</v>
          </cell>
        </row>
        <row r="3518">
          <cell r="A3518">
            <v>46265</v>
          </cell>
          <cell r="B3518" t="str">
            <v xml:space="preserve">GUNAWAN                                 </v>
          </cell>
          <cell r="C3518" t="str">
            <v>GS72057</v>
          </cell>
          <cell r="D3518">
            <v>33601003838560</v>
          </cell>
          <cell r="F3518" t="str">
            <v>Tidak</v>
          </cell>
          <cell r="G3518" t="str">
            <v>Tidak</v>
          </cell>
          <cell r="H3518" t="str">
            <v>Tidak</v>
          </cell>
          <cell r="I3518" t="str">
            <v>Bandar Judol Withdrawal</v>
          </cell>
          <cell r="J3518">
            <v>35</v>
          </cell>
          <cell r="K3518" t="str">
            <v>86,88,87</v>
          </cell>
          <cell r="L3518" t="str">
            <v>Judi Online</v>
          </cell>
          <cell r="M3518" t="str">
            <v xml:space="preserve">Kas Kanpus                              </v>
          </cell>
          <cell r="N3518" t="str">
            <v xml:space="preserve">Kas Kanpus                              </v>
          </cell>
          <cell r="O3518" t="str">
            <v xml:space="preserve">KAS KANPUS                              </v>
          </cell>
          <cell r="P3518" t="str">
            <v>Ya</v>
          </cell>
          <cell r="Q3518" t="str">
            <v>Ya</v>
          </cell>
          <cell r="R3518" t="str">
            <v>Done</v>
          </cell>
          <cell r="S3518" t="str">
            <v>Approved</v>
          </cell>
          <cell r="T3518" t="str">
            <v>00394521 - Muhammad Hibbanduta</v>
          </cell>
          <cell r="U3518" t="str">
            <v>"-"</v>
          </cell>
        </row>
        <row r="3519">
          <cell r="A3519">
            <v>46265</v>
          </cell>
          <cell r="B3519" t="str">
            <v xml:space="preserve">GUGUN                                   </v>
          </cell>
          <cell r="C3519" t="str">
            <v>GS81503</v>
          </cell>
          <cell r="D3519">
            <v>82201000007569</v>
          </cell>
          <cell r="F3519" t="str">
            <v>Tidak</v>
          </cell>
          <cell r="G3519" t="str">
            <v>Tidak</v>
          </cell>
          <cell r="H3519" t="str">
            <v>Tidak</v>
          </cell>
          <cell r="I3519" t="str">
            <v>Judi Online</v>
          </cell>
          <cell r="J3519">
            <v>35</v>
          </cell>
          <cell r="K3519" t="str">
            <v>73,76,34,74,6</v>
          </cell>
          <cell r="L3519" t="str">
            <v>Judi Online</v>
          </cell>
          <cell r="M3519" t="str">
            <v xml:space="preserve">Kas Kanpus                              </v>
          </cell>
          <cell r="N3519" t="str">
            <v xml:space="preserve">Kas Kanpus                              </v>
          </cell>
          <cell r="O3519" t="str">
            <v xml:space="preserve">KAS KANPUS                              </v>
          </cell>
          <cell r="P3519" t="str">
            <v>Ya</v>
          </cell>
          <cell r="Q3519" t="str">
            <v>Ya</v>
          </cell>
          <cell r="R3519" t="str">
            <v>Done</v>
          </cell>
          <cell r="S3519" t="str">
            <v>Approved</v>
          </cell>
          <cell r="T3519" t="str">
            <v>90171841 - Rifqi Aziz</v>
          </cell>
          <cell r="U3519" t="str">
            <v>"-"</v>
          </cell>
        </row>
        <row r="3520">
          <cell r="A3520">
            <v>46265</v>
          </cell>
          <cell r="B3520" t="str">
            <v xml:space="preserve">GUGUN                                   </v>
          </cell>
          <cell r="C3520" t="str">
            <v>GS81503</v>
          </cell>
          <cell r="D3520">
            <v>82201000007569</v>
          </cell>
          <cell r="F3520" t="str">
            <v>Tidak</v>
          </cell>
          <cell r="G3520" t="str">
            <v>Tidak</v>
          </cell>
          <cell r="H3520" t="str">
            <v>Tidak</v>
          </cell>
          <cell r="I3520" t="str">
            <v>Bandar Judol Depo</v>
          </cell>
          <cell r="J3520">
            <v>35</v>
          </cell>
          <cell r="K3520" t="str">
            <v>86,74,87</v>
          </cell>
          <cell r="L3520" t="str">
            <v>Judi Online</v>
          </cell>
          <cell r="M3520" t="str">
            <v xml:space="preserve">Kas Kanpus                              </v>
          </cell>
          <cell r="N3520" t="str">
            <v xml:space="preserve">Kas Kanpus                              </v>
          </cell>
          <cell r="O3520" t="str">
            <v xml:space="preserve">KAS KANPUS                              </v>
          </cell>
          <cell r="P3520" t="str">
            <v>Ya</v>
          </cell>
          <cell r="Q3520" t="str">
            <v>Ya</v>
          </cell>
          <cell r="R3520" t="str">
            <v>Done</v>
          </cell>
          <cell r="S3520" t="str">
            <v>Approved</v>
          </cell>
          <cell r="T3520" t="str">
            <v>90186790 - Muhammad Alfin Farha</v>
          </cell>
          <cell r="U3520" t="str">
            <v>"-"</v>
          </cell>
        </row>
        <row r="3521">
          <cell r="A3521">
            <v>46265</v>
          </cell>
          <cell r="B3521" t="str">
            <v xml:space="preserve">GAVRILA KIMI FAIRUZ SHAFWAN HASIBUAN    </v>
          </cell>
          <cell r="C3521" t="str">
            <v>GU12697</v>
          </cell>
          <cell r="D3521">
            <v>59101025885505</v>
          </cell>
          <cell r="F3521" t="str">
            <v>Tidak</v>
          </cell>
          <cell r="G3521" t="str">
            <v>Tidak</v>
          </cell>
          <cell r="H3521" t="str">
            <v>Tidak</v>
          </cell>
          <cell r="I3521" t="str">
            <v>Bandar Judol Depo</v>
          </cell>
          <cell r="J3521">
            <v>35</v>
          </cell>
          <cell r="K3521" t="str">
            <v>86,74,87</v>
          </cell>
          <cell r="L3521" t="str">
            <v>Judi Online</v>
          </cell>
          <cell r="M3521" t="str">
            <v xml:space="preserve">Kas Kanpus                              </v>
          </cell>
          <cell r="N3521" t="str">
            <v xml:space="preserve">Kas Kanpus                              </v>
          </cell>
          <cell r="O3521" t="str">
            <v xml:space="preserve">KAS KANPUS                              </v>
          </cell>
          <cell r="P3521" t="str">
            <v>Ya</v>
          </cell>
          <cell r="Q3521" t="str">
            <v>Ya</v>
          </cell>
          <cell r="R3521" t="str">
            <v>Done</v>
          </cell>
          <cell r="S3521" t="str">
            <v>Approved</v>
          </cell>
          <cell r="T3521" t="str">
            <v>90170665 - Mutiara Ayuningtyas</v>
          </cell>
          <cell r="U3521" t="str">
            <v>"-"</v>
          </cell>
        </row>
        <row r="3522">
          <cell r="A3522">
            <v>46265</v>
          </cell>
          <cell r="B3522" t="str">
            <v xml:space="preserve">GEDE ANGGA ADI SAPUTRA                  </v>
          </cell>
          <cell r="C3522" t="str">
            <v>GT97257</v>
          </cell>
          <cell r="D3522">
            <v>1701005656560</v>
          </cell>
          <cell r="F3522" t="str">
            <v>Tidak</v>
          </cell>
          <cell r="G3522" t="str">
            <v>Tidak</v>
          </cell>
          <cell r="H3522" t="str">
            <v>Tidak</v>
          </cell>
          <cell r="I3522" t="str">
            <v>Bandar Judol Depo</v>
          </cell>
          <cell r="J3522">
            <v>35</v>
          </cell>
          <cell r="K3522" t="str">
            <v>86,74,87</v>
          </cell>
          <cell r="L3522" t="str">
            <v>Judi Online</v>
          </cell>
          <cell r="M3522" t="str">
            <v xml:space="preserve">Kas Kanpus                              </v>
          </cell>
          <cell r="N3522" t="str">
            <v xml:space="preserve">Kas Kanpus                              </v>
          </cell>
          <cell r="O3522" t="str">
            <v xml:space="preserve">KAS KANPUS                              </v>
          </cell>
          <cell r="P3522" t="str">
            <v>Ya</v>
          </cell>
          <cell r="Q3522" t="str">
            <v>Ya</v>
          </cell>
          <cell r="R3522" t="str">
            <v>Done</v>
          </cell>
          <cell r="S3522" t="str">
            <v>Approved</v>
          </cell>
          <cell r="T3522" t="str">
            <v>90185538 - Muhammad Fahikal Auz</v>
          </cell>
          <cell r="U3522" t="str">
            <v>"-"</v>
          </cell>
        </row>
        <row r="3523">
          <cell r="A3523">
            <v>46265</v>
          </cell>
          <cell r="B3523" t="str">
            <v xml:space="preserve">HERYANTO CANIAGO                        </v>
          </cell>
          <cell r="C3523" t="str">
            <v>HAB3421</v>
          </cell>
          <cell r="D3523">
            <v>353501024311536</v>
          </cell>
          <cell r="E3523" t="str">
            <v>TINGGI</v>
          </cell>
          <cell r="F3523" t="str">
            <v>Tidak</v>
          </cell>
          <cell r="G3523" t="str">
            <v>Tidak</v>
          </cell>
          <cell r="H3523" t="str">
            <v>Tidak</v>
          </cell>
          <cell r="I3523" t="str">
            <v>Terorisme - SIPENDAR</v>
          </cell>
          <cell r="J3523">
            <v>185</v>
          </cell>
          <cell r="K3523">
            <v>36</v>
          </cell>
          <cell r="L3523" t="str">
            <v>Terorisme</v>
          </cell>
          <cell r="M3523" t="str">
            <v xml:space="preserve">Kas Kanpus                              </v>
          </cell>
          <cell r="N3523" t="str">
            <v xml:space="preserve">Kas Kanpus                              </v>
          </cell>
          <cell r="O3523" t="str">
            <v xml:space="preserve">KAS KANPUS                              </v>
          </cell>
          <cell r="P3523" t="str">
            <v>Tidak</v>
          </cell>
          <cell r="Q3523" t="str">
            <v>Tidak</v>
          </cell>
          <cell r="R3523" t="str">
            <v>Done</v>
          </cell>
          <cell r="S3523" t="str">
            <v>Approved</v>
          </cell>
          <cell r="T3523" t="str">
            <v>90185537 - Moh.Khoerul Fajar Ar</v>
          </cell>
          <cell r="U3523" t="str">
            <v>"-"</v>
          </cell>
        </row>
        <row r="3524">
          <cell r="A3524">
            <v>46265</v>
          </cell>
          <cell r="B3524" t="str">
            <v xml:space="preserve">HUSEP SHOFY TRI CAHYA SARTONO           </v>
          </cell>
          <cell r="C3524" t="str">
            <v>HACK609</v>
          </cell>
          <cell r="D3524">
            <v>43801003972564</v>
          </cell>
          <cell r="E3524" t="str">
            <v>SEDANG</v>
          </cell>
          <cell r="F3524" t="str">
            <v>Tidak</v>
          </cell>
          <cell r="G3524" t="str">
            <v>Tidak</v>
          </cell>
          <cell r="H3524" t="str">
            <v>Tidak</v>
          </cell>
          <cell r="I3524" t="str">
            <v>Bandar Judol Withdrawal</v>
          </cell>
          <cell r="J3524">
            <v>50</v>
          </cell>
          <cell r="K3524" t="str">
            <v>86,88,87</v>
          </cell>
          <cell r="L3524" t="str">
            <v>Judi Online</v>
          </cell>
          <cell r="M3524" t="str">
            <v xml:space="preserve">Kas Kanpus                              </v>
          </cell>
          <cell r="N3524" t="str">
            <v xml:space="preserve">Kas Kanpus                              </v>
          </cell>
          <cell r="O3524" t="str">
            <v xml:space="preserve">KAS KANPUS                              </v>
          </cell>
          <cell r="P3524" t="str">
            <v>Ya</v>
          </cell>
          <cell r="Q3524" t="str">
            <v>Ya</v>
          </cell>
          <cell r="R3524" t="str">
            <v>Done</v>
          </cell>
          <cell r="S3524" t="str">
            <v>Approved</v>
          </cell>
          <cell r="T3524" t="str">
            <v>90171841 - Rifqi Aziz</v>
          </cell>
          <cell r="U3524" t="str">
            <v>"-"</v>
          </cell>
        </row>
        <row r="3525">
          <cell r="A3525">
            <v>46265</v>
          </cell>
          <cell r="B3525" t="str">
            <v xml:space="preserve">GUNAWAN EFENDI NST                      </v>
          </cell>
          <cell r="C3525" t="str">
            <v>GT97426</v>
          </cell>
          <cell r="D3525">
            <v>26601122485504</v>
          </cell>
          <cell r="F3525" t="str">
            <v>Tidak</v>
          </cell>
          <cell r="G3525" t="str">
            <v>Tidak</v>
          </cell>
          <cell r="H3525" t="str">
            <v>Tidak</v>
          </cell>
          <cell r="I3525" t="str">
            <v>Bandar Judol Depo</v>
          </cell>
          <cell r="J3525">
            <v>35</v>
          </cell>
          <cell r="K3525" t="str">
            <v>86,74,87</v>
          </cell>
          <cell r="L3525" t="str">
            <v>Judi Online</v>
          </cell>
          <cell r="M3525" t="str">
            <v xml:space="preserve">Kas Kanpus                              </v>
          </cell>
          <cell r="N3525" t="str">
            <v xml:space="preserve">Kas Kanpus                              </v>
          </cell>
          <cell r="O3525" t="str">
            <v xml:space="preserve">KAS KANPUS                              </v>
          </cell>
          <cell r="P3525" t="str">
            <v>Ya</v>
          </cell>
          <cell r="Q3525" t="str">
            <v>Ya</v>
          </cell>
          <cell r="R3525" t="str">
            <v>Done</v>
          </cell>
          <cell r="S3525" t="str">
            <v>Approved</v>
          </cell>
          <cell r="T3525" t="str">
            <v>00394521 - Muhammad Hibbanduta</v>
          </cell>
          <cell r="U3525" t="str">
            <v>"-"</v>
          </cell>
        </row>
        <row r="3526">
          <cell r="A3526">
            <v>46265</v>
          </cell>
          <cell r="B3526" t="str">
            <v xml:space="preserve">GHANY NUR ALIF                          </v>
          </cell>
          <cell r="C3526" t="str">
            <v>GT99974</v>
          </cell>
          <cell r="D3526">
            <v>204001010292500</v>
          </cell>
          <cell r="F3526" t="str">
            <v>Tidak</v>
          </cell>
          <cell r="G3526" t="str">
            <v>Tidak</v>
          </cell>
          <cell r="H3526" t="str">
            <v>Tidak</v>
          </cell>
          <cell r="I3526" t="str">
            <v>Bandar Judol Withdrawal</v>
          </cell>
          <cell r="J3526">
            <v>35</v>
          </cell>
          <cell r="K3526" t="str">
            <v>86,88,87</v>
          </cell>
          <cell r="L3526" t="str">
            <v>Judi Online</v>
          </cell>
          <cell r="M3526" t="str">
            <v xml:space="preserve">Kas Kanpus                              </v>
          </cell>
          <cell r="N3526" t="str">
            <v xml:space="preserve">Kas Kanpus                              </v>
          </cell>
          <cell r="O3526" t="str">
            <v xml:space="preserve">KAS KANPUS                              </v>
          </cell>
          <cell r="P3526" t="str">
            <v>Ya</v>
          </cell>
          <cell r="Q3526" t="str">
            <v>Ya</v>
          </cell>
          <cell r="R3526" t="str">
            <v>Done</v>
          </cell>
          <cell r="S3526" t="str">
            <v>Approved</v>
          </cell>
          <cell r="T3526" t="str">
            <v>90150130 - Intan Aida Pratiwi</v>
          </cell>
          <cell r="U3526" t="str">
            <v>"-"</v>
          </cell>
        </row>
        <row r="3527">
          <cell r="A3527">
            <v>46265</v>
          </cell>
          <cell r="B3527" t="str">
            <v xml:space="preserve">GILANG AHMAD RAMADHAN                   </v>
          </cell>
          <cell r="C3527" t="str">
            <v>GU00454</v>
          </cell>
          <cell r="D3527">
            <v>332501003076502</v>
          </cell>
          <cell r="F3527" t="str">
            <v>Tidak</v>
          </cell>
          <cell r="G3527" t="str">
            <v>Tidak</v>
          </cell>
          <cell r="H3527" t="str">
            <v>Tidak</v>
          </cell>
          <cell r="I3527" t="str">
            <v>Bandar Judol Withdrawal</v>
          </cell>
          <cell r="J3527">
            <v>35</v>
          </cell>
          <cell r="K3527" t="str">
            <v>86,88,87</v>
          </cell>
          <cell r="L3527" t="str">
            <v>Judi Online</v>
          </cell>
          <cell r="M3527" t="str">
            <v xml:space="preserve">Kas Kanpus                              </v>
          </cell>
          <cell r="N3527" t="str">
            <v xml:space="preserve">Kas Kanpus                              </v>
          </cell>
          <cell r="O3527" t="str">
            <v xml:space="preserve">KAS KANPUS                              </v>
          </cell>
          <cell r="P3527" t="str">
            <v>Ya</v>
          </cell>
          <cell r="Q3527" t="str">
            <v>Ya</v>
          </cell>
          <cell r="R3527" t="str">
            <v>Done</v>
          </cell>
          <cell r="S3527" t="str">
            <v>Approved</v>
          </cell>
          <cell r="T3527" t="str">
            <v>00394521 - Muhammad Hibbanduta</v>
          </cell>
          <cell r="U3527" t="str">
            <v>"-"</v>
          </cell>
        </row>
        <row r="3528">
          <cell r="A3528">
            <v>46265</v>
          </cell>
          <cell r="B3528" t="str">
            <v xml:space="preserve">FATMASARI                               </v>
          </cell>
          <cell r="C3528" t="str">
            <v>FZ95749</v>
          </cell>
          <cell r="D3528">
            <v>63501000534565</v>
          </cell>
          <cell r="E3528" t="str">
            <v>SEDANG</v>
          </cell>
          <cell r="F3528" t="str">
            <v>Tidak</v>
          </cell>
          <cell r="G3528" t="str">
            <v>Tidak</v>
          </cell>
          <cell r="H3528" t="str">
            <v>Tidak</v>
          </cell>
          <cell r="I3528" t="str">
            <v>Bandar Judol Withdrawal</v>
          </cell>
          <cell r="J3528">
            <v>50</v>
          </cell>
          <cell r="K3528" t="str">
            <v>86,88,87</v>
          </cell>
          <cell r="L3528" t="str">
            <v>Judi Online</v>
          </cell>
          <cell r="M3528" t="str">
            <v xml:space="preserve">Kas Kanpus                              </v>
          </cell>
          <cell r="N3528" t="str">
            <v xml:space="preserve">Kas Kanpus                              </v>
          </cell>
          <cell r="O3528" t="str">
            <v xml:space="preserve">KAS KANPUS                              </v>
          </cell>
          <cell r="P3528" t="str">
            <v>Ya</v>
          </cell>
          <cell r="Q3528" t="str">
            <v>Ya</v>
          </cell>
          <cell r="R3528" t="str">
            <v>Done</v>
          </cell>
          <cell r="S3528" t="str">
            <v>Approved</v>
          </cell>
          <cell r="T3528" t="str">
            <v>00336949 - Mochammad Al Farabi</v>
          </cell>
          <cell r="U3528" t="str">
            <v>"-"</v>
          </cell>
        </row>
        <row r="3529">
          <cell r="A3529">
            <v>46265</v>
          </cell>
          <cell r="B3529" t="str">
            <v xml:space="preserve">GUMILAR BUDI RAHAYU AMD IP SH MM        </v>
          </cell>
          <cell r="C3529" t="str">
            <v>G477451</v>
          </cell>
          <cell r="D3529">
            <v>13201001838562</v>
          </cell>
          <cell r="E3529" t="str">
            <v>SEDANG</v>
          </cell>
          <cell r="F3529" t="str">
            <v>Tidak</v>
          </cell>
          <cell r="G3529" t="str">
            <v>Tidak</v>
          </cell>
          <cell r="H3529" t="str">
            <v>Tidak</v>
          </cell>
          <cell r="I3529" t="str">
            <v>Narkotika - Area Lapas</v>
          </cell>
          <cell r="J3529">
            <v>53</v>
          </cell>
          <cell r="K3529">
            <v>48</v>
          </cell>
          <cell r="L3529" t="str">
            <v>Narkotika</v>
          </cell>
          <cell r="M3529" t="str">
            <v>KC Majalaya</v>
          </cell>
          <cell r="N3529" t="str">
            <v>KC Majalaya</v>
          </cell>
          <cell r="O3529" t="str">
            <v>Bandung</v>
          </cell>
          <cell r="P3529" t="str">
            <v>Tidak</v>
          </cell>
          <cell r="Q3529" t="str">
            <v>Tidak</v>
          </cell>
          <cell r="R3529" t="str">
            <v>Done</v>
          </cell>
          <cell r="S3529" t="str">
            <v>Approved</v>
          </cell>
          <cell r="T3529" t="str">
            <v>90171841 - Rifqi Aziz</v>
          </cell>
          <cell r="U3529" t="str">
            <v>"-"</v>
          </cell>
        </row>
        <row r="3530">
          <cell r="A3530">
            <v>46265</v>
          </cell>
          <cell r="B3530" t="str">
            <v xml:space="preserve">FITRI RAMADHANY                         </v>
          </cell>
          <cell r="C3530" t="str">
            <v>FX13507</v>
          </cell>
          <cell r="D3530">
            <v>109101000735560</v>
          </cell>
          <cell r="E3530" t="str">
            <v>SEDANG</v>
          </cell>
          <cell r="F3530" t="str">
            <v>Tidak</v>
          </cell>
          <cell r="G3530" t="str">
            <v>Tidak</v>
          </cell>
          <cell r="H3530" t="str">
            <v>Tidak</v>
          </cell>
          <cell r="I3530" t="str">
            <v>Bandar Judol Withdrawal</v>
          </cell>
          <cell r="J3530">
            <v>50</v>
          </cell>
          <cell r="K3530" t="str">
            <v>86,88,87</v>
          </cell>
          <cell r="L3530" t="str">
            <v>Judi Online</v>
          </cell>
          <cell r="M3530" t="str">
            <v xml:space="preserve">Kas Kanpus                              </v>
          </cell>
          <cell r="N3530" t="str">
            <v xml:space="preserve">Kas Kanpus                              </v>
          </cell>
          <cell r="O3530" t="str">
            <v xml:space="preserve">KAS KANPUS                              </v>
          </cell>
          <cell r="P3530" t="str">
            <v>Ya</v>
          </cell>
          <cell r="Q3530" t="str">
            <v>Ya</v>
          </cell>
          <cell r="R3530" t="str">
            <v>Done</v>
          </cell>
          <cell r="S3530" t="str">
            <v>Approved</v>
          </cell>
          <cell r="T3530" t="str">
            <v>90150130 - Intan Aida Pratiwi</v>
          </cell>
          <cell r="U3530" t="str">
            <v>"-"</v>
          </cell>
        </row>
        <row r="3531">
          <cell r="A3531">
            <v>46265</v>
          </cell>
          <cell r="B3531" t="str">
            <v xml:space="preserve">GUSNIK ADI PUTRA                        </v>
          </cell>
          <cell r="C3531" t="str">
            <v>G742438</v>
          </cell>
          <cell r="D3531">
            <v>25601046539505</v>
          </cell>
          <cell r="E3531" t="str">
            <v>TINGGI</v>
          </cell>
          <cell r="F3531" t="str">
            <v>Tidak</v>
          </cell>
          <cell r="G3531" t="str">
            <v>Tidak</v>
          </cell>
          <cell r="H3531" t="str">
            <v>Tidak</v>
          </cell>
          <cell r="I3531" t="str">
            <v>Terorisme - SIPENDAR</v>
          </cell>
          <cell r="J3531">
            <v>185</v>
          </cell>
          <cell r="K3531">
            <v>36</v>
          </cell>
          <cell r="L3531" t="str">
            <v>Terorisme</v>
          </cell>
          <cell r="M3531" t="str">
            <v xml:space="preserve">Kas Kanpus                              </v>
          </cell>
          <cell r="N3531" t="str">
            <v xml:space="preserve">Kas Kanpus                              </v>
          </cell>
          <cell r="O3531" t="str">
            <v xml:space="preserve">KAS KANPUS                              </v>
          </cell>
          <cell r="P3531" t="str">
            <v>Tidak</v>
          </cell>
          <cell r="Q3531" t="str">
            <v>Tidak</v>
          </cell>
          <cell r="R3531" t="str">
            <v>Done</v>
          </cell>
          <cell r="S3531" t="str">
            <v>Approved</v>
          </cell>
          <cell r="T3531" t="str">
            <v>00336949 - Mochammad Al Farabi</v>
          </cell>
          <cell r="U3531" t="str">
            <v>"-"</v>
          </cell>
        </row>
        <row r="3532">
          <cell r="A3532">
            <v>46265</v>
          </cell>
          <cell r="B3532" t="str">
            <v xml:space="preserve">GUSTI AYU IRAWAN                        </v>
          </cell>
          <cell r="C3532" t="str">
            <v>G919786</v>
          </cell>
          <cell r="D3532">
            <v>41901036947502</v>
          </cell>
          <cell r="E3532" t="str">
            <v>SEDANG</v>
          </cell>
          <cell r="F3532" t="str">
            <v>Tidak</v>
          </cell>
          <cell r="G3532" t="str">
            <v>Tidak</v>
          </cell>
          <cell r="H3532" t="str">
            <v>Tidak</v>
          </cell>
          <cell r="I3532" t="str">
            <v>Bandar Judol Withdrawal</v>
          </cell>
          <cell r="J3532">
            <v>50</v>
          </cell>
          <cell r="K3532" t="str">
            <v>86,88,87</v>
          </cell>
          <cell r="L3532" t="str">
            <v>Judi Online</v>
          </cell>
          <cell r="M3532" t="str">
            <v xml:space="preserve">Kas Kanpus                              </v>
          </cell>
          <cell r="N3532" t="str">
            <v xml:space="preserve">Kas Kanpus                              </v>
          </cell>
          <cell r="O3532" t="str">
            <v xml:space="preserve">KAS KANPUS                              </v>
          </cell>
          <cell r="P3532" t="str">
            <v>Ya</v>
          </cell>
          <cell r="Q3532" t="str">
            <v>Ya</v>
          </cell>
          <cell r="R3532" t="str">
            <v>Done</v>
          </cell>
          <cell r="S3532" t="str">
            <v>Approved</v>
          </cell>
          <cell r="T3532" t="str">
            <v>90186790 - Muhammad Alfin Farha</v>
          </cell>
          <cell r="U3532" t="str">
            <v>"-"</v>
          </cell>
        </row>
        <row r="3533">
          <cell r="A3533">
            <v>46265</v>
          </cell>
          <cell r="B3533" t="str">
            <v xml:space="preserve">GAMAR MARAJABESSY                       </v>
          </cell>
          <cell r="C3533" t="str">
            <v>G629559</v>
          </cell>
          <cell r="D3533">
            <v>736401004546530</v>
          </cell>
          <cell r="E3533" t="str">
            <v>SEDANG</v>
          </cell>
          <cell r="F3533" t="str">
            <v>Tidak</v>
          </cell>
          <cell r="G3533" t="str">
            <v>Tidak</v>
          </cell>
          <cell r="H3533" t="str">
            <v>Tidak</v>
          </cell>
          <cell r="I3533" t="str">
            <v>Perikanan dan Kelautan</v>
          </cell>
          <cell r="J3533">
            <v>48</v>
          </cell>
          <cell r="K3533">
            <v>101</v>
          </cell>
          <cell r="L3533" t="str">
            <v>Perikanan dan Kelautan</v>
          </cell>
          <cell r="M3533" t="str">
            <v xml:space="preserve">UNIT TIDORE SELATAN SOA SIO             </v>
          </cell>
          <cell r="N3533" t="str">
            <v xml:space="preserve">KC Soa-Sio                              </v>
          </cell>
          <cell r="O3533" t="str">
            <v xml:space="preserve">Manado                                  </v>
          </cell>
          <cell r="P3533" t="str">
            <v>Tidak</v>
          </cell>
          <cell r="Q3533" t="str">
            <v>Tidak</v>
          </cell>
          <cell r="R3533" t="str">
            <v>Done</v>
          </cell>
          <cell r="S3533" t="str">
            <v>Approved</v>
          </cell>
          <cell r="T3533" t="str">
            <v>90185537 - Moh.Khoerul Fajar Ar</v>
          </cell>
          <cell r="U3533" t="str">
            <v>"-"</v>
          </cell>
        </row>
        <row r="3534">
          <cell r="A3534">
            <v>46265</v>
          </cell>
          <cell r="B3534" t="str">
            <v xml:space="preserve">GHERHARD GHERGHI SEMBIRIN               </v>
          </cell>
          <cell r="C3534" t="str">
            <v>GE97287</v>
          </cell>
          <cell r="D3534">
            <v>790601000011565</v>
          </cell>
          <cell r="E3534" t="str">
            <v>SEDANG</v>
          </cell>
          <cell r="F3534" t="str">
            <v>Tidak</v>
          </cell>
          <cell r="G3534" t="str">
            <v>Tidak</v>
          </cell>
          <cell r="H3534" t="str">
            <v>Tidak</v>
          </cell>
          <cell r="I3534" t="str">
            <v>Bandar Judol Withdrawal</v>
          </cell>
          <cell r="J3534">
            <v>50</v>
          </cell>
          <cell r="K3534" t="str">
            <v>86,88,87</v>
          </cell>
          <cell r="L3534" t="str">
            <v>Judi Online</v>
          </cell>
          <cell r="M3534" t="str">
            <v xml:space="preserve">Kas Kanpus                              </v>
          </cell>
          <cell r="N3534" t="str">
            <v xml:space="preserve">Kas Kanpus                              </v>
          </cell>
          <cell r="O3534" t="str">
            <v xml:space="preserve">KAS KANPUS                              </v>
          </cell>
          <cell r="P3534" t="str">
            <v>Ya</v>
          </cell>
          <cell r="Q3534" t="str">
            <v>Ya</v>
          </cell>
          <cell r="R3534" t="str">
            <v>Done</v>
          </cell>
          <cell r="S3534" t="str">
            <v>Approved</v>
          </cell>
          <cell r="T3534" t="str">
            <v>00336949 - Mochammad Al Farabi</v>
          </cell>
          <cell r="U3534" t="str">
            <v>"-"</v>
          </cell>
        </row>
        <row r="3535">
          <cell r="A3535">
            <v>46265</v>
          </cell>
          <cell r="B3535" t="str">
            <v xml:space="preserve">GELANG EMAS                             </v>
          </cell>
          <cell r="C3535" t="str">
            <v>GK86225</v>
          </cell>
          <cell r="D3535">
            <v>5101013300567</v>
          </cell>
          <cell r="E3535" t="str">
            <v>SEDANG</v>
          </cell>
          <cell r="F3535" t="str">
            <v>Tidak</v>
          </cell>
          <cell r="G3535" t="str">
            <v>Tidak</v>
          </cell>
          <cell r="H3535" t="str">
            <v>Tidak</v>
          </cell>
          <cell r="I3535" t="str">
            <v>Perpajakan</v>
          </cell>
          <cell r="J3535">
            <v>48</v>
          </cell>
          <cell r="K3535">
            <v>41</v>
          </cell>
          <cell r="L3535" t="str">
            <v>Perpajakan</v>
          </cell>
          <cell r="M3535" t="str">
            <v xml:space="preserve">KC Malang Kawi                          </v>
          </cell>
          <cell r="N3535" t="str">
            <v xml:space="preserve">KC Malang Kawi                          </v>
          </cell>
          <cell r="O3535" t="str">
            <v xml:space="preserve">KANWIL MALANG                           </v>
          </cell>
          <cell r="P3535" t="str">
            <v>Tidak</v>
          </cell>
          <cell r="Q3535" t="str">
            <v>Tidak</v>
          </cell>
          <cell r="R3535" t="str">
            <v>Done</v>
          </cell>
          <cell r="S3535" t="str">
            <v>Approved</v>
          </cell>
          <cell r="T3535" t="str">
            <v>90185538 - Muhammad Fahikal Auz</v>
          </cell>
          <cell r="U3535" t="str">
            <v>"-"</v>
          </cell>
        </row>
        <row r="3536">
          <cell r="A3536">
            <v>46265</v>
          </cell>
          <cell r="B3536" t="str">
            <v xml:space="preserve">GIDEON GEMILANG HUTAGALUNG              </v>
          </cell>
          <cell r="C3536" t="str">
            <v>GL33468</v>
          </cell>
          <cell r="D3536">
            <v>722901000020566</v>
          </cell>
          <cell r="E3536" t="str">
            <v>TINGGI</v>
          </cell>
          <cell r="F3536" t="str">
            <v>Tidak</v>
          </cell>
          <cell r="G3536" t="str">
            <v>Tidak</v>
          </cell>
          <cell r="H3536" t="str">
            <v>Tidak</v>
          </cell>
          <cell r="I3536" t="str">
            <v>Judi Online</v>
          </cell>
          <cell r="J3536">
            <v>65</v>
          </cell>
          <cell r="K3536" t="str">
            <v>73,76,34,74,6</v>
          </cell>
          <cell r="L3536" t="str">
            <v>Judi Online</v>
          </cell>
          <cell r="M3536" t="str">
            <v xml:space="preserve">Kas Kanpus                              </v>
          </cell>
          <cell r="N3536" t="str">
            <v xml:space="preserve">Kas Kanpus                              </v>
          </cell>
          <cell r="O3536" t="str">
            <v xml:space="preserve">KAS KANPUS                              </v>
          </cell>
          <cell r="P3536" t="str">
            <v>Ya</v>
          </cell>
          <cell r="Q3536" t="str">
            <v>Ya</v>
          </cell>
          <cell r="R3536" t="str">
            <v>Done</v>
          </cell>
          <cell r="S3536" t="str">
            <v>Approved</v>
          </cell>
          <cell r="T3536" t="str">
            <v>90186796 - Devito Arya Wiradila</v>
          </cell>
          <cell r="U3536" t="str">
            <v>"-"</v>
          </cell>
        </row>
        <row r="3537">
          <cell r="A3537">
            <v>46265</v>
          </cell>
          <cell r="B3537" t="str">
            <v xml:space="preserve">GIDEON GEMILANG HUTAGALUNG              </v>
          </cell>
          <cell r="C3537" t="str">
            <v>GL33468</v>
          </cell>
          <cell r="D3537">
            <v>722901000020566</v>
          </cell>
          <cell r="E3537" t="str">
            <v>TINGGI</v>
          </cell>
          <cell r="F3537" t="str">
            <v>Tidak</v>
          </cell>
          <cell r="G3537" t="str">
            <v>Tidak</v>
          </cell>
          <cell r="H3537" t="str">
            <v>Tidak</v>
          </cell>
          <cell r="I3537" t="str">
            <v>Bandar Judol Depo</v>
          </cell>
          <cell r="J3537">
            <v>65</v>
          </cell>
          <cell r="K3537" t="str">
            <v>86,74,87</v>
          </cell>
          <cell r="L3537" t="str">
            <v>Judi Online</v>
          </cell>
          <cell r="M3537" t="str">
            <v xml:space="preserve">Kas Kanpus                              </v>
          </cell>
          <cell r="N3537" t="str">
            <v xml:space="preserve">Kas Kanpus                              </v>
          </cell>
          <cell r="O3537" t="str">
            <v xml:space="preserve">KAS KANPUS                              </v>
          </cell>
          <cell r="P3537" t="str">
            <v>Ya</v>
          </cell>
          <cell r="Q3537" t="str">
            <v>Ya</v>
          </cell>
          <cell r="R3537" t="str">
            <v>Done</v>
          </cell>
          <cell r="S3537" t="str">
            <v>Approved</v>
          </cell>
          <cell r="T3537" t="str">
            <v>90150130 - Intan Aida Pratiwi</v>
          </cell>
          <cell r="U3537" t="str">
            <v>"-"</v>
          </cell>
        </row>
        <row r="3538">
          <cell r="A3538">
            <v>46265</v>
          </cell>
          <cell r="B3538" t="str">
            <v xml:space="preserve">FIRO WIDIYANTO                          </v>
          </cell>
          <cell r="C3538" t="str">
            <v>FQE3993</v>
          </cell>
          <cell r="D3538">
            <v>1901114009501</v>
          </cell>
          <cell r="F3538" t="str">
            <v>Tidak</v>
          </cell>
          <cell r="G3538" t="str">
            <v>Tidak</v>
          </cell>
          <cell r="H3538" t="str">
            <v>Tidak</v>
          </cell>
          <cell r="I3538" t="str">
            <v>Bandar Judol Withdrawal</v>
          </cell>
          <cell r="J3538">
            <v>35</v>
          </cell>
          <cell r="K3538" t="str">
            <v>86,88,87</v>
          </cell>
          <cell r="L3538" t="str">
            <v>Judi Online</v>
          </cell>
          <cell r="M3538" t="str">
            <v xml:space="preserve">Kas Kanpus                              </v>
          </cell>
          <cell r="N3538" t="str">
            <v xml:space="preserve">Kas Kanpus                              </v>
          </cell>
          <cell r="O3538" t="str">
            <v xml:space="preserve">KAS KANPUS                              </v>
          </cell>
          <cell r="P3538" t="str">
            <v>Ya</v>
          </cell>
          <cell r="Q3538" t="str">
            <v>Ya</v>
          </cell>
          <cell r="R3538" t="str">
            <v>Done</v>
          </cell>
          <cell r="S3538" t="str">
            <v>Approved</v>
          </cell>
          <cell r="T3538" t="str">
            <v>00394520 - Frida Akbar Rani</v>
          </cell>
          <cell r="U3538" t="str">
            <v>"-"</v>
          </cell>
        </row>
        <row r="3539">
          <cell r="A3539">
            <v>46265</v>
          </cell>
          <cell r="B3539" t="str">
            <v xml:space="preserve">FERNANDO HUTAPEA                        </v>
          </cell>
          <cell r="C3539" t="str">
            <v>FQE8904</v>
          </cell>
          <cell r="D3539">
            <v>334201000251563</v>
          </cell>
          <cell r="F3539" t="str">
            <v>Tidak</v>
          </cell>
          <cell r="G3539" t="str">
            <v>Tidak</v>
          </cell>
          <cell r="H3539" t="str">
            <v>Tidak</v>
          </cell>
          <cell r="I3539" t="str">
            <v>Bandar Judol Withdrawal</v>
          </cell>
          <cell r="J3539">
            <v>35</v>
          </cell>
          <cell r="K3539" t="str">
            <v>86,88,87</v>
          </cell>
          <cell r="L3539" t="str">
            <v>Judi Online</v>
          </cell>
          <cell r="M3539" t="str">
            <v xml:space="preserve">Kas Kanpus                              </v>
          </cell>
          <cell r="N3539" t="str">
            <v xml:space="preserve">Kas Kanpus                              </v>
          </cell>
          <cell r="O3539" t="str">
            <v xml:space="preserve">KAS KANPUS                              </v>
          </cell>
          <cell r="P3539" t="str">
            <v>Ya</v>
          </cell>
          <cell r="Q3539" t="str">
            <v>Tidak</v>
          </cell>
          <cell r="R3539" t="str">
            <v>Done</v>
          </cell>
          <cell r="S3539" t="str">
            <v>Approved</v>
          </cell>
          <cell r="T3539" t="str">
            <v>90186796 - Devito Arya Wiradila</v>
          </cell>
          <cell r="U3539" t="str">
            <v>"-"</v>
          </cell>
        </row>
        <row r="3540">
          <cell r="A3540">
            <v>46265</v>
          </cell>
          <cell r="B3540" t="str">
            <v xml:space="preserve">FILIYA FATMA DANIYA                     </v>
          </cell>
          <cell r="C3540" t="str">
            <v>FQE9995</v>
          </cell>
          <cell r="D3540">
            <v>33601034549532</v>
          </cell>
          <cell r="F3540" t="str">
            <v>Tidak</v>
          </cell>
          <cell r="G3540" t="str">
            <v>Tidak</v>
          </cell>
          <cell r="H3540" t="str">
            <v>Tidak</v>
          </cell>
          <cell r="I3540" t="str">
            <v>Bandar Judol Depo</v>
          </cell>
          <cell r="J3540">
            <v>35</v>
          </cell>
          <cell r="K3540" t="str">
            <v>86,74,87</v>
          </cell>
          <cell r="L3540" t="str">
            <v>Judi Online</v>
          </cell>
          <cell r="M3540" t="str">
            <v xml:space="preserve">Kas Kanpus                              </v>
          </cell>
          <cell r="N3540" t="str">
            <v xml:space="preserve">Kas Kanpus                              </v>
          </cell>
          <cell r="O3540" t="str">
            <v xml:space="preserve">KAS KANPUS                              </v>
          </cell>
          <cell r="P3540" t="str">
            <v>Ya</v>
          </cell>
          <cell r="Q3540" t="str">
            <v>Ya</v>
          </cell>
          <cell r="R3540" t="str">
            <v>Done</v>
          </cell>
          <cell r="S3540" t="str">
            <v>Approved</v>
          </cell>
          <cell r="T3540" t="str">
            <v>90185537 - Moh.Khoerul Fajar Ar</v>
          </cell>
          <cell r="U3540" t="str">
            <v>"-"</v>
          </cell>
        </row>
        <row r="3541">
          <cell r="A3541">
            <v>46265</v>
          </cell>
          <cell r="B3541" t="str">
            <v xml:space="preserve">FAKHRURRAZI                             </v>
          </cell>
          <cell r="C3541" t="str">
            <v>FQG2777</v>
          </cell>
          <cell r="D3541">
            <v>36701004673568</v>
          </cell>
          <cell r="F3541" t="str">
            <v>Tidak</v>
          </cell>
          <cell r="G3541" t="str">
            <v>Tidak</v>
          </cell>
          <cell r="H3541" t="str">
            <v>Tidak</v>
          </cell>
          <cell r="I3541" t="str">
            <v>Bandar Judol Withdrawal</v>
          </cell>
          <cell r="J3541">
            <v>35</v>
          </cell>
          <cell r="K3541" t="str">
            <v>86,88,87</v>
          </cell>
          <cell r="L3541" t="str">
            <v>Judi Online</v>
          </cell>
          <cell r="M3541" t="str">
            <v xml:space="preserve">Kas Kanpus                              </v>
          </cell>
          <cell r="N3541" t="str">
            <v xml:space="preserve">Kas Kanpus                              </v>
          </cell>
          <cell r="O3541" t="str">
            <v xml:space="preserve">KAS KANPUS                              </v>
          </cell>
          <cell r="P3541" t="str">
            <v>Ya</v>
          </cell>
          <cell r="Q3541" t="str">
            <v>Ya</v>
          </cell>
          <cell r="R3541" t="str">
            <v>Done</v>
          </cell>
          <cell r="S3541" t="str">
            <v>Approved</v>
          </cell>
          <cell r="T3541" t="str">
            <v>90150130 - Intan Aida Pratiwi</v>
          </cell>
          <cell r="U3541" t="str">
            <v>"-"</v>
          </cell>
        </row>
        <row r="3542">
          <cell r="A3542">
            <v>46265</v>
          </cell>
          <cell r="B3542" t="str">
            <v xml:space="preserve">FARIZAL                                 </v>
          </cell>
          <cell r="C3542" t="str">
            <v>FQH3564</v>
          </cell>
          <cell r="D3542">
            <v>82601006299500</v>
          </cell>
          <cell r="F3542" t="str">
            <v>Tidak</v>
          </cell>
          <cell r="G3542" t="str">
            <v>Tidak</v>
          </cell>
          <cell r="H3542" t="str">
            <v>Tidak</v>
          </cell>
          <cell r="I3542" t="str">
            <v>Bandar Judol Withdrawal</v>
          </cell>
          <cell r="J3542">
            <v>35</v>
          </cell>
          <cell r="K3542" t="str">
            <v>86,88,87</v>
          </cell>
          <cell r="L3542" t="str">
            <v>Judi Online</v>
          </cell>
          <cell r="M3542" t="str">
            <v xml:space="preserve">Kas Kanpus                              </v>
          </cell>
          <cell r="N3542" t="str">
            <v xml:space="preserve">Kas Kanpus                              </v>
          </cell>
          <cell r="O3542" t="str">
            <v xml:space="preserve">KAS KANPUS                              </v>
          </cell>
          <cell r="P3542" t="str">
            <v>Ya</v>
          </cell>
          <cell r="Q3542" t="str">
            <v>Ya</v>
          </cell>
          <cell r="R3542" t="str">
            <v>Done</v>
          </cell>
          <cell r="S3542" t="str">
            <v>Approved</v>
          </cell>
          <cell r="T3542" t="str">
            <v>90150130 - Intan Aida Pratiwi</v>
          </cell>
          <cell r="U3542" t="str">
            <v>"-"</v>
          </cell>
        </row>
        <row r="3543">
          <cell r="A3543">
            <v>46265</v>
          </cell>
          <cell r="B3543" t="str">
            <v xml:space="preserve">FENDY                                   </v>
          </cell>
          <cell r="C3543" t="str">
            <v>FQJ8750</v>
          </cell>
          <cell r="D3543">
            <v>781201015574507</v>
          </cell>
          <cell r="F3543" t="str">
            <v>Tidak</v>
          </cell>
          <cell r="G3543" t="str">
            <v>Tidak</v>
          </cell>
          <cell r="H3543" t="str">
            <v>Tidak</v>
          </cell>
          <cell r="I3543" t="str">
            <v>Bandar Judol Depo</v>
          </cell>
          <cell r="J3543">
            <v>35</v>
          </cell>
          <cell r="K3543" t="str">
            <v>86,74,87</v>
          </cell>
          <cell r="L3543" t="str">
            <v>Judi Online</v>
          </cell>
          <cell r="M3543" t="str">
            <v xml:space="preserve">Kas Kanpus                              </v>
          </cell>
          <cell r="N3543" t="str">
            <v xml:space="preserve">Kas Kanpus                              </v>
          </cell>
          <cell r="O3543" t="str">
            <v xml:space="preserve">KAS KANPUS                              </v>
          </cell>
          <cell r="P3543" t="str">
            <v>Ya</v>
          </cell>
          <cell r="Q3543" t="str">
            <v>Ya</v>
          </cell>
          <cell r="R3543" t="str">
            <v>Done</v>
          </cell>
          <cell r="S3543" t="str">
            <v>Approved</v>
          </cell>
          <cell r="T3543" t="str">
            <v>00394521 - Muhammad Hibbanduta</v>
          </cell>
          <cell r="U3543" t="str">
            <v>"-"</v>
          </cell>
        </row>
        <row r="3544">
          <cell r="A3544">
            <v>46265</v>
          </cell>
          <cell r="B3544" t="str">
            <v xml:space="preserve">FAHRY IRWANSYAH                         </v>
          </cell>
          <cell r="C3544" t="str">
            <v>FQK4366</v>
          </cell>
          <cell r="D3544">
            <v>722301018119509</v>
          </cell>
          <cell r="F3544" t="str">
            <v>Tidak</v>
          </cell>
          <cell r="G3544" t="str">
            <v>Tidak</v>
          </cell>
          <cell r="H3544" t="str">
            <v>Tidak</v>
          </cell>
          <cell r="I3544" t="str">
            <v>Bandar Judol Depo</v>
          </cell>
          <cell r="J3544">
            <v>35</v>
          </cell>
          <cell r="K3544" t="str">
            <v>86,74,87</v>
          </cell>
          <cell r="L3544" t="str">
            <v>Judi Online</v>
          </cell>
          <cell r="M3544" t="str">
            <v xml:space="preserve">Kas Kanpus                              </v>
          </cell>
          <cell r="N3544" t="str">
            <v xml:space="preserve">Kas Kanpus                              </v>
          </cell>
          <cell r="O3544" t="str">
            <v xml:space="preserve">KAS KANPUS                              </v>
          </cell>
          <cell r="P3544" t="str">
            <v>Ya</v>
          </cell>
          <cell r="Q3544" t="str">
            <v>Ya</v>
          </cell>
          <cell r="R3544" t="str">
            <v>Done</v>
          </cell>
          <cell r="S3544" t="str">
            <v>Approved</v>
          </cell>
          <cell r="T3544" t="str">
            <v>90185538 - Muhammad Fahikal Auz</v>
          </cell>
          <cell r="U3544" t="str">
            <v>"-"</v>
          </cell>
        </row>
        <row r="3545">
          <cell r="A3545">
            <v>46265</v>
          </cell>
          <cell r="B3545" t="str">
            <v xml:space="preserve">FEBYOLAOKTAVINA                         </v>
          </cell>
          <cell r="C3545" t="str">
            <v>FRG5949</v>
          </cell>
          <cell r="D3545">
            <v>12201002802561</v>
          </cell>
          <cell r="F3545" t="str">
            <v>Tidak</v>
          </cell>
          <cell r="G3545" t="str">
            <v>Tidak</v>
          </cell>
          <cell r="H3545" t="str">
            <v>Tidak</v>
          </cell>
          <cell r="I3545" t="str">
            <v>Bandar Judol Withdrawal</v>
          </cell>
          <cell r="J3545">
            <v>35</v>
          </cell>
          <cell r="K3545" t="str">
            <v>86,88,87</v>
          </cell>
          <cell r="L3545" t="str">
            <v>Judi Online</v>
          </cell>
          <cell r="M3545" t="str">
            <v xml:space="preserve">Kas Kanpus                              </v>
          </cell>
          <cell r="N3545" t="str">
            <v xml:space="preserve">Kas Kanpus                              </v>
          </cell>
          <cell r="O3545" t="str">
            <v xml:space="preserve">KAS KANPUS                              </v>
          </cell>
          <cell r="P3545" t="str">
            <v>Ya</v>
          </cell>
          <cell r="Q3545" t="str">
            <v>Ya</v>
          </cell>
          <cell r="R3545" t="str">
            <v>Done</v>
          </cell>
          <cell r="S3545" t="str">
            <v>Approved</v>
          </cell>
          <cell r="T3545" t="str">
            <v>00336949 - Mochammad Al Farabi</v>
          </cell>
          <cell r="U3545" t="str">
            <v>"-"</v>
          </cell>
        </row>
        <row r="3546">
          <cell r="A3546">
            <v>46265</v>
          </cell>
          <cell r="B3546" t="str">
            <v xml:space="preserve">FEKQY NANDIKA                           </v>
          </cell>
          <cell r="C3546" t="str">
            <v>FQN6198</v>
          </cell>
          <cell r="D3546">
            <v>529701006847509</v>
          </cell>
          <cell r="F3546" t="str">
            <v>Tidak</v>
          </cell>
          <cell r="G3546" t="str">
            <v>Tidak</v>
          </cell>
          <cell r="H3546" t="str">
            <v>Tidak</v>
          </cell>
          <cell r="I3546" t="str">
            <v>Bandar Judol Withdrawal</v>
          </cell>
          <cell r="J3546">
            <v>35</v>
          </cell>
          <cell r="K3546" t="str">
            <v>86,88,87</v>
          </cell>
          <cell r="L3546" t="str">
            <v>Judi Online</v>
          </cell>
          <cell r="M3546" t="str">
            <v xml:space="preserve">Kas Kanpus                              </v>
          </cell>
          <cell r="N3546" t="str">
            <v xml:space="preserve">Kas Kanpus                              </v>
          </cell>
          <cell r="O3546" t="str">
            <v xml:space="preserve">KAS KANPUS                              </v>
          </cell>
          <cell r="P3546" t="str">
            <v>Ya</v>
          </cell>
          <cell r="Q3546" t="str">
            <v>Ya</v>
          </cell>
          <cell r="R3546" t="str">
            <v>Done</v>
          </cell>
          <cell r="S3546" t="str">
            <v>Approved</v>
          </cell>
          <cell r="T3546" t="str">
            <v>90170665 - Mutiara Ayuningtyas</v>
          </cell>
          <cell r="U3546" t="str">
            <v>"-"</v>
          </cell>
        </row>
        <row r="3547">
          <cell r="A3547">
            <v>46265</v>
          </cell>
          <cell r="B3547" t="str">
            <v xml:space="preserve">FAZA RAFLIANSYAH                        </v>
          </cell>
          <cell r="C3547" t="str">
            <v>FQN7996</v>
          </cell>
          <cell r="D3547">
            <v>41501043335504</v>
          </cell>
          <cell r="F3547" t="str">
            <v>Tidak</v>
          </cell>
          <cell r="G3547" t="str">
            <v>Tidak</v>
          </cell>
          <cell r="H3547" t="str">
            <v>Tidak</v>
          </cell>
          <cell r="I3547" t="str">
            <v>Bandar Judol Withdrawal</v>
          </cell>
          <cell r="J3547">
            <v>35</v>
          </cell>
          <cell r="K3547" t="str">
            <v>86,88,87</v>
          </cell>
          <cell r="L3547" t="str">
            <v>Judi Online</v>
          </cell>
          <cell r="M3547" t="str">
            <v xml:space="preserve">Kas Kanpus                              </v>
          </cell>
          <cell r="N3547" t="str">
            <v xml:space="preserve">Kas Kanpus                              </v>
          </cell>
          <cell r="O3547" t="str">
            <v xml:space="preserve">KAS KANPUS                              </v>
          </cell>
          <cell r="P3547" t="str">
            <v>Ya</v>
          </cell>
          <cell r="Q3547" t="str">
            <v>Tidak</v>
          </cell>
          <cell r="R3547" t="str">
            <v>Done</v>
          </cell>
          <cell r="S3547" t="str">
            <v>Approved</v>
          </cell>
          <cell r="T3547" t="str">
            <v>90150130 - Intan Aida Pratiwi</v>
          </cell>
          <cell r="U3547" t="str">
            <v>"-"</v>
          </cell>
        </row>
        <row r="3548">
          <cell r="A3548">
            <v>46265</v>
          </cell>
          <cell r="B3548" t="str">
            <v xml:space="preserve">FORCI CARAKA PRIMA                      </v>
          </cell>
          <cell r="C3548" t="str">
            <v>FSE7400</v>
          </cell>
          <cell r="D3548">
            <v>207101000487304</v>
          </cell>
          <cell r="F3548" t="str">
            <v>Tidak</v>
          </cell>
          <cell r="G3548" t="str">
            <v>Tidak</v>
          </cell>
          <cell r="H3548" t="str">
            <v>Tidak</v>
          </cell>
          <cell r="I3548" t="str">
            <v>Perpajakan</v>
          </cell>
          <cell r="J3548">
            <v>35</v>
          </cell>
          <cell r="K3548">
            <v>41</v>
          </cell>
          <cell r="L3548" t="str">
            <v>Perpajakan</v>
          </cell>
          <cell r="M3548" t="str">
            <v xml:space="preserve">KCP JAMSOSTEK                           </v>
          </cell>
          <cell r="N3548" t="str">
            <v xml:space="preserve">KC Jakarta Gatot Subroto                </v>
          </cell>
          <cell r="O3548" t="str">
            <v xml:space="preserve">DKI2                                    </v>
          </cell>
          <cell r="P3548" t="str">
            <v>Tidak</v>
          </cell>
          <cell r="Q3548" t="str">
            <v>Tidak</v>
          </cell>
          <cell r="R3548" t="str">
            <v>Done</v>
          </cell>
          <cell r="S3548" t="str">
            <v>Approved</v>
          </cell>
          <cell r="T3548" t="str">
            <v>00394520 - Frida Akbar Rani</v>
          </cell>
          <cell r="U3548" t="str">
            <v>"-"</v>
          </cell>
        </row>
        <row r="3549">
          <cell r="A3549">
            <v>46265</v>
          </cell>
          <cell r="B3549" t="str">
            <v xml:space="preserve">FARAH MELLISA                           </v>
          </cell>
          <cell r="C3549" t="str">
            <v>FRG9136</v>
          </cell>
          <cell r="D3549">
            <v>212601011718505</v>
          </cell>
          <cell r="F3549" t="str">
            <v>Tidak</v>
          </cell>
          <cell r="G3549" t="str">
            <v>Tidak</v>
          </cell>
          <cell r="H3549" t="str">
            <v>Tidak</v>
          </cell>
          <cell r="I3549" t="str">
            <v>Bandar Judol Depo</v>
          </cell>
          <cell r="J3549">
            <v>35</v>
          </cell>
          <cell r="K3549" t="str">
            <v>86,74,87</v>
          </cell>
          <cell r="L3549" t="str">
            <v>Judi Online</v>
          </cell>
          <cell r="M3549" t="str">
            <v xml:space="preserve">Kas Kanpus                              </v>
          </cell>
          <cell r="N3549" t="str">
            <v xml:space="preserve">Kas Kanpus                              </v>
          </cell>
          <cell r="O3549" t="str">
            <v xml:space="preserve">KAS KANPUS                              </v>
          </cell>
          <cell r="P3549" t="str">
            <v>Ya</v>
          </cell>
          <cell r="Q3549" t="str">
            <v>Ya</v>
          </cell>
          <cell r="R3549" t="str">
            <v>Done</v>
          </cell>
          <cell r="S3549" t="str">
            <v>Approved</v>
          </cell>
          <cell r="T3549" t="str">
            <v>90150130 - Intan Aida Pratiwi</v>
          </cell>
          <cell r="U3549" t="str">
            <v>"-"</v>
          </cell>
        </row>
        <row r="3550">
          <cell r="A3550">
            <v>46265</v>
          </cell>
          <cell r="B3550" t="str">
            <v xml:space="preserve">FIKRI ANTONI                            </v>
          </cell>
          <cell r="C3550" t="str">
            <v>FRJ6405</v>
          </cell>
          <cell r="D3550">
            <v>721101026023505</v>
          </cell>
          <cell r="F3550" t="str">
            <v>Tidak</v>
          </cell>
          <cell r="G3550" t="str">
            <v>Tidak</v>
          </cell>
          <cell r="H3550" t="str">
            <v>Tidak</v>
          </cell>
          <cell r="I3550" t="str">
            <v>Bandar Judol Withdrawal</v>
          </cell>
          <cell r="J3550">
            <v>35</v>
          </cell>
          <cell r="K3550" t="str">
            <v>86,88,87</v>
          </cell>
          <cell r="L3550" t="str">
            <v>Judi Online</v>
          </cell>
          <cell r="M3550" t="str">
            <v xml:space="preserve">Kas Kanpus                              </v>
          </cell>
          <cell r="N3550" t="str">
            <v xml:space="preserve">Kas Kanpus                              </v>
          </cell>
          <cell r="O3550" t="str">
            <v xml:space="preserve">KAS KANPUS                              </v>
          </cell>
          <cell r="P3550" t="str">
            <v>Ya</v>
          </cell>
          <cell r="Q3550" t="str">
            <v>Ya</v>
          </cell>
          <cell r="R3550" t="str">
            <v>Done</v>
          </cell>
          <cell r="S3550" t="str">
            <v>Approved</v>
          </cell>
          <cell r="T3550" t="str">
            <v>90171841 - Rifqi Aziz</v>
          </cell>
          <cell r="U3550" t="str">
            <v>"-"</v>
          </cell>
        </row>
        <row r="3551">
          <cell r="A3551">
            <v>46265</v>
          </cell>
          <cell r="B3551" t="str">
            <v xml:space="preserve">KAMARUDDIN                              </v>
          </cell>
          <cell r="C3551" t="str">
            <v>KLP7991</v>
          </cell>
          <cell r="D3551">
            <v>504401019779530</v>
          </cell>
          <cell r="E3551" t="str">
            <v>SEDANG</v>
          </cell>
          <cell r="F3551" t="str">
            <v>Tidak</v>
          </cell>
          <cell r="G3551" t="str">
            <v>Tidak</v>
          </cell>
          <cell r="H3551" t="str">
            <v>Tidak</v>
          </cell>
          <cell r="I3551" t="str">
            <v>Pencurian Rekening</v>
          </cell>
          <cell r="J3551">
            <v>49</v>
          </cell>
          <cell r="K3551">
            <v>59</v>
          </cell>
          <cell r="L3551" t="str">
            <v>Perbankan</v>
          </cell>
          <cell r="M3551" t="str">
            <v xml:space="preserve">UNIT SIENGKANG SENGKANG                 </v>
          </cell>
          <cell r="N3551" t="str">
            <v xml:space="preserve">KC Sengkang                             </v>
          </cell>
          <cell r="O3551" t="str">
            <v xml:space="preserve">Makassar                                </v>
          </cell>
          <cell r="P3551" t="str">
            <v>Tidak</v>
          </cell>
          <cell r="Q3551" t="str">
            <v>Tidak</v>
          </cell>
          <cell r="R3551" t="str">
            <v>Done</v>
          </cell>
          <cell r="S3551" t="str">
            <v>Approved</v>
          </cell>
          <cell r="T3551" t="str">
            <v>90171841 - Rifqi Aziz</v>
          </cell>
          <cell r="U3551" t="str">
            <v>"-"</v>
          </cell>
        </row>
        <row r="3552">
          <cell r="A3552">
            <v>46265</v>
          </cell>
          <cell r="B3552" t="str">
            <v xml:space="preserve">KOPERASI PENYULUH PERIKANAN SEJAHTERA   </v>
          </cell>
          <cell r="C3552" t="str">
            <v>KQS6281</v>
          </cell>
          <cell r="D3552">
            <v>496801012668531</v>
          </cell>
          <cell r="E3552" t="str">
            <v>SEDANG</v>
          </cell>
          <cell r="F3552" t="str">
            <v>Tidak</v>
          </cell>
          <cell r="G3552" t="str">
            <v>Tidak</v>
          </cell>
          <cell r="H3552" t="str">
            <v>Tidak</v>
          </cell>
          <cell r="I3552" t="str">
            <v>Perikanan dan Kelautan</v>
          </cell>
          <cell r="J3552">
            <v>48</v>
          </cell>
          <cell r="K3552">
            <v>100</v>
          </cell>
          <cell r="L3552" t="str">
            <v>Perikanan dan Kelautan</v>
          </cell>
          <cell r="M3552" t="str">
            <v xml:space="preserve">UNIT PASAR SENTRAL MAROS                </v>
          </cell>
          <cell r="N3552" t="str">
            <v xml:space="preserve">KC Maros                                </v>
          </cell>
          <cell r="O3552" t="str">
            <v xml:space="preserve">Makassar                                </v>
          </cell>
          <cell r="P3552" t="str">
            <v>Tidak</v>
          </cell>
          <cell r="Q3552" t="str">
            <v>Tidak</v>
          </cell>
          <cell r="R3552" t="str">
            <v>Done</v>
          </cell>
          <cell r="S3552" t="str">
            <v>Approved</v>
          </cell>
          <cell r="T3552" t="str">
            <v>00394520 - Frida Akbar Rani</v>
          </cell>
          <cell r="U3552" t="str">
            <v>"-"</v>
          </cell>
        </row>
        <row r="3553">
          <cell r="A3553">
            <v>46265</v>
          </cell>
          <cell r="B3553" t="str">
            <v xml:space="preserve">KHAIRIL FITRYADI                        </v>
          </cell>
          <cell r="C3553" t="str">
            <v>KFD7366</v>
          </cell>
          <cell r="D3553">
            <v>30901000554568</v>
          </cell>
          <cell r="E3553" t="str">
            <v>SEDANG</v>
          </cell>
          <cell r="F3553" t="str">
            <v>Tidak</v>
          </cell>
          <cell r="G3553" t="str">
            <v>Tidak</v>
          </cell>
          <cell r="H3553" t="str">
            <v>Tidak</v>
          </cell>
          <cell r="I3553" t="str">
            <v>Bandar Judol Withdrawal</v>
          </cell>
          <cell r="J3553">
            <v>50</v>
          </cell>
          <cell r="K3553" t="str">
            <v>86,88,87</v>
          </cell>
          <cell r="L3553" t="str">
            <v>Judi Online</v>
          </cell>
          <cell r="M3553" t="str">
            <v xml:space="preserve">Kas Kanpus                              </v>
          </cell>
          <cell r="N3553" t="str">
            <v xml:space="preserve">Kas Kanpus                              </v>
          </cell>
          <cell r="O3553" t="str">
            <v xml:space="preserve">KAS KANPUS                              </v>
          </cell>
          <cell r="P3553" t="str">
            <v>Tidak</v>
          </cell>
          <cell r="Q3553" t="str">
            <v>Tidak</v>
          </cell>
          <cell r="R3553" t="str">
            <v>Done</v>
          </cell>
          <cell r="S3553" t="str">
            <v>Approved</v>
          </cell>
          <cell r="T3553" t="str">
            <v>00394521 - Muhammad Hibbanduta</v>
          </cell>
          <cell r="U3553" t="str">
            <v>"-"</v>
          </cell>
        </row>
        <row r="3554">
          <cell r="A3554">
            <v>46265</v>
          </cell>
          <cell r="B3554" t="str">
            <v xml:space="preserve">KOPONTREN SIDOGIRI                      </v>
          </cell>
          <cell r="C3554" t="str">
            <v>KFF0449</v>
          </cell>
          <cell r="D3554">
            <v>6501001182566</v>
          </cell>
          <cell r="E3554" t="str">
            <v>SEDANG</v>
          </cell>
          <cell r="F3554" t="str">
            <v>Tidak</v>
          </cell>
          <cell r="G3554" t="str">
            <v>Tidak</v>
          </cell>
          <cell r="H3554" t="str">
            <v>Tidak</v>
          </cell>
          <cell r="I3554" t="str">
            <v>Perpajakan</v>
          </cell>
          <cell r="J3554">
            <v>50</v>
          </cell>
          <cell r="K3554">
            <v>1.33</v>
          </cell>
          <cell r="L3554" t="str">
            <v>Perpajakan</v>
          </cell>
          <cell r="M3554" t="str">
            <v xml:space="preserve">KC Pasuruan                             </v>
          </cell>
          <cell r="N3554" t="str">
            <v xml:space="preserve">KC Pasuruan                             </v>
          </cell>
          <cell r="O3554" t="str">
            <v xml:space="preserve">KANWIL MALANG                           </v>
          </cell>
          <cell r="P3554" t="str">
            <v>Tidak</v>
          </cell>
          <cell r="Q3554" t="str">
            <v>Tidak</v>
          </cell>
          <cell r="R3554" t="str">
            <v>Done</v>
          </cell>
          <cell r="S3554" t="str">
            <v>Approved</v>
          </cell>
          <cell r="T3554" t="str">
            <v>00394520 - Frida Akbar Rani</v>
          </cell>
          <cell r="U3554" t="str">
            <v>"-"</v>
          </cell>
        </row>
        <row r="3555">
          <cell r="A3555">
            <v>46265</v>
          </cell>
          <cell r="B3555" t="str">
            <v xml:space="preserve">KHAIRUL INSAN LUBIS                     </v>
          </cell>
          <cell r="C3555" t="str">
            <v>KEP2465</v>
          </cell>
          <cell r="D3555">
            <v>32301108560504</v>
          </cell>
          <cell r="E3555" t="str">
            <v>SEDANG</v>
          </cell>
          <cell r="F3555" t="str">
            <v>Tidak</v>
          </cell>
          <cell r="G3555" t="str">
            <v>Tidak</v>
          </cell>
          <cell r="H3555" t="str">
            <v>Tidak</v>
          </cell>
          <cell r="I3555" t="str">
            <v>Bandar Judol Withdrawal</v>
          </cell>
          <cell r="J3555">
            <v>50</v>
          </cell>
          <cell r="K3555" t="str">
            <v>86,88,87</v>
          </cell>
          <cell r="L3555" t="str">
            <v>Judi Online</v>
          </cell>
          <cell r="M3555" t="str">
            <v xml:space="preserve">Kas Kanpus                              </v>
          </cell>
          <cell r="N3555" t="str">
            <v xml:space="preserve">Kas Kanpus                              </v>
          </cell>
          <cell r="O3555" t="str">
            <v xml:space="preserve">KAS KANPUS                              </v>
          </cell>
          <cell r="P3555" t="str">
            <v>Ya</v>
          </cell>
          <cell r="Q3555" t="str">
            <v>Tidak</v>
          </cell>
          <cell r="R3555" t="str">
            <v>Done</v>
          </cell>
          <cell r="S3555" t="str">
            <v>Approved</v>
          </cell>
          <cell r="T3555" t="str">
            <v>00394520 - Frida Akbar Rani</v>
          </cell>
          <cell r="U3555" t="str">
            <v>"-"</v>
          </cell>
        </row>
        <row r="3556">
          <cell r="A3556">
            <v>46265</v>
          </cell>
          <cell r="B3556" t="str">
            <v xml:space="preserve">KIAN CHOI                               </v>
          </cell>
          <cell r="C3556" t="str">
            <v>KBM9809</v>
          </cell>
          <cell r="D3556">
            <v>214501012488503</v>
          </cell>
          <cell r="E3556" t="str">
            <v>RENDAH</v>
          </cell>
          <cell r="F3556" t="str">
            <v>Tidak</v>
          </cell>
          <cell r="G3556" t="str">
            <v>Tidak</v>
          </cell>
          <cell r="H3556" t="str">
            <v>Tidak</v>
          </cell>
          <cell r="I3556" t="str">
            <v>Bandar Judol Withdrawal</v>
          </cell>
          <cell r="J3556">
            <v>35</v>
          </cell>
          <cell r="K3556" t="str">
            <v>86,88,87</v>
          </cell>
          <cell r="L3556" t="str">
            <v>Judi Online</v>
          </cell>
          <cell r="M3556" t="str">
            <v xml:space="preserve">Kas Kanpus                              </v>
          </cell>
          <cell r="N3556" t="str">
            <v xml:space="preserve">Kas Kanpus                              </v>
          </cell>
          <cell r="O3556" t="str">
            <v xml:space="preserve">KAS KANPUS                              </v>
          </cell>
          <cell r="P3556" t="str">
            <v>Ya</v>
          </cell>
          <cell r="Q3556" t="str">
            <v>Ya</v>
          </cell>
          <cell r="R3556" t="str">
            <v>Done</v>
          </cell>
          <cell r="S3556" t="str">
            <v>Approved</v>
          </cell>
          <cell r="T3556" t="str">
            <v>90185537 - Moh.Khoerul Fajar Ar</v>
          </cell>
          <cell r="U3556" t="str">
            <v>"-"</v>
          </cell>
        </row>
        <row r="3557">
          <cell r="A3557">
            <v>46265</v>
          </cell>
          <cell r="B3557" t="str">
            <v xml:space="preserve">KHOIRUL ANHAR                           </v>
          </cell>
          <cell r="C3557" t="str">
            <v>KDQ6630</v>
          </cell>
          <cell r="D3557">
            <v>51801001064561</v>
          </cell>
          <cell r="E3557" t="str">
            <v>TINGGI</v>
          </cell>
          <cell r="F3557" t="str">
            <v>Tidak</v>
          </cell>
          <cell r="G3557" t="str">
            <v>Tidak</v>
          </cell>
          <cell r="H3557" t="str">
            <v>Tidak</v>
          </cell>
          <cell r="I3557" t="str">
            <v>Perpajakan</v>
          </cell>
          <cell r="J3557">
            <v>75</v>
          </cell>
          <cell r="K3557">
            <v>1.33</v>
          </cell>
          <cell r="L3557" t="str">
            <v>Perpajakan</v>
          </cell>
          <cell r="M3557" t="str">
            <v xml:space="preserve">KCP Pandaan                             </v>
          </cell>
          <cell r="N3557" t="str">
            <v xml:space="preserve">KC Pasuruan                             </v>
          </cell>
          <cell r="O3557" t="str">
            <v xml:space="preserve">KANWIL MALANG                           </v>
          </cell>
          <cell r="P3557" t="str">
            <v>Tidak</v>
          </cell>
          <cell r="Q3557" t="str">
            <v>Tidak</v>
          </cell>
          <cell r="R3557" t="str">
            <v>Done</v>
          </cell>
          <cell r="S3557" t="str">
            <v>Approved</v>
          </cell>
          <cell r="T3557" t="str">
            <v>90171841 - Rifqi Aziz</v>
          </cell>
          <cell r="U3557" t="str">
            <v>"-"</v>
          </cell>
        </row>
        <row r="3558">
          <cell r="A3558">
            <v>46265</v>
          </cell>
          <cell r="B3558" t="str">
            <v xml:space="preserve">KRISTIN NATALIA                         </v>
          </cell>
          <cell r="C3558" t="str">
            <v>KCF1099</v>
          </cell>
          <cell r="D3558">
            <v>532201013777530</v>
          </cell>
          <cell r="E3558" t="str">
            <v>SEDANG</v>
          </cell>
          <cell r="F3558" t="str">
            <v>Tidak</v>
          </cell>
          <cell r="G3558" t="str">
            <v>Tidak</v>
          </cell>
          <cell r="H3558" t="str">
            <v>Tidak</v>
          </cell>
          <cell r="I3558" t="str">
            <v>Bandar Judol Depo</v>
          </cell>
          <cell r="J3558">
            <v>50</v>
          </cell>
          <cell r="K3558" t="str">
            <v>86,74,87</v>
          </cell>
          <cell r="L3558" t="str">
            <v>Judi Online</v>
          </cell>
          <cell r="M3558" t="str">
            <v xml:space="preserve">Kas Kanpus                              </v>
          </cell>
          <cell r="N3558" t="str">
            <v xml:space="preserve">Kas Kanpus                              </v>
          </cell>
          <cell r="O3558" t="str">
            <v xml:space="preserve">KAS KANPUS                              </v>
          </cell>
          <cell r="P3558" t="str">
            <v>Tidak</v>
          </cell>
          <cell r="Q3558" t="str">
            <v>Ya</v>
          </cell>
          <cell r="R3558" t="str">
            <v>Done</v>
          </cell>
          <cell r="S3558" t="str">
            <v>Approved</v>
          </cell>
          <cell r="T3558" t="str">
            <v>90150130 - Intan Aida Pratiwi</v>
          </cell>
          <cell r="U3558" t="str">
            <v>"-"</v>
          </cell>
        </row>
        <row r="3559">
          <cell r="A3559">
            <v>46265</v>
          </cell>
          <cell r="B3559" t="str">
            <v xml:space="preserve">KRISTINA BR. SIANIPAR                   </v>
          </cell>
          <cell r="C3559" t="str">
            <v>KCL2647</v>
          </cell>
          <cell r="D3559">
            <v>208301021242500</v>
          </cell>
          <cell r="E3559" t="str">
            <v>SEDANG</v>
          </cell>
          <cell r="F3559" t="str">
            <v>Tidak</v>
          </cell>
          <cell r="G3559" t="str">
            <v>Tidak</v>
          </cell>
          <cell r="H3559" t="str">
            <v>Tidak</v>
          </cell>
          <cell r="I3559" t="str">
            <v>Bandar Judol Depo</v>
          </cell>
          <cell r="J3559">
            <v>50</v>
          </cell>
          <cell r="K3559" t="str">
            <v>86,74,87</v>
          </cell>
          <cell r="L3559" t="str">
            <v>Judi Online</v>
          </cell>
          <cell r="M3559" t="str">
            <v xml:space="preserve">Kas Kanpus                              </v>
          </cell>
          <cell r="N3559" t="str">
            <v xml:space="preserve">Kas Kanpus                              </v>
          </cell>
          <cell r="O3559" t="str">
            <v xml:space="preserve">KAS KANPUS                              </v>
          </cell>
          <cell r="P3559" t="str">
            <v>Tidak</v>
          </cell>
          <cell r="Q3559" t="str">
            <v>Ya</v>
          </cell>
          <cell r="R3559" t="str">
            <v>Done</v>
          </cell>
          <cell r="S3559" t="str">
            <v>Approved</v>
          </cell>
          <cell r="T3559" t="str">
            <v>00336949 - Mochammad Al Farabi</v>
          </cell>
          <cell r="U3559" t="str">
            <v>"-"</v>
          </cell>
        </row>
        <row r="3560">
          <cell r="A3560">
            <v>46265</v>
          </cell>
          <cell r="B3560" t="str">
            <v xml:space="preserve">KIKI ARIANTO                            </v>
          </cell>
          <cell r="C3560" t="str">
            <v>KCR1478</v>
          </cell>
          <cell r="D3560">
            <v>805901006353535</v>
          </cell>
          <cell r="E3560" t="str">
            <v>SEDANG</v>
          </cell>
          <cell r="F3560" t="str">
            <v>Tidak</v>
          </cell>
          <cell r="G3560" t="str">
            <v>Tidak</v>
          </cell>
          <cell r="H3560" t="str">
            <v>Tidak</v>
          </cell>
          <cell r="I3560" t="str">
            <v>Bandar Judol Withdrawal</v>
          </cell>
          <cell r="J3560">
            <v>50</v>
          </cell>
          <cell r="K3560" t="str">
            <v>86,88,87</v>
          </cell>
          <cell r="L3560" t="str">
            <v>Judi Online</v>
          </cell>
          <cell r="M3560" t="str">
            <v xml:space="preserve">Kas Kanpus                              </v>
          </cell>
          <cell r="N3560" t="str">
            <v xml:space="preserve">Kas Kanpus                              </v>
          </cell>
          <cell r="O3560" t="str">
            <v xml:space="preserve">KAS KANPUS                              </v>
          </cell>
          <cell r="P3560" t="str">
            <v>Ya</v>
          </cell>
          <cell r="Q3560" t="str">
            <v>Ya</v>
          </cell>
          <cell r="R3560" t="str">
            <v>Done</v>
          </cell>
          <cell r="S3560" t="str">
            <v>Approved</v>
          </cell>
          <cell r="T3560" t="str">
            <v>90150130 - Intan Aida Pratiwi</v>
          </cell>
          <cell r="U3560" t="str">
            <v>"-"</v>
          </cell>
        </row>
        <row r="3561">
          <cell r="A3561">
            <v>46265</v>
          </cell>
          <cell r="B3561" t="str">
            <v xml:space="preserve">KAMAL GUNAWAN                           </v>
          </cell>
          <cell r="C3561" t="str">
            <v>KAJX209</v>
          </cell>
          <cell r="D3561">
            <v>418401029384506</v>
          </cell>
          <cell r="F3561" t="str">
            <v>Tidak</v>
          </cell>
          <cell r="G3561" t="str">
            <v>Tidak</v>
          </cell>
          <cell r="H3561" t="str">
            <v>Tidak</v>
          </cell>
          <cell r="I3561" t="str">
            <v>Bandar Judol Depo</v>
          </cell>
          <cell r="J3561">
            <v>35</v>
          </cell>
          <cell r="K3561" t="str">
            <v>86,74,87</v>
          </cell>
          <cell r="L3561" t="str">
            <v>Judi Online</v>
          </cell>
          <cell r="M3561" t="str">
            <v xml:space="preserve">Kas Kanpus                              </v>
          </cell>
          <cell r="N3561" t="str">
            <v xml:space="preserve">Kas Kanpus                              </v>
          </cell>
          <cell r="O3561" t="str">
            <v xml:space="preserve">KAS KANPUS                              </v>
          </cell>
          <cell r="P3561" t="str">
            <v>Ya</v>
          </cell>
          <cell r="Q3561" t="str">
            <v>Ya</v>
          </cell>
          <cell r="R3561" t="str">
            <v>Done</v>
          </cell>
          <cell r="S3561" t="str">
            <v>Approved</v>
          </cell>
          <cell r="T3561" t="str">
            <v>90171841 - Rifqi Aziz</v>
          </cell>
          <cell r="U3561" t="str">
            <v>"-"</v>
          </cell>
        </row>
        <row r="3562">
          <cell r="A3562">
            <v>46265</v>
          </cell>
          <cell r="B3562" t="str">
            <v xml:space="preserve">KARNI                                   </v>
          </cell>
          <cell r="C3562" t="str">
            <v>KAM9482</v>
          </cell>
          <cell r="D3562">
            <v>534001033361537</v>
          </cell>
          <cell r="E3562" t="str">
            <v>SEDANG</v>
          </cell>
          <cell r="F3562" t="str">
            <v>Tidak</v>
          </cell>
          <cell r="G3562" t="str">
            <v>Tidak</v>
          </cell>
          <cell r="H3562" t="str">
            <v>Tidak</v>
          </cell>
          <cell r="I3562" t="str">
            <v>Narkotika - Area Lapas</v>
          </cell>
          <cell r="J3562">
            <v>50</v>
          </cell>
          <cell r="K3562">
            <v>46</v>
          </cell>
          <cell r="L3562" t="str">
            <v>Narkotika</v>
          </cell>
          <cell r="M3562" t="str">
            <v>UNIT SIABU PANYABUNGAN</v>
          </cell>
          <cell r="N3562" t="str">
            <v>KC Panyabungan</v>
          </cell>
          <cell r="O3562" t="str">
            <v>Medan</v>
          </cell>
          <cell r="P3562" t="str">
            <v>Ya</v>
          </cell>
          <cell r="Q3562" t="str">
            <v>Tidak</v>
          </cell>
          <cell r="R3562" t="str">
            <v>Done</v>
          </cell>
          <cell r="S3562" t="str">
            <v>Approved</v>
          </cell>
          <cell r="T3562" t="str">
            <v>90185538 - Muhammad Fahikal Auz</v>
          </cell>
          <cell r="U3562" t="str">
            <v>"-"</v>
          </cell>
        </row>
        <row r="3563">
          <cell r="A3563">
            <v>46265</v>
          </cell>
          <cell r="B3563" t="str">
            <v xml:space="preserve">LISUANI HARTANTO                        </v>
          </cell>
          <cell r="C3563" t="str">
            <v>LBA9378</v>
          </cell>
          <cell r="D3563">
            <v>305001032945537</v>
          </cell>
          <cell r="E3563" t="str">
            <v>SEDANG</v>
          </cell>
          <cell r="F3563" t="str">
            <v>Tidak</v>
          </cell>
          <cell r="G3563" t="str">
            <v>Tidak</v>
          </cell>
          <cell r="H3563" t="str">
            <v>Tidak</v>
          </cell>
          <cell r="I3563" t="str">
            <v>Bandar Judol Depo</v>
          </cell>
          <cell r="J3563">
            <v>50</v>
          </cell>
          <cell r="K3563" t="str">
            <v>86,74,87</v>
          </cell>
          <cell r="L3563" t="str">
            <v>Judi Online</v>
          </cell>
          <cell r="M3563" t="str">
            <v xml:space="preserve">Kas Kanpus                              </v>
          </cell>
          <cell r="N3563" t="str">
            <v xml:space="preserve">Kas Kanpus                              </v>
          </cell>
          <cell r="O3563" t="str">
            <v xml:space="preserve">KAS KANPUS                              </v>
          </cell>
          <cell r="P3563" t="str">
            <v>Tidak</v>
          </cell>
          <cell r="Q3563" t="str">
            <v>Ya</v>
          </cell>
          <cell r="R3563" t="str">
            <v>Done</v>
          </cell>
          <cell r="S3563" t="str">
            <v>Approved</v>
          </cell>
          <cell r="T3563" t="str">
            <v>00394520 - Frida Akbar Rani</v>
          </cell>
          <cell r="U3563" t="str">
            <v>"-"</v>
          </cell>
        </row>
        <row r="3564">
          <cell r="A3564">
            <v>46265</v>
          </cell>
          <cell r="B3564" t="str">
            <v xml:space="preserve">KURNIAWAN                               </v>
          </cell>
          <cell r="C3564" t="str">
            <v>KZV6079</v>
          </cell>
          <cell r="D3564">
            <v>43401048482502</v>
          </cell>
          <cell r="F3564" t="str">
            <v>Tidak</v>
          </cell>
          <cell r="G3564" t="str">
            <v>Tidak</v>
          </cell>
          <cell r="H3564" t="str">
            <v>Tidak</v>
          </cell>
          <cell r="I3564" t="str">
            <v>Bandar Judol Withdrawal</v>
          </cell>
          <cell r="J3564">
            <v>35</v>
          </cell>
          <cell r="K3564" t="str">
            <v>86,88,87</v>
          </cell>
          <cell r="L3564" t="str">
            <v>Judi Online</v>
          </cell>
          <cell r="M3564" t="str">
            <v xml:space="preserve">Kas Kanpus                              </v>
          </cell>
          <cell r="N3564" t="str">
            <v xml:space="preserve">Kas Kanpus                              </v>
          </cell>
          <cell r="O3564" t="str">
            <v xml:space="preserve">KAS KANPUS                              </v>
          </cell>
          <cell r="P3564" t="str">
            <v>Ya</v>
          </cell>
          <cell r="Q3564" t="str">
            <v>Ya</v>
          </cell>
          <cell r="R3564" t="str">
            <v>Done</v>
          </cell>
          <cell r="S3564" t="str">
            <v>Approved</v>
          </cell>
          <cell r="T3564" t="str">
            <v>00394521 - Muhammad Hibbanduta</v>
          </cell>
          <cell r="U3564" t="str">
            <v>"-"</v>
          </cell>
        </row>
        <row r="3565">
          <cell r="A3565">
            <v>46265</v>
          </cell>
          <cell r="B3565" t="str">
            <v xml:space="preserve">KOMANG PINA ASTRIANA                    </v>
          </cell>
          <cell r="C3565" t="str">
            <v>KZK4188</v>
          </cell>
          <cell r="D3565">
            <v>463601022150535</v>
          </cell>
          <cell r="F3565" t="str">
            <v>Tidak</v>
          </cell>
          <cell r="G3565" t="str">
            <v>Tidak</v>
          </cell>
          <cell r="H3565" t="str">
            <v>Tidak</v>
          </cell>
          <cell r="I3565" t="str">
            <v>Bandar Judol Depo</v>
          </cell>
          <cell r="J3565">
            <v>35</v>
          </cell>
          <cell r="K3565" t="str">
            <v>86,74,87</v>
          </cell>
          <cell r="L3565" t="str">
            <v>Judi Online</v>
          </cell>
          <cell r="M3565" t="str">
            <v xml:space="preserve">Kas Kanpus                              </v>
          </cell>
          <cell r="N3565" t="str">
            <v xml:space="preserve">Kas Kanpus                              </v>
          </cell>
          <cell r="O3565" t="str">
            <v xml:space="preserve">KAS KANPUS                              </v>
          </cell>
          <cell r="P3565" t="str">
            <v>Ya</v>
          </cell>
          <cell r="Q3565" t="str">
            <v>Ya</v>
          </cell>
          <cell r="R3565" t="str">
            <v>Done</v>
          </cell>
          <cell r="S3565" t="str">
            <v>Approved</v>
          </cell>
          <cell r="T3565" t="str">
            <v>90185538 - Muhammad Fahikal Auz</v>
          </cell>
          <cell r="U3565" t="str">
            <v>"-"</v>
          </cell>
        </row>
        <row r="3566">
          <cell r="A3566">
            <v>46265</v>
          </cell>
          <cell r="B3566" t="str">
            <v xml:space="preserve">LPD DESA TIGA                           </v>
          </cell>
          <cell r="C3566" t="str">
            <v>L795217</v>
          </cell>
          <cell r="D3566">
            <v>462601001113531</v>
          </cell>
          <cell r="E3566" t="str">
            <v>SEDANG</v>
          </cell>
          <cell r="F3566" t="str">
            <v>Ya</v>
          </cell>
          <cell r="G3566" t="str">
            <v>Tidak</v>
          </cell>
          <cell r="H3566" t="str">
            <v>Tidak</v>
          </cell>
          <cell r="I3566" t="str">
            <v>Narkotika - Area Lapas</v>
          </cell>
          <cell r="J3566">
            <v>49</v>
          </cell>
          <cell r="K3566">
            <v>47</v>
          </cell>
          <cell r="L3566" t="str">
            <v>Narkotika</v>
          </cell>
          <cell r="M3566" t="str">
            <v>UNIT KAYUAMBA BANGLI</v>
          </cell>
          <cell r="N3566" t="str">
            <v>KC Bangli</v>
          </cell>
          <cell r="O3566" t="str">
            <v>Denpasar</v>
          </cell>
          <cell r="P3566" t="str">
            <v>Tidak</v>
          </cell>
          <cell r="Q3566" t="str">
            <v>Tidak</v>
          </cell>
          <cell r="R3566" t="str">
            <v>Done</v>
          </cell>
          <cell r="S3566" t="str">
            <v>Approved</v>
          </cell>
          <cell r="T3566" t="str">
            <v>00336949 - Mochammad Al Farabi</v>
          </cell>
          <cell r="U3566" t="str">
            <v>"-"</v>
          </cell>
        </row>
        <row r="3567">
          <cell r="A3567">
            <v>46265</v>
          </cell>
          <cell r="B3567" t="str">
            <v xml:space="preserve">KHAMALIAH                               </v>
          </cell>
          <cell r="C3567" t="str">
            <v>KZZ1119</v>
          </cell>
          <cell r="D3567">
            <v>5301022128536</v>
          </cell>
          <cell r="F3567" t="str">
            <v>Tidak</v>
          </cell>
          <cell r="G3567" t="str">
            <v>Tidak</v>
          </cell>
          <cell r="H3567" t="str">
            <v>Tidak</v>
          </cell>
          <cell r="I3567" t="str">
            <v>Bandar Judol Withdrawal</v>
          </cell>
          <cell r="J3567">
            <v>35</v>
          </cell>
          <cell r="K3567" t="str">
            <v>86,88,87</v>
          </cell>
          <cell r="L3567" t="str">
            <v>Judi Online</v>
          </cell>
          <cell r="M3567" t="str">
            <v xml:space="preserve">Kas Kanpus                              </v>
          </cell>
          <cell r="N3567" t="str">
            <v xml:space="preserve">Kas Kanpus                              </v>
          </cell>
          <cell r="O3567" t="str">
            <v xml:space="preserve">KAS KANPUS                              </v>
          </cell>
          <cell r="P3567" t="str">
            <v>Ya</v>
          </cell>
          <cell r="Q3567" t="str">
            <v>Ya</v>
          </cell>
          <cell r="R3567" t="str">
            <v>Done</v>
          </cell>
          <cell r="S3567" t="str">
            <v>Approved</v>
          </cell>
          <cell r="T3567" t="str">
            <v>90185537 - Moh.Khoerul Fajar Ar</v>
          </cell>
          <cell r="U3567" t="str">
            <v>"-"</v>
          </cell>
        </row>
        <row r="3568">
          <cell r="A3568">
            <v>46265</v>
          </cell>
          <cell r="B3568" t="str">
            <v xml:space="preserve">LISA                                    </v>
          </cell>
          <cell r="C3568" t="str">
            <v>LEF8390</v>
          </cell>
          <cell r="D3568">
            <v>5001189287504</v>
          </cell>
          <cell r="E3568" t="str">
            <v>SEDANG</v>
          </cell>
          <cell r="F3568" t="str">
            <v>Tidak</v>
          </cell>
          <cell r="G3568" t="str">
            <v>Tidak</v>
          </cell>
          <cell r="H3568" t="str">
            <v>Tidak</v>
          </cell>
          <cell r="I3568" t="str">
            <v>Bandar Judol Withdrawal</v>
          </cell>
          <cell r="J3568">
            <v>50</v>
          </cell>
          <cell r="K3568" t="str">
            <v>86,88,87</v>
          </cell>
          <cell r="L3568" t="str">
            <v>Judi Online</v>
          </cell>
          <cell r="M3568" t="str">
            <v xml:space="preserve">Kas Kanpus                              </v>
          </cell>
          <cell r="N3568" t="str">
            <v xml:space="preserve">Kas Kanpus                              </v>
          </cell>
          <cell r="O3568" t="str">
            <v xml:space="preserve">KAS KANPUS                              </v>
          </cell>
          <cell r="P3568" t="str">
            <v>Ya</v>
          </cell>
          <cell r="Q3568" t="str">
            <v>Ya</v>
          </cell>
          <cell r="R3568" t="str">
            <v>Done</v>
          </cell>
          <cell r="S3568" t="str">
            <v>Approved</v>
          </cell>
          <cell r="T3568" t="str">
            <v>00394521 - Muhammad Hibbanduta</v>
          </cell>
          <cell r="U3568" t="str">
            <v>"-"</v>
          </cell>
        </row>
        <row r="3569">
          <cell r="A3569">
            <v>46265</v>
          </cell>
          <cell r="B3569" t="str">
            <v xml:space="preserve">LEONARD SALIM LUMUNGAN                  </v>
          </cell>
          <cell r="C3569" t="str">
            <v>LDD7806</v>
          </cell>
          <cell r="D3569">
            <v>332201025987533</v>
          </cell>
          <cell r="E3569" t="str">
            <v>SEDANG</v>
          </cell>
          <cell r="F3569" t="str">
            <v>Tidak</v>
          </cell>
          <cell r="G3569" t="str">
            <v>Tidak</v>
          </cell>
          <cell r="H3569" t="str">
            <v>Tidak</v>
          </cell>
          <cell r="I3569" t="str">
            <v>Bandar Judol Withdrawal</v>
          </cell>
          <cell r="J3569">
            <v>50</v>
          </cell>
          <cell r="K3569" t="str">
            <v>86,88,87</v>
          </cell>
          <cell r="L3569" t="str">
            <v>Judi Online</v>
          </cell>
          <cell r="M3569" t="str">
            <v xml:space="preserve">Kas Kanpus                              </v>
          </cell>
          <cell r="N3569" t="str">
            <v xml:space="preserve">Kas Kanpus                              </v>
          </cell>
          <cell r="O3569" t="str">
            <v xml:space="preserve">KAS KANPUS                              </v>
          </cell>
          <cell r="P3569" t="str">
            <v>Ya</v>
          </cell>
          <cell r="Q3569" t="str">
            <v>Ya</v>
          </cell>
          <cell r="R3569" t="str">
            <v>Done</v>
          </cell>
          <cell r="S3569" t="str">
            <v>Approved</v>
          </cell>
          <cell r="T3569" t="str">
            <v>90185538 - Muhammad Fahikal Auz</v>
          </cell>
          <cell r="U3569" t="str">
            <v>"-"</v>
          </cell>
        </row>
        <row r="3570">
          <cell r="A3570">
            <v>46265</v>
          </cell>
          <cell r="B3570" t="str">
            <v xml:space="preserve">LIA DAHLIA                              </v>
          </cell>
          <cell r="C3570" t="str">
            <v>LDQ3248</v>
          </cell>
          <cell r="D3570">
            <v>33201174101507</v>
          </cell>
          <cell r="E3570" t="str">
            <v>SEDANG</v>
          </cell>
          <cell r="F3570" t="str">
            <v>Tidak</v>
          </cell>
          <cell r="G3570" t="str">
            <v>Tidak</v>
          </cell>
          <cell r="H3570" t="str">
            <v>Tidak</v>
          </cell>
          <cell r="I3570" t="str">
            <v>Bandar Judol Withdrawal</v>
          </cell>
          <cell r="J3570">
            <v>50</v>
          </cell>
          <cell r="K3570" t="str">
            <v>86,88,87</v>
          </cell>
          <cell r="L3570" t="str">
            <v>Judi Online</v>
          </cell>
          <cell r="M3570" t="str">
            <v xml:space="preserve">Kas Kanpus                              </v>
          </cell>
          <cell r="N3570" t="str">
            <v xml:space="preserve">Kas Kanpus                              </v>
          </cell>
          <cell r="O3570" t="str">
            <v xml:space="preserve">KAS KANPUS                              </v>
          </cell>
          <cell r="P3570" t="str">
            <v>Ya</v>
          </cell>
          <cell r="Q3570" t="str">
            <v>Ya</v>
          </cell>
          <cell r="R3570" t="str">
            <v>Done</v>
          </cell>
          <cell r="S3570" t="str">
            <v>Approved</v>
          </cell>
          <cell r="T3570" t="str">
            <v>00336949 - Mochammad Al Farabi</v>
          </cell>
          <cell r="U3570" t="str">
            <v>"-"</v>
          </cell>
        </row>
        <row r="3571">
          <cell r="A3571">
            <v>46265</v>
          </cell>
          <cell r="B3571" t="str">
            <v xml:space="preserve">LINA MARLINA                            </v>
          </cell>
          <cell r="C3571" t="str">
            <v>LDZ7515</v>
          </cell>
          <cell r="D3571">
            <v>2501005528568</v>
          </cell>
          <cell r="E3571" t="str">
            <v>SEDANG</v>
          </cell>
          <cell r="F3571" t="str">
            <v>Tidak</v>
          </cell>
          <cell r="G3571" t="str">
            <v>Tidak</v>
          </cell>
          <cell r="H3571" t="str">
            <v>Tidak</v>
          </cell>
          <cell r="I3571" t="str">
            <v>Bandar Judol Withdrawal</v>
          </cell>
          <cell r="J3571">
            <v>50</v>
          </cell>
          <cell r="K3571" t="str">
            <v>86,88,87</v>
          </cell>
          <cell r="L3571" t="str">
            <v>Judi Online</v>
          </cell>
          <cell r="M3571" t="str">
            <v xml:space="preserve">Kas Kanpus                              </v>
          </cell>
          <cell r="N3571" t="str">
            <v xml:space="preserve">Kas Kanpus                              </v>
          </cell>
          <cell r="O3571" t="str">
            <v xml:space="preserve">KAS KANPUS                              </v>
          </cell>
          <cell r="P3571" t="str">
            <v>Tidak</v>
          </cell>
          <cell r="Q3571" t="str">
            <v>Ya</v>
          </cell>
          <cell r="R3571" t="str">
            <v>Done</v>
          </cell>
          <cell r="S3571" t="str">
            <v>Approved</v>
          </cell>
          <cell r="T3571" t="str">
            <v>90150130 - Intan Aida Pratiwi</v>
          </cell>
          <cell r="U3571" t="str">
            <v>"-"</v>
          </cell>
        </row>
        <row r="3572">
          <cell r="A3572">
            <v>46265</v>
          </cell>
          <cell r="B3572" t="str">
            <v xml:space="preserve">LELA NUR ANDRIANI                       </v>
          </cell>
          <cell r="C3572" t="str">
            <v>LG65992</v>
          </cell>
          <cell r="D3572">
            <v>53301017399502</v>
          </cell>
          <cell r="E3572" t="str">
            <v>SEDANG</v>
          </cell>
          <cell r="F3572" t="str">
            <v>Tidak</v>
          </cell>
          <cell r="G3572" t="str">
            <v>Tidak</v>
          </cell>
          <cell r="H3572" t="str">
            <v>Tidak</v>
          </cell>
          <cell r="I3572" t="str">
            <v>Bandar Judol Withdrawal</v>
          </cell>
          <cell r="J3572">
            <v>50</v>
          </cell>
          <cell r="K3572" t="str">
            <v>86,88,87</v>
          </cell>
          <cell r="L3572" t="str">
            <v>Judi Online</v>
          </cell>
          <cell r="M3572" t="str">
            <v xml:space="preserve">Kas Kanpus                              </v>
          </cell>
          <cell r="N3572" t="str">
            <v xml:space="preserve">Kas Kanpus                              </v>
          </cell>
          <cell r="O3572" t="str">
            <v xml:space="preserve">KAS KANPUS                              </v>
          </cell>
          <cell r="P3572" t="str">
            <v>Ya</v>
          </cell>
          <cell r="Q3572" t="str">
            <v>Ya</v>
          </cell>
          <cell r="R3572" t="str">
            <v>Done</v>
          </cell>
          <cell r="S3572" t="str">
            <v>Approved</v>
          </cell>
          <cell r="T3572" t="str">
            <v>00394521 - Muhammad Hibbanduta</v>
          </cell>
          <cell r="U3572" t="str">
            <v>"-"</v>
          </cell>
        </row>
        <row r="3573">
          <cell r="A3573">
            <v>46265</v>
          </cell>
          <cell r="B3573" t="str">
            <v xml:space="preserve">LENI MARLINA                            </v>
          </cell>
          <cell r="C3573" t="str">
            <v>LGG2770</v>
          </cell>
          <cell r="D3573">
            <v>63301003154560</v>
          </cell>
          <cell r="E3573" t="str">
            <v>SEDANG</v>
          </cell>
          <cell r="F3573" t="str">
            <v>Tidak</v>
          </cell>
          <cell r="G3573" t="str">
            <v>Tidak</v>
          </cell>
          <cell r="H3573" t="str">
            <v>Tidak</v>
          </cell>
          <cell r="I3573" t="str">
            <v>Bandar Judol Withdrawal</v>
          </cell>
          <cell r="J3573">
            <v>50</v>
          </cell>
          <cell r="K3573" t="str">
            <v>86,88,87</v>
          </cell>
          <cell r="L3573" t="str">
            <v>Judi Online</v>
          </cell>
          <cell r="M3573" t="str">
            <v xml:space="preserve">Kas Kanpus                              </v>
          </cell>
          <cell r="N3573" t="str">
            <v xml:space="preserve">Kas Kanpus                              </v>
          </cell>
          <cell r="O3573" t="str">
            <v xml:space="preserve">KAS KANPUS                              </v>
          </cell>
          <cell r="P3573" t="str">
            <v>Ya</v>
          </cell>
          <cell r="Q3573" t="str">
            <v>Tidak</v>
          </cell>
          <cell r="R3573" t="str">
            <v>Done</v>
          </cell>
          <cell r="S3573" t="str">
            <v>Approved</v>
          </cell>
          <cell r="T3573" t="str">
            <v>90171841 - Rifqi Aziz</v>
          </cell>
          <cell r="U3573" t="str">
            <v>"-"</v>
          </cell>
        </row>
        <row r="3574">
          <cell r="A3574">
            <v>46265</v>
          </cell>
          <cell r="B3574" t="str">
            <v xml:space="preserve">KURNIAWAN                               </v>
          </cell>
          <cell r="C3574" t="str">
            <v>KZH5771</v>
          </cell>
          <cell r="D3574">
            <v>176701012619507</v>
          </cell>
          <cell r="F3574" t="str">
            <v>Tidak</v>
          </cell>
          <cell r="G3574" t="str">
            <v>Tidak</v>
          </cell>
          <cell r="H3574" t="str">
            <v>Tidak</v>
          </cell>
          <cell r="I3574" t="str">
            <v>Bandar Judol Withdrawal</v>
          </cell>
          <cell r="J3574">
            <v>35</v>
          </cell>
          <cell r="K3574" t="str">
            <v>86,88,87</v>
          </cell>
          <cell r="L3574" t="str">
            <v>Judi Online</v>
          </cell>
          <cell r="M3574" t="str">
            <v xml:space="preserve">Kas Kanpus                              </v>
          </cell>
          <cell r="N3574" t="str">
            <v xml:space="preserve">Kas Kanpus                              </v>
          </cell>
          <cell r="O3574" t="str">
            <v xml:space="preserve">KAS KANPUS                              </v>
          </cell>
          <cell r="P3574" t="str">
            <v>Ya</v>
          </cell>
          <cell r="Q3574" t="str">
            <v>Ya</v>
          </cell>
          <cell r="R3574" t="str">
            <v>Done</v>
          </cell>
          <cell r="S3574" t="str">
            <v>Approved</v>
          </cell>
          <cell r="T3574" t="str">
            <v>90150130 - Intan Aida Pratiwi</v>
          </cell>
          <cell r="U3574" t="str">
            <v>"-"</v>
          </cell>
        </row>
        <row r="3575">
          <cell r="A3575">
            <v>46265</v>
          </cell>
          <cell r="B3575" t="str">
            <v xml:space="preserve">KARTIKA                                 </v>
          </cell>
          <cell r="C3575" t="str">
            <v>KYR7539</v>
          </cell>
          <cell r="D3575">
            <v>39901048368504</v>
          </cell>
          <cell r="E3575" t="str">
            <v>SEDANG</v>
          </cell>
          <cell r="F3575" t="str">
            <v>Tidak</v>
          </cell>
          <cell r="G3575" t="str">
            <v>Tidak</v>
          </cell>
          <cell r="H3575" t="str">
            <v>Tidak</v>
          </cell>
          <cell r="I3575" t="str">
            <v>Bandar Judol Depo</v>
          </cell>
          <cell r="J3575">
            <v>50</v>
          </cell>
          <cell r="K3575" t="str">
            <v>86,74,87</v>
          </cell>
          <cell r="L3575" t="str">
            <v>Judi Online</v>
          </cell>
          <cell r="M3575" t="str">
            <v xml:space="preserve">Kas Kanpus                              </v>
          </cell>
          <cell r="N3575" t="str">
            <v xml:space="preserve">Kas Kanpus                              </v>
          </cell>
          <cell r="O3575" t="str">
            <v xml:space="preserve">KAS KANPUS                              </v>
          </cell>
          <cell r="P3575" t="str">
            <v>Ya</v>
          </cell>
          <cell r="Q3575" t="str">
            <v>Ya</v>
          </cell>
          <cell r="R3575" t="str">
            <v>Done</v>
          </cell>
          <cell r="S3575" t="str">
            <v>Approved</v>
          </cell>
          <cell r="T3575" t="str">
            <v>90170665 - Mutiara Ayuningtyas</v>
          </cell>
          <cell r="U3575" t="str">
            <v>"-"</v>
          </cell>
        </row>
        <row r="3576">
          <cell r="A3576">
            <v>46265</v>
          </cell>
          <cell r="B3576" t="str">
            <v xml:space="preserve">KHOERUL IMAM                            </v>
          </cell>
          <cell r="C3576" t="str">
            <v>KSQ7225</v>
          </cell>
          <cell r="D3576">
            <v>37901066425504</v>
          </cell>
          <cell r="E3576" t="str">
            <v>SEDANG</v>
          </cell>
          <cell r="F3576" t="str">
            <v>Tidak</v>
          </cell>
          <cell r="G3576" t="str">
            <v>Tidak</v>
          </cell>
          <cell r="H3576" t="str">
            <v>Tidak</v>
          </cell>
          <cell r="I3576" t="str">
            <v>Bandar Judol Withdrawal</v>
          </cell>
          <cell r="J3576">
            <v>50</v>
          </cell>
          <cell r="K3576" t="str">
            <v>86,88,87</v>
          </cell>
          <cell r="L3576" t="str">
            <v>Judi Online</v>
          </cell>
          <cell r="M3576" t="str">
            <v xml:space="preserve">Kas Kanpus                              </v>
          </cell>
          <cell r="N3576" t="str">
            <v xml:space="preserve">Kas Kanpus                              </v>
          </cell>
          <cell r="O3576" t="str">
            <v xml:space="preserve">KAS KANPUS                              </v>
          </cell>
          <cell r="P3576" t="str">
            <v>Ya</v>
          </cell>
          <cell r="Q3576" t="str">
            <v>Ya</v>
          </cell>
          <cell r="R3576" t="str">
            <v>Done</v>
          </cell>
          <cell r="S3576" t="str">
            <v>Approved</v>
          </cell>
          <cell r="T3576" t="str">
            <v>90171841 - Rifqi Aziz</v>
          </cell>
          <cell r="U3576" t="str">
            <v>"-"</v>
          </cell>
        </row>
        <row r="3577">
          <cell r="A3577">
            <v>46265</v>
          </cell>
          <cell r="B3577" t="str">
            <v xml:space="preserve">KRISHNA YUDHISTIRA                      </v>
          </cell>
          <cell r="C3577" t="str">
            <v>KYD7631</v>
          </cell>
          <cell r="D3577">
            <v>38401002366567</v>
          </cell>
          <cell r="E3577" t="str">
            <v>SEDANG</v>
          </cell>
          <cell r="F3577" t="str">
            <v>Tidak</v>
          </cell>
          <cell r="G3577" t="str">
            <v>Tidak</v>
          </cell>
          <cell r="H3577" t="str">
            <v>Tidak</v>
          </cell>
          <cell r="I3577" t="str">
            <v>Bandar Judol Withdrawal</v>
          </cell>
          <cell r="J3577">
            <v>50</v>
          </cell>
          <cell r="K3577" t="str">
            <v>86,88,87</v>
          </cell>
          <cell r="L3577" t="str">
            <v>Judi Online</v>
          </cell>
          <cell r="M3577" t="str">
            <v xml:space="preserve">Kas Kanpus                              </v>
          </cell>
          <cell r="N3577" t="str">
            <v xml:space="preserve">Kas Kanpus                              </v>
          </cell>
          <cell r="O3577" t="str">
            <v xml:space="preserve">KAS KANPUS                              </v>
          </cell>
          <cell r="P3577" t="str">
            <v>Ya</v>
          </cell>
          <cell r="Q3577" t="str">
            <v>Ya</v>
          </cell>
          <cell r="R3577" t="str">
            <v>Done</v>
          </cell>
          <cell r="S3577" t="str">
            <v>Approved</v>
          </cell>
          <cell r="T3577" t="str">
            <v>90186790 - Muhammad Alfin Farha</v>
          </cell>
          <cell r="U3577" t="str">
            <v>"-"</v>
          </cell>
        </row>
        <row r="3578">
          <cell r="A3578">
            <v>46265</v>
          </cell>
          <cell r="B3578" t="str">
            <v xml:space="preserve">KEVIN CLAIRENO                          </v>
          </cell>
          <cell r="C3578" t="str">
            <v>KYD9139</v>
          </cell>
          <cell r="D3578">
            <v>33201173388504</v>
          </cell>
          <cell r="E3578" t="str">
            <v>SEDANG</v>
          </cell>
          <cell r="F3578" t="str">
            <v>Tidak</v>
          </cell>
          <cell r="G3578" t="str">
            <v>Tidak</v>
          </cell>
          <cell r="H3578" t="str">
            <v>Tidak</v>
          </cell>
          <cell r="I3578" t="str">
            <v>Bandar Judol Withdrawal</v>
          </cell>
          <cell r="J3578">
            <v>50</v>
          </cell>
          <cell r="K3578" t="str">
            <v>86,88,87</v>
          </cell>
          <cell r="L3578" t="str">
            <v>Judi Online</v>
          </cell>
          <cell r="M3578" t="str">
            <v xml:space="preserve">Kas Kanpus                              </v>
          </cell>
          <cell r="N3578" t="str">
            <v xml:space="preserve">Kas Kanpus                              </v>
          </cell>
          <cell r="O3578" t="str">
            <v xml:space="preserve">KAS KANPUS                              </v>
          </cell>
          <cell r="P3578" t="str">
            <v>Ya</v>
          </cell>
          <cell r="Q3578" t="str">
            <v>Ya</v>
          </cell>
          <cell r="R3578" t="str">
            <v>Done</v>
          </cell>
          <cell r="S3578" t="str">
            <v>Approved</v>
          </cell>
          <cell r="T3578" t="str">
            <v>90186796 - Devito Arya Wiradila</v>
          </cell>
          <cell r="U3578" t="str">
            <v>"-"</v>
          </cell>
        </row>
        <row r="3579">
          <cell r="A3579">
            <v>46265</v>
          </cell>
          <cell r="B3579" t="str">
            <v xml:space="preserve">KORNELIUS EUGREATES SODE W              </v>
          </cell>
          <cell r="C3579" t="str">
            <v>KVV1118</v>
          </cell>
          <cell r="D3579">
            <v>115601069553503</v>
          </cell>
          <cell r="E3579" t="str">
            <v>SEDANG</v>
          </cell>
          <cell r="F3579" t="str">
            <v>Tidak</v>
          </cell>
          <cell r="G3579" t="str">
            <v>Tidak</v>
          </cell>
          <cell r="H3579" t="str">
            <v>Tidak</v>
          </cell>
          <cell r="I3579" t="str">
            <v>Bandar Judol Withdrawal</v>
          </cell>
          <cell r="J3579">
            <v>50</v>
          </cell>
          <cell r="K3579" t="str">
            <v>86,88,87</v>
          </cell>
          <cell r="L3579" t="str">
            <v>Judi Online</v>
          </cell>
          <cell r="M3579" t="str">
            <v xml:space="preserve">Kas Kanpus                              </v>
          </cell>
          <cell r="N3579" t="str">
            <v xml:space="preserve">Kas Kanpus                              </v>
          </cell>
          <cell r="O3579" t="str">
            <v xml:space="preserve">KAS KANPUS                              </v>
          </cell>
          <cell r="P3579" t="str">
            <v>Ya</v>
          </cell>
          <cell r="Q3579" t="str">
            <v>Ya</v>
          </cell>
          <cell r="R3579" t="str">
            <v>Done</v>
          </cell>
          <cell r="S3579" t="str">
            <v>Approved</v>
          </cell>
          <cell r="T3579" t="str">
            <v>90185537 - Moh.Khoerul Fajar Ar</v>
          </cell>
          <cell r="U3579" t="str">
            <v>"-"</v>
          </cell>
        </row>
        <row r="3580">
          <cell r="A3580">
            <v>46265</v>
          </cell>
          <cell r="B3580" t="str">
            <v xml:space="preserve">KHOIROTUN NISA                          </v>
          </cell>
          <cell r="C3580" t="str">
            <v>KSP0440</v>
          </cell>
          <cell r="D3580">
            <v>106801011102505</v>
          </cell>
          <cell r="E3580" t="str">
            <v>SEDANG</v>
          </cell>
          <cell r="F3580" t="str">
            <v>Tidak</v>
          </cell>
          <cell r="G3580" t="str">
            <v>Tidak</v>
          </cell>
          <cell r="H3580" t="str">
            <v>Tidak</v>
          </cell>
          <cell r="I3580" t="str">
            <v>Bandar Judol Withdrawal</v>
          </cell>
          <cell r="J3580">
            <v>50</v>
          </cell>
          <cell r="K3580" t="str">
            <v>86,88,87</v>
          </cell>
          <cell r="L3580" t="str">
            <v>Judi Online</v>
          </cell>
          <cell r="M3580" t="str">
            <v xml:space="preserve">Kas Kanpus                              </v>
          </cell>
          <cell r="N3580" t="str">
            <v xml:space="preserve">Kas Kanpus                              </v>
          </cell>
          <cell r="O3580" t="str">
            <v xml:space="preserve">KAS KANPUS                              </v>
          </cell>
          <cell r="P3580" t="str">
            <v>Ya</v>
          </cell>
          <cell r="Q3580" t="str">
            <v>Ya</v>
          </cell>
          <cell r="R3580" t="str">
            <v>Done</v>
          </cell>
          <cell r="S3580" t="str">
            <v>Approved</v>
          </cell>
          <cell r="T3580" t="str">
            <v>90186790 - Muhammad Alfin Farha</v>
          </cell>
          <cell r="U3580" t="str">
            <v>"-"</v>
          </cell>
        </row>
        <row r="3581">
          <cell r="A3581">
            <v>46265</v>
          </cell>
          <cell r="B3581" t="str">
            <v xml:space="preserve">KHALIFAH BILLAL SALLAM                  </v>
          </cell>
          <cell r="C3581" t="str">
            <v>KRV5638</v>
          </cell>
          <cell r="D3581">
            <v>86801007595501</v>
          </cell>
          <cell r="E3581" t="str">
            <v>SEDANG</v>
          </cell>
          <cell r="F3581" t="str">
            <v>Tidak</v>
          </cell>
          <cell r="G3581" t="str">
            <v>Tidak</v>
          </cell>
          <cell r="H3581" t="str">
            <v>Tidak</v>
          </cell>
          <cell r="I3581" t="str">
            <v>Bandar Judol Withdrawal</v>
          </cell>
          <cell r="J3581">
            <v>50</v>
          </cell>
          <cell r="K3581" t="str">
            <v>86,88,87</v>
          </cell>
          <cell r="L3581" t="str">
            <v>Judi Online</v>
          </cell>
          <cell r="M3581" t="str">
            <v xml:space="preserve">Kas Kanpus                              </v>
          </cell>
          <cell r="N3581" t="str">
            <v xml:space="preserve">Kas Kanpus                              </v>
          </cell>
          <cell r="O3581" t="str">
            <v xml:space="preserve">KAS KANPUS                              </v>
          </cell>
          <cell r="P3581" t="str">
            <v>Ya</v>
          </cell>
          <cell r="Q3581" t="str">
            <v>Ya</v>
          </cell>
          <cell r="R3581" t="str">
            <v>Done</v>
          </cell>
          <cell r="S3581" t="str">
            <v>Approved</v>
          </cell>
          <cell r="T3581" t="str">
            <v>90170665 - Mutiara Ayuningtyas</v>
          </cell>
          <cell r="U3581" t="str">
            <v>"-"</v>
          </cell>
        </row>
        <row r="3582">
          <cell r="A3582">
            <v>46265</v>
          </cell>
          <cell r="B3582" t="str">
            <v xml:space="preserve">MUJIBURRAHMAN                           </v>
          </cell>
          <cell r="C3582" t="str">
            <v>MBFDQ73</v>
          </cell>
          <cell r="D3582">
            <v>505301037798533</v>
          </cell>
          <cell r="E3582" t="str">
            <v>SEDANG</v>
          </cell>
          <cell r="F3582" t="str">
            <v>Tidak</v>
          </cell>
          <cell r="G3582" t="str">
            <v>Tidak</v>
          </cell>
          <cell r="H3582" t="str">
            <v>Tidak</v>
          </cell>
          <cell r="I3582" t="str">
            <v>Bandar Judol Depo</v>
          </cell>
          <cell r="J3582">
            <v>50</v>
          </cell>
          <cell r="K3582" t="str">
            <v>86,74,87</v>
          </cell>
          <cell r="L3582" t="str">
            <v>Judi Online</v>
          </cell>
          <cell r="M3582" t="str">
            <v xml:space="preserve">Kas Kanpus                              </v>
          </cell>
          <cell r="N3582" t="str">
            <v xml:space="preserve">Kas Kanpus                              </v>
          </cell>
          <cell r="O3582" t="str">
            <v xml:space="preserve">KAS KANPUS                              </v>
          </cell>
          <cell r="P3582" t="str">
            <v>Tidak</v>
          </cell>
          <cell r="Q3582" t="str">
            <v>Ya</v>
          </cell>
          <cell r="R3582" t="str">
            <v>Done</v>
          </cell>
          <cell r="S3582" t="str">
            <v>Approved</v>
          </cell>
          <cell r="T3582" t="str">
            <v>90186790 - Muhammad Alfin Farha</v>
          </cell>
          <cell r="U3582" t="str">
            <v>"-"</v>
          </cell>
        </row>
        <row r="3583">
          <cell r="A3583">
            <v>46265</v>
          </cell>
          <cell r="B3583" t="str">
            <v xml:space="preserve">M HENDRA                                </v>
          </cell>
          <cell r="C3583" t="str">
            <v>MBGCD66</v>
          </cell>
          <cell r="D3583">
            <v>34201002872568</v>
          </cell>
          <cell r="E3583" t="str">
            <v>SEDANG</v>
          </cell>
          <cell r="F3583" t="str">
            <v>Tidak</v>
          </cell>
          <cell r="G3583" t="str">
            <v>Tidak</v>
          </cell>
          <cell r="H3583" t="str">
            <v>Tidak</v>
          </cell>
          <cell r="I3583" t="str">
            <v>Bandar Judol Withdrawal</v>
          </cell>
          <cell r="J3583">
            <v>50</v>
          </cell>
          <cell r="K3583" t="str">
            <v>86,88,87</v>
          </cell>
          <cell r="L3583" t="str">
            <v>Judi Online</v>
          </cell>
          <cell r="M3583" t="str">
            <v xml:space="preserve">Kas Kanpus                              </v>
          </cell>
          <cell r="N3583" t="str">
            <v xml:space="preserve">Kas Kanpus                              </v>
          </cell>
          <cell r="O3583" t="str">
            <v xml:space="preserve">KAS KANPUS                              </v>
          </cell>
          <cell r="P3583" t="str">
            <v>Ya</v>
          </cell>
          <cell r="Q3583" t="str">
            <v>Ya</v>
          </cell>
          <cell r="R3583" t="str">
            <v>Done</v>
          </cell>
          <cell r="S3583" t="str">
            <v>Approved</v>
          </cell>
          <cell r="T3583" t="str">
            <v>00394520 - Frida Akbar Rani</v>
          </cell>
          <cell r="U3583" t="str">
            <v>"-"</v>
          </cell>
        </row>
        <row r="3584">
          <cell r="A3584">
            <v>46265</v>
          </cell>
          <cell r="B3584" t="str">
            <v xml:space="preserve">MHD ZAKI AULADI                         </v>
          </cell>
          <cell r="C3584" t="str">
            <v>MBHWU33</v>
          </cell>
          <cell r="D3584">
            <v>531101000015560</v>
          </cell>
          <cell r="E3584" t="str">
            <v>SEDANG</v>
          </cell>
          <cell r="F3584" t="str">
            <v>Tidak</v>
          </cell>
          <cell r="G3584" t="str">
            <v>Tidak</v>
          </cell>
          <cell r="H3584" t="str">
            <v>Tidak</v>
          </cell>
          <cell r="I3584" t="str">
            <v>Bandar Judol Withdrawal</v>
          </cell>
          <cell r="J3584">
            <v>50</v>
          </cell>
          <cell r="K3584" t="str">
            <v>86,88,87</v>
          </cell>
          <cell r="L3584" t="str">
            <v>Judi Online</v>
          </cell>
          <cell r="M3584" t="str">
            <v xml:space="preserve">Kas Kanpus                              </v>
          </cell>
          <cell r="N3584" t="str">
            <v xml:space="preserve">Kas Kanpus                              </v>
          </cell>
          <cell r="O3584" t="str">
            <v xml:space="preserve">KAS KANPUS                              </v>
          </cell>
          <cell r="P3584" t="str">
            <v>Ya</v>
          </cell>
          <cell r="Q3584" t="str">
            <v>Ya</v>
          </cell>
          <cell r="R3584" t="str">
            <v>Done</v>
          </cell>
          <cell r="S3584" t="str">
            <v>Approved</v>
          </cell>
          <cell r="T3584" t="str">
            <v>00336949 - Mochammad Al Farabi</v>
          </cell>
          <cell r="U3584" t="str">
            <v>"-"</v>
          </cell>
        </row>
        <row r="3585">
          <cell r="A3585">
            <v>46265</v>
          </cell>
          <cell r="B3585" t="str">
            <v xml:space="preserve">MUHAMMAD ISHAK                          </v>
          </cell>
          <cell r="C3585" t="str">
            <v>MAWU042</v>
          </cell>
          <cell r="D3585">
            <v>381901033207532</v>
          </cell>
          <cell r="E3585" t="str">
            <v>SEDANG</v>
          </cell>
          <cell r="F3585" t="str">
            <v>Tidak</v>
          </cell>
          <cell r="G3585" t="str">
            <v>Tidak</v>
          </cell>
          <cell r="H3585" t="str">
            <v>Tidak</v>
          </cell>
          <cell r="I3585" t="str">
            <v>Bandar Judol Depo</v>
          </cell>
          <cell r="J3585">
            <v>50</v>
          </cell>
          <cell r="K3585" t="str">
            <v>86,74,87</v>
          </cell>
          <cell r="L3585" t="str">
            <v>Judi Online</v>
          </cell>
          <cell r="M3585" t="str">
            <v xml:space="preserve">Kas Kanpus                              </v>
          </cell>
          <cell r="N3585" t="str">
            <v xml:space="preserve">Kas Kanpus                              </v>
          </cell>
          <cell r="O3585" t="str">
            <v xml:space="preserve">KAS KANPUS                              </v>
          </cell>
          <cell r="P3585" t="str">
            <v>Tidak</v>
          </cell>
          <cell r="Q3585" t="str">
            <v>Ya</v>
          </cell>
          <cell r="R3585" t="str">
            <v>Done</v>
          </cell>
          <cell r="S3585" t="str">
            <v>Approved</v>
          </cell>
          <cell r="T3585" t="str">
            <v>90171841 - Rifqi Aziz</v>
          </cell>
          <cell r="U3585" t="str">
            <v>"-"</v>
          </cell>
        </row>
        <row r="3586">
          <cell r="A3586">
            <v>46265</v>
          </cell>
          <cell r="B3586" t="str">
            <v xml:space="preserve">MUHAMMAD JAJANG INDRA SAPUTRA           </v>
          </cell>
          <cell r="C3586" t="str">
            <v>MBDX607</v>
          </cell>
          <cell r="D3586">
            <v>13701193656509</v>
          </cell>
          <cell r="E3586" t="str">
            <v>SEDANG</v>
          </cell>
          <cell r="F3586" t="str">
            <v>Tidak</v>
          </cell>
          <cell r="G3586" t="str">
            <v>Tidak</v>
          </cell>
          <cell r="H3586" t="str">
            <v>Tidak</v>
          </cell>
          <cell r="I3586" t="str">
            <v>Bandar Judol Withdrawal</v>
          </cell>
          <cell r="J3586">
            <v>50</v>
          </cell>
          <cell r="K3586" t="str">
            <v>86,88,87</v>
          </cell>
          <cell r="L3586" t="str">
            <v>Judi Online</v>
          </cell>
          <cell r="M3586" t="str">
            <v xml:space="preserve">Kas Kanpus                              </v>
          </cell>
          <cell r="N3586" t="str">
            <v xml:space="preserve">Kas Kanpus                              </v>
          </cell>
          <cell r="O3586" t="str">
            <v xml:space="preserve">KAS KANPUS                              </v>
          </cell>
          <cell r="P3586" t="str">
            <v>Ya</v>
          </cell>
          <cell r="Q3586" t="str">
            <v>Ya</v>
          </cell>
          <cell r="R3586" t="str">
            <v>Done</v>
          </cell>
          <cell r="S3586" t="str">
            <v>Approved</v>
          </cell>
          <cell r="T3586" t="str">
            <v>90185537 - Moh.Khoerul Fajar Ar</v>
          </cell>
          <cell r="U3586" t="str">
            <v>"-"</v>
          </cell>
        </row>
        <row r="3587">
          <cell r="A3587">
            <v>46265</v>
          </cell>
          <cell r="B3587" t="str">
            <v xml:space="preserve">MUHAMMAD PUTRA                          </v>
          </cell>
          <cell r="C3587" t="str">
            <v>MAKKE95</v>
          </cell>
          <cell r="D3587">
            <v>23801001768565</v>
          </cell>
          <cell r="E3587" t="str">
            <v>SEDANG</v>
          </cell>
          <cell r="F3587" t="str">
            <v>Tidak</v>
          </cell>
          <cell r="G3587" t="str">
            <v>Tidak</v>
          </cell>
          <cell r="H3587" t="str">
            <v>Tidak</v>
          </cell>
          <cell r="I3587" t="str">
            <v>Bandar Judol Withdrawal</v>
          </cell>
          <cell r="J3587">
            <v>50</v>
          </cell>
          <cell r="K3587" t="str">
            <v>86,88,87</v>
          </cell>
          <cell r="L3587" t="str">
            <v>Judi Online</v>
          </cell>
          <cell r="M3587" t="str">
            <v xml:space="preserve">Kas Kanpus                              </v>
          </cell>
          <cell r="N3587" t="str">
            <v xml:space="preserve">Kas Kanpus                              </v>
          </cell>
          <cell r="O3587" t="str">
            <v xml:space="preserve">KAS KANPUS                              </v>
          </cell>
          <cell r="P3587" t="str">
            <v>Ya</v>
          </cell>
          <cell r="Q3587" t="str">
            <v>Ya</v>
          </cell>
          <cell r="R3587" t="str">
            <v>Done</v>
          </cell>
          <cell r="S3587" t="str">
            <v>Approved</v>
          </cell>
          <cell r="T3587" t="str">
            <v>90185538 - Muhammad Fahikal Auz</v>
          </cell>
          <cell r="U3587" t="str">
            <v>"-"</v>
          </cell>
        </row>
        <row r="3588">
          <cell r="A3588">
            <v>46265</v>
          </cell>
          <cell r="B3588" t="str">
            <v xml:space="preserve">MARIA AGUSTINA HUMOEN                   </v>
          </cell>
          <cell r="C3588" t="str">
            <v>MAKIE91</v>
          </cell>
          <cell r="D3588">
            <v>43801003316564</v>
          </cell>
          <cell r="E3588" t="str">
            <v>SEDANG</v>
          </cell>
          <cell r="F3588" t="str">
            <v>Tidak</v>
          </cell>
          <cell r="G3588" t="str">
            <v>Tidak</v>
          </cell>
          <cell r="H3588" t="str">
            <v>Tidak</v>
          </cell>
          <cell r="I3588" t="str">
            <v>Bandar Judol Depo</v>
          </cell>
          <cell r="J3588">
            <v>50</v>
          </cell>
          <cell r="K3588" t="str">
            <v>86,74,87</v>
          </cell>
          <cell r="L3588" t="str">
            <v>Judi Online</v>
          </cell>
          <cell r="M3588" t="str">
            <v xml:space="preserve">Kas Kanpus                              </v>
          </cell>
          <cell r="N3588" t="str">
            <v xml:space="preserve">Kas Kanpus                              </v>
          </cell>
          <cell r="O3588" t="str">
            <v xml:space="preserve">KAS KANPUS                              </v>
          </cell>
          <cell r="P3588" t="str">
            <v>Ya</v>
          </cell>
          <cell r="Q3588" t="str">
            <v>Ya</v>
          </cell>
          <cell r="R3588" t="str">
            <v>Done</v>
          </cell>
          <cell r="S3588" t="str">
            <v>Approved</v>
          </cell>
          <cell r="T3588" t="str">
            <v>90186796 - Devito Arya Wiradila</v>
          </cell>
          <cell r="U3588" t="str">
            <v>"-"</v>
          </cell>
        </row>
        <row r="3589">
          <cell r="A3589">
            <v>46265</v>
          </cell>
          <cell r="B3589" t="str">
            <v xml:space="preserve">MAYSARAH                                </v>
          </cell>
          <cell r="C3589" t="str">
            <v>MAJHN52</v>
          </cell>
          <cell r="D3589">
            <v>109201050946505</v>
          </cell>
          <cell r="E3589" t="str">
            <v>SEDANG</v>
          </cell>
          <cell r="F3589" t="str">
            <v>Tidak</v>
          </cell>
          <cell r="G3589" t="str">
            <v>Tidak</v>
          </cell>
          <cell r="H3589" t="str">
            <v>Tidak</v>
          </cell>
          <cell r="I3589" t="str">
            <v>Bandar Judol Depo</v>
          </cell>
          <cell r="J3589">
            <v>50</v>
          </cell>
          <cell r="K3589" t="str">
            <v>86,74,87</v>
          </cell>
          <cell r="L3589" t="str">
            <v>Judi Online</v>
          </cell>
          <cell r="M3589" t="str">
            <v xml:space="preserve">Kas Kanpus                              </v>
          </cell>
          <cell r="N3589" t="str">
            <v xml:space="preserve">Kas Kanpus                              </v>
          </cell>
          <cell r="O3589" t="str">
            <v xml:space="preserve">KAS KANPUS                              </v>
          </cell>
          <cell r="P3589" t="str">
            <v>Ya</v>
          </cell>
          <cell r="Q3589" t="str">
            <v>Ya</v>
          </cell>
          <cell r="R3589" t="str">
            <v>Done</v>
          </cell>
          <cell r="S3589" t="str">
            <v>Approved</v>
          </cell>
          <cell r="T3589" t="str">
            <v>90186790 - Muhammad Alfin Farha</v>
          </cell>
          <cell r="U3589" t="str">
            <v>"-"</v>
          </cell>
        </row>
        <row r="3590">
          <cell r="A3590">
            <v>46265</v>
          </cell>
          <cell r="B3590" t="str">
            <v xml:space="preserve">M. RIDWAN MAULANA                       </v>
          </cell>
          <cell r="C3590" t="str">
            <v>MBWOZ07</v>
          </cell>
          <cell r="D3590">
            <v>112901009002531</v>
          </cell>
          <cell r="E3590" t="str">
            <v>SEDANG</v>
          </cell>
          <cell r="F3590" t="str">
            <v>Tidak</v>
          </cell>
          <cell r="G3590" t="str">
            <v>Tidak</v>
          </cell>
          <cell r="H3590" t="str">
            <v>Tidak</v>
          </cell>
          <cell r="I3590" t="str">
            <v>Bandar Judol Withdrawal</v>
          </cell>
          <cell r="J3590">
            <v>50</v>
          </cell>
          <cell r="K3590" t="str">
            <v>86,88,87</v>
          </cell>
          <cell r="L3590" t="str">
            <v>Judi Online</v>
          </cell>
          <cell r="M3590" t="str">
            <v xml:space="preserve">Kas Kanpus                              </v>
          </cell>
          <cell r="N3590" t="str">
            <v xml:space="preserve">Kas Kanpus                              </v>
          </cell>
          <cell r="O3590" t="str">
            <v xml:space="preserve">KAS KANPUS                              </v>
          </cell>
          <cell r="P3590" t="str">
            <v>Ya</v>
          </cell>
          <cell r="Q3590" t="str">
            <v>Ya</v>
          </cell>
          <cell r="R3590" t="str">
            <v>Done</v>
          </cell>
          <cell r="S3590" t="str">
            <v>Approved</v>
          </cell>
          <cell r="T3590" t="str">
            <v>90150130 - Intan Aida Pratiwi</v>
          </cell>
          <cell r="U3590" t="str">
            <v>"-"</v>
          </cell>
        </row>
        <row r="3591">
          <cell r="A3591">
            <v>46265</v>
          </cell>
          <cell r="B3591" t="str">
            <v xml:space="preserve">MAHMUDAH                                </v>
          </cell>
          <cell r="C3591" t="str">
            <v>MBWTB56</v>
          </cell>
          <cell r="D3591">
            <v>360001011834502</v>
          </cell>
          <cell r="E3591" t="str">
            <v>SEDANG</v>
          </cell>
          <cell r="F3591" t="str">
            <v>Tidak</v>
          </cell>
          <cell r="G3591" t="str">
            <v>Tidak</v>
          </cell>
          <cell r="H3591" t="str">
            <v>Tidak</v>
          </cell>
          <cell r="I3591" t="str">
            <v>Narkotika - Area Lapas</v>
          </cell>
          <cell r="J3591">
            <v>48</v>
          </cell>
          <cell r="K3591">
            <v>46</v>
          </cell>
          <cell r="L3591" t="str">
            <v>Narkotika</v>
          </cell>
          <cell r="M3591" t="str">
            <v>UNIT AMUNTAI TENGAH</v>
          </cell>
          <cell r="N3591" t="str">
            <v>KC Amuntai</v>
          </cell>
          <cell r="O3591" t="str">
            <v>Banjarmasin</v>
          </cell>
          <cell r="P3591" t="str">
            <v>Tidak</v>
          </cell>
          <cell r="Q3591" t="str">
            <v>Tidak</v>
          </cell>
          <cell r="R3591" t="str">
            <v>Done</v>
          </cell>
          <cell r="S3591" t="str">
            <v>Approved</v>
          </cell>
          <cell r="T3591" t="str">
            <v>90185537 - Moh.Khoerul Fajar Ar</v>
          </cell>
          <cell r="U3591" t="str">
            <v>"-"</v>
          </cell>
        </row>
        <row r="3592">
          <cell r="A3592">
            <v>46265</v>
          </cell>
          <cell r="B3592" t="str">
            <v xml:space="preserve">MUHAMAD IKMAL                           </v>
          </cell>
          <cell r="C3592" t="str">
            <v>MBXST20</v>
          </cell>
          <cell r="D3592">
            <v>722301016233501</v>
          </cell>
          <cell r="E3592" t="str">
            <v>SEDANG</v>
          </cell>
          <cell r="F3592" t="str">
            <v>Tidak</v>
          </cell>
          <cell r="G3592" t="str">
            <v>Tidak</v>
          </cell>
          <cell r="H3592" t="str">
            <v>Tidak</v>
          </cell>
          <cell r="I3592" t="str">
            <v>Bandar Judol Withdrawal</v>
          </cell>
          <cell r="J3592">
            <v>50</v>
          </cell>
          <cell r="K3592" t="str">
            <v>86,88,87</v>
          </cell>
          <cell r="L3592" t="str">
            <v>Judi Online</v>
          </cell>
          <cell r="M3592" t="str">
            <v xml:space="preserve">Kas Kanpus                              </v>
          </cell>
          <cell r="N3592" t="str">
            <v xml:space="preserve">Kas Kanpus                              </v>
          </cell>
          <cell r="O3592" t="str">
            <v xml:space="preserve">KAS KANPUS                              </v>
          </cell>
          <cell r="P3592" t="str">
            <v>Ya</v>
          </cell>
          <cell r="Q3592" t="str">
            <v>Ya</v>
          </cell>
          <cell r="R3592" t="str">
            <v>Done</v>
          </cell>
          <cell r="S3592" t="str">
            <v>Approved</v>
          </cell>
          <cell r="T3592" t="str">
            <v>90170665 - Mutiara Ayuningtyas</v>
          </cell>
          <cell r="U3592" t="str">
            <v>"-"</v>
          </cell>
        </row>
        <row r="3593">
          <cell r="A3593">
            <v>46265</v>
          </cell>
          <cell r="B3593" t="str">
            <v xml:space="preserve">MARBINTO NGAJI                          </v>
          </cell>
          <cell r="C3593" t="str">
            <v>MBXYJ20</v>
          </cell>
          <cell r="D3593">
            <v>33101107836509</v>
          </cell>
          <cell r="E3593" t="str">
            <v>SEDANG</v>
          </cell>
          <cell r="F3593" t="str">
            <v>Tidak</v>
          </cell>
          <cell r="G3593" t="str">
            <v>Tidak</v>
          </cell>
          <cell r="H3593" t="str">
            <v>Tidak</v>
          </cell>
          <cell r="I3593" t="str">
            <v>Bandar Judol Depo</v>
          </cell>
          <cell r="J3593">
            <v>50</v>
          </cell>
          <cell r="K3593" t="str">
            <v>86,74,87</v>
          </cell>
          <cell r="L3593" t="str">
            <v>Judi Online</v>
          </cell>
          <cell r="M3593" t="str">
            <v xml:space="preserve">Kas Kanpus                              </v>
          </cell>
          <cell r="N3593" t="str">
            <v xml:space="preserve">Kas Kanpus                              </v>
          </cell>
          <cell r="O3593" t="str">
            <v xml:space="preserve">KAS KANPUS                              </v>
          </cell>
          <cell r="P3593" t="str">
            <v>Ya</v>
          </cell>
          <cell r="Q3593" t="str">
            <v>Ya</v>
          </cell>
          <cell r="R3593" t="str">
            <v>Done</v>
          </cell>
          <cell r="S3593" t="str">
            <v>Approved</v>
          </cell>
          <cell r="T3593" t="str">
            <v>90185538 - Muhammad Fahikal Auz</v>
          </cell>
          <cell r="U3593" t="str">
            <v>"-"</v>
          </cell>
        </row>
        <row r="3594">
          <cell r="A3594">
            <v>46265</v>
          </cell>
          <cell r="B3594" t="str">
            <v xml:space="preserve">MISWANTO                                </v>
          </cell>
          <cell r="C3594" t="str">
            <v>MBYDO03</v>
          </cell>
          <cell r="D3594">
            <v>5301161308506</v>
          </cell>
          <cell r="E3594" t="str">
            <v>SEDANG</v>
          </cell>
          <cell r="F3594" t="str">
            <v>Tidak</v>
          </cell>
          <cell r="G3594" t="str">
            <v>Tidak</v>
          </cell>
          <cell r="H3594" t="str">
            <v>Tidak</v>
          </cell>
          <cell r="I3594" t="str">
            <v>Bandar Judol Withdrawal</v>
          </cell>
          <cell r="J3594">
            <v>50</v>
          </cell>
          <cell r="K3594" t="str">
            <v>86,88,87</v>
          </cell>
          <cell r="L3594" t="str">
            <v>Judi Online</v>
          </cell>
          <cell r="M3594" t="str">
            <v xml:space="preserve">Kas Kanpus                              </v>
          </cell>
          <cell r="N3594" t="str">
            <v xml:space="preserve">Kas Kanpus                              </v>
          </cell>
          <cell r="O3594" t="str">
            <v xml:space="preserve">KAS KANPUS                              </v>
          </cell>
          <cell r="P3594" t="str">
            <v>Ya</v>
          </cell>
          <cell r="Q3594" t="str">
            <v>Ya</v>
          </cell>
          <cell r="R3594" t="str">
            <v>Done</v>
          </cell>
          <cell r="S3594" t="str">
            <v>Approved</v>
          </cell>
          <cell r="T3594" t="str">
            <v>00394521 - Muhammad Hibbanduta</v>
          </cell>
          <cell r="U3594" t="str">
            <v>"-"</v>
          </cell>
        </row>
        <row r="3595">
          <cell r="A3595">
            <v>46265</v>
          </cell>
          <cell r="B3595" t="str">
            <v xml:space="preserve">MOH ROMLI SAPUTRA                       </v>
          </cell>
          <cell r="C3595" t="str">
            <v>MBYOP82</v>
          </cell>
          <cell r="D3595">
            <v>113401024153506</v>
          </cell>
          <cell r="E3595" t="str">
            <v>SEDANG</v>
          </cell>
          <cell r="F3595" t="str">
            <v>Tidak</v>
          </cell>
          <cell r="G3595" t="str">
            <v>Tidak</v>
          </cell>
          <cell r="H3595" t="str">
            <v>Tidak</v>
          </cell>
          <cell r="I3595" t="str">
            <v>Bandar Judol Withdrawal</v>
          </cell>
          <cell r="J3595">
            <v>50</v>
          </cell>
          <cell r="K3595" t="str">
            <v>86,88,87</v>
          </cell>
          <cell r="L3595" t="str">
            <v>Judi Online</v>
          </cell>
          <cell r="M3595" t="str">
            <v xml:space="preserve">Kas Kanpus                              </v>
          </cell>
          <cell r="N3595" t="str">
            <v xml:space="preserve">Kas Kanpus                              </v>
          </cell>
          <cell r="O3595" t="str">
            <v xml:space="preserve">KAS KANPUS                              </v>
          </cell>
          <cell r="P3595" t="str">
            <v>Ya</v>
          </cell>
          <cell r="Q3595" t="str">
            <v>Ya</v>
          </cell>
          <cell r="R3595" t="str">
            <v>Done</v>
          </cell>
          <cell r="S3595" t="str">
            <v>Approved</v>
          </cell>
          <cell r="T3595" t="str">
            <v>90171841 - Rifqi Aziz</v>
          </cell>
          <cell r="U3595" t="str">
            <v>"-"</v>
          </cell>
        </row>
        <row r="3596">
          <cell r="A3596">
            <v>46265</v>
          </cell>
          <cell r="B3596" t="str">
            <v xml:space="preserve">MUNAWAR                                 </v>
          </cell>
          <cell r="C3596" t="str">
            <v>MBYPU30</v>
          </cell>
          <cell r="D3596">
            <v>44501001804562</v>
          </cell>
          <cell r="E3596" t="str">
            <v>SEDANG</v>
          </cell>
          <cell r="F3596" t="str">
            <v>Tidak</v>
          </cell>
          <cell r="G3596" t="str">
            <v>Tidak</v>
          </cell>
          <cell r="H3596" t="str">
            <v>Tidak</v>
          </cell>
          <cell r="I3596" t="str">
            <v>Bandar Judol Withdrawal</v>
          </cell>
          <cell r="J3596">
            <v>50</v>
          </cell>
          <cell r="K3596" t="str">
            <v>86,88,87</v>
          </cell>
          <cell r="L3596" t="str">
            <v>Judi Online</v>
          </cell>
          <cell r="M3596" t="str">
            <v xml:space="preserve">Kas Kanpus                              </v>
          </cell>
          <cell r="N3596" t="str">
            <v xml:space="preserve">Kas Kanpus                              </v>
          </cell>
          <cell r="O3596" t="str">
            <v xml:space="preserve">KAS KANPUS                              </v>
          </cell>
          <cell r="P3596" t="str">
            <v>Ya</v>
          </cell>
          <cell r="Q3596" t="str">
            <v>Ya</v>
          </cell>
          <cell r="R3596" t="str">
            <v>Done</v>
          </cell>
          <cell r="S3596" t="str">
            <v>Approved</v>
          </cell>
          <cell r="T3596" t="str">
            <v>90186796 - Devito Arya Wiradila</v>
          </cell>
          <cell r="U3596" t="str">
            <v>"-"</v>
          </cell>
        </row>
        <row r="3597">
          <cell r="A3597">
            <v>46265</v>
          </cell>
          <cell r="B3597" t="str">
            <v xml:space="preserve">MUHAMAD RIZKI                           </v>
          </cell>
          <cell r="C3597" t="str">
            <v>MBSF617</v>
          </cell>
          <cell r="D3597">
            <v>91501000033567</v>
          </cell>
          <cell r="E3597" t="str">
            <v>SEDANG</v>
          </cell>
          <cell r="F3597" t="str">
            <v>Tidak</v>
          </cell>
          <cell r="G3597" t="str">
            <v>Tidak</v>
          </cell>
          <cell r="H3597" t="str">
            <v>Tidak</v>
          </cell>
          <cell r="I3597" t="str">
            <v>Bandar Judol Withdrawal</v>
          </cell>
          <cell r="J3597">
            <v>50</v>
          </cell>
          <cell r="K3597" t="str">
            <v>86,88,87</v>
          </cell>
          <cell r="L3597" t="str">
            <v>Judi Online</v>
          </cell>
          <cell r="M3597" t="str">
            <v xml:space="preserve">Kas Kanpus                              </v>
          </cell>
          <cell r="N3597" t="str">
            <v xml:space="preserve">Kas Kanpus                              </v>
          </cell>
          <cell r="O3597" t="str">
            <v xml:space="preserve">KAS KANPUS                              </v>
          </cell>
          <cell r="P3597" t="str">
            <v>Ya</v>
          </cell>
          <cell r="Q3597" t="str">
            <v>Ya</v>
          </cell>
          <cell r="R3597" t="str">
            <v>Done</v>
          </cell>
          <cell r="S3597" t="str">
            <v>Approved</v>
          </cell>
          <cell r="T3597" t="str">
            <v>90170665 - Mutiara Ayuningtyas</v>
          </cell>
          <cell r="U3597" t="str">
            <v>"-"</v>
          </cell>
        </row>
        <row r="3598">
          <cell r="A3598">
            <v>46265</v>
          </cell>
          <cell r="B3598" t="str">
            <v xml:space="preserve">MURTINI                                 </v>
          </cell>
          <cell r="C3598" t="str">
            <v>MBTF937</v>
          </cell>
          <cell r="D3598">
            <v>334501049891534</v>
          </cell>
          <cell r="E3598" t="str">
            <v>SEDANG</v>
          </cell>
          <cell r="F3598" t="str">
            <v>Tidak</v>
          </cell>
          <cell r="G3598" t="str">
            <v>Tidak</v>
          </cell>
          <cell r="H3598" t="str">
            <v>Ya</v>
          </cell>
          <cell r="I3598" t="str">
            <v>Bandar Judol Withdrawal</v>
          </cell>
          <cell r="J3598">
            <v>50</v>
          </cell>
          <cell r="K3598" t="str">
            <v>86,88,87</v>
          </cell>
          <cell r="L3598" t="str">
            <v>Judi Online</v>
          </cell>
          <cell r="M3598" t="str">
            <v xml:space="preserve">Kas Kanpus                              </v>
          </cell>
          <cell r="N3598" t="str">
            <v xml:space="preserve">Kas Kanpus                              </v>
          </cell>
          <cell r="O3598" t="str">
            <v xml:space="preserve">KAS KANPUS                              </v>
          </cell>
          <cell r="P3598" t="str">
            <v>Ya</v>
          </cell>
          <cell r="Q3598" t="str">
            <v>Tidak</v>
          </cell>
          <cell r="R3598" t="str">
            <v>Done</v>
          </cell>
          <cell r="S3598" t="str">
            <v>Approved</v>
          </cell>
          <cell r="T3598" t="str">
            <v>90170665 - Mutiara Ayuningtyas</v>
          </cell>
          <cell r="U3598" t="str">
            <v>"-"</v>
          </cell>
        </row>
        <row r="3599">
          <cell r="A3599">
            <v>46265</v>
          </cell>
          <cell r="B3599" t="str">
            <v xml:space="preserve">MAULIDINASARI                           </v>
          </cell>
          <cell r="C3599" t="str">
            <v>MBQOF30</v>
          </cell>
          <cell r="D3599">
            <v>529701000014564</v>
          </cell>
          <cell r="E3599" t="str">
            <v>SEDANG</v>
          </cell>
          <cell r="F3599" t="str">
            <v>Tidak</v>
          </cell>
          <cell r="G3599" t="str">
            <v>Tidak</v>
          </cell>
          <cell r="H3599" t="str">
            <v>Tidak</v>
          </cell>
          <cell r="I3599" t="str">
            <v>Bandar Judol Withdrawal</v>
          </cell>
          <cell r="J3599">
            <v>50</v>
          </cell>
          <cell r="K3599" t="str">
            <v>86,88,87</v>
          </cell>
          <cell r="L3599" t="str">
            <v>Judi Online</v>
          </cell>
          <cell r="M3599" t="str">
            <v xml:space="preserve">Kas Kanpus                              </v>
          </cell>
          <cell r="N3599" t="str">
            <v xml:space="preserve">Kas Kanpus                              </v>
          </cell>
          <cell r="O3599" t="str">
            <v xml:space="preserve">KAS KANPUS                              </v>
          </cell>
          <cell r="P3599" t="str">
            <v>Ya</v>
          </cell>
          <cell r="Q3599" t="str">
            <v>Ya</v>
          </cell>
          <cell r="R3599" t="str">
            <v>Done</v>
          </cell>
          <cell r="S3599" t="str">
            <v>Approved</v>
          </cell>
          <cell r="T3599" t="str">
            <v>90186796 - Devito Arya Wiradila</v>
          </cell>
          <cell r="U3599" t="str">
            <v>"-"</v>
          </cell>
        </row>
        <row r="3600">
          <cell r="A3600">
            <v>46265</v>
          </cell>
          <cell r="B3600" t="str">
            <v xml:space="preserve">MOCHAMAD ROFIC                          </v>
          </cell>
          <cell r="C3600" t="str">
            <v>MCFLA01</v>
          </cell>
          <cell r="D3600">
            <v>370501000020566</v>
          </cell>
          <cell r="E3600" t="str">
            <v>SEDANG</v>
          </cell>
          <cell r="F3600" t="str">
            <v>Tidak</v>
          </cell>
          <cell r="G3600" t="str">
            <v>Tidak</v>
          </cell>
          <cell r="H3600" t="str">
            <v>Tidak</v>
          </cell>
          <cell r="I3600" t="str">
            <v>Bandar Judol Depo</v>
          </cell>
          <cell r="J3600">
            <v>50</v>
          </cell>
          <cell r="K3600" t="str">
            <v>86,74,87</v>
          </cell>
          <cell r="L3600" t="str">
            <v>Judi Online</v>
          </cell>
          <cell r="M3600" t="str">
            <v xml:space="preserve">Kas Kanpus                              </v>
          </cell>
          <cell r="N3600" t="str">
            <v xml:space="preserve">Kas Kanpus                              </v>
          </cell>
          <cell r="O3600" t="str">
            <v xml:space="preserve">KAS KANPUS                              </v>
          </cell>
          <cell r="P3600" t="str">
            <v>Ya</v>
          </cell>
          <cell r="Q3600" t="str">
            <v>Ya</v>
          </cell>
          <cell r="R3600" t="str">
            <v>Done</v>
          </cell>
          <cell r="S3600" t="str">
            <v>Approved</v>
          </cell>
          <cell r="T3600" t="str">
            <v>90185538 - Muhammad Fahikal Auz</v>
          </cell>
          <cell r="U3600" t="str">
            <v>"-"</v>
          </cell>
        </row>
        <row r="3601">
          <cell r="A3601">
            <v>46265</v>
          </cell>
          <cell r="B3601" t="str">
            <v xml:space="preserve">M.SULAIMAN                              </v>
          </cell>
          <cell r="C3601" t="str">
            <v>MCFOP92</v>
          </cell>
          <cell r="D3601">
            <v>224801000364569</v>
          </cell>
          <cell r="E3601" t="str">
            <v>SEDANG</v>
          </cell>
          <cell r="F3601" t="str">
            <v>Tidak</v>
          </cell>
          <cell r="G3601" t="str">
            <v>Tidak</v>
          </cell>
          <cell r="H3601" t="str">
            <v>Tidak</v>
          </cell>
          <cell r="I3601" t="str">
            <v>Judi Online</v>
          </cell>
          <cell r="J3601">
            <v>50</v>
          </cell>
          <cell r="K3601" t="str">
            <v>73,76,34,74,6</v>
          </cell>
          <cell r="L3601" t="str">
            <v>Judi Online</v>
          </cell>
          <cell r="M3601" t="str">
            <v xml:space="preserve">Kas Kanpus                              </v>
          </cell>
          <cell r="N3601" t="str">
            <v xml:space="preserve">Kas Kanpus                              </v>
          </cell>
          <cell r="O3601" t="str">
            <v xml:space="preserve">KAS KANPUS                              </v>
          </cell>
          <cell r="P3601" t="str">
            <v>Ya</v>
          </cell>
          <cell r="Q3601" t="str">
            <v>Ya</v>
          </cell>
          <cell r="R3601" t="str">
            <v>Done</v>
          </cell>
          <cell r="S3601" t="str">
            <v>Approved</v>
          </cell>
          <cell r="T3601" t="str">
            <v>00394520 - Frida Akbar Rani</v>
          </cell>
          <cell r="U3601" t="str">
            <v>"-"</v>
          </cell>
        </row>
        <row r="3602">
          <cell r="A3602">
            <v>46265</v>
          </cell>
          <cell r="B3602" t="str">
            <v xml:space="preserve">M.SULAIMAN                              </v>
          </cell>
          <cell r="C3602" t="str">
            <v>MCFOP92</v>
          </cell>
          <cell r="D3602">
            <v>224801000364569</v>
          </cell>
          <cell r="E3602" t="str">
            <v>SEDANG</v>
          </cell>
          <cell r="F3602" t="str">
            <v>Tidak</v>
          </cell>
          <cell r="G3602" t="str">
            <v>Tidak</v>
          </cell>
          <cell r="H3602" t="str">
            <v>Tidak</v>
          </cell>
          <cell r="I3602" t="str">
            <v>Bandar Judol Depo</v>
          </cell>
          <cell r="J3602">
            <v>50</v>
          </cell>
          <cell r="K3602" t="str">
            <v>86,74,87</v>
          </cell>
          <cell r="L3602" t="str">
            <v>Judi Online</v>
          </cell>
          <cell r="M3602" t="str">
            <v xml:space="preserve">Kas Kanpus                              </v>
          </cell>
          <cell r="N3602" t="str">
            <v xml:space="preserve">Kas Kanpus                              </v>
          </cell>
          <cell r="O3602" t="str">
            <v xml:space="preserve">KAS KANPUS                              </v>
          </cell>
          <cell r="P3602" t="str">
            <v>Ya</v>
          </cell>
          <cell r="Q3602" t="str">
            <v>Ya</v>
          </cell>
          <cell r="R3602" t="str">
            <v>Done</v>
          </cell>
          <cell r="S3602" t="str">
            <v>Approved</v>
          </cell>
          <cell r="T3602" t="str">
            <v>90170665 - Mutiara Ayuningtyas</v>
          </cell>
          <cell r="U3602" t="str">
            <v>"-"</v>
          </cell>
        </row>
        <row r="3603">
          <cell r="A3603">
            <v>46265</v>
          </cell>
          <cell r="B3603" t="str">
            <v xml:space="preserve">MARLENA BR TARIGAN                      </v>
          </cell>
          <cell r="C3603" t="str">
            <v>MCGB952</v>
          </cell>
          <cell r="D3603">
            <v>782801018468532</v>
          </cell>
          <cell r="E3603" t="str">
            <v>SEDANG</v>
          </cell>
          <cell r="F3603" t="str">
            <v>Tidak</v>
          </cell>
          <cell r="G3603" t="str">
            <v>Tidak</v>
          </cell>
          <cell r="H3603" t="str">
            <v>Tidak</v>
          </cell>
          <cell r="I3603" t="str">
            <v>Bandar Judol Withdrawal</v>
          </cell>
          <cell r="J3603">
            <v>50</v>
          </cell>
          <cell r="K3603" t="str">
            <v>86,88,87</v>
          </cell>
          <cell r="L3603" t="str">
            <v>Judi Online</v>
          </cell>
          <cell r="M3603" t="str">
            <v xml:space="preserve">Kas Kanpus                              </v>
          </cell>
          <cell r="N3603" t="str">
            <v xml:space="preserve">Kas Kanpus                              </v>
          </cell>
          <cell r="O3603" t="str">
            <v xml:space="preserve">KAS KANPUS                              </v>
          </cell>
          <cell r="P3603" t="str">
            <v>Ya</v>
          </cell>
          <cell r="Q3603" t="str">
            <v>Ya</v>
          </cell>
          <cell r="R3603" t="str">
            <v>Done</v>
          </cell>
          <cell r="S3603" t="str">
            <v>Approved</v>
          </cell>
          <cell r="T3603" t="str">
            <v>90186796 - Devito Arya Wiradila</v>
          </cell>
          <cell r="U3603" t="str">
            <v>"-"</v>
          </cell>
        </row>
        <row r="3604">
          <cell r="A3604">
            <v>46265</v>
          </cell>
          <cell r="B3604" t="str">
            <v xml:space="preserve">MUHAMAD ANDRI                           </v>
          </cell>
          <cell r="C3604" t="str">
            <v>MCBZK90</v>
          </cell>
          <cell r="D3604">
            <v>50901004969567</v>
          </cell>
          <cell r="E3604" t="str">
            <v>SEDANG</v>
          </cell>
          <cell r="F3604" t="str">
            <v>Tidak</v>
          </cell>
          <cell r="G3604" t="str">
            <v>Tidak</v>
          </cell>
          <cell r="H3604" t="str">
            <v>Tidak</v>
          </cell>
          <cell r="I3604" t="str">
            <v>Bandar Judol Withdrawal</v>
          </cell>
          <cell r="J3604">
            <v>50</v>
          </cell>
          <cell r="K3604" t="str">
            <v>86,88,87</v>
          </cell>
          <cell r="L3604" t="str">
            <v>Judi Online</v>
          </cell>
          <cell r="M3604" t="str">
            <v xml:space="preserve">Kas Kanpus                              </v>
          </cell>
          <cell r="N3604" t="str">
            <v xml:space="preserve">Kas Kanpus                              </v>
          </cell>
          <cell r="O3604" t="str">
            <v xml:space="preserve">KAS KANPUS                              </v>
          </cell>
          <cell r="P3604" t="str">
            <v>Ya</v>
          </cell>
          <cell r="Q3604" t="str">
            <v>Ya</v>
          </cell>
          <cell r="R3604" t="str">
            <v>Done</v>
          </cell>
          <cell r="S3604" t="str">
            <v>Approved</v>
          </cell>
          <cell r="T3604" t="str">
            <v>90171841 - Rifqi Aziz</v>
          </cell>
          <cell r="U3604" t="str">
            <v>"-"</v>
          </cell>
        </row>
        <row r="3605">
          <cell r="A3605">
            <v>46265</v>
          </cell>
          <cell r="B3605" t="str">
            <v xml:space="preserve">M SOPIANIL ILHAM                        </v>
          </cell>
          <cell r="C3605" t="str">
            <v>MBTOV67</v>
          </cell>
          <cell r="D3605">
            <v>1901190033502</v>
          </cell>
          <cell r="E3605" t="str">
            <v>SEDANG</v>
          </cell>
          <cell r="F3605" t="str">
            <v>Tidak</v>
          </cell>
          <cell r="G3605" t="str">
            <v>Tidak</v>
          </cell>
          <cell r="H3605" t="str">
            <v>Tidak</v>
          </cell>
          <cell r="I3605" t="str">
            <v>Bandar Judol Withdrawal</v>
          </cell>
          <cell r="J3605">
            <v>50</v>
          </cell>
          <cell r="K3605" t="str">
            <v>86,88,87</v>
          </cell>
          <cell r="L3605" t="str">
            <v>Judi Online</v>
          </cell>
          <cell r="M3605" t="str">
            <v xml:space="preserve">Kas Kanpus                              </v>
          </cell>
          <cell r="N3605" t="str">
            <v xml:space="preserve">Kas Kanpus                              </v>
          </cell>
          <cell r="O3605" t="str">
            <v xml:space="preserve">KAS KANPUS                              </v>
          </cell>
          <cell r="P3605" t="str">
            <v>Ya</v>
          </cell>
          <cell r="Q3605" t="str">
            <v>Ya</v>
          </cell>
          <cell r="R3605" t="str">
            <v>Done</v>
          </cell>
          <cell r="S3605" t="str">
            <v>Approved</v>
          </cell>
          <cell r="T3605" t="str">
            <v>90185538 - Muhammad Fahikal Auz</v>
          </cell>
          <cell r="U3605" t="str">
            <v>"-"</v>
          </cell>
        </row>
        <row r="3606">
          <cell r="A3606">
            <v>46265</v>
          </cell>
          <cell r="B3606" t="str">
            <v xml:space="preserve">M NUR RAHMATULLAH                       </v>
          </cell>
          <cell r="C3606" t="str">
            <v>MBTQY26</v>
          </cell>
          <cell r="D3606">
            <v>38601002177568</v>
          </cell>
          <cell r="E3606" t="str">
            <v>SEDANG</v>
          </cell>
          <cell r="F3606" t="str">
            <v>Tidak</v>
          </cell>
          <cell r="G3606" t="str">
            <v>Tidak</v>
          </cell>
          <cell r="H3606" t="str">
            <v>Tidak</v>
          </cell>
          <cell r="I3606" t="str">
            <v>Bandar Judol Depo</v>
          </cell>
          <cell r="J3606">
            <v>50</v>
          </cell>
          <cell r="K3606" t="str">
            <v>86,74,87</v>
          </cell>
          <cell r="L3606" t="str">
            <v>Judi Online</v>
          </cell>
          <cell r="M3606" t="str">
            <v xml:space="preserve">Kas Kanpus                              </v>
          </cell>
          <cell r="N3606" t="str">
            <v xml:space="preserve">Kas Kanpus                              </v>
          </cell>
          <cell r="O3606" t="str">
            <v xml:space="preserve">KAS KANPUS                              </v>
          </cell>
          <cell r="P3606" t="str">
            <v>Ya</v>
          </cell>
          <cell r="Q3606" t="str">
            <v>Ya</v>
          </cell>
          <cell r="R3606" t="str">
            <v>Done</v>
          </cell>
          <cell r="S3606" t="str">
            <v>Approved</v>
          </cell>
          <cell r="T3606" t="str">
            <v>90170665 - Mutiara Ayuningtyas</v>
          </cell>
          <cell r="U3606" t="str">
            <v>"-"</v>
          </cell>
        </row>
        <row r="3607">
          <cell r="A3607">
            <v>46265</v>
          </cell>
          <cell r="B3607" t="str">
            <v xml:space="preserve">M RIZKY NURDIANSYAH                     </v>
          </cell>
          <cell r="C3607" t="str">
            <v>MCBQV97</v>
          </cell>
          <cell r="D3607">
            <v>529901004870504</v>
          </cell>
          <cell r="E3607" t="str">
            <v>SEDANG</v>
          </cell>
          <cell r="F3607" t="str">
            <v>Tidak</v>
          </cell>
          <cell r="G3607" t="str">
            <v>Tidak</v>
          </cell>
          <cell r="H3607" t="str">
            <v>Tidak</v>
          </cell>
          <cell r="I3607" t="str">
            <v>Bandar Judol Withdrawal</v>
          </cell>
          <cell r="J3607">
            <v>50</v>
          </cell>
          <cell r="K3607" t="str">
            <v>86,88,87</v>
          </cell>
          <cell r="L3607" t="str">
            <v>Judi Online</v>
          </cell>
          <cell r="M3607" t="str">
            <v xml:space="preserve">Kas Kanpus                              </v>
          </cell>
          <cell r="N3607" t="str">
            <v xml:space="preserve">Kas Kanpus                              </v>
          </cell>
          <cell r="O3607" t="str">
            <v xml:space="preserve">KAS KANPUS                              </v>
          </cell>
          <cell r="P3607" t="str">
            <v>Ya</v>
          </cell>
          <cell r="Q3607" t="str">
            <v>Ya</v>
          </cell>
          <cell r="R3607" t="str">
            <v>Done</v>
          </cell>
          <cell r="S3607" t="str">
            <v>Approved</v>
          </cell>
          <cell r="T3607" t="str">
            <v>90185537 - Moh.Khoerul Fajar Ar</v>
          </cell>
          <cell r="U3607" t="str">
            <v>"-"</v>
          </cell>
        </row>
        <row r="3608">
          <cell r="A3608">
            <v>46265</v>
          </cell>
          <cell r="B3608" t="str">
            <v xml:space="preserve">MUHAMMAD RINDRA JUDIKA                  </v>
          </cell>
          <cell r="C3608" t="str">
            <v>MBVOY10</v>
          </cell>
          <cell r="D3608">
            <v>91101011829507</v>
          </cell>
          <cell r="E3608" t="str">
            <v>SEDANG</v>
          </cell>
          <cell r="F3608" t="str">
            <v>Tidak</v>
          </cell>
          <cell r="G3608" t="str">
            <v>Tidak</v>
          </cell>
          <cell r="H3608" t="str">
            <v>Tidak</v>
          </cell>
          <cell r="I3608" t="str">
            <v>Bandar Judol Depo</v>
          </cell>
          <cell r="J3608">
            <v>50</v>
          </cell>
          <cell r="K3608" t="str">
            <v>86,74,87</v>
          </cell>
          <cell r="L3608" t="str">
            <v>Judi Online</v>
          </cell>
          <cell r="M3608" t="str">
            <v xml:space="preserve">Kas Kanpus                              </v>
          </cell>
          <cell r="N3608" t="str">
            <v xml:space="preserve">Kas Kanpus                              </v>
          </cell>
          <cell r="O3608" t="str">
            <v xml:space="preserve">KAS KANPUS                              </v>
          </cell>
          <cell r="P3608" t="str">
            <v>Tidak</v>
          </cell>
          <cell r="Q3608" t="str">
            <v>Ya</v>
          </cell>
          <cell r="R3608" t="str">
            <v>Done</v>
          </cell>
          <cell r="S3608" t="str">
            <v>Approved</v>
          </cell>
          <cell r="T3608" t="str">
            <v>90170665 - Mutiara Ayuningtyas</v>
          </cell>
          <cell r="U3608" t="str">
            <v>"-"</v>
          </cell>
        </row>
        <row r="3609">
          <cell r="A3609">
            <v>46265</v>
          </cell>
          <cell r="B3609" t="str">
            <v xml:space="preserve">MUHAMMAD LUPTI SANJA                    </v>
          </cell>
          <cell r="C3609" t="str">
            <v>MBVUJ86</v>
          </cell>
          <cell r="D3609">
            <v>12001002072566</v>
          </cell>
          <cell r="E3609" t="str">
            <v>SEDANG</v>
          </cell>
          <cell r="F3609" t="str">
            <v>Tidak</v>
          </cell>
          <cell r="G3609" t="str">
            <v>Tidak</v>
          </cell>
          <cell r="H3609" t="str">
            <v>Tidak</v>
          </cell>
          <cell r="I3609" t="str">
            <v>Bandar Judol Depo</v>
          </cell>
          <cell r="J3609">
            <v>50</v>
          </cell>
          <cell r="K3609" t="str">
            <v>86,74,87</v>
          </cell>
          <cell r="L3609" t="str">
            <v>Judi Online</v>
          </cell>
          <cell r="M3609" t="str">
            <v xml:space="preserve">Kas Kanpus                              </v>
          </cell>
          <cell r="N3609" t="str">
            <v xml:space="preserve">Kas Kanpus                              </v>
          </cell>
          <cell r="O3609" t="str">
            <v xml:space="preserve">KAS KANPUS                              </v>
          </cell>
          <cell r="P3609" t="str">
            <v>Ya</v>
          </cell>
          <cell r="Q3609" t="str">
            <v>Ya</v>
          </cell>
          <cell r="R3609" t="str">
            <v>Done</v>
          </cell>
          <cell r="S3609" t="str">
            <v>Approved</v>
          </cell>
          <cell r="T3609" t="str">
            <v>90186796 - Devito Arya Wiradila</v>
          </cell>
          <cell r="U3609" t="str">
            <v>"-"</v>
          </cell>
        </row>
        <row r="3610">
          <cell r="A3610">
            <v>46265</v>
          </cell>
          <cell r="B3610" t="str">
            <v xml:space="preserve">MARLEY PERRY FRANS                      </v>
          </cell>
          <cell r="C3610" t="str">
            <v>MAEYL32</v>
          </cell>
          <cell r="D3610">
            <v>101001670565</v>
          </cell>
          <cell r="E3610" t="str">
            <v>SEDANG</v>
          </cell>
          <cell r="F3610" t="str">
            <v>Tidak</v>
          </cell>
          <cell r="G3610" t="str">
            <v>Tidak</v>
          </cell>
          <cell r="H3610" t="str">
            <v>Tidak</v>
          </cell>
          <cell r="I3610" t="str">
            <v>Bandar Judol Depo</v>
          </cell>
          <cell r="J3610">
            <v>50</v>
          </cell>
          <cell r="K3610" t="str">
            <v>86,74,87</v>
          </cell>
          <cell r="L3610" t="str">
            <v>Judi Online</v>
          </cell>
          <cell r="M3610" t="str">
            <v xml:space="preserve">Kas Kanpus                              </v>
          </cell>
          <cell r="N3610" t="str">
            <v xml:space="preserve">Kas Kanpus                              </v>
          </cell>
          <cell r="O3610" t="str">
            <v xml:space="preserve">KAS KANPUS                              </v>
          </cell>
          <cell r="P3610" t="str">
            <v>Ya</v>
          </cell>
          <cell r="Q3610" t="str">
            <v>Ya</v>
          </cell>
          <cell r="R3610" t="str">
            <v>Done</v>
          </cell>
          <cell r="S3610" t="str">
            <v>Approved</v>
          </cell>
          <cell r="T3610" t="str">
            <v>90185537 - Moh.Khoerul Fajar Ar</v>
          </cell>
          <cell r="U3610" t="str">
            <v>"-"</v>
          </cell>
        </row>
        <row r="3611">
          <cell r="A3611">
            <v>46265</v>
          </cell>
          <cell r="B3611" t="str">
            <v xml:space="preserve">MARJUKI                                 </v>
          </cell>
          <cell r="C3611" t="str">
            <v>MAFVD19</v>
          </cell>
          <cell r="D3611">
            <v>62101007362538</v>
          </cell>
          <cell r="E3611" t="str">
            <v>SEDANG</v>
          </cell>
          <cell r="F3611" t="str">
            <v>Tidak</v>
          </cell>
          <cell r="G3611" t="str">
            <v>Tidak</v>
          </cell>
          <cell r="H3611" t="str">
            <v>Tidak</v>
          </cell>
          <cell r="I3611" t="str">
            <v>Bandar Judol Depo</v>
          </cell>
          <cell r="J3611">
            <v>50</v>
          </cell>
          <cell r="K3611" t="str">
            <v>86,74,87</v>
          </cell>
          <cell r="L3611" t="str">
            <v>Judi Online</v>
          </cell>
          <cell r="M3611" t="str">
            <v xml:space="preserve">Kas Kanpus                              </v>
          </cell>
          <cell r="N3611" t="str">
            <v xml:space="preserve">Kas Kanpus                              </v>
          </cell>
          <cell r="O3611" t="str">
            <v xml:space="preserve">KAS KANPUS                              </v>
          </cell>
          <cell r="P3611" t="str">
            <v>Tidak</v>
          </cell>
          <cell r="Q3611" t="str">
            <v>Ya</v>
          </cell>
          <cell r="R3611" t="str">
            <v>Done</v>
          </cell>
          <cell r="S3611" t="str">
            <v>Approved</v>
          </cell>
          <cell r="T3611" t="str">
            <v>00336949 - Mochammad Al Farabi</v>
          </cell>
          <cell r="U3611" t="str">
            <v>"-"</v>
          </cell>
        </row>
        <row r="3612">
          <cell r="A3612">
            <v>46265</v>
          </cell>
          <cell r="B3612" t="str">
            <v xml:space="preserve">MERYANTO                                </v>
          </cell>
          <cell r="C3612" t="str">
            <v>MAFYL67</v>
          </cell>
          <cell r="D3612">
            <v>140801000202560</v>
          </cell>
          <cell r="E3612" t="str">
            <v>SEDANG</v>
          </cell>
          <cell r="F3612" t="str">
            <v>Tidak</v>
          </cell>
          <cell r="G3612" t="str">
            <v>Tidak</v>
          </cell>
          <cell r="H3612" t="str">
            <v>Tidak</v>
          </cell>
          <cell r="I3612" t="str">
            <v>Bandar Judol Withdrawal</v>
          </cell>
          <cell r="J3612">
            <v>50</v>
          </cell>
          <cell r="K3612" t="str">
            <v>86,88,87</v>
          </cell>
          <cell r="L3612" t="str">
            <v>Judi Online</v>
          </cell>
          <cell r="M3612" t="str">
            <v xml:space="preserve">Kas Kanpus                              </v>
          </cell>
          <cell r="N3612" t="str">
            <v xml:space="preserve">Kas Kanpus                              </v>
          </cell>
          <cell r="O3612" t="str">
            <v xml:space="preserve">KAS KANPUS                              </v>
          </cell>
          <cell r="P3612" t="str">
            <v>Ya</v>
          </cell>
          <cell r="Q3612" t="str">
            <v>Ya</v>
          </cell>
          <cell r="R3612" t="str">
            <v>Done</v>
          </cell>
          <cell r="S3612" t="str">
            <v>Approved</v>
          </cell>
          <cell r="T3612" t="str">
            <v>90170665 - Mutiara Ayuningtyas</v>
          </cell>
          <cell r="U3612" t="str">
            <v>"-"</v>
          </cell>
        </row>
        <row r="3613">
          <cell r="A3613">
            <v>46265</v>
          </cell>
          <cell r="B3613" t="str">
            <v xml:space="preserve">MUHAMMAD RIZKY                          </v>
          </cell>
          <cell r="C3613" t="str">
            <v>MAEPM32</v>
          </cell>
          <cell r="D3613">
            <v>384801063957534</v>
          </cell>
          <cell r="E3613" t="str">
            <v>SEDANG</v>
          </cell>
          <cell r="F3613" t="str">
            <v>Tidak</v>
          </cell>
          <cell r="G3613" t="str">
            <v>Tidak</v>
          </cell>
          <cell r="H3613" t="str">
            <v>Tidak</v>
          </cell>
          <cell r="I3613" t="str">
            <v>Bandar Judol Withdrawal</v>
          </cell>
          <cell r="J3613">
            <v>50</v>
          </cell>
          <cell r="K3613" t="str">
            <v>86,88,87</v>
          </cell>
          <cell r="L3613" t="str">
            <v>Judi Online</v>
          </cell>
          <cell r="M3613" t="str">
            <v xml:space="preserve">Kas Kanpus                              </v>
          </cell>
          <cell r="N3613" t="str">
            <v xml:space="preserve">Kas Kanpus                              </v>
          </cell>
          <cell r="O3613" t="str">
            <v xml:space="preserve">KAS KANPUS                              </v>
          </cell>
          <cell r="P3613" t="str">
            <v>Ya</v>
          </cell>
          <cell r="Q3613" t="str">
            <v>Ya</v>
          </cell>
          <cell r="R3613" t="str">
            <v>Done</v>
          </cell>
          <cell r="S3613" t="str">
            <v>Approved</v>
          </cell>
          <cell r="T3613" t="str">
            <v>90170665 - Mutiara Ayuningtyas</v>
          </cell>
          <cell r="U3613" t="str">
            <v>"-"</v>
          </cell>
        </row>
        <row r="3614">
          <cell r="A3614">
            <v>46265</v>
          </cell>
          <cell r="B3614" t="str">
            <v xml:space="preserve">LEO NARDO MARKUS                        </v>
          </cell>
          <cell r="C3614" t="str">
            <v>LKR4622</v>
          </cell>
          <cell r="D3614">
            <v>1901229559506</v>
          </cell>
          <cell r="F3614" t="str">
            <v>Tidak</v>
          </cell>
          <cell r="G3614" t="str">
            <v>Tidak</v>
          </cell>
          <cell r="H3614" t="str">
            <v>Tidak</v>
          </cell>
          <cell r="I3614" t="str">
            <v>Bandar Judol Withdrawal</v>
          </cell>
          <cell r="J3614">
            <v>35</v>
          </cell>
          <cell r="K3614" t="str">
            <v>86,88,87</v>
          </cell>
          <cell r="L3614" t="str">
            <v>Judi Online</v>
          </cell>
          <cell r="M3614" t="str">
            <v xml:space="preserve">Kas Kanpus                              </v>
          </cell>
          <cell r="N3614" t="str">
            <v xml:space="preserve">Kas Kanpus                              </v>
          </cell>
          <cell r="O3614" t="str">
            <v xml:space="preserve">KAS KANPUS                              </v>
          </cell>
          <cell r="P3614" t="str">
            <v>Ya</v>
          </cell>
          <cell r="Q3614" t="str">
            <v>Ya</v>
          </cell>
          <cell r="R3614" t="str">
            <v>Done</v>
          </cell>
          <cell r="S3614" t="str">
            <v>Approved</v>
          </cell>
          <cell r="T3614" t="str">
            <v>90186796 - Devito Arya Wiradila</v>
          </cell>
          <cell r="U3614" t="str">
            <v>"-"</v>
          </cell>
        </row>
        <row r="3615">
          <cell r="A3615">
            <v>46265</v>
          </cell>
          <cell r="B3615" t="str">
            <v xml:space="preserve">LOVELY DEVITASARI                       </v>
          </cell>
          <cell r="C3615" t="str">
            <v>LKO8487</v>
          </cell>
          <cell r="D3615">
            <v>8601188895501</v>
          </cell>
          <cell r="F3615" t="str">
            <v>Tidak</v>
          </cell>
          <cell r="G3615" t="str">
            <v>Tidak</v>
          </cell>
          <cell r="H3615" t="str">
            <v>Tidak</v>
          </cell>
          <cell r="I3615" t="str">
            <v>Bandar Judol Depo</v>
          </cell>
          <cell r="J3615">
            <v>35</v>
          </cell>
          <cell r="K3615" t="str">
            <v>86,74,87</v>
          </cell>
          <cell r="L3615" t="str">
            <v>Judi Online</v>
          </cell>
          <cell r="M3615" t="str">
            <v xml:space="preserve">Kas Kanpus                              </v>
          </cell>
          <cell r="N3615" t="str">
            <v xml:space="preserve">Kas Kanpus                              </v>
          </cell>
          <cell r="O3615" t="str">
            <v xml:space="preserve">KAS KANPUS                              </v>
          </cell>
          <cell r="P3615" t="str">
            <v>Ya</v>
          </cell>
          <cell r="Q3615" t="str">
            <v>Ya</v>
          </cell>
          <cell r="R3615" t="str">
            <v>Done</v>
          </cell>
          <cell r="S3615" t="str">
            <v>Approved</v>
          </cell>
          <cell r="T3615" t="str">
            <v>90170665 - Mutiara Ayuningtyas</v>
          </cell>
          <cell r="U3615" t="str">
            <v>"-"</v>
          </cell>
        </row>
        <row r="3616">
          <cell r="A3616">
            <v>46265</v>
          </cell>
          <cell r="B3616" t="str">
            <v xml:space="preserve">LENI GUMULYA                            </v>
          </cell>
          <cell r="C3616" t="str">
            <v>LM90764</v>
          </cell>
          <cell r="D3616">
            <v>553701034879534</v>
          </cell>
          <cell r="E3616" t="str">
            <v>SEDANG</v>
          </cell>
          <cell r="F3616" t="str">
            <v>Ya</v>
          </cell>
          <cell r="G3616" t="str">
            <v>Tidak</v>
          </cell>
          <cell r="H3616" t="str">
            <v>Tidak</v>
          </cell>
          <cell r="I3616" t="str">
            <v>Perpajakan</v>
          </cell>
          <cell r="J3616">
            <v>60</v>
          </cell>
          <cell r="K3616">
            <v>1.33</v>
          </cell>
          <cell r="L3616" t="str">
            <v>Perpajakan</v>
          </cell>
          <cell r="M3616" t="str">
            <v xml:space="preserve">UNIT SUNGAI DAREH DHARMASRAYA           </v>
          </cell>
          <cell r="N3616" t="str">
            <v xml:space="preserve">KC Dharmasraya                          </v>
          </cell>
          <cell r="O3616" t="str">
            <v xml:space="preserve">Padang                                  </v>
          </cell>
          <cell r="P3616" t="str">
            <v>Tidak</v>
          </cell>
          <cell r="Q3616" t="str">
            <v>Tidak</v>
          </cell>
          <cell r="R3616" t="str">
            <v>Done</v>
          </cell>
          <cell r="S3616" t="str">
            <v>Approved</v>
          </cell>
          <cell r="T3616" t="str">
            <v>00394520 - Frida Akbar Rani</v>
          </cell>
          <cell r="U3616" t="str">
            <v>"-"</v>
          </cell>
        </row>
        <row r="3617">
          <cell r="A3617">
            <v>46265</v>
          </cell>
          <cell r="B3617" t="str">
            <v xml:space="preserve">MUHAMAD ALDI                            </v>
          </cell>
          <cell r="C3617" t="str">
            <v>MAANM39</v>
          </cell>
          <cell r="D3617">
            <v>33201157375507</v>
          </cell>
          <cell r="E3617" t="str">
            <v>SEDANG</v>
          </cell>
          <cell r="F3617" t="str">
            <v>Tidak</v>
          </cell>
          <cell r="G3617" t="str">
            <v>Tidak</v>
          </cell>
          <cell r="H3617" t="str">
            <v>Tidak</v>
          </cell>
          <cell r="I3617" t="str">
            <v>Bandar Judol Depo</v>
          </cell>
          <cell r="J3617">
            <v>50</v>
          </cell>
          <cell r="K3617" t="str">
            <v>86,74,87</v>
          </cell>
          <cell r="L3617" t="str">
            <v>Judi Online</v>
          </cell>
          <cell r="M3617" t="str">
            <v xml:space="preserve">Kas Kanpus                              </v>
          </cell>
          <cell r="N3617" t="str">
            <v xml:space="preserve">Kas Kanpus                              </v>
          </cell>
          <cell r="O3617" t="str">
            <v xml:space="preserve">KAS KANPUS                              </v>
          </cell>
          <cell r="P3617" t="str">
            <v>Ya</v>
          </cell>
          <cell r="Q3617" t="str">
            <v>Ya</v>
          </cell>
          <cell r="R3617" t="str">
            <v>Done</v>
          </cell>
          <cell r="S3617" t="str">
            <v>Approved</v>
          </cell>
          <cell r="T3617" t="str">
            <v>90171841 - Rifqi Aziz</v>
          </cell>
          <cell r="U3617" t="str">
            <v>"-"</v>
          </cell>
        </row>
        <row r="3618">
          <cell r="A3618">
            <v>46265</v>
          </cell>
          <cell r="B3618" t="str">
            <v xml:space="preserve">M TOMMI                                 </v>
          </cell>
          <cell r="C3618" t="str">
            <v>MABXO16</v>
          </cell>
          <cell r="D3618">
            <v>108301016656505</v>
          </cell>
          <cell r="E3618" t="str">
            <v>SEDANG</v>
          </cell>
          <cell r="F3618" t="str">
            <v>Tidak</v>
          </cell>
          <cell r="G3618" t="str">
            <v>Tidak</v>
          </cell>
          <cell r="H3618" t="str">
            <v>Ya</v>
          </cell>
          <cell r="I3618" t="str">
            <v>Bandar Judol Depo</v>
          </cell>
          <cell r="J3618">
            <v>50</v>
          </cell>
          <cell r="K3618" t="str">
            <v>86,74,87</v>
          </cell>
          <cell r="L3618" t="str">
            <v>Judi Online</v>
          </cell>
          <cell r="M3618" t="str">
            <v xml:space="preserve">Kas Kanpus                              </v>
          </cell>
          <cell r="N3618" t="str">
            <v xml:space="preserve">Kas Kanpus                              </v>
          </cell>
          <cell r="O3618" t="str">
            <v xml:space="preserve">KAS KANPUS                              </v>
          </cell>
          <cell r="P3618" t="str">
            <v>Ya</v>
          </cell>
          <cell r="Q3618" t="str">
            <v>Ya</v>
          </cell>
          <cell r="R3618" t="str">
            <v>Done</v>
          </cell>
          <cell r="S3618" t="str">
            <v>Approved</v>
          </cell>
          <cell r="T3618" t="str">
            <v>90171841 - Rifqi Aziz</v>
          </cell>
          <cell r="U3618" t="str">
            <v>"-"</v>
          </cell>
        </row>
        <row r="3619">
          <cell r="A3619">
            <v>46265</v>
          </cell>
          <cell r="B3619" t="str">
            <v xml:space="preserve">M NUR BALADI RIPADA                     </v>
          </cell>
          <cell r="C3619" t="str">
            <v>MABYE78</v>
          </cell>
          <cell r="D3619">
            <v>12901002357564</v>
          </cell>
          <cell r="E3619" t="str">
            <v>SEDANG</v>
          </cell>
          <cell r="F3619" t="str">
            <v>Tidak</v>
          </cell>
          <cell r="G3619" t="str">
            <v>Tidak</v>
          </cell>
          <cell r="H3619" t="str">
            <v>Tidak</v>
          </cell>
          <cell r="I3619" t="str">
            <v>Bandar Judol Withdrawal</v>
          </cell>
          <cell r="J3619">
            <v>50</v>
          </cell>
          <cell r="K3619" t="str">
            <v>86,88,87</v>
          </cell>
          <cell r="L3619" t="str">
            <v>Judi Online</v>
          </cell>
          <cell r="M3619" t="str">
            <v xml:space="preserve">Kas Kanpus                              </v>
          </cell>
          <cell r="N3619" t="str">
            <v xml:space="preserve">Kas Kanpus                              </v>
          </cell>
          <cell r="O3619" t="str">
            <v xml:space="preserve">KAS KANPUS                              </v>
          </cell>
          <cell r="P3619" t="str">
            <v>Tidak</v>
          </cell>
          <cell r="Q3619" t="str">
            <v>Ya</v>
          </cell>
          <cell r="R3619" t="str">
            <v>Done</v>
          </cell>
          <cell r="S3619" t="str">
            <v>Approved</v>
          </cell>
          <cell r="T3619" t="str">
            <v>00336949 - Mochammad Al Farabi</v>
          </cell>
          <cell r="U3619" t="str">
            <v>"-"</v>
          </cell>
        </row>
        <row r="3620">
          <cell r="A3620">
            <v>46265</v>
          </cell>
          <cell r="B3620" t="str">
            <v xml:space="preserve">LI LI                                   </v>
          </cell>
          <cell r="C3620" t="str">
            <v>LR08128</v>
          </cell>
          <cell r="D3620">
            <v>383401032265533</v>
          </cell>
          <cell r="E3620" t="str">
            <v>SEDANG</v>
          </cell>
          <cell r="F3620" t="str">
            <v>Tidak</v>
          </cell>
          <cell r="G3620" t="str">
            <v>Tidak</v>
          </cell>
          <cell r="H3620" t="str">
            <v>Tidak</v>
          </cell>
          <cell r="I3620" t="str">
            <v>Bandar Judol Withdrawal</v>
          </cell>
          <cell r="J3620">
            <v>50</v>
          </cell>
          <cell r="K3620" t="str">
            <v>86,88,87</v>
          </cell>
          <cell r="L3620" t="str">
            <v>Judi Online</v>
          </cell>
          <cell r="M3620" t="str">
            <v xml:space="preserve">Kas Kanpus                              </v>
          </cell>
          <cell r="N3620" t="str">
            <v xml:space="preserve">Kas Kanpus                              </v>
          </cell>
          <cell r="O3620" t="str">
            <v xml:space="preserve">KAS KANPUS                              </v>
          </cell>
          <cell r="P3620" t="str">
            <v>Tidak</v>
          </cell>
          <cell r="Q3620" t="str">
            <v>Tidak</v>
          </cell>
          <cell r="R3620" t="str">
            <v>Done</v>
          </cell>
          <cell r="S3620" t="str">
            <v>Approved</v>
          </cell>
          <cell r="T3620" t="str">
            <v>90171841 - Rifqi Aziz</v>
          </cell>
          <cell r="U3620" t="str">
            <v>"-"</v>
          </cell>
        </row>
        <row r="3621">
          <cell r="A3621">
            <v>46265</v>
          </cell>
          <cell r="B3621" t="str">
            <v xml:space="preserve">LIA DEWI RAHMAWATI                      </v>
          </cell>
          <cell r="C3621" t="str">
            <v>LR28715</v>
          </cell>
          <cell r="D3621">
            <v>14901028794538</v>
          </cell>
          <cell r="E3621" t="str">
            <v>SEDANG</v>
          </cell>
          <cell r="F3621" t="str">
            <v>Tidak</v>
          </cell>
          <cell r="G3621" t="str">
            <v>Tidak</v>
          </cell>
          <cell r="H3621" t="str">
            <v>Tidak</v>
          </cell>
          <cell r="I3621" t="str">
            <v>Bandar Judol Depo</v>
          </cell>
          <cell r="J3621">
            <v>50</v>
          </cell>
          <cell r="K3621" t="str">
            <v>86,74,87</v>
          </cell>
          <cell r="L3621" t="str">
            <v>Judi Online</v>
          </cell>
          <cell r="M3621" t="str">
            <v xml:space="preserve">Kas Kanpus                              </v>
          </cell>
          <cell r="N3621" t="str">
            <v xml:space="preserve">Kas Kanpus                              </v>
          </cell>
          <cell r="O3621" t="str">
            <v xml:space="preserve">KAS KANPUS                              </v>
          </cell>
          <cell r="P3621" t="str">
            <v>Ya</v>
          </cell>
          <cell r="Q3621" t="str">
            <v>Ya</v>
          </cell>
          <cell r="R3621" t="str">
            <v>Done</v>
          </cell>
          <cell r="S3621" t="str">
            <v>Approved</v>
          </cell>
          <cell r="T3621" t="str">
            <v>90150130 - Intan Aida Pratiwi</v>
          </cell>
          <cell r="U3621" t="str">
            <v>"-"</v>
          </cell>
        </row>
        <row r="3622">
          <cell r="A3622">
            <v>46265</v>
          </cell>
          <cell r="B3622" t="str">
            <v xml:space="preserve">LINGGA BUNGA WIRATRI                    </v>
          </cell>
          <cell r="C3622" t="str">
            <v>LR89470</v>
          </cell>
          <cell r="D3622">
            <v>639201022167534</v>
          </cell>
          <cell r="E3622" t="str">
            <v>SEDANG</v>
          </cell>
          <cell r="F3622" t="str">
            <v>Tidak</v>
          </cell>
          <cell r="G3622" t="str">
            <v>Tidak</v>
          </cell>
          <cell r="H3622" t="str">
            <v>Ya</v>
          </cell>
          <cell r="I3622" t="str">
            <v>Bandar Judol Depo</v>
          </cell>
          <cell r="J3622">
            <v>50</v>
          </cell>
          <cell r="K3622" t="str">
            <v>86,74,87</v>
          </cell>
          <cell r="L3622" t="str">
            <v>Judi Online</v>
          </cell>
          <cell r="M3622" t="str">
            <v xml:space="preserve">Kas Kanpus                              </v>
          </cell>
          <cell r="N3622" t="str">
            <v xml:space="preserve">Kas Kanpus                              </v>
          </cell>
          <cell r="O3622" t="str">
            <v xml:space="preserve">KAS KANPUS                              </v>
          </cell>
          <cell r="P3622" t="str">
            <v>Tidak</v>
          </cell>
          <cell r="Q3622" t="str">
            <v>Ya</v>
          </cell>
          <cell r="R3622" t="str">
            <v>Done</v>
          </cell>
          <cell r="S3622" t="str">
            <v>Approved</v>
          </cell>
          <cell r="T3622" t="str">
            <v>90150130 - Intan Aida Pratiwi</v>
          </cell>
          <cell r="U3622" t="str">
            <v>"-"</v>
          </cell>
        </row>
        <row r="3623">
          <cell r="A3623">
            <v>46265</v>
          </cell>
          <cell r="B3623" t="str">
            <v xml:space="preserve">LULUK PARASISWATI                       </v>
          </cell>
          <cell r="C3623" t="str">
            <v>LW85803</v>
          </cell>
          <cell r="D3623">
            <v>580901008840502</v>
          </cell>
          <cell r="E3623" t="str">
            <v>SEDANG</v>
          </cell>
          <cell r="F3623" t="str">
            <v>Tidak</v>
          </cell>
          <cell r="G3623" t="str">
            <v>Tidak</v>
          </cell>
          <cell r="H3623" t="str">
            <v>Tidak</v>
          </cell>
          <cell r="I3623" t="str">
            <v>Bandar Judol Withdrawal</v>
          </cell>
          <cell r="J3623">
            <v>50</v>
          </cell>
          <cell r="K3623" t="str">
            <v>86,88,87</v>
          </cell>
          <cell r="L3623" t="str">
            <v>Judi Online</v>
          </cell>
          <cell r="M3623" t="str">
            <v xml:space="preserve">Kas Kanpus                              </v>
          </cell>
          <cell r="N3623" t="str">
            <v xml:space="preserve">Kas Kanpus                              </v>
          </cell>
          <cell r="O3623" t="str">
            <v xml:space="preserve">KAS KANPUS                              </v>
          </cell>
          <cell r="P3623" t="str">
            <v>Ya</v>
          </cell>
          <cell r="Q3623" t="str">
            <v>Ya</v>
          </cell>
          <cell r="R3623" t="str">
            <v>Done</v>
          </cell>
          <cell r="S3623" t="str">
            <v>Approved</v>
          </cell>
          <cell r="T3623" t="str">
            <v>90170665 - Mutiara Ayuningtyas</v>
          </cell>
          <cell r="U3623" t="str">
            <v>"-"</v>
          </cell>
        </row>
        <row r="3624">
          <cell r="A3624">
            <v>46265</v>
          </cell>
          <cell r="B3624" t="str">
            <v xml:space="preserve">LOPIGA BR SITEPU                        </v>
          </cell>
          <cell r="C3624" t="str">
            <v>LHO1921</v>
          </cell>
          <cell r="D3624">
            <v>40401063062508</v>
          </cell>
          <cell r="E3624" t="str">
            <v>SEDANG</v>
          </cell>
          <cell r="F3624" t="str">
            <v>Tidak</v>
          </cell>
          <cell r="G3624" t="str">
            <v>Tidak</v>
          </cell>
          <cell r="H3624" t="str">
            <v>Tidak</v>
          </cell>
          <cell r="I3624" t="str">
            <v>Bandar Judol Withdrawal</v>
          </cell>
          <cell r="J3624">
            <v>50</v>
          </cell>
          <cell r="K3624" t="str">
            <v>86,88,87</v>
          </cell>
          <cell r="L3624" t="str">
            <v>Judi Online</v>
          </cell>
          <cell r="M3624" t="str">
            <v xml:space="preserve">Kas Kanpus                              </v>
          </cell>
          <cell r="N3624" t="str">
            <v xml:space="preserve">Kas Kanpus                              </v>
          </cell>
          <cell r="O3624" t="str">
            <v xml:space="preserve">KAS KANPUS                              </v>
          </cell>
          <cell r="P3624" t="str">
            <v>Ya</v>
          </cell>
          <cell r="Q3624" t="str">
            <v>Ya</v>
          </cell>
          <cell r="R3624" t="str">
            <v>Done</v>
          </cell>
          <cell r="S3624" t="str">
            <v>Approved</v>
          </cell>
          <cell r="T3624" t="str">
            <v>00394520 - Frida Akbar Rani</v>
          </cell>
          <cell r="U3624" t="str">
            <v>"-"</v>
          </cell>
        </row>
        <row r="3625">
          <cell r="A3625">
            <v>46265</v>
          </cell>
          <cell r="B3625" t="str">
            <v xml:space="preserve">LILIS HAMIDAH                           </v>
          </cell>
          <cell r="C3625" t="str">
            <v>LH18060</v>
          </cell>
          <cell r="D3625">
            <v>769701000384533</v>
          </cell>
          <cell r="E3625" t="str">
            <v>TINGGI</v>
          </cell>
          <cell r="F3625" t="str">
            <v>Tidak</v>
          </cell>
          <cell r="G3625" t="str">
            <v>Tidak</v>
          </cell>
          <cell r="H3625" t="str">
            <v>Tidak</v>
          </cell>
          <cell r="I3625" t="str">
            <v>Terorisme - SIPENDAR</v>
          </cell>
          <cell r="J3625">
            <v>188</v>
          </cell>
          <cell r="K3625">
            <v>36</v>
          </cell>
          <cell r="L3625" t="str">
            <v>Terorisme</v>
          </cell>
          <cell r="M3625" t="str">
            <v xml:space="preserve">Kas Kanpus                              </v>
          </cell>
          <cell r="N3625" t="str">
            <v xml:space="preserve">Kas Kanpus                              </v>
          </cell>
          <cell r="O3625" t="str">
            <v xml:space="preserve">KAS KANPUS                              </v>
          </cell>
          <cell r="P3625" t="str">
            <v>Tidak</v>
          </cell>
          <cell r="Q3625" t="str">
            <v>Tidak</v>
          </cell>
          <cell r="R3625" t="str">
            <v>Done</v>
          </cell>
          <cell r="S3625" t="str">
            <v>Approved</v>
          </cell>
          <cell r="T3625" t="str">
            <v>90186796 - Devito Arya Wiradila</v>
          </cell>
          <cell r="U3625" t="str">
            <v>"-"</v>
          </cell>
        </row>
        <row r="3626">
          <cell r="A3626">
            <v>46265</v>
          </cell>
          <cell r="B3626" t="str">
            <v xml:space="preserve">LELY OKTAFIANA GEA                      </v>
          </cell>
          <cell r="C3626" t="str">
            <v>LHG4780</v>
          </cell>
          <cell r="D3626">
            <v>337801015199505</v>
          </cell>
          <cell r="E3626" t="str">
            <v>SEDANG</v>
          </cell>
          <cell r="F3626" t="str">
            <v>Tidak</v>
          </cell>
          <cell r="G3626" t="str">
            <v>Tidak</v>
          </cell>
          <cell r="H3626" t="str">
            <v>Ya</v>
          </cell>
          <cell r="I3626" t="str">
            <v>Bandar Judol Depo</v>
          </cell>
          <cell r="J3626">
            <v>50</v>
          </cell>
          <cell r="K3626" t="str">
            <v>86,74,87</v>
          </cell>
          <cell r="L3626" t="str">
            <v>Judi Online</v>
          </cell>
          <cell r="M3626" t="str">
            <v xml:space="preserve">Kas Kanpus                              </v>
          </cell>
          <cell r="N3626" t="str">
            <v xml:space="preserve">Kas Kanpus                              </v>
          </cell>
          <cell r="O3626" t="str">
            <v xml:space="preserve">KAS KANPUS                              </v>
          </cell>
          <cell r="P3626" t="str">
            <v>Tidak</v>
          </cell>
          <cell r="Q3626" t="str">
            <v>Ya</v>
          </cell>
          <cell r="R3626" t="str">
            <v>Done</v>
          </cell>
          <cell r="S3626" t="str">
            <v>Approved</v>
          </cell>
          <cell r="T3626" t="str">
            <v>00394520 - Frida Akbar Rani</v>
          </cell>
          <cell r="U3626" t="str">
            <v>"-"</v>
          </cell>
        </row>
        <row r="3627">
          <cell r="A3627">
            <v>46265</v>
          </cell>
          <cell r="B3627" t="str">
            <v xml:space="preserve">LETY JIAH ANGGRAENI                     </v>
          </cell>
          <cell r="C3627" t="str">
            <v>LHG5387</v>
          </cell>
          <cell r="D3627">
            <v>51801023838506</v>
          </cell>
          <cell r="E3627" t="str">
            <v>SEDANG</v>
          </cell>
          <cell r="F3627" t="str">
            <v>Tidak</v>
          </cell>
          <cell r="G3627" t="str">
            <v>Tidak</v>
          </cell>
          <cell r="H3627" t="str">
            <v>Tidak</v>
          </cell>
          <cell r="I3627" t="str">
            <v>Bandar Judol Depo</v>
          </cell>
          <cell r="J3627">
            <v>50</v>
          </cell>
          <cell r="K3627" t="str">
            <v>86,74,87</v>
          </cell>
          <cell r="L3627" t="str">
            <v>Judi Online</v>
          </cell>
          <cell r="M3627" t="str">
            <v xml:space="preserve">Kas Kanpus                              </v>
          </cell>
          <cell r="N3627" t="str">
            <v xml:space="preserve">Kas Kanpus                              </v>
          </cell>
          <cell r="O3627" t="str">
            <v xml:space="preserve">KAS KANPUS                              </v>
          </cell>
          <cell r="P3627" t="str">
            <v>Tidak</v>
          </cell>
          <cell r="Q3627" t="str">
            <v>Ya</v>
          </cell>
          <cell r="R3627" t="str">
            <v>Done</v>
          </cell>
          <cell r="S3627" t="str">
            <v>Approved</v>
          </cell>
          <cell r="T3627" t="str">
            <v>90186790 - Muhammad Alfin Farha</v>
          </cell>
          <cell r="U3627" t="str">
            <v>"-"</v>
          </cell>
        </row>
        <row r="3628">
          <cell r="A3628">
            <v>46265</v>
          </cell>
          <cell r="B3628" t="str">
            <v xml:space="preserve">LIONI GUNAWAN                           </v>
          </cell>
          <cell r="C3628" t="str">
            <v>LIQ9974</v>
          </cell>
          <cell r="D3628">
            <v>574101017423501</v>
          </cell>
          <cell r="E3628" t="str">
            <v>SEDANG</v>
          </cell>
          <cell r="F3628" t="str">
            <v>Tidak</v>
          </cell>
          <cell r="G3628" t="str">
            <v>Tidak</v>
          </cell>
          <cell r="H3628" t="str">
            <v>Tidak</v>
          </cell>
          <cell r="I3628" t="str">
            <v>Bandar Judol Withdrawal</v>
          </cell>
          <cell r="J3628">
            <v>50</v>
          </cell>
          <cell r="K3628" t="str">
            <v>86,88,87</v>
          </cell>
          <cell r="L3628" t="str">
            <v>Judi Online</v>
          </cell>
          <cell r="M3628" t="str">
            <v xml:space="preserve">Kas Kanpus                              </v>
          </cell>
          <cell r="N3628" t="str">
            <v xml:space="preserve">Kas Kanpus                              </v>
          </cell>
          <cell r="O3628" t="str">
            <v xml:space="preserve">KAS KANPUS                              </v>
          </cell>
          <cell r="P3628" t="str">
            <v>Tidak</v>
          </cell>
          <cell r="Q3628" t="str">
            <v>Ya</v>
          </cell>
          <cell r="R3628" t="str">
            <v>Done</v>
          </cell>
          <cell r="S3628" t="str">
            <v>Approved</v>
          </cell>
          <cell r="T3628" t="str">
            <v>00394520 - Frida Akbar Rani</v>
          </cell>
          <cell r="U3628" t="str">
            <v>"-"</v>
          </cell>
        </row>
        <row r="3629">
          <cell r="A3629">
            <v>46265</v>
          </cell>
          <cell r="B3629" t="str">
            <v xml:space="preserve">LUTFI SUKMA NUGRAHA                     </v>
          </cell>
          <cell r="C3629" t="str">
            <v>LJX6747</v>
          </cell>
          <cell r="D3629">
            <v>2501005530565</v>
          </cell>
          <cell r="F3629" t="str">
            <v>Tidak</v>
          </cell>
          <cell r="G3629" t="str">
            <v>Tidak</v>
          </cell>
          <cell r="H3629" t="str">
            <v>Tidak</v>
          </cell>
          <cell r="I3629" t="str">
            <v>Bandar Judol Withdrawal</v>
          </cell>
          <cell r="J3629">
            <v>35</v>
          </cell>
          <cell r="K3629" t="str">
            <v>86,88,87</v>
          </cell>
          <cell r="L3629" t="str">
            <v>Judi Online</v>
          </cell>
          <cell r="M3629" t="str">
            <v xml:space="preserve">Kas Kanpus                              </v>
          </cell>
          <cell r="N3629" t="str">
            <v xml:space="preserve">Kas Kanpus                              </v>
          </cell>
          <cell r="O3629" t="str">
            <v xml:space="preserve">KAS KANPUS                              </v>
          </cell>
          <cell r="P3629" t="str">
            <v>Tidak</v>
          </cell>
          <cell r="Q3629" t="str">
            <v>Ya</v>
          </cell>
          <cell r="R3629" t="str">
            <v>Done</v>
          </cell>
          <cell r="S3629" t="str">
            <v>Approved</v>
          </cell>
          <cell r="T3629" t="str">
            <v>90186790 - Muhammad Alfin Farha</v>
          </cell>
          <cell r="U3629" t="str">
            <v>"-"</v>
          </cell>
        </row>
        <row r="3630">
          <cell r="A3630">
            <v>46265</v>
          </cell>
          <cell r="B3630" t="str">
            <v xml:space="preserve">LAVEGA GIDION SYAUTA                    </v>
          </cell>
          <cell r="C3630" t="str">
            <v>LJT5256</v>
          </cell>
          <cell r="D3630">
            <v>334901000134565</v>
          </cell>
          <cell r="F3630" t="str">
            <v>Tidak</v>
          </cell>
          <cell r="G3630" t="str">
            <v>Tidak</v>
          </cell>
          <cell r="H3630" t="str">
            <v>Tidak</v>
          </cell>
          <cell r="I3630" t="str">
            <v>Bandar Judol Depo</v>
          </cell>
          <cell r="J3630">
            <v>35</v>
          </cell>
          <cell r="K3630" t="str">
            <v>86,74,87</v>
          </cell>
          <cell r="L3630" t="str">
            <v>Judi Online</v>
          </cell>
          <cell r="M3630" t="str">
            <v xml:space="preserve">Kas Kanpus                              </v>
          </cell>
          <cell r="N3630" t="str">
            <v xml:space="preserve">Kas Kanpus                              </v>
          </cell>
          <cell r="O3630" t="str">
            <v xml:space="preserve">KAS KANPUS                              </v>
          </cell>
          <cell r="P3630" t="str">
            <v>Ya</v>
          </cell>
          <cell r="Q3630" t="str">
            <v>Tidak</v>
          </cell>
          <cell r="R3630" t="str">
            <v>Done</v>
          </cell>
          <cell r="S3630" t="str">
            <v>Approved</v>
          </cell>
          <cell r="T3630" t="str">
            <v>90186796 - Devito Arya Wiradila</v>
          </cell>
          <cell r="U3630" t="str">
            <v>"-"</v>
          </cell>
        </row>
        <row r="3631">
          <cell r="A3631">
            <v>46265</v>
          </cell>
          <cell r="B3631" t="str">
            <v xml:space="preserve">LINGGA SETIAWAN                         </v>
          </cell>
          <cell r="C3631" t="str">
            <v>LJU4209</v>
          </cell>
          <cell r="D3631">
            <v>782801018278539</v>
          </cell>
          <cell r="F3631" t="str">
            <v>Tidak</v>
          </cell>
          <cell r="G3631" t="str">
            <v>Tidak</v>
          </cell>
          <cell r="H3631" t="str">
            <v>Tidak</v>
          </cell>
          <cell r="I3631" t="str">
            <v>Bandar Judol Depo</v>
          </cell>
          <cell r="J3631">
            <v>35</v>
          </cell>
          <cell r="K3631" t="str">
            <v>86,74,87</v>
          </cell>
          <cell r="L3631" t="str">
            <v>Judi Online</v>
          </cell>
          <cell r="M3631" t="str">
            <v xml:space="preserve">Kas Kanpus                              </v>
          </cell>
          <cell r="N3631" t="str">
            <v xml:space="preserve">Kas Kanpus                              </v>
          </cell>
          <cell r="O3631" t="str">
            <v xml:space="preserve">KAS KANPUS                              </v>
          </cell>
          <cell r="P3631" t="str">
            <v>Ya</v>
          </cell>
          <cell r="Q3631" t="str">
            <v>Ya</v>
          </cell>
          <cell r="R3631" t="str">
            <v>Done</v>
          </cell>
          <cell r="S3631" t="str">
            <v>Approved</v>
          </cell>
          <cell r="T3631" t="str">
            <v>00394520 - Frida Akbar Rani</v>
          </cell>
          <cell r="U3631" t="str">
            <v>"-"</v>
          </cell>
        </row>
        <row r="3632">
          <cell r="A3632">
            <v>46265</v>
          </cell>
          <cell r="B3632" t="str">
            <v xml:space="preserve">LILI RATNA SANTI                        </v>
          </cell>
          <cell r="C3632" t="str">
            <v>LJV6314</v>
          </cell>
          <cell r="D3632">
            <v>113301000998564</v>
          </cell>
          <cell r="F3632" t="str">
            <v>Tidak</v>
          </cell>
          <cell r="G3632" t="str">
            <v>Tidak</v>
          </cell>
          <cell r="H3632" t="str">
            <v>Tidak</v>
          </cell>
          <cell r="I3632" t="str">
            <v>Bandar Judol Withdrawal</v>
          </cell>
          <cell r="J3632">
            <v>35</v>
          </cell>
          <cell r="K3632" t="str">
            <v>86,88,87</v>
          </cell>
          <cell r="L3632" t="str">
            <v>Judi Online</v>
          </cell>
          <cell r="M3632" t="str">
            <v xml:space="preserve">Kas Kanpus                              </v>
          </cell>
          <cell r="N3632" t="str">
            <v xml:space="preserve">Kas Kanpus                              </v>
          </cell>
          <cell r="O3632" t="str">
            <v xml:space="preserve">KAS KANPUS                              </v>
          </cell>
          <cell r="P3632" t="str">
            <v>Ya</v>
          </cell>
          <cell r="Q3632" t="str">
            <v>Ya</v>
          </cell>
          <cell r="R3632" t="str">
            <v>Done</v>
          </cell>
          <cell r="S3632" t="str">
            <v>Approved</v>
          </cell>
          <cell r="T3632" t="str">
            <v>90186796 - Devito Arya Wiradila</v>
          </cell>
          <cell r="U3632" t="str">
            <v>"-"</v>
          </cell>
        </row>
        <row r="3633">
          <cell r="A3633">
            <v>46265</v>
          </cell>
          <cell r="B3633" t="str">
            <v xml:space="preserve">LUVTI SUFIAN                            </v>
          </cell>
          <cell r="C3633" t="str">
            <v>LKK6447</v>
          </cell>
          <cell r="D3633">
            <v>33201173773505</v>
          </cell>
          <cell r="F3633" t="str">
            <v>Tidak</v>
          </cell>
          <cell r="G3633" t="str">
            <v>Tidak</v>
          </cell>
          <cell r="H3633" t="str">
            <v>Tidak</v>
          </cell>
          <cell r="I3633" t="str">
            <v>Bandar Judol Withdrawal</v>
          </cell>
          <cell r="J3633">
            <v>35</v>
          </cell>
          <cell r="K3633" t="str">
            <v>86,88,87</v>
          </cell>
          <cell r="L3633" t="str">
            <v>Judi Online</v>
          </cell>
          <cell r="M3633" t="str">
            <v xml:space="preserve">Kas Kanpus                              </v>
          </cell>
          <cell r="N3633" t="str">
            <v xml:space="preserve">Kas Kanpus                              </v>
          </cell>
          <cell r="O3633" t="str">
            <v xml:space="preserve">KAS KANPUS                              </v>
          </cell>
          <cell r="P3633" t="str">
            <v>Ya</v>
          </cell>
          <cell r="Q3633" t="str">
            <v>Ya</v>
          </cell>
          <cell r="R3633" t="str">
            <v>Done</v>
          </cell>
          <cell r="S3633" t="str">
            <v>Approved</v>
          </cell>
          <cell r="T3633" t="str">
            <v>00394520 - Frida Akbar Rani</v>
          </cell>
          <cell r="U3633" t="str">
            <v>"-"</v>
          </cell>
        </row>
        <row r="3634">
          <cell r="A3634">
            <v>46265</v>
          </cell>
          <cell r="B3634" t="str">
            <v xml:space="preserve">LHAM GURUH SIREGAR                      </v>
          </cell>
          <cell r="C3634" t="str">
            <v>LKN5357</v>
          </cell>
          <cell r="D3634">
            <v>26601122492501</v>
          </cell>
          <cell r="F3634" t="str">
            <v>Tidak</v>
          </cell>
          <cell r="G3634" t="str">
            <v>Tidak</v>
          </cell>
          <cell r="H3634" t="str">
            <v>Tidak</v>
          </cell>
          <cell r="I3634" t="str">
            <v>Bandar Judol Depo</v>
          </cell>
          <cell r="J3634">
            <v>35</v>
          </cell>
          <cell r="K3634" t="str">
            <v>86,74,87</v>
          </cell>
          <cell r="L3634" t="str">
            <v>Judi Online</v>
          </cell>
          <cell r="M3634" t="str">
            <v xml:space="preserve">Kas Kanpus                              </v>
          </cell>
          <cell r="N3634" t="str">
            <v xml:space="preserve">Kas Kanpus                              </v>
          </cell>
          <cell r="O3634" t="str">
            <v xml:space="preserve">KAS KANPUS                              </v>
          </cell>
          <cell r="P3634" t="str">
            <v>Ya</v>
          </cell>
          <cell r="Q3634" t="str">
            <v>Ya</v>
          </cell>
          <cell r="R3634" t="str">
            <v>Done</v>
          </cell>
          <cell r="S3634" t="str">
            <v>Approved</v>
          </cell>
          <cell r="T3634" t="str">
            <v>90185537 - Moh.Khoerul Fajar Ar</v>
          </cell>
          <cell r="U3634" t="str">
            <v>"-"</v>
          </cell>
        </row>
        <row r="3635">
          <cell r="A3635">
            <v>46265</v>
          </cell>
          <cell r="B3635" t="str">
            <v xml:space="preserve">LAKSMANA IRFAN                          </v>
          </cell>
          <cell r="C3635" t="str">
            <v>LKF6618</v>
          </cell>
          <cell r="D3635">
            <v>334901000043560</v>
          </cell>
          <cell r="F3635" t="str">
            <v>Tidak</v>
          </cell>
          <cell r="G3635" t="str">
            <v>Tidak</v>
          </cell>
          <cell r="H3635" t="str">
            <v>Tidak</v>
          </cell>
          <cell r="I3635" t="str">
            <v>Bandar Judol Depo</v>
          </cell>
          <cell r="J3635">
            <v>35</v>
          </cell>
          <cell r="K3635" t="str">
            <v>86,74,87</v>
          </cell>
          <cell r="L3635" t="str">
            <v>Judi Online</v>
          </cell>
          <cell r="M3635" t="str">
            <v xml:space="preserve">Kas Kanpus                              </v>
          </cell>
          <cell r="N3635" t="str">
            <v xml:space="preserve">Kas Kanpus                              </v>
          </cell>
          <cell r="O3635" t="str">
            <v xml:space="preserve">KAS KANPUS                              </v>
          </cell>
          <cell r="P3635" t="str">
            <v>Ya</v>
          </cell>
          <cell r="Q3635" t="str">
            <v>Ya</v>
          </cell>
          <cell r="R3635" t="str">
            <v>Done</v>
          </cell>
          <cell r="S3635" t="str">
            <v>Approved</v>
          </cell>
          <cell r="T3635" t="str">
            <v>00394521 - Muhammad Hibbanduta</v>
          </cell>
          <cell r="U3635" t="str">
            <v>"-"</v>
          </cell>
        </row>
        <row r="3636">
          <cell r="A3636">
            <v>46265</v>
          </cell>
          <cell r="B3636" t="str">
            <v xml:space="preserve">LINDA MARTINI                           </v>
          </cell>
          <cell r="C3636" t="str">
            <v>LKG8466</v>
          </cell>
          <cell r="D3636">
            <v>337901014712508</v>
          </cell>
          <cell r="F3636" t="str">
            <v>Tidak</v>
          </cell>
          <cell r="G3636" t="str">
            <v>Tidak</v>
          </cell>
          <cell r="H3636" t="str">
            <v>Tidak</v>
          </cell>
          <cell r="I3636" t="str">
            <v>Bandar Judol Depo</v>
          </cell>
          <cell r="J3636">
            <v>35</v>
          </cell>
          <cell r="K3636" t="str">
            <v>86,74,87</v>
          </cell>
          <cell r="L3636" t="str">
            <v>Judi Online</v>
          </cell>
          <cell r="M3636" t="str">
            <v xml:space="preserve">Kas Kanpus                              </v>
          </cell>
          <cell r="N3636" t="str">
            <v xml:space="preserve">Kas Kanpus                              </v>
          </cell>
          <cell r="O3636" t="str">
            <v xml:space="preserve">KAS KANPUS                              </v>
          </cell>
          <cell r="P3636" t="str">
            <v>Ya</v>
          </cell>
          <cell r="Q3636" t="str">
            <v>Ya</v>
          </cell>
          <cell r="R3636" t="str">
            <v>Done</v>
          </cell>
          <cell r="S3636" t="str">
            <v>Approved</v>
          </cell>
          <cell r="T3636" t="str">
            <v>00394521 - Muhammad Hibbanduta</v>
          </cell>
          <cell r="U3636" t="str">
            <v>"-"</v>
          </cell>
        </row>
        <row r="3637">
          <cell r="A3637">
            <v>46265</v>
          </cell>
          <cell r="B3637" t="str">
            <v xml:space="preserve">LINTANG AYU ANGGRAENI                   </v>
          </cell>
          <cell r="C3637" t="str">
            <v>LKH9919</v>
          </cell>
          <cell r="D3637">
            <v>1201003973568</v>
          </cell>
          <cell r="F3637" t="str">
            <v>Tidak</v>
          </cell>
          <cell r="G3637" t="str">
            <v>Tidak</v>
          </cell>
          <cell r="H3637" t="str">
            <v>Tidak</v>
          </cell>
          <cell r="I3637" t="str">
            <v>Bandar Judol Withdrawal</v>
          </cell>
          <cell r="J3637">
            <v>35</v>
          </cell>
          <cell r="K3637" t="str">
            <v>86,88,87</v>
          </cell>
          <cell r="L3637" t="str">
            <v>Judi Online</v>
          </cell>
          <cell r="M3637" t="str">
            <v xml:space="preserve">Kas Kanpus                              </v>
          </cell>
          <cell r="N3637" t="str">
            <v xml:space="preserve">Kas Kanpus                              </v>
          </cell>
          <cell r="O3637" t="str">
            <v xml:space="preserve">KAS KANPUS                              </v>
          </cell>
          <cell r="P3637" t="str">
            <v>Ya</v>
          </cell>
          <cell r="Q3637" t="str">
            <v>Tidak</v>
          </cell>
          <cell r="R3637" t="str">
            <v>Done</v>
          </cell>
          <cell r="S3637" t="str">
            <v>Approved</v>
          </cell>
          <cell r="T3637" t="str">
            <v>00394521 - Muhammad Hibbanduta</v>
          </cell>
          <cell r="U3637" t="str">
            <v>"-"</v>
          </cell>
        </row>
        <row r="3638">
          <cell r="A3638">
            <v>46265</v>
          </cell>
          <cell r="B3638" t="str">
            <v xml:space="preserve">JUMAR                                   </v>
          </cell>
          <cell r="C3638" t="str">
            <v>JNM6662</v>
          </cell>
          <cell r="D3638">
            <v>748701000016563</v>
          </cell>
          <cell r="F3638" t="str">
            <v>Tidak</v>
          </cell>
          <cell r="G3638" t="str">
            <v>Tidak</v>
          </cell>
          <cell r="H3638" t="str">
            <v>Tidak</v>
          </cell>
          <cell r="I3638" t="str">
            <v>Bandar Judol Depo</v>
          </cell>
          <cell r="J3638">
            <v>35</v>
          </cell>
          <cell r="K3638" t="str">
            <v>86,74,87</v>
          </cell>
          <cell r="L3638" t="str">
            <v>Judi Online</v>
          </cell>
          <cell r="M3638" t="str">
            <v xml:space="preserve">Kas Kanpus                              </v>
          </cell>
          <cell r="N3638" t="str">
            <v xml:space="preserve">Kas Kanpus                              </v>
          </cell>
          <cell r="O3638" t="str">
            <v xml:space="preserve">KAS KANPUS                              </v>
          </cell>
          <cell r="P3638" t="str">
            <v>Ya</v>
          </cell>
          <cell r="Q3638" t="str">
            <v>Ya</v>
          </cell>
          <cell r="R3638" t="str">
            <v>Done</v>
          </cell>
          <cell r="S3638" t="str">
            <v>Approved</v>
          </cell>
          <cell r="T3638" t="str">
            <v>90185538 - Muhammad Fahikal Auz</v>
          </cell>
          <cell r="U3638" t="str">
            <v>"-"</v>
          </cell>
        </row>
        <row r="3639">
          <cell r="A3639">
            <v>46265</v>
          </cell>
          <cell r="B3639" t="str">
            <v xml:space="preserve">JUMIANTO                                </v>
          </cell>
          <cell r="C3639" t="str">
            <v>JNN6330</v>
          </cell>
          <cell r="D3639">
            <v>529401006864509</v>
          </cell>
          <cell r="F3639" t="str">
            <v>Tidak</v>
          </cell>
          <cell r="G3639" t="str">
            <v>Tidak</v>
          </cell>
          <cell r="H3639" t="str">
            <v>Tidak</v>
          </cell>
          <cell r="I3639" t="str">
            <v>Bandar Judol Withdrawal</v>
          </cell>
          <cell r="J3639">
            <v>35</v>
          </cell>
          <cell r="K3639" t="str">
            <v>86,88,87</v>
          </cell>
          <cell r="L3639" t="str">
            <v>Judi Online</v>
          </cell>
          <cell r="M3639" t="str">
            <v xml:space="preserve">Kas Kanpus                              </v>
          </cell>
          <cell r="N3639" t="str">
            <v xml:space="preserve">Kas Kanpus                              </v>
          </cell>
          <cell r="O3639" t="str">
            <v xml:space="preserve">KAS KANPUS                              </v>
          </cell>
          <cell r="P3639" t="str">
            <v>Ya</v>
          </cell>
          <cell r="Q3639" t="str">
            <v>Ya</v>
          </cell>
          <cell r="R3639" t="str">
            <v>Done</v>
          </cell>
          <cell r="S3639" t="str">
            <v>Approved</v>
          </cell>
          <cell r="T3639" t="str">
            <v>90171841 - Rifqi Aziz</v>
          </cell>
          <cell r="U3639" t="str">
            <v>"-"</v>
          </cell>
        </row>
        <row r="3640">
          <cell r="A3640">
            <v>46265</v>
          </cell>
          <cell r="B3640" t="str">
            <v xml:space="preserve">JAPAR SIDIK                             </v>
          </cell>
          <cell r="C3640" t="str">
            <v>JNO6982</v>
          </cell>
          <cell r="D3640">
            <v>330901003946503</v>
          </cell>
          <cell r="F3640" t="str">
            <v>Tidak</v>
          </cell>
          <cell r="G3640" t="str">
            <v>Tidak</v>
          </cell>
          <cell r="H3640" t="str">
            <v>Tidak</v>
          </cell>
          <cell r="I3640" t="str">
            <v>Bandar Judol Withdrawal</v>
          </cell>
          <cell r="J3640">
            <v>35</v>
          </cell>
          <cell r="K3640" t="str">
            <v>86,88,87</v>
          </cell>
          <cell r="L3640" t="str">
            <v>Judi Online</v>
          </cell>
          <cell r="M3640" t="str">
            <v xml:space="preserve">Kas Kanpus                              </v>
          </cell>
          <cell r="N3640" t="str">
            <v xml:space="preserve">Kas Kanpus                              </v>
          </cell>
          <cell r="O3640" t="str">
            <v xml:space="preserve">KAS KANPUS                              </v>
          </cell>
          <cell r="P3640" t="str">
            <v>Ya</v>
          </cell>
          <cell r="Q3640" t="str">
            <v>Tidak</v>
          </cell>
          <cell r="R3640" t="str">
            <v>Done</v>
          </cell>
          <cell r="S3640" t="str">
            <v>Approved</v>
          </cell>
          <cell r="T3640" t="str">
            <v>00336949 - Mochammad Al Farabi</v>
          </cell>
          <cell r="U3640" t="str">
            <v>"-"</v>
          </cell>
        </row>
        <row r="3641">
          <cell r="A3641">
            <v>46265</v>
          </cell>
          <cell r="B3641" t="str">
            <v xml:space="preserve">BPJS KETENAGAKERJAAN                    </v>
          </cell>
          <cell r="C3641" t="str">
            <v>JL66629</v>
          </cell>
          <cell r="D3641">
            <v>20601004505309</v>
          </cell>
          <cell r="E3641" t="str">
            <v>TINGGI</v>
          </cell>
          <cell r="F3641" t="str">
            <v>Tidak</v>
          </cell>
          <cell r="G3641" t="str">
            <v>Tidak</v>
          </cell>
          <cell r="H3641" t="str">
            <v>Tidak</v>
          </cell>
          <cell r="I3641" t="str">
            <v>High Transaction Custodian</v>
          </cell>
          <cell r="J3641">
            <v>64</v>
          </cell>
          <cell r="K3641">
            <v>32</v>
          </cell>
          <cell r="L3641" t="str">
            <v>Kustodian</v>
          </cell>
          <cell r="M3641" t="str">
            <v>Kas Kanpus</v>
          </cell>
          <cell r="N3641" t="str">
            <v>Kas Kanpus</v>
          </cell>
          <cell r="O3641" t="str">
            <v>KAS KANPUS</v>
          </cell>
          <cell r="P3641" t="str">
            <v>Tidak</v>
          </cell>
          <cell r="Q3641" t="str">
            <v>Tidak</v>
          </cell>
          <cell r="R3641" t="str">
            <v>Done</v>
          </cell>
          <cell r="S3641" t="str">
            <v>Approved</v>
          </cell>
          <cell r="T3641" t="str">
            <v>00394521 - Muhammad Hibbanduta</v>
          </cell>
          <cell r="U3641" t="str">
            <v>"-"</v>
          </cell>
        </row>
        <row r="3642">
          <cell r="A3642">
            <v>46265</v>
          </cell>
          <cell r="B3642" t="str">
            <v xml:space="preserve">JAMALUDIN                               </v>
          </cell>
          <cell r="C3642" t="str">
            <v>JNX4056</v>
          </cell>
          <cell r="D3642">
            <v>96701000028565</v>
          </cell>
          <cell r="F3642" t="str">
            <v>Tidak</v>
          </cell>
          <cell r="G3642" t="str">
            <v>Tidak</v>
          </cell>
          <cell r="H3642" t="str">
            <v>Tidak</v>
          </cell>
          <cell r="I3642" t="str">
            <v>Bandar Judol Depo</v>
          </cell>
          <cell r="J3642">
            <v>35</v>
          </cell>
          <cell r="K3642" t="str">
            <v>86,74,87</v>
          </cell>
          <cell r="L3642" t="str">
            <v>Judi Online</v>
          </cell>
          <cell r="M3642" t="str">
            <v xml:space="preserve">Kas Kanpus                              </v>
          </cell>
          <cell r="N3642" t="str">
            <v xml:space="preserve">Kas Kanpus                              </v>
          </cell>
          <cell r="O3642" t="str">
            <v xml:space="preserve">KAS KANPUS                              </v>
          </cell>
          <cell r="P3642" t="str">
            <v>Tidak</v>
          </cell>
          <cell r="Q3642" t="str">
            <v>Ya</v>
          </cell>
          <cell r="R3642" t="str">
            <v>Done</v>
          </cell>
          <cell r="S3642" t="str">
            <v>Approved</v>
          </cell>
          <cell r="T3642" t="str">
            <v>00336949 - Mochammad Al Farabi</v>
          </cell>
          <cell r="U3642" t="str">
            <v>"-"</v>
          </cell>
        </row>
        <row r="3643">
          <cell r="A3643">
            <v>46265</v>
          </cell>
          <cell r="B3643" t="str">
            <v xml:space="preserve">JOI MARDIANTA SITEPU                    </v>
          </cell>
          <cell r="C3643" t="str">
            <v>JNZ1254</v>
          </cell>
          <cell r="D3643">
            <v>782801018470539</v>
          </cell>
          <cell r="F3643" t="str">
            <v>Tidak</v>
          </cell>
          <cell r="G3643" t="str">
            <v>Tidak</v>
          </cell>
          <cell r="H3643" t="str">
            <v>Tidak</v>
          </cell>
          <cell r="I3643" t="str">
            <v>Bandar Judol Withdrawal</v>
          </cell>
          <cell r="J3643">
            <v>35</v>
          </cell>
          <cell r="K3643" t="str">
            <v>86,88,87</v>
          </cell>
          <cell r="L3643" t="str">
            <v>Judi Online</v>
          </cell>
          <cell r="M3643" t="str">
            <v xml:space="preserve">Kas Kanpus                              </v>
          </cell>
          <cell r="N3643" t="str">
            <v xml:space="preserve">Kas Kanpus                              </v>
          </cell>
          <cell r="O3643" t="str">
            <v xml:space="preserve">KAS KANPUS                              </v>
          </cell>
          <cell r="P3643" t="str">
            <v>Ya</v>
          </cell>
          <cell r="Q3643" t="str">
            <v>Ya</v>
          </cell>
          <cell r="R3643" t="str">
            <v>Done</v>
          </cell>
          <cell r="S3643" t="str">
            <v>Approved</v>
          </cell>
          <cell r="T3643" t="str">
            <v>90186790 - Muhammad Alfin Farha</v>
          </cell>
          <cell r="U3643" t="str">
            <v>"-"</v>
          </cell>
        </row>
        <row r="3644">
          <cell r="A3644">
            <v>46265</v>
          </cell>
          <cell r="B3644" t="str">
            <v xml:space="preserve">JON PRISTO SIANTURI                     </v>
          </cell>
          <cell r="C3644" t="str">
            <v>JO94876</v>
          </cell>
          <cell r="D3644">
            <v>28101039686506</v>
          </cell>
          <cell r="E3644" t="str">
            <v>SEDANG</v>
          </cell>
          <cell r="F3644" t="str">
            <v>Tidak</v>
          </cell>
          <cell r="G3644" t="str">
            <v>Tidak</v>
          </cell>
          <cell r="H3644" t="str">
            <v>Tidak</v>
          </cell>
          <cell r="I3644" t="str">
            <v>Bandar Judol Withdrawal</v>
          </cell>
          <cell r="J3644">
            <v>50</v>
          </cell>
          <cell r="K3644" t="str">
            <v>86,88,87</v>
          </cell>
          <cell r="L3644" t="str">
            <v>Judi Online</v>
          </cell>
          <cell r="M3644" t="str">
            <v xml:space="preserve">Kas Kanpus                              </v>
          </cell>
          <cell r="N3644" t="str">
            <v xml:space="preserve">Kas Kanpus                              </v>
          </cell>
          <cell r="O3644" t="str">
            <v xml:space="preserve">KAS KANPUS                              </v>
          </cell>
          <cell r="P3644" t="str">
            <v>Ya</v>
          </cell>
          <cell r="Q3644" t="str">
            <v>Tidak</v>
          </cell>
          <cell r="R3644" t="str">
            <v>Done</v>
          </cell>
          <cell r="S3644" t="str">
            <v>Approved</v>
          </cell>
          <cell r="T3644" t="str">
            <v>00394521 - Muhammad Hibbanduta</v>
          </cell>
          <cell r="U3644" t="str">
            <v>"-"</v>
          </cell>
        </row>
        <row r="3645">
          <cell r="A3645">
            <v>46265</v>
          </cell>
          <cell r="B3645" t="str">
            <v xml:space="preserve">JULIADI                                 </v>
          </cell>
          <cell r="C3645" t="str">
            <v>JOQ8463</v>
          </cell>
          <cell r="D3645">
            <v>529001014829505</v>
          </cell>
          <cell r="F3645" t="str">
            <v>Tidak</v>
          </cell>
          <cell r="G3645" t="str">
            <v>Tidak</v>
          </cell>
          <cell r="H3645" t="str">
            <v>Tidak</v>
          </cell>
          <cell r="I3645" t="str">
            <v>Bandar Judol Withdrawal</v>
          </cell>
          <cell r="J3645">
            <v>35</v>
          </cell>
          <cell r="K3645" t="str">
            <v>86,88,87</v>
          </cell>
          <cell r="L3645" t="str">
            <v>Judi Online</v>
          </cell>
          <cell r="M3645" t="str">
            <v xml:space="preserve">Kas Kanpus                              </v>
          </cell>
          <cell r="N3645" t="str">
            <v xml:space="preserve">Kas Kanpus                              </v>
          </cell>
          <cell r="O3645" t="str">
            <v xml:space="preserve">KAS KANPUS                              </v>
          </cell>
          <cell r="P3645" t="str">
            <v>Ya</v>
          </cell>
          <cell r="Q3645" t="str">
            <v>Ya</v>
          </cell>
          <cell r="R3645" t="str">
            <v>Done</v>
          </cell>
          <cell r="S3645" t="str">
            <v>Approved</v>
          </cell>
          <cell r="T3645" t="str">
            <v>00336949 - Mochammad Al Farabi</v>
          </cell>
          <cell r="U3645" t="str">
            <v>"-"</v>
          </cell>
        </row>
        <row r="3646">
          <cell r="A3646">
            <v>46265</v>
          </cell>
          <cell r="B3646" t="str">
            <v xml:space="preserve">JAYA DWI PUTRA                          </v>
          </cell>
          <cell r="C3646" t="str">
            <v>JOS7257</v>
          </cell>
          <cell r="D3646">
            <v>531101016581509</v>
          </cell>
          <cell r="F3646" t="str">
            <v>Tidak</v>
          </cell>
          <cell r="G3646" t="str">
            <v>Tidak</v>
          </cell>
          <cell r="H3646" t="str">
            <v>Tidak</v>
          </cell>
          <cell r="I3646" t="str">
            <v>Bandar Judol Withdrawal</v>
          </cell>
          <cell r="J3646">
            <v>35</v>
          </cell>
          <cell r="K3646" t="str">
            <v>86,88,87</v>
          </cell>
          <cell r="L3646" t="str">
            <v>Judi Online</v>
          </cell>
          <cell r="M3646" t="str">
            <v xml:space="preserve">Kas Kanpus                              </v>
          </cell>
          <cell r="N3646" t="str">
            <v xml:space="preserve">Kas Kanpus                              </v>
          </cell>
          <cell r="O3646" t="str">
            <v xml:space="preserve">KAS KANPUS                              </v>
          </cell>
          <cell r="P3646" t="str">
            <v>Ya</v>
          </cell>
          <cell r="Q3646" t="str">
            <v>Ya</v>
          </cell>
          <cell r="R3646" t="str">
            <v>Done</v>
          </cell>
          <cell r="S3646" t="str">
            <v>Approved</v>
          </cell>
          <cell r="T3646" t="str">
            <v>90185538 - Muhammad Fahikal Auz</v>
          </cell>
          <cell r="U3646" t="str">
            <v>"-"</v>
          </cell>
        </row>
        <row r="3647">
          <cell r="A3647">
            <v>46265</v>
          </cell>
          <cell r="B3647" t="str">
            <v xml:space="preserve">JAMJURI                                 </v>
          </cell>
          <cell r="C3647" t="str">
            <v>JOS7280</v>
          </cell>
          <cell r="D3647">
            <v>385401006473504</v>
          </cell>
          <cell r="F3647" t="str">
            <v>Tidak</v>
          </cell>
          <cell r="G3647" t="str">
            <v>Tidak</v>
          </cell>
          <cell r="H3647" t="str">
            <v>Tidak</v>
          </cell>
          <cell r="I3647" t="str">
            <v>Bandar Judol Withdrawal</v>
          </cell>
          <cell r="J3647">
            <v>35</v>
          </cell>
          <cell r="K3647" t="str">
            <v>86,88,87</v>
          </cell>
          <cell r="L3647" t="str">
            <v>Judi Online</v>
          </cell>
          <cell r="M3647" t="str">
            <v xml:space="preserve">Kas Kanpus                              </v>
          </cell>
          <cell r="N3647" t="str">
            <v xml:space="preserve">Kas Kanpus                              </v>
          </cell>
          <cell r="O3647" t="str">
            <v xml:space="preserve">KAS KANPUS                              </v>
          </cell>
          <cell r="P3647" t="str">
            <v>Ya</v>
          </cell>
          <cell r="Q3647" t="str">
            <v>Ya</v>
          </cell>
          <cell r="R3647" t="str">
            <v>Done</v>
          </cell>
          <cell r="S3647" t="str">
            <v>Approved</v>
          </cell>
          <cell r="T3647" t="str">
            <v>90170665 - Mutiara Ayuningtyas</v>
          </cell>
          <cell r="U3647" t="str">
            <v>"-"</v>
          </cell>
        </row>
        <row r="3648">
          <cell r="A3648">
            <v>46265</v>
          </cell>
          <cell r="B3648" t="str">
            <v xml:space="preserve">JIMMI N SAIYA                           </v>
          </cell>
          <cell r="C3648" t="str">
            <v>JOX3386</v>
          </cell>
          <cell r="D3648">
            <v>576201006557503</v>
          </cell>
          <cell r="F3648" t="str">
            <v>Tidak</v>
          </cell>
          <cell r="G3648" t="str">
            <v>Tidak</v>
          </cell>
          <cell r="H3648" t="str">
            <v>Tidak</v>
          </cell>
          <cell r="I3648" t="str">
            <v>Bandar Judol Withdrawal</v>
          </cell>
          <cell r="J3648">
            <v>35</v>
          </cell>
          <cell r="K3648" t="str">
            <v>86,88,87</v>
          </cell>
          <cell r="L3648" t="str">
            <v>Judi Online</v>
          </cell>
          <cell r="M3648" t="str">
            <v xml:space="preserve">Kas Kanpus                              </v>
          </cell>
          <cell r="N3648" t="str">
            <v xml:space="preserve">Kas Kanpus                              </v>
          </cell>
          <cell r="O3648" t="str">
            <v xml:space="preserve">KAS KANPUS                              </v>
          </cell>
          <cell r="P3648" t="str">
            <v>Tidak</v>
          </cell>
          <cell r="Q3648" t="str">
            <v>Ya</v>
          </cell>
          <cell r="R3648" t="str">
            <v>Done</v>
          </cell>
          <cell r="S3648" t="str">
            <v>Approved</v>
          </cell>
          <cell r="T3648" t="str">
            <v>00394520 - Frida Akbar Rani</v>
          </cell>
          <cell r="U3648" t="str">
            <v>"-"</v>
          </cell>
        </row>
        <row r="3649">
          <cell r="A3649">
            <v>46265</v>
          </cell>
          <cell r="B3649" t="str">
            <v xml:space="preserve">JIMMI PRAMANA PUTRA                     </v>
          </cell>
          <cell r="C3649" t="str">
            <v>JOX8559</v>
          </cell>
          <cell r="D3649">
            <v>5301007749569</v>
          </cell>
          <cell r="F3649" t="str">
            <v>Tidak</v>
          </cell>
          <cell r="G3649" t="str">
            <v>Tidak</v>
          </cell>
          <cell r="H3649" t="str">
            <v>Tidak</v>
          </cell>
          <cell r="I3649" t="str">
            <v>Bandar Judol Withdrawal</v>
          </cell>
          <cell r="J3649">
            <v>35</v>
          </cell>
          <cell r="K3649" t="str">
            <v>86,88,87</v>
          </cell>
          <cell r="L3649" t="str">
            <v>Judi Online</v>
          </cell>
          <cell r="M3649" t="str">
            <v xml:space="preserve">Kas Kanpus                              </v>
          </cell>
          <cell r="N3649" t="str">
            <v xml:space="preserve">Kas Kanpus                              </v>
          </cell>
          <cell r="O3649" t="str">
            <v xml:space="preserve">KAS KANPUS                              </v>
          </cell>
          <cell r="P3649" t="str">
            <v>Ya</v>
          </cell>
          <cell r="Q3649" t="str">
            <v>Ya</v>
          </cell>
          <cell r="R3649" t="str">
            <v>Done</v>
          </cell>
          <cell r="S3649" t="str">
            <v>Approved</v>
          </cell>
          <cell r="T3649" t="str">
            <v>90171841 - Rifqi Aziz</v>
          </cell>
          <cell r="U3649" t="str">
            <v>"-"</v>
          </cell>
        </row>
        <row r="3650">
          <cell r="A3650">
            <v>46265</v>
          </cell>
          <cell r="B3650" t="str">
            <v xml:space="preserve">JOKO SULINO                             </v>
          </cell>
          <cell r="C3650" t="str">
            <v>JOY5342</v>
          </cell>
          <cell r="D3650">
            <v>65801028302500</v>
          </cell>
          <cell r="F3650" t="str">
            <v>Tidak</v>
          </cell>
          <cell r="G3650" t="str">
            <v>Tidak</v>
          </cell>
          <cell r="H3650" t="str">
            <v>Tidak</v>
          </cell>
          <cell r="I3650" t="str">
            <v>Bandar Judol Depo</v>
          </cell>
          <cell r="J3650">
            <v>35</v>
          </cell>
          <cell r="K3650" t="str">
            <v>86,74,87</v>
          </cell>
          <cell r="L3650" t="str">
            <v>Judi Online</v>
          </cell>
          <cell r="M3650" t="str">
            <v xml:space="preserve">Kas Kanpus                              </v>
          </cell>
          <cell r="N3650" t="str">
            <v xml:space="preserve">Kas Kanpus                              </v>
          </cell>
          <cell r="O3650" t="str">
            <v xml:space="preserve">KAS KANPUS                              </v>
          </cell>
          <cell r="P3650" t="str">
            <v>Ya</v>
          </cell>
          <cell r="Q3650" t="str">
            <v>Ya</v>
          </cell>
          <cell r="R3650" t="str">
            <v>Done</v>
          </cell>
          <cell r="S3650" t="str">
            <v>Approved</v>
          </cell>
          <cell r="T3650" t="str">
            <v>00394521 - Muhammad Hibbanduta</v>
          </cell>
          <cell r="U3650" t="str">
            <v>"-"</v>
          </cell>
        </row>
        <row r="3651">
          <cell r="A3651">
            <v>46265</v>
          </cell>
          <cell r="B3651" t="str">
            <v xml:space="preserve">JEREMIA ALEXANDER SINAGA                </v>
          </cell>
          <cell r="C3651" t="str">
            <v>JOY8297</v>
          </cell>
          <cell r="D3651">
            <v>1901188688507</v>
          </cell>
          <cell r="F3651" t="str">
            <v>Tidak</v>
          </cell>
          <cell r="G3651" t="str">
            <v>Tidak</v>
          </cell>
          <cell r="H3651" t="str">
            <v>Tidak</v>
          </cell>
          <cell r="I3651" t="str">
            <v>Bandar Judol Withdrawal</v>
          </cell>
          <cell r="J3651">
            <v>35</v>
          </cell>
          <cell r="K3651" t="str">
            <v>86,88,87</v>
          </cell>
          <cell r="L3651" t="str">
            <v>Judi Online</v>
          </cell>
          <cell r="M3651" t="str">
            <v xml:space="preserve">Kas Kanpus                              </v>
          </cell>
          <cell r="N3651" t="str">
            <v xml:space="preserve">Kas Kanpus                              </v>
          </cell>
          <cell r="O3651" t="str">
            <v xml:space="preserve">KAS KANPUS                              </v>
          </cell>
          <cell r="P3651" t="str">
            <v>Ya</v>
          </cell>
          <cell r="Q3651" t="str">
            <v>Ya</v>
          </cell>
          <cell r="R3651" t="str">
            <v>Done</v>
          </cell>
          <cell r="S3651" t="str">
            <v>Approved</v>
          </cell>
          <cell r="T3651" t="str">
            <v>00394520 - Frida Akbar Rani</v>
          </cell>
          <cell r="U3651" t="str">
            <v>"-"</v>
          </cell>
        </row>
        <row r="3652">
          <cell r="A3652">
            <v>46265</v>
          </cell>
          <cell r="B3652" t="str">
            <v xml:space="preserve">JOAN MEILANI RADERMAKER                 </v>
          </cell>
          <cell r="C3652" t="str">
            <v>JX02275</v>
          </cell>
          <cell r="D3652">
            <v>720001003885507</v>
          </cell>
          <cell r="E3652" t="str">
            <v>SEDANG</v>
          </cell>
          <cell r="F3652" t="str">
            <v>Tidak</v>
          </cell>
          <cell r="G3652" t="str">
            <v>Tidak</v>
          </cell>
          <cell r="H3652" t="str">
            <v>Tidak</v>
          </cell>
          <cell r="I3652" t="str">
            <v>Bandar Judol Depo</v>
          </cell>
          <cell r="J3652">
            <v>50</v>
          </cell>
          <cell r="K3652" t="str">
            <v>86,74,87</v>
          </cell>
          <cell r="L3652" t="str">
            <v>Judi Online</v>
          </cell>
          <cell r="M3652" t="str">
            <v xml:space="preserve">Kas Kanpus                              </v>
          </cell>
          <cell r="N3652" t="str">
            <v xml:space="preserve">Kas Kanpus                              </v>
          </cell>
          <cell r="O3652" t="str">
            <v xml:space="preserve">KAS KANPUS                              </v>
          </cell>
          <cell r="P3652" t="str">
            <v>Ya</v>
          </cell>
          <cell r="Q3652" t="str">
            <v>Ya</v>
          </cell>
          <cell r="R3652" t="str">
            <v>Done</v>
          </cell>
          <cell r="S3652" t="str">
            <v>Approved</v>
          </cell>
          <cell r="T3652" t="str">
            <v>90186790 - Muhammad Alfin Farha</v>
          </cell>
          <cell r="U3652" t="str">
            <v>"-"</v>
          </cell>
        </row>
        <row r="3653">
          <cell r="A3653">
            <v>46265</v>
          </cell>
          <cell r="B3653" t="str">
            <v xml:space="preserve">PT PEGADAIAN KANWIL MEDAN               </v>
          </cell>
          <cell r="C3653" t="str">
            <v>K267736</v>
          </cell>
          <cell r="D3653">
            <v>5301000108306</v>
          </cell>
          <cell r="E3653" t="str">
            <v>TINGGI</v>
          </cell>
          <cell r="F3653" t="str">
            <v>Tidak</v>
          </cell>
          <cell r="G3653" t="str">
            <v>Tidak</v>
          </cell>
          <cell r="H3653" t="str">
            <v>Tidak</v>
          </cell>
          <cell r="I3653" t="str">
            <v>Narkotika - Area Lapas</v>
          </cell>
          <cell r="J3653">
            <v>65</v>
          </cell>
          <cell r="K3653">
            <v>46</v>
          </cell>
          <cell r="L3653" t="str">
            <v>Narkotika</v>
          </cell>
          <cell r="M3653" t="str">
            <v>KC Medan Putri Hijau</v>
          </cell>
          <cell r="N3653" t="str">
            <v>KC Medan Putri Hijau</v>
          </cell>
          <cell r="O3653" t="str">
            <v>Medan</v>
          </cell>
          <cell r="P3653" t="str">
            <v>Tidak</v>
          </cell>
          <cell r="Q3653" t="str">
            <v>Tidak</v>
          </cell>
          <cell r="R3653" t="str">
            <v>Done</v>
          </cell>
          <cell r="S3653" t="str">
            <v>Approved</v>
          </cell>
          <cell r="T3653" t="str">
            <v>00394521 - Muhammad Hibbanduta</v>
          </cell>
          <cell r="U3653" t="str">
            <v>"-"</v>
          </cell>
        </row>
        <row r="3654">
          <cell r="A3654">
            <v>46265</v>
          </cell>
          <cell r="B3654" t="str">
            <v xml:space="preserve">JAMU IBOE JAYA                          </v>
          </cell>
          <cell r="C3654" t="str">
            <v>JS65459</v>
          </cell>
          <cell r="D3654">
            <v>41101000361304</v>
          </cell>
          <cell r="E3654" t="str">
            <v>TINGGI</v>
          </cell>
          <cell r="F3654" t="str">
            <v>Tidak</v>
          </cell>
          <cell r="G3654" t="str">
            <v>Tidak</v>
          </cell>
          <cell r="H3654" t="str">
            <v>Tidak</v>
          </cell>
          <cell r="I3654" t="str">
            <v>Perpajakan</v>
          </cell>
          <cell r="J3654">
            <v>69</v>
          </cell>
          <cell r="K3654">
            <v>41</v>
          </cell>
          <cell r="L3654" t="str">
            <v>Perpajakan</v>
          </cell>
          <cell r="M3654" t="str">
            <v xml:space="preserve">KC Surabaya Kertajaya                   </v>
          </cell>
          <cell r="N3654" t="str">
            <v xml:space="preserve">KC Surabaya Kertajaya                   </v>
          </cell>
          <cell r="O3654" t="str">
            <v xml:space="preserve">Surabaya                                </v>
          </cell>
          <cell r="P3654" t="str">
            <v>Tidak</v>
          </cell>
          <cell r="Q3654" t="str">
            <v>Tidak</v>
          </cell>
          <cell r="R3654" t="str">
            <v>Done</v>
          </cell>
          <cell r="S3654" t="str">
            <v>Approved</v>
          </cell>
          <cell r="T3654" t="str">
            <v>00336949 - Mochammad Al Farabi</v>
          </cell>
          <cell r="U3654" t="str">
            <v>"-"</v>
          </cell>
        </row>
        <row r="3655">
          <cell r="A3655">
            <v>46265</v>
          </cell>
          <cell r="B3655" t="str">
            <v xml:space="preserve">KELVIN OKA LEANDO                       </v>
          </cell>
          <cell r="C3655" t="str">
            <v>KAJM793</v>
          </cell>
          <cell r="D3655">
            <v>83301019723507</v>
          </cell>
          <cell r="F3655" t="str">
            <v>Tidak</v>
          </cell>
          <cell r="G3655" t="str">
            <v>Tidak</v>
          </cell>
          <cell r="H3655" t="str">
            <v>Tidak</v>
          </cell>
          <cell r="I3655" t="str">
            <v>Bandar Judol Withdrawal</v>
          </cell>
          <cell r="J3655">
            <v>35</v>
          </cell>
          <cell r="K3655" t="str">
            <v>86,88,87</v>
          </cell>
          <cell r="L3655" t="str">
            <v>Judi Online</v>
          </cell>
          <cell r="M3655" t="str">
            <v xml:space="preserve">Kas Kanpus                              </v>
          </cell>
          <cell r="N3655" t="str">
            <v xml:space="preserve">Kas Kanpus                              </v>
          </cell>
          <cell r="O3655" t="str">
            <v xml:space="preserve">KAS KANPUS                              </v>
          </cell>
          <cell r="P3655" t="str">
            <v>Ya</v>
          </cell>
          <cell r="Q3655" t="str">
            <v>Tidak</v>
          </cell>
          <cell r="R3655" t="str">
            <v>Done</v>
          </cell>
          <cell r="S3655" t="str">
            <v>Approved</v>
          </cell>
          <cell r="T3655" t="str">
            <v>90185538 - Muhammad Fahikal Auz</v>
          </cell>
          <cell r="U3655" t="str">
            <v>"-"</v>
          </cell>
        </row>
        <row r="3656">
          <cell r="A3656">
            <v>46265</v>
          </cell>
          <cell r="B3656" t="str">
            <v xml:space="preserve">KHEIRYN FLORENCIA                       </v>
          </cell>
          <cell r="C3656" t="str">
            <v>KAJP791</v>
          </cell>
          <cell r="D3656">
            <v>214501012435500</v>
          </cell>
          <cell r="F3656" t="str">
            <v>Tidak</v>
          </cell>
          <cell r="G3656" t="str">
            <v>Tidak</v>
          </cell>
          <cell r="H3656" t="str">
            <v>Tidak</v>
          </cell>
          <cell r="I3656" t="str">
            <v>Bandar Judol Withdrawal</v>
          </cell>
          <cell r="J3656">
            <v>35</v>
          </cell>
          <cell r="K3656" t="str">
            <v>86,88,87</v>
          </cell>
          <cell r="L3656" t="str">
            <v>Judi Online</v>
          </cell>
          <cell r="M3656" t="str">
            <v xml:space="preserve">Kas Kanpus                              </v>
          </cell>
          <cell r="N3656" t="str">
            <v xml:space="preserve">Kas Kanpus                              </v>
          </cell>
          <cell r="O3656" t="str">
            <v xml:space="preserve">KAS KANPUS                              </v>
          </cell>
          <cell r="P3656" t="str">
            <v>Ya</v>
          </cell>
          <cell r="Q3656" t="str">
            <v>Tidak</v>
          </cell>
          <cell r="R3656" t="str">
            <v>Done</v>
          </cell>
          <cell r="S3656" t="str">
            <v>Approved</v>
          </cell>
          <cell r="T3656" t="str">
            <v>90185537 - Moh.Khoerul Fajar Ar</v>
          </cell>
          <cell r="U3656" t="str">
            <v>"-"</v>
          </cell>
        </row>
        <row r="3657">
          <cell r="A3657">
            <v>46265</v>
          </cell>
          <cell r="B3657" t="str">
            <v xml:space="preserve">KHAERUL FAJRI                           </v>
          </cell>
          <cell r="C3657" t="str">
            <v>KAJT434</v>
          </cell>
          <cell r="D3657">
            <v>324301005262507</v>
          </cell>
          <cell r="F3657" t="str">
            <v>Tidak</v>
          </cell>
          <cell r="G3657" t="str">
            <v>Tidak</v>
          </cell>
          <cell r="H3657" t="str">
            <v>Tidak</v>
          </cell>
          <cell r="I3657" t="str">
            <v>Bandar Judol Withdrawal</v>
          </cell>
          <cell r="J3657">
            <v>35</v>
          </cell>
          <cell r="K3657" t="str">
            <v>86,88,87</v>
          </cell>
          <cell r="L3657" t="str">
            <v>Judi Online</v>
          </cell>
          <cell r="M3657" t="str">
            <v xml:space="preserve">Kas Kanpus                              </v>
          </cell>
          <cell r="N3657" t="str">
            <v xml:space="preserve">Kas Kanpus                              </v>
          </cell>
          <cell r="O3657" t="str">
            <v xml:space="preserve">KAS KANPUS                              </v>
          </cell>
          <cell r="P3657" t="str">
            <v>Ya</v>
          </cell>
          <cell r="Q3657" t="str">
            <v>Ya</v>
          </cell>
          <cell r="R3657" t="str">
            <v>Done</v>
          </cell>
          <cell r="S3657" t="str">
            <v>Approved</v>
          </cell>
          <cell r="T3657" t="str">
            <v>90186796 - Devito Arya Wiradila</v>
          </cell>
          <cell r="U3657" t="str">
            <v>"-"</v>
          </cell>
        </row>
        <row r="3658">
          <cell r="A3658">
            <v>46265</v>
          </cell>
          <cell r="B3658" t="str">
            <v xml:space="preserve">KAVIN KRISTOFFER SINGAL                 </v>
          </cell>
          <cell r="C3658" t="str">
            <v>KAHP982</v>
          </cell>
          <cell r="D3658">
            <v>364601010228500</v>
          </cell>
          <cell r="F3658" t="str">
            <v>Tidak</v>
          </cell>
          <cell r="G3658" t="str">
            <v>Tidak</v>
          </cell>
          <cell r="H3658" t="str">
            <v>Tidak</v>
          </cell>
          <cell r="I3658" t="str">
            <v>Bandar Judol Withdrawal</v>
          </cell>
          <cell r="J3658">
            <v>35</v>
          </cell>
          <cell r="K3658" t="str">
            <v>86,88,87</v>
          </cell>
          <cell r="L3658" t="str">
            <v>Judi Online</v>
          </cell>
          <cell r="M3658" t="str">
            <v xml:space="preserve">Kas Kanpus                              </v>
          </cell>
          <cell r="N3658" t="str">
            <v xml:space="preserve">Kas Kanpus                              </v>
          </cell>
          <cell r="O3658" t="str">
            <v xml:space="preserve">KAS KANPUS                              </v>
          </cell>
          <cell r="P3658" t="str">
            <v>Tidak</v>
          </cell>
          <cell r="Q3658" t="str">
            <v>Ya</v>
          </cell>
          <cell r="R3658" t="str">
            <v>Done</v>
          </cell>
          <cell r="S3658" t="str">
            <v>Approved</v>
          </cell>
          <cell r="T3658" t="str">
            <v>90186796 - Devito Arya Wiradila</v>
          </cell>
          <cell r="U3658" t="str">
            <v>"-"</v>
          </cell>
        </row>
        <row r="3659">
          <cell r="A3659">
            <v>46265</v>
          </cell>
          <cell r="B3659" t="str">
            <v xml:space="preserve">KASIM                                   </v>
          </cell>
          <cell r="C3659" t="str">
            <v>KAIP590</v>
          </cell>
          <cell r="D3659">
            <v>34201002883569</v>
          </cell>
          <cell r="F3659" t="str">
            <v>Tidak</v>
          </cell>
          <cell r="G3659" t="str">
            <v>Tidak</v>
          </cell>
          <cell r="H3659" t="str">
            <v>Tidak</v>
          </cell>
          <cell r="I3659" t="str">
            <v>Bandar Judol Withdrawal</v>
          </cell>
          <cell r="J3659">
            <v>35</v>
          </cell>
          <cell r="K3659" t="str">
            <v>86,88,87</v>
          </cell>
          <cell r="L3659" t="str">
            <v>Judi Online</v>
          </cell>
          <cell r="M3659" t="str">
            <v xml:space="preserve">Kas Kanpus                              </v>
          </cell>
          <cell r="N3659" t="str">
            <v xml:space="preserve">Kas Kanpus                              </v>
          </cell>
          <cell r="O3659" t="str">
            <v xml:space="preserve">KAS KANPUS                              </v>
          </cell>
          <cell r="P3659" t="str">
            <v>Ya</v>
          </cell>
          <cell r="Q3659" t="str">
            <v>Ya</v>
          </cell>
          <cell r="R3659" t="str">
            <v>Done</v>
          </cell>
          <cell r="S3659" t="str">
            <v>Approved</v>
          </cell>
          <cell r="T3659" t="str">
            <v>90186790 - Muhammad Alfin Farha</v>
          </cell>
          <cell r="U3659" t="str">
            <v>"-"</v>
          </cell>
        </row>
        <row r="3660">
          <cell r="A3660">
            <v>46265</v>
          </cell>
          <cell r="B3660" t="str">
            <v xml:space="preserve">KHALLIDIN                               </v>
          </cell>
          <cell r="C3660" t="str">
            <v>KADG511</v>
          </cell>
          <cell r="D3660">
            <v>33601003866563</v>
          </cell>
          <cell r="F3660" t="str">
            <v>Tidak</v>
          </cell>
          <cell r="G3660" t="str">
            <v>Tidak</v>
          </cell>
          <cell r="H3660" t="str">
            <v>Tidak</v>
          </cell>
          <cell r="I3660" t="str">
            <v>Bandar Judol Withdrawal</v>
          </cell>
          <cell r="J3660">
            <v>35</v>
          </cell>
          <cell r="K3660" t="str">
            <v>86,88,87</v>
          </cell>
          <cell r="L3660" t="str">
            <v>Judi Online</v>
          </cell>
          <cell r="M3660" t="str">
            <v xml:space="preserve">Kas Kanpus                              </v>
          </cell>
          <cell r="N3660" t="str">
            <v xml:space="preserve">Kas Kanpus                              </v>
          </cell>
          <cell r="O3660" t="str">
            <v xml:space="preserve">KAS KANPUS                              </v>
          </cell>
          <cell r="P3660" t="str">
            <v>Ya</v>
          </cell>
          <cell r="Q3660" t="str">
            <v>Ya</v>
          </cell>
          <cell r="R3660" t="str">
            <v>Done</v>
          </cell>
          <cell r="S3660" t="str">
            <v>Approved</v>
          </cell>
          <cell r="T3660" t="str">
            <v>90150130 - Intan Aida Pratiwi</v>
          </cell>
          <cell r="U3660" t="str">
            <v>"-"</v>
          </cell>
        </row>
        <row r="3661">
          <cell r="A3661">
            <v>46265</v>
          </cell>
          <cell r="B3661" t="str">
            <v xml:space="preserve">KHOIRUL AMRI                            </v>
          </cell>
          <cell r="C3661" t="str">
            <v>KAAI774</v>
          </cell>
          <cell r="D3661">
            <v>334801047329533</v>
          </cell>
          <cell r="F3661" t="str">
            <v>Tidak</v>
          </cell>
          <cell r="G3661" t="str">
            <v>Tidak</v>
          </cell>
          <cell r="H3661" t="str">
            <v>Tidak</v>
          </cell>
          <cell r="I3661" t="str">
            <v>Bandar Judol Withdrawal</v>
          </cell>
          <cell r="J3661">
            <v>35</v>
          </cell>
          <cell r="K3661" t="str">
            <v>86,88,87</v>
          </cell>
          <cell r="L3661" t="str">
            <v>Judi Online</v>
          </cell>
          <cell r="M3661" t="str">
            <v xml:space="preserve">Kas Kanpus                              </v>
          </cell>
          <cell r="N3661" t="str">
            <v xml:space="preserve">Kas Kanpus                              </v>
          </cell>
          <cell r="O3661" t="str">
            <v xml:space="preserve">KAS KANPUS                              </v>
          </cell>
          <cell r="P3661" t="str">
            <v>Ya</v>
          </cell>
          <cell r="Q3661" t="str">
            <v>Ya</v>
          </cell>
          <cell r="R3661" t="str">
            <v>Done</v>
          </cell>
          <cell r="S3661" t="str">
            <v>Approved</v>
          </cell>
          <cell r="T3661" t="str">
            <v>00336949 - Mochammad Al Farabi</v>
          </cell>
          <cell r="U3661" t="str">
            <v>"-"</v>
          </cell>
        </row>
        <row r="3662">
          <cell r="A3662">
            <v>46265</v>
          </cell>
          <cell r="B3662" t="str">
            <v xml:space="preserve">JOHN WALINGSON PURBA                    </v>
          </cell>
          <cell r="C3662" t="str">
            <v>JF38080</v>
          </cell>
          <cell r="D3662">
            <v>5326590003502120</v>
          </cell>
          <cell r="E3662" t="str">
            <v>TINGGI</v>
          </cell>
          <cell r="F3662" t="str">
            <v>Tidak</v>
          </cell>
          <cell r="G3662" t="str">
            <v>Tidak</v>
          </cell>
          <cell r="H3662" t="str">
            <v>Tidak</v>
          </cell>
          <cell r="I3662" t="str">
            <v>Private or Priority Customer Investment</v>
          </cell>
          <cell r="J3662">
            <v>83</v>
          </cell>
          <cell r="K3662">
            <v>93</v>
          </cell>
          <cell r="L3662" t="str">
            <v>Pasar Modal</v>
          </cell>
          <cell r="M3662" t="str">
            <v xml:space="preserve">KC Mataram                              </v>
          </cell>
          <cell r="N3662" t="str">
            <v xml:space="preserve">KC Mataram                              </v>
          </cell>
          <cell r="O3662" t="str">
            <v xml:space="preserve">Denpasar                                </v>
          </cell>
          <cell r="P3662" t="str">
            <v>Tidak</v>
          </cell>
          <cell r="Q3662" t="str">
            <v>Tidak</v>
          </cell>
          <cell r="R3662" t="str">
            <v>Done</v>
          </cell>
          <cell r="S3662" t="str">
            <v>Approved</v>
          </cell>
          <cell r="T3662" t="str">
            <v>00394521 - Muhammad Hibbanduta</v>
          </cell>
          <cell r="U3662" t="str">
            <v>"-"</v>
          </cell>
        </row>
        <row r="3663">
          <cell r="A3663">
            <v>46265</v>
          </cell>
          <cell r="B3663" t="str">
            <v xml:space="preserve">JOAN ANANDA                             </v>
          </cell>
          <cell r="C3663" t="str">
            <v>JGK1251</v>
          </cell>
          <cell r="D3663">
            <v>42101005213567</v>
          </cell>
          <cell r="E3663" t="str">
            <v>SEDANG</v>
          </cell>
          <cell r="F3663" t="str">
            <v>Tidak</v>
          </cell>
          <cell r="G3663" t="str">
            <v>Tidak</v>
          </cell>
          <cell r="H3663" t="str">
            <v>Tidak</v>
          </cell>
          <cell r="I3663" t="str">
            <v>Bandar Judol Depo</v>
          </cell>
          <cell r="J3663">
            <v>50</v>
          </cell>
          <cell r="K3663" t="str">
            <v>86,74,87</v>
          </cell>
          <cell r="L3663" t="str">
            <v>Judi Online</v>
          </cell>
          <cell r="M3663" t="str">
            <v xml:space="preserve">Kas Kanpus                              </v>
          </cell>
          <cell r="N3663" t="str">
            <v xml:space="preserve">Kas Kanpus                              </v>
          </cell>
          <cell r="O3663" t="str">
            <v xml:space="preserve">KAS KANPUS                              </v>
          </cell>
          <cell r="P3663" t="str">
            <v>Ya</v>
          </cell>
          <cell r="Q3663" t="str">
            <v>Ya</v>
          </cell>
          <cell r="R3663" t="str">
            <v>Done</v>
          </cell>
          <cell r="S3663" t="str">
            <v>Approved</v>
          </cell>
          <cell r="T3663" t="str">
            <v>90150130 - Intan Aida Pratiwi</v>
          </cell>
          <cell r="U3663" t="str">
            <v>"-"</v>
          </cell>
        </row>
        <row r="3664">
          <cell r="A3664">
            <v>46265</v>
          </cell>
          <cell r="B3664" t="str">
            <v xml:space="preserve">JUYAR BRIGIF 8 GARUDA CAKTI             </v>
          </cell>
          <cell r="C3664" t="str">
            <v>JGU2140</v>
          </cell>
          <cell r="D3664">
            <v>12901002076304</v>
          </cell>
          <cell r="E3664" t="str">
            <v>TINGGI</v>
          </cell>
          <cell r="F3664" t="str">
            <v>Tidak</v>
          </cell>
          <cell r="G3664" t="str">
            <v>Tidak</v>
          </cell>
          <cell r="H3664" t="str">
            <v>Tidak</v>
          </cell>
          <cell r="I3664" t="str">
            <v>Perpajakan</v>
          </cell>
          <cell r="J3664">
            <v>68</v>
          </cell>
          <cell r="K3664">
            <v>41</v>
          </cell>
          <cell r="L3664" t="str">
            <v>Perpajakan</v>
          </cell>
          <cell r="M3664" t="str">
            <v xml:space="preserve">KC Lubuk Linggau                        </v>
          </cell>
          <cell r="N3664" t="str">
            <v xml:space="preserve">KC Lubuk Linggau                        </v>
          </cell>
          <cell r="O3664" t="str">
            <v xml:space="preserve">Palembang                               </v>
          </cell>
          <cell r="P3664" t="str">
            <v>Tidak</v>
          </cell>
          <cell r="Q3664" t="str">
            <v>Tidak</v>
          </cell>
          <cell r="R3664" t="str">
            <v>Done</v>
          </cell>
          <cell r="S3664" t="str">
            <v>Approved</v>
          </cell>
          <cell r="T3664" t="str">
            <v>00336949 - Mochammad Al Farabi</v>
          </cell>
          <cell r="U3664" t="str">
            <v>"-"</v>
          </cell>
        </row>
        <row r="3665">
          <cell r="A3665">
            <v>46265</v>
          </cell>
          <cell r="B3665" t="str">
            <v xml:space="preserve">JUNAENI                                 </v>
          </cell>
          <cell r="C3665" t="str">
            <v>JII9811</v>
          </cell>
          <cell r="D3665">
            <v>762601002308504</v>
          </cell>
          <cell r="E3665" t="str">
            <v>SEDANG</v>
          </cell>
          <cell r="F3665" t="str">
            <v>Tidak</v>
          </cell>
          <cell r="G3665" t="str">
            <v>Tidak</v>
          </cell>
          <cell r="H3665" t="str">
            <v>Tidak</v>
          </cell>
          <cell r="I3665" t="str">
            <v>Bandar Judol Withdrawal</v>
          </cell>
          <cell r="J3665">
            <v>50</v>
          </cell>
          <cell r="K3665" t="str">
            <v>86,88,87</v>
          </cell>
          <cell r="L3665" t="str">
            <v>Judi Online</v>
          </cell>
          <cell r="M3665" t="str">
            <v xml:space="preserve">Kas Kanpus                              </v>
          </cell>
          <cell r="N3665" t="str">
            <v xml:space="preserve">Kas Kanpus                              </v>
          </cell>
          <cell r="O3665" t="str">
            <v xml:space="preserve">KAS KANPUS                              </v>
          </cell>
          <cell r="P3665" t="str">
            <v>Ya</v>
          </cell>
          <cell r="Q3665" t="str">
            <v>Ya</v>
          </cell>
          <cell r="R3665" t="str">
            <v>Done</v>
          </cell>
          <cell r="S3665" t="str">
            <v>Approved</v>
          </cell>
          <cell r="T3665" t="str">
            <v>90185537 - Moh.Khoerul Fajar Ar</v>
          </cell>
          <cell r="U3665" t="str">
            <v>"-"</v>
          </cell>
        </row>
        <row r="3666">
          <cell r="A3666">
            <v>46265</v>
          </cell>
          <cell r="B3666" t="str">
            <v xml:space="preserve">JAMALUDDIN                              </v>
          </cell>
          <cell r="C3666" t="str">
            <v>JJ79920</v>
          </cell>
          <cell r="D3666">
            <v>496601035934531</v>
          </cell>
          <cell r="E3666" t="str">
            <v>TINGGI</v>
          </cell>
          <cell r="F3666" t="str">
            <v>Ya</v>
          </cell>
          <cell r="G3666" t="str">
            <v>Tidak</v>
          </cell>
          <cell r="H3666" t="str">
            <v>Tidak</v>
          </cell>
          <cell r="I3666" t="str">
            <v>Terorisme - SIPENDAR</v>
          </cell>
          <cell r="J3666">
            <v>185</v>
          </cell>
          <cell r="K3666">
            <v>36</v>
          </cell>
          <cell r="L3666" t="str">
            <v>Terorisme</v>
          </cell>
          <cell r="M3666" t="str">
            <v xml:space="preserve">Kas Kanpus                              </v>
          </cell>
          <cell r="N3666" t="str">
            <v xml:space="preserve">Kas Kanpus                              </v>
          </cell>
          <cell r="O3666" t="str">
            <v xml:space="preserve">KAS KANPUS                              </v>
          </cell>
          <cell r="P3666" t="str">
            <v>Tidak</v>
          </cell>
          <cell r="Q3666" t="str">
            <v>Tidak</v>
          </cell>
          <cell r="R3666" t="str">
            <v>Done</v>
          </cell>
          <cell r="S3666" t="str">
            <v>Approved</v>
          </cell>
          <cell r="T3666" t="str">
            <v>90186796 - Devito Arya Wiradila</v>
          </cell>
          <cell r="U3666" t="str">
            <v>"-"</v>
          </cell>
        </row>
        <row r="3667">
          <cell r="A3667">
            <v>46265</v>
          </cell>
          <cell r="B3667" t="str">
            <v xml:space="preserve">JUFRI                                   </v>
          </cell>
          <cell r="C3667" t="str">
            <v>JJC0658</v>
          </cell>
          <cell r="D3667">
            <v>229501000062568</v>
          </cell>
          <cell r="E3667" t="str">
            <v>SEDANG</v>
          </cell>
          <cell r="F3667" t="str">
            <v>Tidak</v>
          </cell>
          <cell r="G3667" t="str">
            <v>Tidak</v>
          </cell>
          <cell r="H3667" t="str">
            <v>Tidak</v>
          </cell>
          <cell r="I3667" t="str">
            <v>Narkotika - Area Lapas</v>
          </cell>
          <cell r="J3667">
            <v>50</v>
          </cell>
          <cell r="K3667">
            <v>46</v>
          </cell>
          <cell r="L3667" t="str">
            <v>Narkotika</v>
          </cell>
          <cell r="M3667" t="str">
            <v>KCP MAMUJU TENGAH</v>
          </cell>
          <cell r="N3667" t="str">
            <v>KC Mamuju</v>
          </cell>
          <cell r="O3667" t="str">
            <v>Makassar</v>
          </cell>
          <cell r="P3667" t="str">
            <v>Tidak</v>
          </cell>
          <cell r="Q3667" t="str">
            <v>Tidak</v>
          </cell>
          <cell r="R3667" t="str">
            <v>Done</v>
          </cell>
          <cell r="S3667" t="str">
            <v>Approved</v>
          </cell>
          <cell r="T3667" t="str">
            <v>90150130 - Intan Aida Pratiwi</v>
          </cell>
          <cell r="U3667" t="str">
            <v>"-"</v>
          </cell>
        </row>
        <row r="3668">
          <cell r="A3668">
            <v>46265</v>
          </cell>
          <cell r="B3668" t="str">
            <v xml:space="preserve">JURIANA                                 </v>
          </cell>
          <cell r="C3668" t="str">
            <v>JKY5953</v>
          </cell>
          <cell r="D3668">
            <v>69201016728506</v>
          </cell>
          <cell r="E3668" t="str">
            <v>SEDANG</v>
          </cell>
          <cell r="F3668" t="str">
            <v>Tidak</v>
          </cell>
          <cell r="G3668" t="str">
            <v>Tidak</v>
          </cell>
          <cell r="H3668" t="str">
            <v>Tidak</v>
          </cell>
          <cell r="I3668" t="str">
            <v>Bandar Judol Withdrawal</v>
          </cell>
          <cell r="J3668">
            <v>50</v>
          </cell>
          <cell r="K3668" t="str">
            <v>86,88,87</v>
          </cell>
          <cell r="L3668" t="str">
            <v>Judi Online</v>
          </cell>
          <cell r="M3668" t="str">
            <v xml:space="preserve">Kas Kanpus                              </v>
          </cell>
          <cell r="N3668" t="str">
            <v xml:space="preserve">Kas Kanpus                              </v>
          </cell>
          <cell r="O3668" t="str">
            <v xml:space="preserve">KAS KANPUS                              </v>
          </cell>
          <cell r="P3668" t="str">
            <v>Ya</v>
          </cell>
          <cell r="Q3668" t="str">
            <v>Ya</v>
          </cell>
          <cell r="R3668" t="str">
            <v>Done</v>
          </cell>
          <cell r="S3668" t="str">
            <v>Approved</v>
          </cell>
          <cell r="T3668" t="str">
            <v>00394521 - Muhammad Hibbanduta</v>
          </cell>
          <cell r="U3668" t="str">
            <v>"-"</v>
          </cell>
        </row>
        <row r="3669">
          <cell r="A3669">
            <v>46265</v>
          </cell>
          <cell r="B3669" t="str">
            <v xml:space="preserve">JONI KANDEWA                            </v>
          </cell>
          <cell r="C3669" t="str">
            <v>JLQ1869</v>
          </cell>
          <cell r="D3669">
            <v>59501024527532</v>
          </cell>
          <cell r="E3669" t="str">
            <v>SEDANG</v>
          </cell>
          <cell r="F3669" t="str">
            <v>Tidak</v>
          </cell>
          <cell r="G3669" t="str">
            <v>Tidak</v>
          </cell>
          <cell r="H3669" t="str">
            <v>Tidak</v>
          </cell>
          <cell r="I3669" t="str">
            <v>Bandar Judol Withdrawal</v>
          </cell>
          <cell r="J3669">
            <v>50</v>
          </cell>
          <cell r="K3669" t="str">
            <v>86,88,87</v>
          </cell>
          <cell r="L3669" t="str">
            <v>Judi Online</v>
          </cell>
          <cell r="M3669" t="str">
            <v xml:space="preserve">Kas Kanpus                              </v>
          </cell>
          <cell r="N3669" t="str">
            <v xml:space="preserve">Kas Kanpus                              </v>
          </cell>
          <cell r="O3669" t="str">
            <v xml:space="preserve">KAS KANPUS                              </v>
          </cell>
          <cell r="P3669" t="str">
            <v>Ya</v>
          </cell>
          <cell r="Q3669" t="str">
            <v>Ya</v>
          </cell>
          <cell r="R3669" t="str">
            <v>Done</v>
          </cell>
          <cell r="S3669" t="str">
            <v>Approved</v>
          </cell>
          <cell r="T3669" t="str">
            <v>90185538 - Muhammad Fahikal Auz</v>
          </cell>
          <cell r="U3669" t="str">
            <v>"-"</v>
          </cell>
        </row>
        <row r="3670">
          <cell r="A3670">
            <v>46265</v>
          </cell>
          <cell r="B3670" t="str">
            <v xml:space="preserve">JUPRI HARIYANTO                         </v>
          </cell>
          <cell r="C3670" t="str">
            <v>JLQ5932</v>
          </cell>
          <cell r="D3670">
            <v>674901007823508</v>
          </cell>
          <cell r="E3670" t="str">
            <v>SEDANG</v>
          </cell>
          <cell r="F3670" t="str">
            <v>Tidak</v>
          </cell>
          <cell r="G3670" t="str">
            <v>Tidak</v>
          </cell>
          <cell r="H3670" t="str">
            <v>Tidak</v>
          </cell>
          <cell r="I3670" t="str">
            <v>Bandar Judol Depo</v>
          </cell>
          <cell r="J3670">
            <v>50</v>
          </cell>
          <cell r="K3670" t="str">
            <v>86,74,87</v>
          </cell>
          <cell r="L3670" t="str">
            <v>Judi Online</v>
          </cell>
          <cell r="M3670" t="str">
            <v xml:space="preserve">Kas Kanpus                              </v>
          </cell>
          <cell r="N3670" t="str">
            <v xml:space="preserve">Kas Kanpus                              </v>
          </cell>
          <cell r="O3670" t="str">
            <v xml:space="preserve">KAS KANPUS                              </v>
          </cell>
          <cell r="P3670" t="str">
            <v>Tidak</v>
          </cell>
          <cell r="Q3670" t="str">
            <v>Ya</v>
          </cell>
          <cell r="R3670" t="str">
            <v>Done</v>
          </cell>
          <cell r="S3670" t="str">
            <v>Approved</v>
          </cell>
          <cell r="T3670" t="str">
            <v>00394521 - Muhammad Hibbanduta</v>
          </cell>
          <cell r="U3670" t="str">
            <v>"-"</v>
          </cell>
        </row>
        <row r="3671">
          <cell r="A3671">
            <v>46265</v>
          </cell>
          <cell r="B3671" t="str">
            <v xml:space="preserve">JOUBERT WIBISONO                        </v>
          </cell>
          <cell r="C3671" t="str">
            <v>JLT8088</v>
          </cell>
          <cell r="D3671">
            <v>32901103782503</v>
          </cell>
          <cell r="E3671" t="str">
            <v>SEDANG</v>
          </cell>
          <cell r="F3671" t="str">
            <v>Tidak</v>
          </cell>
          <cell r="G3671" t="str">
            <v>Tidak</v>
          </cell>
          <cell r="H3671" t="str">
            <v>Tidak</v>
          </cell>
          <cell r="I3671" t="str">
            <v>Bandar Judol Depo</v>
          </cell>
          <cell r="J3671">
            <v>50</v>
          </cell>
          <cell r="K3671" t="str">
            <v>86,74,87</v>
          </cell>
          <cell r="L3671" t="str">
            <v>Judi Online</v>
          </cell>
          <cell r="M3671" t="str">
            <v xml:space="preserve">Kas Kanpus                              </v>
          </cell>
          <cell r="N3671" t="str">
            <v xml:space="preserve">Kas Kanpus                              </v>
          </cell>
          <cell r="O3671" t="str">
            <v xml:space="preserve">KAS KANPUS                              </v>
          </cell>
          <cell r="P3671" t="str">
            <v>Ya</v>
          </cell>
          <cell r="Q3671" t="str">
            <v>Ya</v>
          </cell>
          <cell r="R3671" t="str">
            <v>Done</v>
          </cell>
          <cell r="S3671" t="str">
            <v>Approved</v>
          </cell>
          <cell r="T3671" t="str">
            <v>00336949 - Mochammad Al Farabi</v>
          </cell>
          <cell r="U3671" t="str">
            <v>"-"</v>
          </cell>
        </row>
        <row r="3672">
          <cell r="A3672">
            <v>46265</v>
          </cell>
          <cell r="B3672" t="str">
            <v xml:space="preserve">JULIAWANTI MEGA NUR                     </v>
          </cell>
          <cell r="C3672" t="str">
            <v>JNB6462</v>
          </cell>
          <cell r="D3672">
            <v>38601005807536</v>
          </cell>
          <cell r="F3672" t="str">
            <v>Tidak</v>
          </cell>
          <cell r="G3672" t="str">
            <v>Tidak</v>
          </cell>
          <cell r="H3672" t="str">
            <v>Tidak</v>
          </cell>
          <cell r="I3672" t="str">
            <v>Bandar Judol Withdrawal</v>
          </cell>
          <cell r="J3672">
            <v>35</v>
          </cell>
          <cell r="K3672" t="str">
            <v>86,88,87</v>
          </cell>
          <cell r="L3672" t="str">
            <v>Judi Online</v>
          </cell>
          <cell r="M3672" t="str">
            <v xml:space="preserve">Kas Kanpus                              </v>
          </cell>
          <cell r="N3672" t="str">
            <v xml:space="preserve">Kas Kanpus                              </v>
          </cell>
          <cell r="O3672" t="str">
            <v xml:space="preserve">KAS KANPUS                              </v>
          </cell>
          <cell r="P3672" t="str">
            <v>Ya</v>
          </cell>
          <cell r="Q3672" t="str">
            <v>Ya</v>
          </cell>
          <cell r="R3672" t="str">
            <v>Done</v>
          </cell>
          <cell r="S3672" t="str">
            <v>Approved</v>
          </cell>
          <cell r="T3672" t="str">
            <v>00336949 - Mochammad Al Farabi</v>
          </cell>
          <cell r="U3672" t="str">
            <v>"-"</v>
          </cell>
        </row>
        <row r="3673">
          <cell r="A3673">
            <v>46265</v>
          </cell>
          <cell r="B3673" t="str">
            <v xml:space="preserve">JUAN SUHANDI                            </v>
          </cell>
          <cell r="C3673" t="str">
            <v>JMC4890</v>
          </cell>
          <cell r="D3673">
            <v>714401010437507</v>
          </cell>
          <cell r="E3673" t="str">
            <v>SEDANG</v>
          </cell>
          <cell r="F3673" t="str">
            <v>Tidak</v>
          </cell>
          <cell r="G3673" t="str">
            <v>Tidak</v>
          </cell>
          <cell r="H3673" t="str">
            <v>Tidak</v>
          </cell>
          <cell r="I3673" t="str">
            <v>Bandar Judol Withdrawal</v>
          </cell>
          <cell r="J3673">
            <v>50</v>
          </cell>
          <cell r="K3673" t="str">
            <v>86,88,87</v>
          </cell>
          <cell r="L3673" t="str">
            <v>Judi Online</v>
          </cell>
          <cell r="M3673" t="str">
            <v xml:space="preserve">Kas Kanpus                              </v>
          </cell>
          <cell r="N3673" t="str">
            <v xml:space="preserve">Kas Kanpus                              </v>
          </cell>
          <cell r="O3673" t="str">
            <v xml:space="preserve">KAS KANPUS                              </v>
          </cell>
          <cell r="P3673" t="str">
            <v>Ya</v>
          </cell>
          <cell r="Q3673" t="str">
            <v>Ya</v>
          </cell>
          <cell r="R3673" t="str">
            <v>Done</v>
          </cell>
          <cell r="S3673" t="str">
            <v>Approved</v>
          </cell>
          <cell r="T3673" t="str">
            <v>90170665 - Mutiara Ayuningtyas</v>
          </cell>
          <cell r="U3673" t="str">
            <v>"-"</v>
          </cell>
        </row>
        <row r="3674">
          <cell r="A3674">
            <v>46265</v>
          </cell>
          <cell r="B3674" t="str">
            <v xml:space="preserve">JUNAEDI SUKMA WIJAYA                    </v>
          </cell>
          <cell r="C3674" t="str">
            <v>JMI5503</v>
          </cell>
          <cell r="D3674">
            <v>714401010578507</v>
          </cell>
          <cell r="E3674" t="str">
            <v>SEDANG</v>
          </cell>
          <cell r="F3674" t="str">
            <v>Tidak</v>
          </cell>
          <cell r="G3674" t="str">
            <v>Tidak</v>
          </cell>
          <cell r="H3674" t="str">
            <v>Tidak</v>
          </cell>
          <cell r="I3674" t="str">
            <v>Bandar Judol Withdrawal</v>
          </cell>
          <cell r="J3674">
            <v>50</v>
          </cell>
          <cell r="K3674" t="str">
            <v>86,88,87</v>
          </cell>
          <cell r="L3674" t="str">
            <v>Judi Online</v>
          </cell>
          <cell r="M3674" t="str">
            <v xml:space="preserve">Kas Kanpus                              </v>
          </cell>
          <cell r="N3674" t="str">
            <v xml:space="preserve">Kas Kanpus                              </v>
          </cell>
          <cell r="O3674" t="str">
            <v xml:space="preserve">KAS KANPUS                              </v>
          </cell>
          <cell r="P3674" t="str">
            <v>Ya</v>
          </cell>
          <cell r="Q3674" t="str">
            <v>Ya</v>
          </cell>
          <cell r="R3674" t="str">
            <v>Done</v>
          </cell>
          <cell r="S3674" t="str">
            <v>Approved</v>
          </cell>
          <cell r="T3674" t="str">
            <v>00336949 - Mochammad Al Farabi</v>
          </cell>
          <cell r="U3674" t="str">
            <v>"-"</v>
          </cell>
        </row>
        <row r="3675">
          <cell r="A3675">
            <v>46265</v>
          </cell>
          <cell r="B3675" t="str">
            <v xml:space="preserve">JIMMY PRAMANA                           </v>
          </cell>
          <cell r="C3675" t="str">
            <v>JMQ7996</v>
          </cell>
          <cell r="D3675">
            <v>530201003577504</v>
          </cell>
          <cell r="E3675" t="str">
            <v>SEDANG</v>
          </cell>
          <cell r="F3675" t="str">
            <v>Tidak</v>
          </cell>
          <cell r="G3675" t="str">
            <v>Tidak</v>
          </cell>
          <cell r="H3675" t="str">
            <v>Tidak</v>
          </cell>
          <cell r="I3675" t="str">
            <v>Bandar Judol Depo</v>
          </cell>
          <cell r="J3675">
            <v>50</v>
          </cell>
          <cell r="K3675" t="str">
            <v>86,74,87</v>
          </cell>
          <cell r="L3675" t="str">
            <v>Judi Online</v>
          </cell>
          <cell r="M3675" t="str">
            <v xml:space="preserve">Kas Kanpus                              </v>
          </cell>
          <cell r="N3675" t="str">
            <v xml:space="preserve">Kas Kanpus                              </v>
          </cell>
          <cell r="O3675" t="str">
            <v xml:space="preserve">KAS KANPUS                              </v>
          </cell>
          <cell r="P3675" t="str">
            <v>Ya</v>
          </cell>
          <cell r="Q3675" t="str">
            <v>Ya</v>
          </cell>
          <cell r="R3675" t="str">
            <v>Done</v>
          </cell>
          <cell r="S3675" t="str">
            <v>Approved</v>
          </cell>
          <cell r="T3675" t="str">
            <v>90170665 - Mutiara Ayuningtyas</v>
          </cell>
          <cell r="U3675" t="str">
            <v>"-"</v>
          </cell>
        </row>
        <row r="3676">
          <cell r="A3676">
            <v>46265</v>
          </cell>
          <cell r="B3676" t="str">
            <v xml:space="preserve">JELITA SIHOL MARITO                     </v>
          </cell>
          <cell r="C3676" t="str">
            <v>JCJ2455</v>
          </cell>
          <cell r="D3676">
            <v>208301019865508</v>
          </cell>
          <cell r="E3676" t="str">
            <v>SEDANG</v>
          </cell>
          <cell r="F3676" t="str">
            <v>Tidak</v>
          </cell>
          <cell r="G3676" t="str">
            <v>Tidak</v>
          </cell>
          <cell r="H3676" t="str">
            <v>Tidak</v>
          </cell>
          <cell r="I3676" t="str">
            <v>Bandar Judol Depo</v>
          </cell>
          <cell r="J3676">
            <v>50</v>
          </cell>
          <cell r="K3676" t="str">
            <v>86,74,87</v>
          </cell>
          <cell r="L3676" t="str">
            <v>Judi Online</v>
          </cell>
          <cell r="M3676" t="str">
            <v xml:space="preserve">Kas Kanpus                              </v>
          </cell>
          <cell r="N3676" t="str">
            <v xml:space="preserve">Kas Kanpus                              </v>
          </cell>
          <cell r="O3676" t="str">
            <v xml:space="preserve">KAS KANPUS                              </v>
          </cell>
          <cell r="P3676" t="str">
            <v>Tidak</v>
          </cell>
          <cell r="Q3676" t="str">
            <v>Ya</v>
          </cell>
          <cell r="R3676" t="str">
            <v>Done</v>
          </cell>
          <cell r="S3676" t="str">
            <v>Approved</v>
          </cell>
          <cell r="T3676" t="str">
            <v>90171841 - Rifqi Aziz</v>
          </cell>
          <cell r="U3676" t="str">
            <v>"-"</v>
          </cell>
        </row>
        <row r="3677">
          <cell r="A3677">
            <v>46265</v>
          </cell>
          <cell r="B3677" t="str">
            <v xml:space="preserve">JASA ALAM SEJAHTERA                     </v>
          </cell>
          <cell r="C3677" t="str">
            <v>JEQ4338</v>
          </cell>
          <cell r="D3677">
            <v>30201001218303</v>
          </cell>
          <cell r="E3677" t="str">
            <v>SEDANG</v>
          </cell>
          <cell r="F3677" t="str">
            <v>Tidak</v>
          </cell>
          <cell r="G3677" t="str">
            <v>Tidak</v>
          </cell>
          <cell r="H3677" t="str">
            <v>Tidak</v>
          </cell>
          <cell r="I3677" t="str">
            <v>Perpajakan</v>
          </cell>
          <cell r="J3677">
            <v>50</v>
          </cell>
          <cell r="K3677">
            <v>1.33</v>
          </cell>
          <cell r="L3677" t="str">
            <v>Perpajakan</v>
          </cell>
          <cell r="M3677" t="str">
            <v xml:space="preserve">KC Cikampek                             </v>
          </cell>
          <cell r="N3677" t="str">
            <v xml:space="preserve">KC Cikampek                             </v>
          </cell>
          <cell r="O3677" t="str">
            <v xml:space="preserve">DKI2                                    </v>
          </cell>
          <cell r="P3677" t="str">
            <v>Tidak</v>
          </cell>
          <cell r="Q3677" t="str">
            <v>Tidak</v>
          </cell>
          <cell r="R3677" t="str">
            <v>Done</v>
          </cell>
          <cell r="S3677" t="str">
            <v>Approved</v>
          </cell>
          <cell r="T3677" t="str">
            <v>90186796 - Devito Arya Wiradila</v>
          </cell>
          <cell r="U3677" t="str">
            <v>"-"</v>
          </cell>
        </row>
        <row r="3678">
          <cell r="A3678">
            <v>46265</v>
          </cell>
          <cell r="B3678" t="str">
            <v xml:space="preserve">JOHARIAH                                </v>
          </cell>
          <cell r="C3678" t="str">
            <v>JEV0569</v>
          </cell>
          <cell r="D3678">
            <v>324401023618532</v>
          </cell>
          <cell r="E3678" t="str">
            <v>SEDANG</v>
          </cell>
          <cell r="F3678" t="str">
            <v>Tidak</v>
          </cell>
          <cell r="G3678" t="str">
            <v>Tidak</v>
          </cell>
          <cell r="H3678" t="str">
            <v>Tidak</v>
          </cell>
          <cell r="I3678" t="str">
            <v>Bandar Judol Depo</v>
          </cell>
          <cell r="J3678">
            <v>50</v>
          </cell>
          <cell r="K3678" t="str">
            <v>86,74,87</v>
          </cell>
          <cell r="L3678" t="str">
            <v>Judi Online</v>
          </cell>
          <cell r="M3678" t="str">
            <v xml:space="preserve">Kas Kanpus                              </v>
          </cell>
          <cell r="N3678" t="str">
            <v xml:space="preserve">Kas Kanpus                              </v>
          </cell>
          <cell r="O3678" t="str">
            <v xml:space="preserve">KAS KANPUS                              </v>
          </cell>
          <cell r="P3678" t="str">
            <v>Ya</v>
          </cell>
          <cell r="Q3678" t="str">
            <v>Ya</v>
          </cell>
          <cell r="R3678" t="str">
            <v>Done</v>
          </cell>
          <cell r="S3678" t="str">
            <v>Approved</v>
          </cell>
          <cell r="T3678" t="str">
            <v>90186790 - Muhammad Alfin Farha</v>
          </cell>
          <cell r="U3678" t="str">
            <v>"-"</v>
          </cell>
        </row>
        <row r="3679">
          <cell r="A3679">
            <v>46265</v>
          </cell>
          <cell r="B3679" t="str">
            <v xml:space="preserve">JOHANNES MARBUN                         </v>
          </cell>
          <cell r="C3679" t="str">
            <v>JEA1919</v>
          </cell>
          <cell r="D3679">
            <v>532201015736530</v>
          </cell>
          <cell r="E3679" t="str">
            <v>SEDANG</v>
          </cell>
          <cell r="F3679" t="str">
            <v>Tidak</v>
          </cell>
          <cell r="G3679" t="str">
            <v>Tidak</v>
          </cell>
          <cell r="H3679" t="str">
            <v>Tidak</v>
          </cell>
          <cell r="I3679" t="str">
            <v>Bandar Judol Depo</v>
          </cell>
          <cell r="J3679">
            <v>50</v>
          </cell>
          <cell r="K3679" t="str">
            <v>86,74,87</v>
          </cell>
          <cell r="L3679" t="str">
            <v>Judi Online</v>
          </cell>
          <cell r="M3679" t="str">
            <v xml:space="preserve">Kas Kanpus                              </v>
          </cell>
          <cell r="N3679" t="str">
            <v xml:space="preserve">Kas Kanpus                              </v>
          </cell>
          <cell r="O3679" t="str">
            <v xml:space="preserve">KAS KANPUS                              </v>
          </cell>
          <cell r="P3679" t="str">
            <v>Tidak</v>
          </cell>
          <cell r="Q3679" t="str">
            <v>Ya</v>
          </cell>
          <cell r="R3679" t="str">
            <v>Done</v>
          </cell>
          <cell r="S3679" t="str">
            <v>Approved</v>
          </cell>
          <cell r="T3679" t="str">
            <v>00394521 - Muhammad Hibbanduta</v>
          </cell>
          <cell r="U3679" t="str">
            <v>"-"</v>
          </cell>
        </row>
        <row r="3680">
          <cell r="A3680">
            <v>46265</v>
          </cell>
          <cell r="B3680" t="str">
            <v xml:space="preserve">INDAH SARI                              </v>
          </cell>
          <cell r="C3680" t="str">
            <v>IZH4763</v>
          </cell>
          <cell r="D3680">
            <v>337601081735535</v>
          </cell>
          <cell r="E3680" t="str">
            <v>SEDANG</v>
          </cell>
          <cell r="F3680" t="str">
            <v>Tidak</v>
          </cell>
          <cell r="G3680" t="str">
            <v>Tidak</v>
          </cell>
          <cell r="H3680" t="str">
            <v>Tidak</v>
          </cell>
          <cell r="I3680" t="str">
            <v>Bandar Judol Withdrawal</v>
          </cell>
          <cell r="J3680">
            <v>50</v>
          </cell>
          <cell r="K3680" t="str">
            <v>86,88,87</v>
          </cell>
          <cell r="L3680" t="str">
            <v>Judi Online</v>
          </cell>
          <cell r="M3680" t="str">
            <v xml:space="preserve">Kas Kanpus                              </v>
          </cell>
          <cell r="N3680" t="str">
            <v xml:space="preserve">Kas Kanpus                              </v>
          </cell>
          <cell r="O3680" t="str">
            <v xml:space="preserve">KAS KANPUS                              </v>
          </cell>
          <cell r="P3680" t="str">
            <v>Ya</v>
          </cell>
          <cell r="Q3680" t="str">
            <v>Ya</v>
          </cell>
          <cell r="R3680" t="str">
            <v>Done</v>
          </cell>
          <cell r="S3680" t="str">
            <v>Approved</v>
          </cell>
          <cell r="T3680" t="str">
            <v>90150130 - Intan Aida Pratiwi</v>
          </cell>
          <cell r="U3680" t="str">
            <v>"-"</v>
          </cell>
        </row>
        <row r="3681">
          <cell r="A3681">
            <v>46265</v>
          </cell>
          <cell r="B3681" t="str">
            <v xml:space="preserve">JIHAD                                   </v>
          </cell>
          <cell r="C3681" t="str">
            <v>JAA2341</v>
          </cell>
          <cell r="D3681">
            <v>503901000011560</v>
          </cell>
          <cell r="E3681" t="str">
            <v>TINGGI</v>
          </cell>
          <cell r="F3681" t="str">
            <v>Ya</v>
          </cell>
          <cell r="G3681" t="str">
            <v>Tidak</v>
          </cell>
          <cell r="H3681" t="str">
            <v>Ya</v>
          </cell>
          <cell r="I3681" t="str">
            <v>Terorisme - SIPENDAR</v>
          </cell>
          <cell r="J3681">
            <v>185</v>
          </cell>
          <cell r="K3681">
            <v>36</v>
          </cell>
          <cell r="L3681" t="str">
            <v>Terorisme</v>
          </cell>
          <cell r="M3681" t="str">
            <v xml:space="preserve">Kas Kanpus                              </v>
          </cell>
          <cell r="N3681" t="str">
            <v xml:space="preserve">Kas Kanpus                              </v>
          </cell>
          <cell r="O3681" t="str">
            <v xml:space="preserve">KAS KANPUS                              </v>
          </cell>
          <cell r="P3681" t="str">
            <v>Tidak</v>
          </cell>
          <cell r="Q3681" t="str">
            <v>Tidak</v>
          </cell>
          <cell r="R3681" t="str">
            <v>Done</v>
          </cell>
          <cell r="S3681" t="str">
            <v>Approved</v>
          </cell>
          <cell r="T3681" t="str">
            <v>90185537 - Moh.Khoerul Fajar Ar</v>
          </cell>
          <cell r="U3681" t="str">
            <v>"-"</v>
          </cell>
        </row>
        <row r="3682">
          <cell r="A3682">
            <v>46265</v>
          </cell>
          <cell r="B3682" t="str">
            <v xml:space="preserve">JHON ETWIN UBWARIN                      </v>
          </cell>
          <cell r="C3682" t="str">
            <v>JBE8283</v>
          </cell>
          <cell r="D3682">
            <v>487001046292533</v>
          </cell>
          <cell r="E3682" t="str">
            <v>SEDANG</v>
          </cell>
          <cell r="F3682" t="str">
            <v>Tidak</v>
          </cell>
          <cell r="G3682" t="str">
            <v>Tidak</v>
          </cell>
          <cell r="H3682" t="str">
            <v>Tidak</v>
          </cell>
          <cell r="I3682" t="str">
            <v>Narkotika - Area Lapas</v>
          </cell>
          <cell r="J3682">
            <v>50</v>
          </cell>
          <cell r="K3682">
            <v>48</v>
          </cell>
          <cell r="L3682" t="str">
            <v>Narkotika</v>
          </cell>
          <cell r="M3682" t="str">
            <v>UNIT AMBON KOTA AMBON</v>
          </cell>
          <cell r="N3682" t="str">
            <v>KC Ambon</v>
          </cell>
          <cell r="O3682" t="str">
            <v>Makassar</v>
          </cell>
          <cell r="P3682" t="str">
            <v>Ya</v>
          </cell>
          <cell r="Q3682" t="str">
            <v>Tidak</v>
          </cell>
          <cell r="R3682" t="str">
            <v>Done</v>
          </cell>
          <cell r="S3682" t="str">
            <v>Approved</v>
          </cell>
          <cell r="T3682" t="str">
            <v>90185538 - Muhammad Fahikal Auz</v>
          </cell>
          <cell r="U3682" t="str">
            <v>"-"</v>
          </cell>
        </row>
        <row r="3683">
          <cell r="A3683">
            <v>46265</v>
          </cell>
          <cell r="B3683" t="str">
            <v xml:space="preserve">IRWAN TUMADA                            </v>
          </cell>
          <cell r="C3683" t="str">
            <v>IXP0617</v>
          </cell>
          <cell r="D3683">
            <v>501601015026502</v>
          </cell>
          <cell r="E3683" t="str">
            <v>SEDANG</v>
          </cell>
          <cell r="F3683" t="str">
            <v>Tidak</v>
          </cell>
          <cell r="G3683" t="str">
            <v>Tidak</v>
          </cell>
          <cell r="H3683" t="str">
            <v>Tidak</v>
          </cell>
          <cell r="I3683" t="str">
            <v>Bandar Judol Depo</v>
          </cell>
          <cell r="J3683">
            <v>50</v>
          </cell>
          <cell r="K3683" t="str">
            <v>86,74,87</v>
          </cell>
          <cell r="L3683" t="str">
            <v>Judi Online</v>
          </cell>
          <cell r="M3683" t="str">
            <v xml:space="preserve">Kas Kanpus                              </v>
          </cell>
          <cell r="N3683" t="str">
            <v xml:space="preserve">Kas Kanpus                              </v>
          </cell>
          <cell r="O3683" t="str">
            <v xml:space="preserve">KAS KANPUS                              </v>
          </cell>
          <cell r="P3683" t="str">
            <v>Ya</v>
          </cell>
          <cell r="Q3683" t="str">
            <v>Ya</v>
          </cell>
          <cell r="R3683" t="str">
            <v>Done</v>
          </cell>
          <cell r="S3683" t="str">
            <v>Approved</v>
          </cell>
          <cell r="T3683" t="str">
            <v>00336949 - Mochammad Al Farabi</v>
          </cell>
          <cell r="U3683" t="str">
            <v>"-"</v>
          </cell>
        </row>
        <row r="3684">
          <cell r="A3684">
            <v>46265</v>
          </cell>
          <cell r="B3684" t="str">
            <v xml:space="preserve">I LUH MERTA SARI                        </v>
          </cell>
          <cell r="C3684" t="str">
            <v>IYB3582</v>
          </cell>
          <cell r="D3684">
            <v>19201001638562</v>
          </cell>
          <cell r="E3684" t="str">
            <v>SEDANG</v>
          </cell>
          <cell r="F3684" t="str">
            <v>Tidak</v>
          </cell>
          <cell r="G3684" t="str">
            <v>Tidak</v>
          </cell>
          <cell r="H3684" t="str">
            <v>Tidak</v>
          </cell>
          <cell r="I3684" t="str">
            <v>Bandar Judol Depo</v>
          </cell>
          <cell r="J3684">
            <v>50</v>
          </cell>
          <cell r="K3684" t="str">
            <v>86,74,87</v>
          </cell>
          <cell r="L3684" t="str">
            <v>Judi Online</v>
          </cell>
          <cell r="M3684" t="str">
            <v xml:space="preserve">Kas Kanpus                              </v>
          </cell>
          <cell r="N3684" t="str">
            <v xml:space="preserve">Kas Kanpus                              </v>
          </cell>
          <cell r="O3684" t="str">
            <v xml:space="preserve">KAS KANPUS                              </v>
          </cell>
          <cell r="P3684" t="str">
            <v>Tidak</v>
          </cell>
          <cell r="Q3684" t="str">
            <v>Ya</v>
          </cell>
          <cell r="R3684" t="str">
            <v>Done</v>
          </cell>
          <cell r="S3684" t="str">
            <v>Approved</v>
          </cell>
          <cell r="T3684" t="str">
            <v>00394521 - Muhammad Hibbanduta</v>
          </cell>
          <cell r="U3684" t="str">
            <v>"-"</v>
          </cell>
        </row>
        <row r="3685">
          <cell r="A3685">
            <v>46265</v>
          </cell>
          <cell r="B3685" t="str">
            <v xml:space="preserve">IKHWANI                                 </v>
          </cell>
          <cell r="C3685" t="str">
            <v>IYK3221</v>
          </cell>
          <cell r="D3685">
            <v>63801070793507</v>
          </cell>
          <cell r="E3685" t="str">
            <v>TINGGI</v>
          </cell>
          <cell r="F3685" t="str">
            <v>Tidak</v>
          </cell>
          <cell r="G3685" t="str">
            <v>Tidak</v>
          </cell>
          <cell r="H3685" t="str">
            <v>Tidak</v>
          </cell>
          <cell r="I3685" t="str">
            <v>Bandar Judol Withdrawal</v>
          </cell>
          <cell r="J3685">
            <v>65</v>
          </cell>
          <cell r="K3685" t="str">
            <v>86,88,87</v>
          </cell>
          <cell r="L3685" t="str">
            <v>Judi Online</v>
          </cell>
          <cell r="M3685" t="str">
            <v xml:space="preserve">Kas Kanpus                              </v>
          </cell>
          <cell r="N3685" t="str">
            <v xml:space="preserve">Kas Kanpus                              </v>
          </cell>
          <cell r="O3685" t="str">
            <v xml:space="preserve">KAS KANPUS                              </v>
          </cell>
          <cell r="P3685" t="str">
            <v>Tidak</v>
          </cell>
          <cell r="Q3685" t="str">
            <v>Ya</v>
          </cell>
          <cell r="R3685" t="str">
            <v>Done</v>
          </cell>
          <cell r="S3685" t="str">
            <v>Approved</v>
          </cell>
          <cell r="T3685" t="str">
            <v>90185537 - Moh.Khoerul Fajar Ar</v>
          </cell>
          <cell r="U3685" t="str">
            <v>"-"</v>
          </cell>
        </row>
        <row r="3686">
          <cell r="A3686">
            <v>46265</v>
          </cell>
          <cell r="B3686" t="str">
            <v xml:space="preserve">INDAH ANDARINI                          </v>
          </cell>
          <cell r="C3686" t="str">
            <v>IYL0488</v>
          </cell>
          <cell r="D3686">
            <v>309901002611506</v>
          </cell>
          <cell r="E3686" t="str">
            <v>SEDANG</v>
          </cell>
          <cell r="F3686" t="str">
            <v>Tidak</v>
          </cell>
          <cell r="G3686" t="str">
            <v>Tidak</v>
          </cell>
          <cell r="H3686" t="str">
            <v>Ya</v>
          </cell>
          <cell r="I3686" t="str">
            <v>Terorisme - SIPENDAR</v>
          </cell>
          <cell r="J3686">
            <v>170</v>
          </cell>
          <cell r="K3686">
            <v>36</v>
          </cell>
          <cell r="L3686" t="str">
            <v>Terorisme</v>
          </cell>
          <cell r="M3686" t="str">
            <v xml:space="preserve">Kas Kanpus                              </v>
          </cell>
          <cell r="N3686" t="str">
            <v xml:space="preserve">Kas Kanpus                              </v>
          </cell>
          <cell r="O3686" t="str">
            <v xml:space="preserve">KAS KANPUS                              </v>
          </cell>
          <cell r="P3686" t="str">
            <v>Ya</v>
          </cell>
          <cell r="Q3686" t="str">
            <v>Tidak</v>
          </cell>
          <cell r="R3686" t="str">
            <v>Done</v>
          </cell>
          <cell r="S3686" t="str">
            <v>Approved</v>
          </cell>
          <cell r="T3686" t="str">
            <v>90185538 - Muhammad Fahikal Auz</v>
          </cell>
          <cell r="U3686" t="str">
            <v>"-"</v>
          </cell>
        </row>
        <row r="3687">
          <cell r="A3687">
            <v>46265</v>
          </cell>
          <cell r="B3687" t="str">
            <v xml:space="preserve">IRMA YUNITA SANDARI INDAH               </v>
          </cell>
          <cell r="C3687" t="str">
            <v>IUZ8277</v>
          </cell>
          <cell r="D3687">
            <v>408001047752535</v>
          </cell>
          <cell r="E3687" t="str">
            <v>SEDANG</v>
          </cell>
          <cell r="F3687" t="str">
            <v>Tidak</v>
          </cell>
          <cell r="G3687" t="str">
            <v>Tidak</v>
          </cell>
          <cell r="H3687" t="str">
            <v>Tidak</v>
          </cell>
          <cell r="I3687" t="str">
            <v>Bandar Judol Withdrawal</v>
          </cell>
          <cell r="J3687">
            <v>50</v>
          </cell>
          <cell r="K3687" t="str">
            <v>86,88,87</v>
          </cell>
          <cell r="L3687" t="str">
            <v>Judi Online</v>
          </cell>
          <cell r="M3687" t="str">
            <v xml:space="preserve">Kas Kanpus                              </v>
          </cell>
          <cell r="N3687" t="str">
            <v xml:space="preserve">Kas Kanpus                              </v>
          </cell>
          <cell r="O3687" t="str">
            <v xml:space="preserve">KAS KANPUS                              </v>
          </cell>
          <cell r="P3687" t="str">
            <v>Ya</v>
          </cell>
          <cell r="Q3687" t="str">
            <v>Ya</v>
          </cell>
          <cell r="R3687" t="str">
            <v>Done</v>
          </cell>
          <cell r="S3687" t="str">
            <v>Approved</v>
          </cell>
          <cell r="T3687" t="str">
            <v>00394520 - Frida Akbar Rani</v>
          </cell>
          <cell r="U3687" t="str">
            <v>"-"</v>
          </cell>
        </row>
        <row r="3688">
          <cell r="A3688">
            <v>46265</v>
          </cell>
          <cell r="B3688" t="str">
            <v xml:space="preserve">IRMAWATI                                </v>
          </cell>
          <cell r="C3688" t="str">
            <v>IUD6063</v>
          </cell>
          <cell r="D3688">
            <v>109001041881508</v>
          </cell>
          <cell r="E3688" t="str">
            <v>SEDANG</v>
          </cell>
          <cell r="F3688" t="str">
            <v>Tidak</v>
          </cell>
          <cell r="G3688" t="str">
            <v>Tidak</v>
          </cell>
          <cell r="H3688" t="str">
            <v>Tidak</v>
          </cell>
          <cell r="I3688" t="str">
            <v>Bandar Judol Withdrawal</v>
          </cell>
          <cell r="J3688">
            <v>50</v>
          </cell>
          <cell r="K3688" t="str">
            <v>86,88,87</v>
          </cell>
          <cell r="L3688" t="str">
            <v>Judi Online</v>
          </cell>
          <cell r="M3688" t="str">
            <v xml:space="preserve">Kas Kanpus                              </v>
          </cell>
          <cell r="N3688" t="str">
            <v xml:space="preserve">Kas Kanpus                              </v>
          </cell>
          <cell r="O3688" t="str">
            <v xml:space="preserve">KAS KANPUS                              </v>
          </cell>
          <cell r="P3688" t="str">
            <v>Ya</v>
          </cell>
          <cell r="Q3688" t="str">
            <v>Tidak</v>
          </cell>
          <cell r="R3688" t="str">
            <v>Done</v>
          </cell>
          <cell r="S3688" t="str">
            <v>Approved</v>
          </cell>
          <cell r="T3688" t="str">
            <v>00394521 - Muhammad Hibbanduta</v>
          </cell>
          <cell r="U3688" t="str">
            <v>"-"</v>
          </cell>
        </row>
        <row r="3689">
          <cell r="A3689">
            <v>46265</v>
          </cell>
          <cell r="B3689" t="str">
            <v xml:space="preserve">ITSNAN MALIK WICAKSANA                  </v>
          </cell>
          <cell r="C3689" t="str">
            <v>IXA7768</v>
          </cell>
          <cell r="D3689">
            <v>33601033521531</v>
          </cell>
          <cell r="E3689" t="str">
            <v>SEDANG</v>
          </cell>
          <cell r="F3689" t="str">
            <v>Tidak</v>
          </cell>
          <cell r="G3689" t="str">
            <v>Tidak</v>
          </cell>
          <cell r="H3689" t="str">
            <v>Tidak</v>
          </cell>
          <cell r="I3689" t="str">
            <v>Bandar Judol Withdrawal</v>
          </cell>
          <cell r="J3689">
            <v>50</v>
          </cell>
          <cell r="K3689" t="str">
            <v>86,88,87</v>
          </cell>
          <cell r="L3689" t="str">
            <v>Judi Online</v>
          </cell>
          <cell r="M3689" t="str">
            <v xml:space="preserve">Kas Kanpus                              </v>
          </cell>
          <cell r="N3689" t="str">
            <v xml:space="preserve">Kas Kanpus                              </v>
          </cell>
          <cell r="O3689" t="str">
            <v xml:space="preserve">KAS KANPUS                              </v>
          </cell>
          <cell r="P3689" t="str">
            <v>Ya</v>
          </cell>
          <cell r="Q3689" t="str">
            <v>Ya</v>
          </cell>
          <cell r="R3689" t="str">
            <v>Done</v>
          </cell>
          <cell r="S3689" t="str">
            <v>Approved</v>
          </cell>
          <cell r="T3689" t="str">
            <v>90150130 - Intan Aida Pratiwi</v>
          </cell>
          <cell r="U3689" t="str">
            <v>"-"</v>
          </cell>
        </row>
        <row r="3690">
          <cell r="A3690">
            <v>46265</v>
          </cell>
          <cell r="B3690" t="str">
            <v xml:space="preserve">I GEDE WISNA                            </v>
          </cell>
          <cell r="C3690" t="str">
            <v>IVD3604</v>
          </cell>
          <cell r="D3690">
            <v>2401001443568</v>
          </cell>
          <cell r="E3690" t="str">
            <v>SEDANG</v>
          </cell>
          <cell r="F3690" t="str">
            <v>Tidak</v>
          </cell>
          <cell r="G3690" t="str">
            <v>Tidak</v>
          </cell>
          <cell r="H3690" t="str">
            <v>Tidak</v>
          </cell>
          <cell r="I3690" t="str">
            <v>Bandar Judol Withdrawal</v>
          </cell>
          <cell r="J3690">
            <v>60</v>
          </cell>
          <cell r="K3690" t="str">
            <v>86,88,87</v>
          </cell>
          <cell r="L3690" t="str">
            <v>Judi Online</v>
          </cell>
          <cell r="M3690" t="str">
            <v xml:space="preserve">Kas Kanpus                              </v>
          </cell>
          <cell r="N3690" t="str">
            <v xml:space="preserve">Kas Kanpus                              </v>
          </cell>
          <cell r="O3690" t="str">
            <v xml:space="preserve">KAS KANPUS                              </v>
          </cell>
          <cell r="P3690" t="str">
            <v>Tidak</v>
          </cell>
          <cell r="Q3690" t="str">
            <v>Tidak</v>
          </cell>
          <cell r="R3690" t="str">
            <v>Done</v>
          </cell>
          <cell r="S3690" t="str">
            <v>Approved</v>
          </cell>
          <cell r="T3690" t="str">
            <v>00394521 - Muhammad Hibbanduta</v>
          </cell>
          <cell r="U3690" t="str">
            <v>"-"</v>
          </cell>
        </row>
        <row r="3691">
          <cell r="A3691">
            <v>46265</v>
          </cell>
          <cell r="B3691" t="str">
            <v xml:space="preserve">IREN SEPTIYAN                           </v>
          </cell>
          <cell r="C3691" t="str">
            <v>IVG9065</v>
          </cell>
          <cell r="D3691">
            <v>80901006825501</v>
          </cell>
          <cell r="E3691" t="str">
            <v>SEDANG</v>
          </cell>
          <cell r="F3691" t="str">
            <v>Tidak</v>
          </cell>
          <cell r="G3691" t="str">
            <v>Tidak</v>
          </cell>
          <cell r="H3691" t="str">
            <v>Tidak</v>
          </cell>
          <cell r="I3691" t="str">
            <v>Bandar Judol Withdrawal</v>
          </cell>
          <cell r="J3691">
            <v>50</v>
          </cell>
          <cell r="K3691" t="str">
            <v>86,88,87</v>
          </cell>
          <cell r="L3691" t="str">
            <v>Judi Online</v>
          </cell>
          <cell r="M3691" t="str">
            <v xml:space="preserve">Kas Kanpus                              </v>
          </cell>
          <cell r="N3691" t="str">
            <v xml:space="preserve">Kas Kanpus                              </v>
          </cell>
          <cell r="O3691" t="str">
            <v xml:space="preserve">KAS KANPUS                              </v>
          </cell>
          <cell r="P3691" t="str">
            <v>Ya</v>
          </cell>
          <cell r="Q3691" t="str">
            <v>Ya</v>
          </cell>
          <cell r="R3691" t="str">
            <v>Done</v>
          </cell>
          <cell r="S3691" t="str">
            <v>Approved</v>
          </cell>
          <cell r="T3691" t="str">
            <v>90186790 - Muhammad Alfin Farha</v>
          </cell>
          <cell r="U3691" t="str">
            <v>"-"</v>
          </cell>
        </row>
        <row r="3692">
          <cell r="A3692">
            <v>46265</v>
          </cell>
          <cell r="B3692" t="str">
            <v xml:space="preserve">IDUL FITRI                              </v>
          </cell>
          <cell r="C3692" t="str">
            <v>IX25706</v>
          </cell>
          <cell r="D3692">
            <v>65301019387505</v>
          </cell>
          <cell r="E3692" t="str">
            <v>SEDANG</v>
          </cell>
          <cell r="F3692" t="str">
            <v>Tidak</v>
          </cell>
          <cell r="G3692" t="str">
            <v>Tidak</v>
          </cell>
          <cell r="H3692" t="str">
            <v>Tidak</v>
          </cell>
          <cell r="I3692" t="str">
            <v>Bandar Judol Withdrawal</v>
          </cell>
          <cell r="J3692">
            <v>50</v>
          </cell>
          <cell r="K3692" t="str">
            <v>86,88,87</v>
          </cell>
          <cell r="L3692" t="str">
            <v>Judi Online</v>
          </cell>
          <cell r="M3692" t="str">
            <v xml:space="preserve">Kas Kanpus                              </v>
          </cell>
          <cell r="N3692" t="str">
            <v xml:space="preserve">Kas Kanpus                              </v>
          </cell>
          <cell r="O3692" t="str">
            <v xml:space="preserve">KAS KANPUS                              </v>
          </cell>
          <cell r="P3692" t="str">
            <v>Ya</v>
          </cell>
          <cell r="Q3692" t="str">
            <v>Ya</v>
          </cell>
          <cell r="R3692" t="str">
            <v>Done</v>
          </cell>
          <cell r="S3692" t="str">
            <v>Approved</v>
          </cell>
          <cell r="T3692" t="str">
            <v>90185538 - Muhammad Fahikal Auz</v>
          </cell>
          <cell r="U3692" t="str">
            <v>"-"</v>
          </cell>
        </row>
        <row r="3693">
          <cell r="A3693">
            <v>46265</v>
          </cell>
          <cell r="B3693" t="str">
            <v xml:space="preserve">IMAN                                    </v>
          </cell>
          <cell r="C3693" t="str">
            <v>IX32914</v>
          </cell>
          <cell r="D3693">
            <v>425101025345531</v>
          </cell>
          <cell r="E3693" t="str">
            <v>SEDANG</v>
          </cell>
          <cell r="F3693" t="str">
            <v>Tidak</v>
          </cell>
          <cell r="G3693" t="str">
            <v>Tidak</v>
          </cell>
          <cell r="H3693" t="str">
            <v>Tidak</v>
          </cell>
          <cell r="I3693" t="str">
            <v>Perikanan dan Kelautan</v>
          </cell>
          <cell r="J3693">
            <v>50</v>
          </cell>
          <cell r="K3693">
            <v>101</v>
          </cell>
          <cell r="L3693" t="str">
            <v>Perikanan dan Kelautan</v>
          </cell>
          <cell r="M3693" t="str">
            <v xml:space="preserve">UNIT JAYANEGARA KARAWANG                </v>
          </cell>
          <cell r="N3693" t="str">
            <v xml:space="preserve">KC Karawang                             </v>
          </cell>
          <cell r="O3693" t="str">
            <v xml:space="preserve">DKI2                                    </v>
          </cell>
          <cell r="P3693" t="str">
            <v>Tidak</v>
          </cell>
          <cell r="Q3693" t="str">
            <v>Tidak</v>
          </cell>
          <cell r="R3693" t="str">
            <v>Done</v>
          </cell>
          <cell r="S3693" t="str">
            <v>Approved</v>
          </cell>
          <cell r="T3693" t="str">
            <v>90171841 - Rifqi Aziz</v>
          </cell>
          <cell r="U3693" t="str">
            <v>"-"</v>
          </cell>
        </row>
        <row r="3694">
          <cell r="A3694">
            <v>46265</v>
          </cell>
          <cell r="B3694" t="str">
            <v xml:space="preserve">INTAN OCTOMI                            </v>
          </cell>
          <cell r="C3694" t="str">
            <v>IX33801</v>
          </cell>
          <cell r="D3694">
            <v>69201000845564</v>
          </cell>
          <cell r="E3694" t="str">
            <v>SEDANG</v>
          </cell>
          <cell r="F3694" t="str">
            <v>Tidak</v>
          </cell>
          <cell r="G3694" t="str">
            <v>Tidak</v>
          </cell>
          <cell r="H3694" t="str">
            <v>Tidak</v>
          </cell>
          <cell r="I3694" t="str">
            <v>Bandar Judol Depo</v>
          </cell>
          <cell r="J3694">
            <v>50</v>
          </cell>
          <cell r="K3694" t="str">
            <v>86,74,87</v>
          </cell>
          <cell r="L3694" t="str">
            <v>Judi Online</v>
          </cell>
          <cell r="M3694" t="str">
            <v xml:space="preserve">Kas Kanpus                              </v>
          </cell>
          <cell r="N3694" t="str">
            <v xml:space="preserve">Kas Kanpus                              </v>
          </cell>
          <cell r="O3694" t="str">
            <v xml:space="preserve">KAS KANPUS                              </v>
          </cell>
          <cell r="P3694" t="str">
            <v>Ya</v>
          </cell>
          <cell r="Q3694" t="str">
            <v>Ya</v>
          </cell>
          <cell r="R3694" t="str">
            <v>Done</v>
          </cell>
          <cell r="S3694" t="str">
            <v>Approved</v>
          </cell>
          <cell r="T3694" t="str">
            <v>90186790 - Muhammad Alfin Farha</v>
          </cell>
          <cell r="U3694" t="str">
            <v>"-"</v>
          </cell>
        </row>
        <row r="3695">
          <cell r="A3695">
            <v>46265</v>
          </cell>
          <cell r="B3695" t="str">
            <v xml:space="preserve">IRGI MAULANA FIRMANSYAH                 </v>
          </cell>
          <cell r="C3695" t="str">
            <v>IOU1181</v>
          </cell>
          <cell r="D3695">
            <v>10501147486501</v>
          </cell>
          <cell r="E3695" t="str">
            <v>SEDANG</v>
          </cell>
          <cell r="F3695" t="str">
            <v>Tidak</v>
          </cell>
          <cell r="G3695" t="str">
            <v>Tidak</v>
          </cell>
          <cell r="H3695" t="str">
            <v>Tidak</v>
          </cell>
          <cell r="I3695" t="str">
            <v>Bandar Judol Withdrawal</v>
          </cell>
          <cell r="J3695">
            <v>50</v>
          </cell>
          <cell r="K3695" t="str">
            <v>86,88,87</v>
          </cell>
          <cell r="L3695" t="str">
            <v>Judi Online</v>
          </cell>
          <cell r="M3695" t="str">
            <v xml:space="preserve">Kas Kanpus                              </v>
          </cell>
          <cell r="N3695" t="str">
            <v xml:space="preserve">Kas Kanpus                              </v>
          </cell>
          <cell r="O3695" t="str">
            <v xml:space="preserve">KAS KANPUS                              </v>
          </cell>
          <cell r="P3695" t="str">
            <v>Ya</v>
          </cell>
          <cell r="Q3695" t="str">
            <v>Ya</v>
          </cell>
          <cell r="R3695" t="str">
            <v>Done</v>
          </cell>
          <cell r="S3695" t="str">
            <v>Approved</v>
          </cell>
          <cell r="T3695" t="str">
            <v>00394521 - Muhammad Hibbanduta</v>
          </cell>
          <cell r="U3695" t="str">
            <v>"-"</v>
          </cell>
        </row>
        <row r="3696">
          <cell r="A3696">
            <v>46265</v>
          </cell>
          <cell r="B3696" t="str">
            <v xml:space="preserve">IKHSAN ARI ATMAJI                       </v>
          </cell>
          <cell r="C3696" t="str">
            <v>INW7659</v>
          </cell>
          <cell r="D3696">
            <v>358801005689501</v>
          </cell>
          <cell r="E3696" t="str">
            <v>SEDANG</v>
          </cell>
          <cell r="F3696" t="str">
            <v>Tidak</v>
          </cell>
          <cell r="G3696" t="str">
            <v>Tidak</v>
          </cell>
          <cell r="H3696" t="str">
            <v>Tidak</v>
          </cell>
          <cell r="I3696" t="str">
            <v>Bandar Judol Withdrawal</v>
          </cell>
          <cell r="J3696">
            <v>50</v>
          </cell>
          <cell r="K3696" t="str">
            <v>86,88,87</v>
          </cell>
          <cell r="L3696" t="str">
            <v>Judi Online</v>
          </cell>
          <cell r="M3696" t="str">
            <v xml:space="preserve">Kas Kanpus                              </v>
          </cell>
          <cell r="N3696" t="str">
            <v xml:space="preserve">Kas Kanpus                              </v>
          </cell>
          <cell r="O3696" t="str">
            <v xml:space="preserve">KAS KANPUS                              </v>
          </cell>
          <cell r="P3696" t="str">
            <v>Tidak</v>
          </cell>
          <cell r="Q3696" t="str">
            <v>Ya</v>
          </cell>
          <cell r="R3696" t="str">
            <v>Done</v>
          </cell>
          <cell r="S3696" t="str">
            <v>Approved</v>
          </cell>
          <cell r="T3696" t="str">
            <v>00394521 - Muhammad Hibbanduta</v>
          </cell>
          <cell r="U3696" t="str">
            <v>"-"</v>
          </cell>
        </row>
        <row r="3697">
          <cell r="A3697">
            <v>46265</v>
          </cell>
          <cell r="B3697" t="str">
            <v xml:space="preserve">IRNI PRIYANI                            </v>
          </cell>
          <cell r="C3697" t="str">
            <v>IO44420</v>
          </cell>
          <cell r="D3697">
            <v>44501001969566</v>
          </cell>
          <cell r="E3697" t="str">
            <v>SEDANG</v>
          </cell>
          <cell r="F3697" t="str">
            <v>Tidak</v>
          </cell>
          <cell r="G3697" t="str">
            <v>Tidak</v>
          </cell>
          <cell r="H3697" t="str">
            <v>Tidak</v>
          </cell>
          <cell r="I3697" t="str">
            <v>Bandar Judol Depo</v>
          </cell>
          <cell r="J3697">
            <v>50</v>
          </cell>
          <cell r="K3697" t="str">
            <v>86,74,87</v>
          </cell>
          <cell r="L3697" t="str">
            <v>Judi Online</v>
          </cell>
          <cell r="M3697" t="str">
            <v xml:space="preserve">Kas Kanpus                              </v>
          </cell>
          <cell r="N3697" t="str">
            <v xml:space="preserve">Kas Kanpus                              </v>
          </cell>
          <cell r="O3697" t="str">
            <v xml:space="preserve">KAS KANPUS                              </v>
          </cell>
          <cell r="P3697" t="str">
            <v>Ya</v>
          </cell>
          <cell r="Q3697" t="str">
            <v>Ya</v>
          </cell>
          <cell r="R3697" t="str">
            <v>Done</v>
          </cell>
          <cell r="S3697" t="str">
            <v>Approved</v>
          </cell>
          <cell r="T3697" t="str">
            <v>90171841 - Rifqi Aziz</v>
          </cell>
          <cell r="U3697" t="str">
            <v>"-"</v>
          </cell>
        </row>
        <row r="3698">
          <cell r="A3698">
            <v>46265</v>
          </cell>
          <cell r="B3698" t="str">
            <v xml:space="preserve">IRFAN AFRINAL                           </v>
          </cell>
          <cell r="C3698" t="str">
            <v>INL9097</v>
          </cell>
          <cell r="D3698">
            <v>572401000033565</v>
          </cell>
          <cell r="E3698" t="str">
            <v>SEDANG</v>
          </cell>
          <cell r="F3698" t="str">
            <v>Ya</v>
          </cell>
          <cell r="G3698" t="str">
            <v>Tidak</v>
          </cell>
          <cell r="H3698" t="str">
            <v>Tidak</v>
          </cell>
          <cell r="I3698" t="str">
            <v>Narkotika - Area Lapas</v>
          </cell>
          <cell r="J3698">
            <v>50</v>
          </cell>
          <cell r="K3698">
            <v>46</v>
          </cell>
          <cell r="L3698" t="str">
            <v>Narkotika</v>
          </cell>
          <cell r="M3698" t="str">
            <v>UNIT MUARA BUNGO</v>
          </cell>
          <cell r="N3698" t="str">
            <v>KC Muara Bungo</v>
          </cell>
          <cell r="O3698" t="str">
            <v>Palembang</v>
          </cell>
          <cell r="P3698" t="str">
            <v>Tidak</v>
          </cell>
          <cell r="Q3698" t="str">
            <v>Ya</v>
          </cell>
          <cell r="R3698" t="str">
            <v>Done</v>
          </cell>
          <cell r="S3698" t="str">
            <v>Approved</v>
          </cell>
          <cell r="T3698" t="str">
            <v>90171841 - Rifqi Aziz</v>
          </cell>
          <cell r="U3698" t="str">
            <v>"-"</v>
          </cell>
        </row>
        <row r="3699">
          <cell r="A3699">
            <v>46265</v>
          </cell>
          <cell r="B3699" t="str">
            <v xml:space="preserve">IRGI                                    </v>
          </cell>
          <cell r="C3699" t="str">
            <v>IKA5037</v>
          </cell>
          <cell r="D3699">
            <v>415901104775534</v>
          </cell>
          <cell r="E3699" t="str">
            <v>SEDANG</v>
          </cell>
          <cell r="F3699" t="str">
            <v>Tidak</v>
          </cell>
          <cell r="G3699" t="str">
            <v>Tidak</v>
          </cell>
          <cell r="H3699" t="str">
            <v>Tidak</v>
          </cell>
          <cell r="I3699" t="str">
            <v>Bandar Judol Depo</v>
          </cell>
          <cell r="J3699">
            <v>50</v>
          </cell>
          <cell r="K3699" t="str">
            <v>86,74,87</v>
          </cell>
          <cell r="L3699" t="str">
            <v>Judi Online</v>
          </cell>
          <cell r="M3699" t="str">
            <v xml:space="preserve">Kas Kanpus                              </v>
          </cell>
          <cell r="N3699" t="str">
            <v xml:space="preserve">Kas Kanpus                              </v>
          </cell>
          <cell r="O3699" t="str">
            <v xml:space="preserve">KAS KANPUS                              </v>
          </cell>
          <cell r="P3699" t="str">
            <v>Ya</v>
          </cell>
          <cell r="Q3699" t="str">
            <v>Tidak</v>
          </cell>
          <cell r="R3699" t="str">
            <v>Done</v>
          </cell>
          <cell r="S3699" t="str">
            <v>Approved</v>
          </cell>
          <cell r="T3699" t="str">
            <v>00394520 - Frida Akbar Rani</v>
          </cell>
          <cell r="U3699" t="str">
            <v>"-"</v>
          </cell>
        </row>
        <row r="3700">
          <cell r="A3700">
            <v>46265</v>
          </cell>
          <cell r="B3700" t="str">
            <v xml:space="preserve">IRMA RATNA KOMALA                       </v>
          </cell>
          <cell r="C3700" t="str">
            <v>IR11371</v>
          </cell>
          <cell r="D3700">
            <v>12001002430560</v>
          </cell>
          <cell r="E3700" t="str">
            <v>SEDANG</v>
          </cell>
          <cell r="F3700" t="str">
            <v>Tidak</v>
          </cell>
          <cell r="G3700" t="str">
            <v>Tidak</v>
          </cell>
          <cell r="H3700" t="str">
            <v>Tidak</v>
          </cell>
          <cell r="I3700" t="str">
            <v>Bandar Judol Withdrawal</v>
          </cell>
          <cell r="J3700">
            <v>50</v>
          </cell>
          <cell r="K3700" t="str">
            <v>86,88,87</v>
          </cell>
          <cell r="L3700" t="str">
            <v>Judi Online</v>
          </cell>
          <cell r="M3700" t="str">
            <v xml:space="preserve">Kas Kanpus                              </v>
          </cell>
          <cell r="N3700" t="str">
            <v xml:space="preserve">Kas Kanpus                              </v>
          </cell>
          <cell r="O3700" t="str">
            <v xml:space="preserve">KAS KANPUS                              </v>
          </cell>
          <cell r="P3700" t="str">
            <v>Ya</v>
          </cell>
          <cell r="Q3700" t="str">
            <v>Ya</v>
          </cell>
          <cell r="R3700" t="str">
            <v>Done</v>
          </cell>
          <cell r="S3700" t="str">
            <v>Approved</v>
          </cell>
          <cell r="T3700" t="str">
            <v>00394520 - Frida Akbar Rani</v>
          </cell>
          <cell r="U3700" t="str">
            <v>"-"</v>
          </cell>
        </row>
        <row r="3701">
          <cell r="A3701">
            <v>46265</v>
          </cell>
          <cell r="B3701" t="str">
            <v xml:space="preserve">INTANNISA HAYU KUSWINDA,                </v>
          </cell>
          <cell r="C3701" t="str">
            <v>IEG8675</v>
          </cell>
          <cell r="D3701">
            <v>37801015820503</v>
          </cell>
          <cell r="E3701" t="str">
            <v>TINGGI</v>
          </cell>
          <cell r="F3701" t="str">
            <v>Tidak</v>
          </cell>
          <cell r="G3701" t="str">
            <v>Tidak</v>
          </cell>
          <cell r="H3701" t="str">
            <v>Tidak</v>
          </cell>
          <cell r="I3701" t="str">
            <v>Terorisme - SIPENDAR</v>
          </cell>
          <cell r="J3701">
            <v>186</v>
          </cell>
          <cell r="K3701">
            <v>36</v>
          </cell>
          <cell r="L3701" t="str">
            <v>Terorisme</v>
          </cell>
          <cell r="M3701" t="str">
            <v xml:space="preserve">Kas Kanpus                              </v>
          </cell>
          <cell r="N3701" t="str">
            <v xml:space="preserve">Kas Kanpus                              </v>
          </cell>
          <cell r="O3701" t="str">
            <v xml:space="preserve">KAS KANPUS                              </v>
          </cell>
          <cell r="P3701" t="str">
            <v>Tidak</v>
          </cell>
          <cell r="Q3701" t="str">
            <v>Tidak</v>
          </cell>
          <cell r="R3701" t="str">
            <v>Done</v>
          </cell>
          <cell r="S3701" t="str">
            <v>Approved</v>
          </cell>
          <cell r="T3701" t="str">
            <v>00394521 - Muhammad Hibbanduta</v>
          </cell>
          <cell r="U3701" t="str">
            <v>"-"</v>
          </cell>
        </row>
        <row r="3702">
          <cell r="A3702">
            <v>46265</v>
          </cell>
          <cell r="B3702" t="str">
            <v xml:space="preserve">IRON SETIAWAN                           </v>
          </cell>
          <cell r="C3702" t="str">
            <v>IG26625</v>
          </cell>
          <cell r="D3702">
            <v>331101007809500</v>
          </cell>
          <cell r="E3702" t="str">
            <v>SEDANG</v>
          </cell>
          <cell r="F3702" t="str">
            <v>Tidak</v>
          </cell>
          <cell r="G3702" t="str">
            <v>Tidak</v>
          </cell>
          <cell r="H3702" t="str">
            <v>Tidak</v>
          </cell>
          <cell r="I3702" t="str">
            <v>Bandar Judol Withdrawal</v>
          </cell>
          <cell r="J3702">
            <v>50</v>
          </cell>
          <cell r="K3702" t="str">
            <v>86,88,87</v>
          </cell>
          <cell r="L3702" t="str">
            <v>Judi Online</v>
          </cell>
          <cell r="M3702" t="str">
            <v xml:space="preserve">Kas Kanpus                              </v>
          </cell>
          <cell r="N3702" t="str">
            <v xml:space="preserve">Kas Kanpus                              </v>
          </cell>
          <cell r="O3702" t="str">
            <v xml:space="preserve">KAS KANPUS                              </v>
          </cell>
          <cell r="P3702" t="str">
            <v>Ya</v>
          </cell>
          <cell r="Q3702" t="str">
            <v>Ya</v>
          </cell>
          <cell r="R3702" t="str">
            <v>Done</v>
          </cell>
          <cell r="S3702" t="str">
            <v>Approved</v>
          </cell>
          <cell r="T3702" t="str">
            <v>00394521 - Muhammad Hibbanduta</v>
          </cell>
          <cell r="U3702" t="str">
            <v>"-"</v>
          </cell>
        </row>
        <row r="3703">
          <cell r="A3703">
            <v>46265</v>
          </cell>
          <cell r="B3703" t="str">
            <v xml:space="preserve">IKA SURYANI MELIALA                     </v>
          </cell>
          <cell r="C3703" t="str">
            <v>IN78368</v>
          </cell>
          <cell r="D3703">
            <v>5301083494506</v>
          </cell>
          <cell r="E3703" t="str">
            <v>SEDANG</v>
          </cell>
          <cell r="F3703" t="str">
            <v>Tidak</v>
          </cell>
          <cell r="G3703" t="str">
            <v>Tidak</v>
          </cell>
          <cell r="H3703" t="str">
            <v>Tidak</v>
          </cell>
          <cell r="I3703" t="str">
            <v>Narkotika - Area Lapas</v>
          </cell>
          <cell r="J3703">
            <v>56</v>
          </cell>
          <cell r="K3703">
            <v>48</v>
          </cell>
          <cell r="L3703" t="str">
            <v>Narkotika</v>
          </cell>
          <cell r="M3703" t="str">
            <v>KC Medan Putri Hijau</v>
          </cell>
          <cell r="N3703" t="str">
            <v>KC Medan Putri Hijau</v>
          </cell>
          <cell r="O3703" t="str">
            <v>Medan</v>
          </cell>
          <cell r="P3703" t="str">
            <v>Tidak</v>
          </cell>
          <cell r="Q3703" t="str">
            <v>Tidak</v>
          </cell>
          <cell r="R3703" t="str">
            <v>Done</v>
          </cell>
          <cell r="S3703" t="str">
            <v>Approved</v>
          </cell>
          <cell r="T3703" t="str">
            <v>90185538 - Muhammad Fahikal Auz</v>
          </cell>
          <cell r="U3703" t="str">
            <v>"-"</v>
          </cell>
        </row>
        <row r="3704">
          <cell r="A3704">
            <v>46265</v>
          </cell>
          <cell r="B3704" t="str">
            <v xml:space="preserve">IRPAN NUGRAHA                           </v>
          </cell>
          <cell r="C3704" t="str">
            <v>INC6144</v>
          </cell>
          <cell r="D3704">
            <v>41801014226502</v>
          </cell>
          <cell r="E3704" t="str">
            <v>SEDANG</v>
          </cell>
          <cell r="F3704" t="str">
            <v>Tidak</v>
          </cell>
          <cell r="G3704" t="str">
            <v>Tidak</v>
          </cell>
          <cell r="H3704" t="str">
            <v>Tidak</v>
          </cell>
          <cell r="I3704" t="str">
            <v>Bandar Judol Depo</v>
          </cell>
          <cell r="J3704">
            <v>50</v>
          </cell>
          <cell r="K3704" t="str">
            <v>86,74,87</v>
          </cell>
          <cell r="L3704" t="str">
            <v>Judi Online</v>
          </cell>
          <cell r="M3704" t="str">
            <v xml:space="preserve">Kas Kanpus                              </v>
          </cell>
          <cell r="N3704" t="str">
            <v xml:space="preserve">Kas Kanpus                              </v>
          </cell>
          <cell r="O3704" t="str">
            <v xml:space="preserve">KAS KANPUS                              </v>
          </cell>
          <cell r="P3704" t="str">
            <v>Ya</v>
          </cell>
          <cell r="Q3704" t="str">
            <v>Ya</v>
          </cell>
          <cell r="R3704" t="str">
            <v>Done</v>
          </cell>
          <cell r="S3704" t="str">
            <v>Approved</v>
          </cell>
          <cell r="T3704" t="str">
            <v>90171841 - Rifqi Aziz</v>
          </cell>
          <cell r="U3704" t="str">
            <v>"-"</v>
          </cell>
        </row>
        <row r="3705">
          <cell r="A3705">
            <v>46265</v>
          </cell>
          <cell r="B3705" t="str">
            <v xml:space="preserve">INDRA FAJARWATI                         </v>
          </cell>
          <cell r="C3705" t="str">
            <v>IDR4170</v>
          </cell>
          <cell r="D3705">
            <v>5326599000013300</v>
          </cell>
          <cell r="E3705" t="str">
            <v>SEDANG</v>
          </cell>
          <cell r="F3705" t="str">
            <v>Tidak</v>
          </cell>
          <cell r="G3705" t="str">
            <v>Tidak</v>
          </cell>
          <cell r="H3705" t="str">
            <v>Tidak</v>
          </cell>
          <cell r="I3705" t="str">
            <v>Private or Priority Customer Investment</v>
          </cell>
          <cell r="J3705">
            <v>58</v>
          </cell>
          <cell r="K3705">
            <v>93</v>
          </cell>
          <cell r="L3705" t="str">
            <v>Pasar Modal</v>
          </cell>
          <cell r="M3705" t="str">
            <v xml:space="preserve">KC Denpasar Renon                       </v>
          </cell>
          <cell r="N3705" t="str">
            <v xml:space="preserve">KC Denpasar Renon                       </v>
          </cell>
          <cell r="O3705" t="str">
            <v xml:space="preserve">Denpasar                                </v>
          </cell>
          <cell r="P3705" t="str">
            <v>Tidak</v>
          </cell>
          <cell r="Q3705" t="str">
            <v>Tidak</v>
          </cell>
          <cell r="R3705" t="str">
            <v>Done</v>
          </cell>
          <cell r="S3705" t="str">
            <v>Approved</v>
          </cell>
          <cell r="T3705" t="str">
            <v>00394521 - Muhammad Hibbanduta</v>
          </cell>
          <cell r="U3705" t="str">
            <v>"-"</v>
          </cell>
        </row>
        <row r="3706">
          <cell r="A3706">
            <v>46265</v>
          </cell>
          <cell r="B3706" t="str">
            <v xml:space="preserve">IKA NURMALA                             </v>
          </cell>
          <cell r="C3706" t="str">
            <v>IDM9331</v>
          </cell>
          <cell r="D3706">
            <v>8301182706508</v>
          </cell>
          <cell r="E3706" t="str">
            <v>RENDAH</v>
          </cell>
          <cell r="F3706" t="str">
            <v>Tidak</v>
          </cell>
          <cell r="G3706" t="str">
            <v>Tidak</v>
          </cell>
          <cell r="H3706" t="str">
            <v>Tidak</v>
          </cell>
          <cell r="I3706" t="str">
            <v>Bandar Judol Depo</v>
          </cell>
          <cell r="J3706">
            <v>35</v>
          </cell>
          <cell r="K3706" t="str">
            <v>86,74,87</v>
          </cell>
          <cell r="L3706" t="str">
            <v>Judi Online</v>
          </cell>
          <cell r="M3706" t="str">
            <v xml:space="preserve">Kas Kanpus                              </v>
          </cell>
          <cell r="N3706" t="str">
            <v xml:space="preserve">Kas Kanpus                              </v>
          </cell>
          <cell r="O3706" t="str">
            <v xml:space="preserve">KAS KANPUS                              </v>
          </cell>
          <cell r="P3706" t="str">
            <v>Ya</v>
          </cell>
          <cell r="Q3706" t="str">
            <v>Ya</v>
          </cell>
          <cell r="R3706" t="str">
            <v>Done</v>
          </cell>
          <cell r="S3706" t="str">
            <v>Approved</v>
          </cell>
          <cell r="T3706" t="str">
            <v>90171841 - Rifqi Aziz</v>
          </cell>
          <cell r="U3706" t="str">
            <v>"-"</v>
          </cell>
        </row>
        <row r="3707">
          <cell r="A3707">
            <v>46265</v>
          </cell>
          <cell r="B3707" t="str">
            <v xml:space="preserve">IMAM MAULANA                            </v>
          </cell>
          <cell r="C3707" t="str">
            <v>IDL7671</v>
          </cell>
          <cell r="D3707">
            <v>17401110944501</v>
          </cell>
          <cell r="E3707" t="str">
            <v>SEDANG</v>
          </cell>
          <cell r="F3707" t="str">
            <v>Tidak</v>
          </cell>
          <cell r="G3707" t="str">
            <v>Tidak</v>
          </cell>
          <cell r="H3707" t="str">
            <v>Tidak</v>
          </cell>
          <cell r="I3707" t="str">
            <v>Bandar Judol Withdrawal</v>
          </cell>
          <cell r="J3707">
            <v>50</v>
          </cell>
          <cell r="K3707" t="str">
            <v>86,88,87</v>
          </cell>
          <cell r="L3707" t="str">
            <v>Judi Online</v>
          </cell>
          <cell r="M3707" t="str">
            <v xml:space="preserve">Kas Kanpus                              </v>
          </cell>
          <cell r="N3707" t="str">
            <v xml:space="preserve">Kas Kanpus                              </v>
          </cell>
          <cell r="O3707" t="str">
            <v xml:space="preserve">KAS KANPUS                              </v>
          </cell>
          <cell r="P3707" t="str">
            <v>Ya</v>
          </cell>
          <cell r="Q3707" t="str">
            <v>Tidak</v>
          </cell>
          <cell r="R3707" t="str">
            <v>Done</v>
          </cell>
          <cell r="S3707" t="str">
            <v>Approved</v>
          </cell>
          <cell r="T3707" t="str">
            <v>90185538 - Muhammad Fahikal Auz</v>
          </cell>
          <cell r="U3707" t="str">
            <v>"-"</v>
          </cell>
        </row>
        <row r="3708">
          <cell r="A3708">
            <v>46265</v>
          </cell>
          <cell r="B3708" t="str">
            <v xml:space="preserve">IMROATUL HIDAYAH                        </v>
          </cell>
          <cell r="C3708" t="str">
            <v>IDI9736</v>
          </cell>
          <cell r="D3708">
            <v>1701005538568</v>
          </cell>
          <cell r="E3708" t="str">
            <v>SEDANG</v>
          </cell>
          <cell r="F3708" t="str">
            <v>Tidak</v>
          </cell>
          <cell r="G3708" t="str">
            <v>Tidak</v>
          </cell>
          <cell r="H3708" t="str">
            <v>Tidak</v>
          </cell>
          <cell r="I3708" t="str">
            <v>Bandar Judol Withdrawal</v>
          </cell>
          <cell r="J3708">
            <v>50</v>
          </cell>
          <cell r="K3708" t="str">
            <v>86,88,87</v>
          </cell>
          <cell r="L3708" t="str">
            <v>Judi Online</v>
          </cell>
          <cell r="M3708" t="str">
            <v xml:space="preserve">Kas Kanpus                              </v>
          </cell>
          <cell r="N3708" t="str">
            <v xml:space="preserve">Kas Kanpus                              </v>
          </cell>
          <cell r="O3708" t="str">
            <v xml:space="preserve">KAS KANPUS                              </v>
          </cell>
          <cell r="P3708" t="str">
            <v>Ya</v>
          </cell>
          <cell r="Q3708" t="str">
            <v>Ya</v>
          </cell>
          <cell r="R3708" t="str">
            <v>Done</v>
          </cell>
          <cell r="S3708" t="str">
            <v>Approved</v>
          </cell>
          <cell r="T3708" t="str">
            <v>90170665 - Mutiara Ayuningtyas</v>
          </cell>
          <cell r="U3708" t="str">
            <v>"-"</v>
          </cell>
        </row>
        <row r="3709">
          <cell r="A3709">
            <v>46265</v>
          </cell>
          <cell r="B3709" t="str">
            <v xml:space="preserve">IKO ROFIKOH                             </v>
          </cell>
          <cell r="C3709" t="str">
            <v>IBZK856</v>
          </cell>
          <cell r="D3709">
            <v>92701011271507</v>
          </cell>
          <cell r="F3709" t="str">
            <v>Tidak</v>
          </cell>
          <cell r="G3709" t="str">
            <v>Tidak</v>
          </cell>
          <cell r="H3709" t="str">
            <v>Tidak</v>
          </cell>
          <cell r="I3709" t="str">
            <v>Bandar Judol Withdrawal</v>
          </cell>
          <cell r="J3709">
            <v>35</v>
          </cell>
          <cell r="K3709" t="str">
            <v>86,88,87</v>
          </cell>
          <cell r="L3709" t="str">
            <v>Judi Online</v>
          </cell>
          <cell r="M3709" t="str">
            <v xml:space="preserve">Kas Kanpus                              </v>
          </cell>
          <cell r="N3709" t="str">
            <v xml:space="preserve">Kas Kanpus                              </v>
          </cell>
          <cell r="O3709" t="str">
            <v xml:space="preserve">KAS KANPUS                              </v>
          </cell>
          <cell r="P3709" t="str">
            <v>Ya</v>
          </cell>
          <cell r="Q3709" t="str">
            <v>Ya</v>
          </cell>
          <cell r="R3709" t="str">
            <v>Done</v>
          </cell>
          <cell r="S3709" t="str">
            <v>Approved</v>
          </cell>
          <cell r="T3709" t="str">
            <v>90186790 - Muhammad Alfin Farha</v>
          </cell>
          <cell r="U3709" t="str">
            <v>"-"</v>
          </cell>
        </row>
        <row r="3710">
          <cell r="A3710">
            <v>46265</v>
          </cell>
          <cell r="B3710" t="str">
            <v xml:space="preserve">IWAN SUGIRI                             </v>
          </cell>
          <cell r="C3710" t="str">
            <v>IBZK947</v>
          </cell>
          <cell r="D3710">
            <v>92701011272503</v>
          </cell>
          <cell r="F3710" t="str">
            <v>Tidak</v>
          </cell>
          <cell r="G3710" t="str">
            <v>Tidak</v>
          </cell>
          <cell r="H3710" t="str">
            <v>Tidak</v>
          </cell>
          <cell r="I3710" t="str">
            <v>Bandar Judol Depo</v>
          </cell>
          <cell r="J3710">
            <v>35</v>
          </cell>
          <cell r="K3710" t="str">
            <v>86,74,87</v>
          </cell>
          <cell r="L3710" t="str">
            <v>Judi Online</v>
          </cell>
          <cell r="M3710" t="str">
            <v xml:space="preserve">Kas Kanpus                              </v>
          </cell>
          <cell r="N3710" t="str">
            <v xml:space="preserve">Kas Kanpus                              </v>
          </cell>
          <cell r="O3710" t="str">
            <v xml:space="preserve">KAS KANPUS                              </v>
          </cell>
          <cell r="P3710" t="str">
            <v>Ya</v>
          </cell>
          <cell r="Q3710" t="str">
            <v>Ya</v>
          </cell>
          <cell r="R3710" t="str">
            <v>Done</v>
          </cell>
          <cell r="S3710" t="str">
            <v>Approved</v>
          </cell>
          <cell r="T3710" t="str">
            <v>90185537 - Moh.Khoerul Fajar Ar</v>
          </cell>
          <cell r="U3710" t="str">
            <v>"-"</v>
          </cell>
        </row>
        <row r="3711">
          <cell r="A3711">
            <v>46265</v>
          </cell>
          <cell r="B3711" t="str">
            <v xml:space="preserve">IAN AHDIAN NOPIANDI                     </v>
          </cell>
          <cell r="C3711" t="str">
            <v>ICA9636</v>
          </cell>
          <cell r="D3711">
            <v>10101020985539</v>
          </cell>
          <cell r="E3711" t="str">
            <v>SEDANG</v>
          </cell>
          <cell r="F3711" t="str">
            <v>Tidak</v>
          </cell>
          <cell r="G3711" t="str">
            <v>Tidak</v>
          </cell>
          <cell r="I3711" t="str">
            <v>Transaksi Agen BRILink terindikasi Judi Online</v>
          </cell>
          <cell r="J3711">
            <v>58</v>
          </cell>
          <cell r="K3711">
            <v>105</v>
          </cell>
          <cell r="L3711" t="str">
            <v>Agen BRILink</v>
          </cell>
          <cell r="M3711" t="str">
            <v xml:space="preserve">Kas Kanpus                              </v>
          </cell>
          <cell r="N3711" t="str">
            <v xml:space="preserve">Kas Kanpus                              </v>
          </cell>
          <cell r="O3711" t="str">
            <v xml:space="preserve">KAS KANPUS                              </v>
          </cell>
          <cell r="P3711" t="str">
            <v>Ya</v>
          </cell>
          <cell r="Q3711" t="str">
            <v>Tidak</v>
          </cell>
          <cell r="R3711" t="str">
            <v>Done</v>
          </cell>
          <cell r="S3711" t="str">
            <v>Approved</v>
          </cell>
          <cell r="T3711" t="str">
            <v>00394520 - Frida Akbar Rani</v>
          </cell>
          <cell r="U3711" t="str">
            <v>"-"</v>
          </cell>
        </row>
        <row r="3712">
          <cell r="A3712">
            <v>46265</v>
          </cell>
          <cell r="B3712" t="str">
            <v xml:space="preserve">IAN AHDIAN NOPIANDI                     </v>
          </cell>
          <cell r="C3712" t="str">
            <v>ICA9636</v>
          </cell>
          <cell r="D3712">
            <v>40101003573567</v>
          </cell>
          <cell r="E3712" t="str">
            <v>SEDANG</v>
          </cell>
          <cell r="F3712" t="str">
            <v>Tidak</v>
          </cell>
          <cell r="G3712" t="str">
            <v>Tidak</v>
          </cell>
          <cell r="H3712" t="str">
            <v>Tidak</v>
          </cell>
          <cell r="I3712" t="str">
            <v>Bandar Judol Withdrawal</v>
          </cell>
          <cell r="J3712">
            <v>60</v>
          </cell>
          <cell r="K3712" t="str">
            <v>86,88,87</v>
          </cell>
          <cell r="L3712" t="str">
            <v>Judi Online</v>
          </cell>
          <cell r="M3712" t="str">
            <v xml:space="preserve">Kas Kanpus                              </v>
          </cell>
          <cell r="N3712" t="str">
            <v xml:space="preserve">Kas Kanpus                              </v>
          </cell>
          <cell r="O3712" t="str">
            <v xml:space="preserve">KAS KANPUS                              </v>
          </cell>
          <cell r="P3712" t="str">
            <v>Tidak</v>
          </cell>
          <cell r="Q3712" t="str">
            <v>Tidak</v>
          </cell>
          <cell r="R3712" t="str">
            <v>Done</v>
          </cell>
          <cell r="S3712" t="str">
            <v>Approved</v>
          </cell>
          <cell r="T3712" t="str">
            <v>00336949 - Mochammad Al Farabi</v>
          </cell>
          <cell r="U3712" t="str">
            <v>"-"</v>
          </cell>
        </row>
        <row r="3713">
          <cell r="A3713">
            <v>46265</v>
          </cell>
          <cell r="B3713" t="str">
            <v xml:space="preserve">IAN AHDIAN NOPIANDI                     </v>
          </cell>
          <cell r="C3713" t="str">
            <v>ICA9636</v>
          </cell>
          <cell r="D3713">
            <v>77201000116569</v>
          </cell>
          <cell r="E3713" t="str">
            <v>SEDANG</v>
          </cell>
          <cell r="F3713" t="str">
            <v>Tidak</v>
          </cell>
          <cell r="G3713" t="str">
            <v>Tidak</v>
          </cell>
          <cell r="H3713" t="str">
            <v>Tidak</v>
          </cell>
          <cell r="I3713" t="str">
            <v>Bandar Judol Withdrawal</v>
          </cell>
          <cell r="J3713">
            <v>60</v>
          </cell>
          <cell r="K3713" t="str">
            <v>86,88,87</v>
          </cell>
          <cell r="L3713" t="str">
            <v>Judi Online</v>
          </cell>
          <cell r="M3713" t="str">
            <v xml:space="preserve">Kas Kanpus                              </v>
          </cell>
          <cell r="N3713" t="str">
            <v xml:space="preserve">Kas Kanpus                              </v>
          </cell>
          <cell r="O3713" t="str">
            <v xml:space="preserve">KAS KANPUS                              </v>
          </cell>
          <cell r="P3713" t="str">
            <v>Tidak</v>
          </cell>
          <cell r="Q3713" t="str">
            <v>Tidak</v>
          </cell>
          <cell r="R3713" t="str">
            <v>Done</v>
          </cell>
          <cell r="S3713" t="str">
            <v>Approved</v>
          </cell>
          <cell r="T3713" t="str">
            <v>90150130 - Intan Aida Pratiwi</v>
          </cell>
          <cell r="U3713" t="str">
            <v>"-"</v>
          </cell>
        </row>
        <row r="3714">
          <cell r="A3714">
            <v>46265</v>
          </cell>
          <cell r="B3714" t="str">
            <v xml:space="preserve">INNEKE PUTRI                            </v>
          </cell>
          <cell r="C3714" t="str">
            <v>ICAI118</v>
          </cell>
          <cell r="D3714">
            <v>169701009455509</v>
          </cell>
          <cell r="F3714" t="str">
            <v>Tidak</v>
          </cell>
          <cell r="G3714" t="str">
            <v>Tidak</v>
          </cell>
          <cell r="H3714" t="str">
            <v>Tidak</v>
          </cell>
          <cell r="I3714" t="str">
            <v>Bandar Judol Withdrawal</v>
          </cell>
          <cell r="J3714">
            <v>35</v>
          </cell>
          <cell r="K3714" t="str">
            <v>86,88,87</v>
          </cell>
          <cell r="L3714" t="str">
            <v>Judi Online</v>
          </cell>
          <cell r="M3714" t="str">
            <v xml:space="preserve">Kas Kanpus                              </v>
          </cell>
          <cell r="N3714" t="str">
            <v xml:space="preserve">Kas Kanpus                              </v>
          </cell>
          <cell r="O3714" t="str">
            <v xml:space="preserve">KAS KANPUS                              </v>
          </cell>
          <cell r="P3714" t="str">
            <v>Ya</v>
          </cell>
          <cell r="Q3714" t="str">
            <v>Ya</v>
          </cell>
          <cell r="R3714" t="str">
            <v>Done</v>
          </cell>
          <cell r="S3714" t="str">
            <v>Approved</v>
          </cell>
          <cell r="T3714" t="str">
            <v>90186790 - Muhammad Alfin Farha</v>
          </cell>
          <cell r="U3714" t="str">
            <v>"-"</v>
          </cell>
        </row>
        <row r="3715">
          <cell r="A3715">
            <v>46265</v>
          </cell>
          <cell r="B3715" t="str">
            <v xml:space="preserve">IMELIA AGUSTINA                         </v>
          </cell>
          <cell r="C3715" t="str">
            <v>ICKT060</v>
          </cell>
          <cell r="D3715">
            <v>218701010173500</v>
          </cell>
          <cell r="F3715" t="str">
            <v>Tidak</v>
          </cell>
          <cell r="G3715" t="str">
            <v>Tidak</v>
          </cell>
          <cell r="H3715" t="str">
            <v>Tidak</v>
          </cell>
          <cell r="I3715" t="str">
            <v>Bandar Judol Withdrawal</v>
          </cell>
          <cell r="J3715">
            <v>35</v>
          </cell>
          <cell r="K3715" t="str">
            <v>86,88,87</v>
          </cell>
          <cell r="L3715" t="str">
            <v>Judi Online</v>
          </cell>
          <cell r="M3715" t="str">
            <v xml:space="preserve">Kas Kanpus                              </v>
          </cell>
          <cell r="N3715" t="str">
            <v xml:space="preserve">Kas Kanpus                              </v>
          </cell>
          <cell r="O3715" t="str">
            <v xml:space="preserve">KAS KANPUS                              </v>
          </cell>
          <cell r="P3715" t="str">
            <v>Ya</v>
          </cell>
          <cell r="Q3715" t="str">
            <v>Ya</v>
          </cell>
          <cell r="R3715" t="str">
            <v>Done</v>
          </cell>
          <cell r="S3715" t="str">
            <v>Approved</v>
          </cell>
          <cell r="T3715" t="str">
            <v>90185538 - Muhammad Fahikal Auz</v>
          </cell>
          <cell r="U3715" t="str">
            <v>"-"</v>
          </cell>
        </row>
        <row r="3716">
          <cell r="A3716">
            <v>46265</v>
          </cell>
          <cell r="B3716" t="str">
            <v xml:space="preserve">IZWAN RIFANDI                           </v>
          </cell>
          <cell r="C3716" t="str">
            <v>ICCR436</v>
          </cell>
          <cell r="D3716">
            <v>708101013494500</v>
          </cell>
          <cell r="F3716" t="str">
            <v>Tidak</v>
          </cell>
          <cell r="G3716" t="str">
            <v>Tidak</v>
          </cell>
          <cell r="H3716" t="str">
            <v>Tidak</v>
          </cell>
          <cell r="I3716" t="str">
            <v>Bandar Judol Withdrawal</v>
          </cell>
          <cell r="J3716">
            <v>35</v>
          </cell>
          <cell r="K3716" t="str">
            <v>86,88,87</v>
          </cell>
          <cell r="L3716" t="str">
            <v>Judi Online</v>
          </cell>
          <cell r="M3716" t="str">
            <v xml:space="preserve">Kas Kanpus                              </v>
          </cell>
          <cell r="N3716" t="str">
            <v xml:space="preserve">Kas Kanpus                              </v>
          </cell>
          <cell r="O3716" t="str">
            <v xml:space="preserve">KAS KANPUS                              </v>
          </cell>
          <cell r="P3716" t="str">
            <v>Ya</v>
          </cell>
          <cell r="Q3716" t="str">
            <v>Tidak</v>
          </cell>
          <cell r="R3716" t="str">
            <v>Done</v>
          </cell>
          <cell r="S3716" t="str">
            <v>Approved</v>
          </cell>
          <cell r="T3716" t="str">
            <v>90150130 - Intan Aida Pratiwi</v>
          </cell>
          <cell r="U3716" t="str">
            <v>"-"</v>
          </cell>
        </row>
        <row r="3717">
          <cell r="A3717">
            <v>46265</v>
          </cell>
          <cell r="B3717" t="str">
            <v xml:space="preserve">INDRA IRAWAN                            </v>
          </cell>
          <cell r="C3717" t="str">
            <v>ICDM965</v>
          </cell>
          <cell r="D3717">
            <v>335301013643502</v>
          </cell>
          <cell r="F3717" t="str">
            <v>Tidak</v>
          </cell>
          <cell r="G3717" t="str">
            <v>Tidak</v>
          </cell>
          <cell r="H3717" t="str">
            <v>Tidak</v>
          </cell>
          <cell r="I3717" t="str">
            <v>Bandar Judol Withdrawal</v>
          </cell>
          <cell r="J3717">
            <v>35</v>
          </cell>
          <cell r="K3717" t="str">
            <v>86,88,87</v>
          </cell>
          <cell r="L3717" t="str">
            <v>Judi Online</v>
          </cell>
          <cell r="M3717" t="str">
            <v xml:space="preserve">Kas Kanpus                              </v>
          </cell>
          <cell r="N3717" t="str">
            <v xml:space="preserve">Kas Kanpus                              </v>
          </cell>
          <cell r="O3717" t="str">
            <v xml:space="preserve">KAS KANPUS                              </v>
          </cell>
          <cell r="P3717" t="str">
            <v>Ya</v>
          </cell>
          <cell r="Q3717" t="str">
            <v>Ya</v>
          </cell>
          <cell r="R3717" t="str">
            <v>Done</v>
          </cell>
          <cell r="S3717" t="str">
            <v>Approved</v>
          </cell>
          <cell r="T3717" t="str">
            <v>90150130 - Intan Aida Pratiwi</v>
          </cell>
          <cell r="U3717" t="str">
            <v>"-"</v>
          </cell>
        </row>
        <row r="3718">
          <cell r="A3718">
            <v>46265</v>
          </cell>
          <cell r="B3718" t="str">
            <v xml:space="preserve">IRGI FAHREZI                            </v>
          </cell>
          <cell r="C3718" t="str">
            <v>ICNG416</v>
          </cell>
          <cell r="D3718">
            <v>732501000034567</v>
          </cell>
          <cell r="F3718" t="str">
            <v>Tidak</v>
          </cell>
          <cell r="G3718" t="str">
            <v>Tidak</v>
          </cell>
          <cell r="H3718" t="str">
            <v>Tidak</v>
          </cell>
          <cell r="I3718" t="str">
            <v>Bandar Judol Withdrawal</v>
          </cell>
          <cell r="J3718">
            <v>35</v>
          </cell>
          <cell r="K3718" t="str">
            <v>86,88,87</v>
          </cell>
          <cell r="L3718" t="str">
            <v>Judi Online</v>
          </cell>
          <cell r="M3718" t="str">
            <v xml:space="preserve">Kas Kanpus                              </v>
          </cell>
          <cell r="N3718" t="str">
            <v xml:space="preserve">Kas Kanpus                              </v>
          </cell>
          <cell r="O3718" t="str">
            <v xml:space="preserve">KAS KANPUS                              </v>
          </cell>
          <cell r="P3718" t="str">
            <v>Ya</v>
          </cell>
          <cell r="Q3718" t="str">
            <v>Ya</v>
          </cell>
          <cell r="R3718" t="str">
            <v>Done</v>
          </cell>
          <cell r="S3718" t="str">
            <v>Approved</v>
          </cell>
          <cell r="T3718" t="str">
            <v>00394521 - Muhammad Hibbanduta</v>
          </cell>
          <cell r="U3718" t="str">
            <v>"-"</v>
          </cell>
        </row>
        <row r="3719">
          <cell r="A3719">
            <v>46265</v>
          </cell>
          <cell r="B3719" t="str">
            <v xml:space="preserve">INDRA WIJAYA                            </v>
          </cell>
          <cell r="C3719" t="str">
            <v>ICOM906</v>
          </cell>
          <cell r="D3719">
            <v>324201010941508</v>
          </cell>
          <cell r="F3719" t="str">
            <v>Tidak</v>
          </cell>
          <cell r="G3719" t="str">
            <v>Tidak</v>
          </cell>
          <cell r="H3719" t="str">
            <v>Tidak</v>
          </cell>
          <cell r="I3719" t="str">
            <v>Bandar Judol Depo</v>
          </cell>
          <cell r="J3719">
            <v>35</v>
          </cell>
          <cell r="K3719" t="str">
            <v>86,74,87</v>
          </cell>
          <cell r="L3719" t="str">
            <v>Judi Online</v>
          </cell>
          <cell r="M3719" t="str">
            <v xml:space="preserve">Kas Kanpus                              </v>
          </cell>
          <cell r="N3719" t="str">
            <v xml:space="preserve">Kas Kanpus                              </v>
          </cell>
          <cell r="O3719" t="str">
            <v xml:space="preserve">KAS KANPUS                              </v>
          </cell>
          <cell r="P3719" t="str">
            <v>Ya</v>
          </cell>
          <cell r="Q3719" t="str">
            <v>Ya</v>
          </cell>
          <cell r="R3719" t="str">
            <v>Done</v>
          </cell>
          <cell r="S3719" t="str">
            <v>Approved</v>
          </cell>
          <cell r="T3719" t="str">
            <v>90150130 - Intan Aida Pratiwi</v>
          </cell>
          <cell r="U3719" t="str">
            <v>"-"</v>
          </cell>
        </row>
        <row r="3720">
          <cell r="A3720">
            <v>46265</v>
          </cell>
          <cell r="B3720" t="str">
            <v xml:space="preserve">INAYAH                                  </v>
          </cell>
          <cell r="C3720" t="str">
            <v>IDC6876</v>
          </cell>
          <cell r="D3720">
            <v>219901010606504</v>
          </cell>
          <cell r="E3720" t="str">
            <v>SEDANG</v>
          </cell>
          <cell r="F3720" t="str">
            <v>Tidak</v>
          </cell>
          <cell r="G3720" t="str">
            <v>Tidak</v>
          </cell>
          <cell r="H3720" t="str">
            <v>Tidak</v>
          </cell>
          <cell r="I3720" t="str">
            <v>Bandar Judol Withdrawal</v>
          </cell>
          <cell r="J3720">
            <v>50</v>
          </cell>
          <cell r="K3720" t="str">
            <v>86,88,87</v>
          </cell>
          <cell r="L3720" t="str">
            <v>Judi Online</v>
          </cell>
          <cell r="M3720" t="str">
            <v xml:space="preserve">Kas Kanpus                              </v>
          </cell>
          <cell r="N3720" t="str">
            <v xml:space="preserve">Kas Kanpus                              </v>
          </cell>
          <cell r="O3720" t="str">
            <v xml:space="preserve">KAS KANPUS                              </v>
          </cell>
          <cell r="P3720" t="str">
            <v>Tidak</v>
          </cell>
          <cell r="Q3720" t="str">
            <v>Ya</v>
          </cell>
          <cell r="R3720" t="str">
            <v>Done</v>
          </cell>
          <cell r="S3720" t="str">
            <v>Approved</v>
          </cell>
          <cell r="T3720" t="str">
            <v>00336949 - Mochammad Al Farabi</v>
          </cell>
          <cell r="U3720" t="str">
            <v>"-"</v>
          </cell>
        </row>
        <row r="3721">
          <cell r="A3721">
            <v>46265</v>
          </cell>
          <cell r="B3721" t="str">
            <v xml:space="preserve">IKM CONFERENCE                          </v>
          </cell>
          <cell r="C3721" t="str">
            <v>ICTB916</v>
          </cell>
          <cell r="D3721">
            <v>26601001777565</v>
          </cell>
          <cell r="F3721" t="str">
            <v>Tidak</v>
          </cell>
          <cell r="G3721" t="str">
            <v>Tidak</v>
          </cell>
          <cell r="H3721" t="str">
            <v>Tidak</v>
          </cell>
          <cell r="I3721" t="str">
            <v>Perpajakan</v>
          </cell>
          <cell r="J3721">
            <v>33</v>
          </cell>
          <cell r="K3721">
            <v>41</v>
          </cell>
          <cell r="L3721" t="str">
            <v>Perpajakan</v>
          </cell>
          <cell r="M3721" t="str">
            <v xml:space="preserve">KC Lubuk Pakam                          </v>
          </cell>
          <cell r="N3721" t="str">
            <v xml:space="preserve">KC Lubuk Pakam                          </v>
          </cell>
          <cell r="O3721" t="str">
            <v xml:space="preserve">Medan                                   </v>
          </cell>
          <cell r="P3721" t="str">
            <v>Tidak</v>
          </cell>
          <cell r="Q3721" t="str">
            <v>Tidak</v>
          </cell>
          <cell r="R3721" t="str">
            <v>Done</v>
          </cell>
          <cell r="S3721" t="str">
            <v>Approved</v>
          </cell>
          <cell r="T3721" t="str">
            <v>90186790 - Muhammad Alfin Farha</v>
          </cell>
          <cell r="U3721" t="str">
            <v>"-"</v>
          </cell>
        </row>
        <row r="3722">
          <cell r="A3722">
            <v>46265</v>
          </cell>
          <cell r="B3722" t="str">
            <v xml:space="preserve">IMAM HANAFI                             </v>
          </cell>
          <cell r="C3722" t="str">
            <v>ICT3541</v>
          </cell>
          <cell r="D3722">
            <v>321201041256537</v>
          </cell>
          <cell r="E3722" t="str">
            <v>SEDANG</v>
          </cell>
          <cell r="F3722" t="str">
            <v>Ya</v>
          </cell>
          <cell r="G3722" t="str">
            <v>Tidak</v>
          </cell>
          <cell r="H3722" t="str">
            <v>Tidak</v>
          </cell>
          <cell r="I3722" t="str">
            <v>Pencurian Rekening</v>
          </cell>
          <cell r="J3722">
            <v>49</v>
          </cell>
          <cell r="K3722">
            <v>59</v>
          </cell>
          <cell r="L3722" t="str">
            <v>Perbankan</v>
          </cell>
          <cell r="M3722" t="str">
            <v xml:space="preserve">UNIT DOLOPO MADIUN                      </v>
          </cell>
          <cell r="N3722" t="str">
            <v xml:space="preserve">KC Madiun                               </v>
          </cell>
          <cell r="O3722" t="str">
            <v xml:space="preserve">KANWIL MALANG                           </v>
          </cell>
          <cell r="P3722" t="str">
            <v>Tidak</v>
          </cell>
          <cell r="Q3722" t="str">
            <v>Tidak</v>
          </cell>
          <cell r="R3722" t="str">
            <v>Done</v>
          </cell>
          <cell r="S3722" t="str">
            <v>Approved</v>
          </cell>
          <cell r="T3722" t="str">
            <v>00394520 - Frida Akbar Rani</v>
          </cell>
          <cell r="U3722" t="str">
            <v>"-"</v>
          </cell>
        </row>
        <row r="3723">
          <cell r="A3723">
            <v>46265</v>
          </cell>
          <cell r="B3723" t="str">
            <v xml:space="preserve">IKBAL DAMARA                            </v>
          </cell>
          <cell r="C3723" t="str">
            <v>IBKE849</v>
          </cell>
          <cell r="D3723">
            <v>335101000021569</v>
          </cell>
          <cell r="F3723" t="str">
            <v>Tidak</v>
          </cell>
          <cell r="G3723" t="str">
            <v>Tidak</v>
          </cell>
          <cell r="H3723" t="str">
            <v>Tidak</v>
          </cell>
          <cell r="I3723" t="str">
            <v>Bandar Judol Withdrawal</v>
          </cell>
          <cell r="J3723">
            <v>35</v>
          </cell>
          <cell r="K3723" t="str">
            <v>86,88,87</v>
          </cell>
          <cell r="L3723" t="str">
            <v>Judi Online</v>
          </cell>
          <cell r="M3723" t="str">
            <v xml:space="preserve">Kas Kanpus                              </v>
          </cell>
          <cell r="N3723" t="str">
            <v xml:space="preserve">Kas Kanpus                              </v>
          </cell>
          <cell r="O3723" t="str">
            <v xml:space="preserve">KAS KANPUS                              </v>
          </cell>
          <cell r="P3723" t="str">
            <v>Ya</v>
          </cell>
          <cell r="Q3723" t="str">
            <v>Ya</v>
          </cell>
          <cell r="R3723" t="str">
            <v>Done</v>
          </cell>
          <cell r="S3723" t="str">
            <v>Approved</v>
          </cell>
          <cell r="T3723" t="str">
            <v>90170665 - Mutiara Ayuningtyas</v>
          </cell>
          <cell r="U3723" t="str">
            <v>"-"</v>
          </cell>
        </row>
        <row r="3724">
          <cell r="A3724">
            <v>46265</v>
          </cell>
          <cell r="B3724" t="str">
            <v xml:space="preserve">IMAN DESTI TRI HASTUTI                  </v>
          </cell>
          <cell r="C3724" t="str">
            <v>IBGR014</v>
          </cell>
          <cell r="D3724">
            <v>723801008615500</v>
          </cell>
          <cell r="F3724" t="str">
            <v>Tidak</v>
          </cell>
          <cell r="G3724" t="str">
            <v>Tidak</v>
          </cell>
          <cell r="H3724" t="str">
            <v>Tidak</v>
          </cell>
          <cell r="I3724" t="str">
            <v>Bandar Judol Withdrawal</v>
          </cell>
          <cell r="J3724">
            <v>35</v>
          </cell>
          <cell r="K3724" t="str">
            <v>86,88,87</v>
          </cell>
          <cell r="L3724" t="str">
            <v>Judi Online</v>
          </cell>
          <cell r="M3724" t="str">
            <v xml:space="preserve">Kas Kanpus                              </v>
          </cell>
          <cell r="N3724" t="str">
            <v xml:space="preserve">Kas Kanpus                              </v>
          </cell>
          <cell r="O3724" t="str">
            <v xml:space="preserve">KAS KANPUS                              </v>
          </cell>
          <cell r="P3724" t="str">
            <v>Ya</v>
          </cell>
          <cell r="Q3724" t="str">
            <v>Ya</v>
          </cell>
          <cell r="R3724" t="str">
            <v>Done</v>
          </cell>
          <cell r="S3724" t="str">
            <v>Approved</v>
          </cell>
          <cell r="T3724" t="str">
            <v>90185537 - Moh.Khoerul Fajar Ar</v>
          </cell>
          <cell r="U3724" t="str">
            <v>"-"</v>
          </cell>
        </row>
        <row r="3725">
          <cell r="A3725">
            <v>46265</v>
          </cell>
          <cell r="B3725" t="str">
            <v xml:space="preserve">IBRAHIM                                 </v>
          </cell>
          <cell r="C3725" t="str">
            <v>IBIG699</v>
          </cell>
          <cell r="D3725">
            <v>63501000850563</v>
          </cell>
          <cell r="F3725" t="str">
            <v>Tidak</v>
          </cell>
          <cell r="G3725" t="str">
            <v>Tidak</v>
          </cell>
          <cell r="H3725" t="str">
            <v>Tidak</v>
          </cell>
          <cell r="I3725" t="str">
            <v>Bandar Judol Withdrawal</v>
          </cell>
          <cell r="J3725">
            <v>35</v>
          </cell>
          <cell r="K3725" t="str">
            <v>86,88,87</v>
          </cell>
          <cell r="L3725" t="str">
            <v>Judi Online</v>
          </cell>
          <cell r="M3725" t="str">
            <v xml:space="preserve">Kas Kanpus                              </v>
          </cell>
          <cell r="N3725" t="str">
            <v xml:space="preserve">Kas Kanpus                              </v>
          </cell>
          <cell r="O3725" t="str">
            <v xml:space="preserve">KAS KANPUS                              </v>
          </cell>
          <cell r="P3725" t="str">
            <v>Ya</v>
          </cell>
          <cell r="Q3725" t="str">
            <v>Ya</v>
          </cell>
          <cell r="R3725" t="str">
            <v>Done</v>
          </cell>
          <cell r="S3725" t="str">
            <v>Approved</v>
          </cell>
          <cell r="T3725" t="str">
            <v>90170665 - Mutiara Ayuningtyas</v>
          </cell>
          <cell r="U3725" t="str">
            <v>"-"</v>
          </cell>
        </row>
        <row r="3726">
          <cell r="A3726">
            <v>46265</v>
          </cell>
          <cell r="B3726" t="str">
            <v xml:space="preserve">IDRIA                                   </v>
          </cell>
          <cell r="C3726" t="str">
            <v>IBIH005</v>
          </cell>
          <cell r="D3726">
            <v>334201000075569</v>
          </cell>
          <cell r="F3726" t="str">
            <v>Tidak</v>
          </cell>
          <cell r="G3726" t="str">
            <v>Tidak</v>
          </cell>
          <cell r="H3726" t="str">
            <v>Tidak</v>
          </cell>
          <cell r="I3726" t="str">
            <v>Bandar Judol Withdrawal</v>
          </cell>
          <cell r="J3726">
            <v>35</v>
          </cell>
          <cell r="K3726" t="str">
            <v>86,88,87</v>
          </cell>
          <cell r="L3726" t="str">
            <v>Judi Online</v>
          </cell>
          <cell r="M3726" t="str">
            <v xml:space="preserve">Kas Kanpus                              </v>
          </cell>
          <cell r="N3726" t="str">
            <v xml:space="preserve">Kas Kanpus                              </v>
          </cell>
          <cell r="O3726" t="str">
            <v xml:space="preserve">KAS KANPUS                              </v>
          </cell>
          <cell r="P3726" t="str">
            <v>Ya</v>
          </cell>
          <cell r="Q3726" t="str">
            <v>Ya</v>
          </cell>
          <cell r="R3726" t="str">
            <v>Done</v>
          </cell>
          <cell r="S3726" t="str">
            <v>Approved</v>
          </cell>
          <cell r="T3726" t="str">
            <v>00394521 - Muhammad Hibbanduta</v>
          </cell>
          <cell r="U3726" t="str">
            <v>"-"</v>
          </cell>
        </row>
        <row r="3727">
          <cell r="A3727">
            <v>46265</v>
          </cell>
          <cell r="B3727" t="str">
            <v xml:space="preserve">IFAN FADILAH                            </v>
          </cell>
          <cell r="C3727" t="str">
            <v>IBXP844</v>
          </cell>
          <cell r="D3727">
            <v>37701052206504</v>
          </cell>
          <cell r="F3727" t="str">
            <v>Tidak</v>
          </cell>
          <cell r="G3727" t="str">
            <v>Tidak</v>
          </cell>
          <cell r="H3727" t="str">
            <v>Tidak</v>
          </cell>
          <cell r="I3727" t="str">
            <v>Bandar Judol Withdrawal</v>
          </cell>
          <cell r="J3727">
            <v>35</v>
          </cell>
          <cell r="K3727" t="str">
            <v>86,88,87</v>
          </cell>
          <cell r="L3727" t="str">
            <v>Judi Online</v>
          </cell>
          <cell r="M3727" t="str">
            <v xml:space="preserve">Kas Kanpus                              </v>
          </cell>
          <cell r="N3727" t="str">
            <v xml:space="preserve">Kas Kanpus                              </v>
          </cell>
          <cell r="O3727" t="str">
            <v xml:space="preserve">KAS KANPUS                              </v>
          </cell>
          <cell r="P3727" t="str">
            <v>Ya</v>
          </cell>
          <cell r="Q3727" t="str">
            <v>Ya</v>
          </cell>
          <cell r="R3727" t="str">
            <v>Done</v>
          </cell>
          <cell r="S3727" t="str">
            <v>Approved</v>
          </cell>
          <cell r="T3727" t="str">
            <v>90185538 - Muhammad Fahikal Auz</v>
          </cell>
          <cell r="U3727" t="str">
            <v>"-"</v>
          </cell>
        </row>
        <row r="3728">
          <cell r="A3728">
            <v>46265</v>
          </cell>
          <cell r="B3728" t="str">
            <v xml:space="preserve">INTAN NUR AINI                          </v>
          </cell>
          <cell r="C3728" t="str">
            <v>IBPX896</v>
          </cell>
          <cell r="D3728">
            <v>384801022200500</v>
          </cell>
          <cell r="F3728" t="str">
            <v>Tidak</v>
          </cell>
          <cell r="G3728" t="str">
            <v>Tidak</v>
          </cell>
          <cell r="H3728" t="str">
            <v>Tidak</v>
          </cell>
          <cell r="I3728" t="str">
            <v>Bandar Judol Withdrawal</v>
          </cell>
          <cell r="J3728">
            <v>35</v>
          </cell>
          <cell r="K3728" t="str">
            <v>86,88,87</v>
          </cell>
          <cell r="L3728" t="str">
            <v>Judi Online</v>
          </cell>
          <cell r="M3728" t="str">
            <v xml:space="preserve">Kas Kanpus                              </v>
          </cell>
          <cell r="N3728" t="str">
            <v xml:space="preserve">Kas Kanpus                              </v>
          </cell>
          <cell r="O3728" t="str">
            <v xml:space="preserve">KAS KANPUS                              </v>
          </cell>
          <cell r="P3728" t="str">
            <v>Ya</v>
          </cell>
          <cell r="Q3728" t="str">
            <v>Ya</v>
          </cell>
          <cell r="R3728" t="str">
            <v>Done</v>
          </cell>
          <cell r="S3728" t="str">
            <v>Approved</v>
          </cell>
          <cell r="T3728" t="str">
            <v>00394520 - Frida Akbar Rani</v>
          </cell>
          <cell r="U3728" t="str">
            <v>"-"</v>
          </cell>
        </row>
        <row r="3729">
          <cell r="A3729">
            <v>46265</v>
          </cell>
          <cell r="B3729" t="str">
            <v xml:space="preserve">IRENIA AGUSTINA                         </v>
          </cell>
          <cell r="C3729" t="str">
            <v>IBNQ783</v>
          </cell>
          <cell r="D3729">
            <v>328901023029507</v>
          </cell>
          <cell r="F3729" t="str">
            <v>Tidak</v>
          </cell>
          <cell r="G3729" t="str">
            <v>Tidak</v>
          </cell>
          <cell r="H3729" t="str">
            <v>Tidak</v>
          </cell>
          <cell r="I3729" t="str">
            <v>Bandar Judol Withdrawal</v>
          </cell>
          <cell r="J3729">
            <v>35</v>
          </cell>
          <cell r="K3729" t="str">
            <v>86,88,87</v>
          </cell>
          <cell r="L3729" t="str">
            <v>Judi Online</v>
          </cell>
          <cell r="M3729" t="str">
            <v xml:space="preserve">Kas Kanpus                              </v>
          </cell>
          <cell r="N3729" t="str">
            <v xml:space="preserve">Kas Kanpus                              </v>
          </cell>
          <cell r="O3729" t="str">
            <v xml:space="preserve">KAS KANPUS                              </v>
          </cell>
          <cell r="P3729" t="str">
            <v>Ya</v>
          </cell>
          <cell r="Q3729" t="str">
            <v>Ya</v>
          </cell>
          <cell r="R3729" t="str">
            <v>Done</v>
          </cell>
          <cell r="S3729" t="str">
            <v>Approved</v>
          </cell>
          <cell r="T3729" t="str">
            <v>00394521 - Muhammad Hibbanduta</v>
          </cell>
          <cell r="U3729" t="str">
            <v>"-"</v>
          </cell>
        </row>
        <row r="3730">
          <cell r="A3730">
            <v>46265</v>
          </cell>
          <cell r="B3730" t="str">
            <v xml:space="preserve">INDOMARCO ADI PRIMA PT.                 </v>
          </cell>
          <cell r="C3730" t="str">
            <v>I245445</v>
          </cell>
          <cell r="D3730">
            <v>8201000395306</v>
          </cell>
          <cell r="E3730" t="str">
            <v>SEDANG</v>
          </cell>
          <cell r="F3730" t="str">
            <v>Tidak</v>
          </cell>
          <cell r="G3730" t="str">
            <v>Tidak</v>
          </cell>
          <cell r="H3730" t="str">
            <v>Tidak</v>
          </cell>
          <cell r="I3730" t="str">
            <v>Narkotika - Area Lapas</v>
          </cell>
          <cell r="J3730">
            <v>50</v>
          </cell>
          <cell r="K3730">
            <v>46</v>
          </cell>
          <cell r="L3730" t="str">
            <v>Narkotika</v>
          </cell>
          <cell r="M3730" t="str">
            <v>KC SAMARINDA GAJAH MADA</v>
          </cell>
          <cell r="N3730" t="str">
            <v>KC SAMARINDA GAJAH MADA</v>
          </cell>
          <cell r="O3730" t="str">
            <v>Banjarmasin</v>
          </cell>
          <cell r="P3730" t="str">
            <v>Tidak</v>
          </cell>
          <cell r="Q3730" t="str">
            <v>Tidak</v>
          </cell>
          <cell r="R3730" t="str">
            <v>Done</v>
          </cell>
          <cell r="S3730" t="str">
            <v>Approved</v>
          </cell>
          <cell r="T3730" t="str">
            <v>00394521 - Muhammad Hibbanduta</v>
          </cell>
          <cell r="U3730" t="str">
            <v>"-"</v>
          </cell>
        </row>
        <row r="3731">
          <cell r="A3731">
            <v>46265</v>
          </cell>
          <cell r="B3731" t="str">
            <v xml:space="preserve">IFTITAHUL NURMILLATI                    </v>
          </cell>
          <cell r="C3731" t="str">
            <v>IBBQ653</v>
          </cell>
          <cell r="D3731">
            <v>43801003539560</v>
          </cell>
          <cell r="E3731" t="str">
            <v>SEDANG</v>
          </cell>
          <cell r="F3731" t="str">
            <v>Tidak</v>
          </cell>
          <cell r="G3731" t="str">
            <v>Tidak</v>
          </cell>
          <cell r="H3731" t="str">
            <v>Tidak</v>
          </cell>
          <cell r="I3731" t="str">
            <v>Bandar Judol Withdrawal</v>
          </cell>
          <cell r="J3731">
            <v>50</v>
          </cell>
          <cell r="K3731" t="str">
            <v>86,88,87</v>
          </cell>
          <cell r="L3731" t="str">
            <v>Judi Online</v>
          </cell>
          <cell r="M3731" t="str">
            <v xml:space="preserve">Kas Kanpus                              </v>
          </cell>
          <cell r="N3731" t="str">
            <v xml:space="preserve">Kas Kanpus                              </v>
          </cell>
          <cell r="O3731" t="str">
            <v xml:space="preserve">KAS KANPUS                              </v>
          </cell>
          <cell r="P3731" t="str">
            <v>Ya</v>
          </cell>
          <cell r="Q3731" t="str">
            <v>Ya</v>
          </cell>
          <cell r="R3731" t="str">
            <v>Done</v>
          </cell>
          <cell r="S3731" t="str">
            <v>Approved</v>
          </cell>
          <cell r="T3731" t="str">
            <v>90186790 - Muhammad Alfin Farha</v>
          </cell>
          <cell r="U3731" t="str">
            <v>"-"</v>
          </cell>
        </row>
        <row r="3732">
          <cell r="A3732">
            <v>46265</v>
          </cell>
          <cell r="B3732" t="str">
            <v xml:space="preserve">INDONESIA ROYAL RESOURCES               </v>
          </cell>
          <cell r="C3732" t="str">
            <v>IBCK618</v>
          </cell>
          <cell r="D3732">
            <v>115601567889563</v>
          </cell>
          <cell r="E3732" t="str">
            <v>SEDANG</v>
          </cell>
          <cell r="F3732" t="str">
            <v>Tidak</v>
          </cell>
          <cell r="G3732" t="str">
            <v>Tidak</v>
          </cell>
          <cell r="H3732" t="str">
            <v>Tidak</v>
          </cell>
          <cell r="I3732" t="str">
            <v>Perpajakan</v>
          </cell>
          <cell r="J3732">
            <v>50</v>
          </cell>
          <cell r="K3732">
            <v>41</v>
          </cell>
          <cell r="L3732" t="str">
            <v>Perpajakan</v>
          </cell>
          <cell r="M3732" t="str">
            <v xml:space="preserve">KC Surabaya Diponegoro                  </v>
          </cell>
          <cell r="N3732" t="str">
            <v xml:space="preserve">KC Surabaya Diponegoro                  </v>
          </cell>
          <cell r="O3732" t="str">
            <v xml:space="preserve">Surabaya                                </v>
          </cell>
          <cell r="P3732" t="str">
            <v>Tidak</v>
          </cell>
          <cell r="Q3732" t="str">
            <v>Tidak</v>
          </cell>
          <cell r="R3732" t="str">
            <v>Done</v>
          </cell>
          <cell r="S3732" t="str">
            <v>Approved</v>
          </cell>
          <cell r="T3732" t="str">
            <v>00336949 - Mochammad Al Farabi</v>
          </cell>
          <cell r="U3732" t="str">
            <v>"-"</v>
          </cell>
        </row>
        <row r="3733">
          <cell r="A3733">
            <v>46265</v>
          </cell>
          <cell r="B3733" t="str">
            <v xml:space="preserve">IRWAN                                   </v>
          </cell>
          <cell r="C3733" t="str">
            <v>IBCN116</v>
          </cell>
          <cell r="D3733">
            <v>44501001953565</v>
          </cell>
          <cell r="E3733" t="str">
            <v>SEDANG</v>
          </cell>
          <cell r="F3733" t="str">
            <v>Tidak</v>
          </cell>
          <cell r="G3733" t="str">
            <v>Tidak</v>
          </cell>
          <cell r="H3733" t="str">
            <v>Tidak</v>
          </cell>
          <cell r="I3733" t="str">
            <v>Bandar Judol Depo</v>
          </cell>
          <cell r="J3733">
            <v>50</v>
          </cell>
          <cell r="K3733" t="str">
            <v>86,74,87</v>
          </cell>
          <cell r="L3733" t="str">
            <v>Judi Online</v>
          </cell>
          <cell r="M3733" t="str">
            <v xml:space="preserve">Kas Kanpus                              </v>
          </cell>
          <cell r="N3733" t="str">
            <v xml:space="preserve">Kas Kanpus                              </v>
          </cell>
          <cell r="O3733" t="str">
            <v xml:space="preserve">KAS KANPUS                              </v>
          </cell>
          <cell r="P3733" t="str">
            <v>Ya</v>
          </cell>
          <cell r="Q3733" t="str">
            <v>Ya</v>
          </cell>
          <cell r="R3733" t="str">
            <v>Done</v>
          </cell>
          <cell r="S3733" t="str">
            <v>Approved</v>
          </cell>
          <cell r="T3733" t="str">
            <v>90186790 - Muhammad Alfin Farha</v>
          </cell>
          <cell r="U3733" t="str">
            <v>"-"</v>
          </cell>
        </row>
        <row r="3734">
          <cell r="A3734">
            <v>46265</v>
          </cell>
          <cell r="B3734" t="str">
            <v xml:space="preserve">IKBAL                                   </v>
          </cell>
          <cell r="C3734" t="str">
            <v>IBCT388</v>
          </cell>
          <cell r="D3734">
            <v>50901090447507</v>
          </cell>
          <cell r="E3734" t="str">
            <v>SEDANG</v>
          </cell>
          <cell r="F3734" t="str">
            <v>Tidak</v>
          </cell>
          <cell r="G3734" t="str">
            <v>Tidak</v>
          </cell>
          <cell r="H3734" t="str">
            <v>Tidak</v>
          </cell>
          <cell r="I3734" t="str">
            <v>Bandar Judol Withdrawal</v>
          </cell>
          <cell r="J3734">
            <v>50</v>
          </cell>
          <cell r="K3734" t="str">
            <v>86,88,87</v>
          </cell>
          <cell r="L3734" t="str">
            <v>Judi Online</v>
          </cell>
          <cell r="M3734" t="str">
            <v xml:space="preserve">Kas Kanpus                              </v>
          </cell>
          <cell r="N3734" t="str">
            <v xml:space="preserve">Kas Kanpus                              </v>
          </cell>
          <cell r="O3734" t="str">
            <v xml:space="preserve">KAS KANPUS                              </v>
          </cell>
          <cell r="P3734" t="str">
            <v>Ya</v>
          </cell>
          <cell r="Q3734" t="str">
            <v>Ya</v>
          </cell>
          <cell r="R3734" t="str">
            <v>Done</v>
          </cell>
          <cell r="S3734" t="str">
            <v>Approved</v>
          </cell>
          <cell r="T3734" t="str">
            <v>00336949 - Mochammad Al Farabi</v>
          </cell>
          <cell r="U3734" t="str">
            <v>"-"</v>
          </cell>
        </row>
        <row r="3735">
          <cell r="A3735">
            <v>46265</v>
          </cell>
          <cell r="B3735" t="str">
            <v xml:space="preserve">IQBAL HAFIZURRAHMAN                     </v>
          </cell>
          <cell r="C3735" t="str">
            <v>IAJP878</v>
          </cell>
          <cell r="D3735">
            <v>42401001863566</v>
          </cell>
          <cell r="E3735" t="str">
            <v>SEDANG</v>
          </cell>
          <cell r="F3735" t="str">
            <v>Tidak</v>
          </cell>
          <cell r="G3735" t="str">
            <v>Tidak</v>
          </cell>
          <cell r="H3735" t="str">
            <v>Tidak</v>
          </cell>
          <cell r="I3735" t="str">
            <v>Bandar Judol Depo</v>
          </cell>
          <cell r="J3735">
            <v>50</v>
          </cell>
          <cell r="K3735" t="str">
            <v>86,74,87</v>
          </cell>
          <cell r="L3735" t="str">
            <v>Judi Online</v>
          </cell>
          <cell r="M3735" t="str">
            <v xml:space="preserve">Kas Kanpus                              </v>
          </cell>
          <cell r="N3735" t="str">
            <v xml:space="preserve">Kas Kanpus                              </v>
          </cell>
          <cell r="O3735" t="str">
            <v xml:space="preserve">KAS KANPUS                              </v>
          </cell>
          <cell r="P3735" t="str">
            <v>Ya</v>
          </cell>
          <cell r="Q3735" t="str">
            <v>Ya</v>
          </cell>
          <cell r="R3735" t="str">
            <v>Done</v>
          </cell>
          <cell r="S3735" t="str">
            <v>Approved</v>
          </cell>
          <cell r="T3735" t="str">
            <v>00394521 - Muhammad Hibbanduta</v>
          </cell>
          <cell r="U3735" t="str">
            <v>"-"</v>
          </cell>
        </row>
        <row r="3736">
          <cell r="A3736">
            <v>46265</v>
          </cell>
          <cell r="B3736" t="str">
            <v xml:space="preserve">IKA SATIO RINI                          </v>
          </cell>
          <cell r="C3736" t="str">
            <v>IAPE114</v>
          </cell>
          <cell r="D3736">
            <v>334401000017569</v>
          </cell>
          <cell r="E3736" t="str">
            <v>SEDANG</v>
          </cell>
          <cell r="F3736" t="str">
            <v>Tidak</v>
          </cell>
          <cell r="G3736" t="str">
            <v>Tidak</v>
          </cell>
          <cell r="H3736" t="str">
            <v>Tidak</v>
          </cell>
          <cell r="I3736" t="str">
            <v>Bandar Judol Depo</v>
          </cell>
          <cell r="J3736">
            <v>50</v>
          </cell>
          <cell r="K3736" t="str">
            <v>86,74,87</v>
          </cell>
          <cell r="L3736" t="str">
            <v>Judi Online</v>
          </cell>
          <cell r="M3736" t="str">
            <v xml:space="preserve">Kas Kanpus                              </v>
          </cell>
          <cell r="N3736" t="str">
            <v xml:space="preserve">Kas Kanpus                              </v>
          </cell>
          <cell r="O3736" t="str">
            <v xml:space="preserve">KAS KANPUS                              </v>
          </cell>
          <cell r="P3736" t="str">
            <v>Ya</v>
          </cell>
          <cell r="Q3736" t="str">
            <v>Ya</v>
          </cell>
          <cell r="R3736" t="str">
            <v>Done</v>
          </cell>
          <cell r="S3736" t="str">
            <v>Approved</v>
          </cell>
          <cell r="T3736" t="str">
            <v>90150130 - Intan Aida Pratiwi</v>
          </cell>
          <cell r="U3736" t="str">
            <v>"-"</v>
          </cell>
        </row>
        <row r="3737">
          <cell r="A3737">
            <v>46265</v>
          </cell>
          <cell r="B3737" t="str">
            <v xml:space="preserve">IWAN MAULUDIN                           </v>
          </cell>
          <cell r="C3737" t="str">
            <v>IAPO075</v>
          </cell>
          <cell r="D3737">
            <v>650201000023567</v>
          </cell>
          <cell r="E3737" t="str">
            <v>SEDANG</v>
          </cell>
          <cell r="F3737" t="str">
            <v>Tidak</v>
          </cell>
          <cell r="G3737" t="str">
            <v>Tidak</v>
          </cell>
          <cell r="H3737" t="str">
            <v>Tidak</v>
          </cell>
          <cell r="I3737" t="str">
            <v>Bandar Judol Withdrawal</v>
          </cell>
          <cell r="J3737">
            <v>50</v>
          </cell>
          <cell r="K3737" t="str">
            <v>86,88,87</v>
          </cell>
          <cell r="L3737" t="str">
            <v>Judi Online</v>
          </cell>
          <cell r="M3737" t="str">
            <v xml:space="preserve">Kas Kanpus                              </v>
          </cell>
          <cell r="N3737" t="str">
            <v xml:space="preserve">Kas Kanpus                              </v>
          </cell>
          <cell r="O3737" t="str">
            <v xml:space="preserve">KAS KANPUS                              </v>
          </cell>
          <cell r="P3737" t="str">
            <v>Tidak</v>
          </cell>
          <cell r="Q3737" t="str">
            <v>Ya</v>
          </cell>
          <cell r="R3737" t="str">
            <v>Done</v>
          </cell>
          <cell r="S3737" t="str">
            <v>Approved</v>
          </cell>
          <cell r="T3737" t="str">
            <v>90150130 - Intan Aida Pratiwi</v>
          </cell>
          <cell r="U3737" t="str">
            <v>"-"</v>
          </cell>
        </row>
        <row r="3738">
          <cell r="A3738">
            <v>46265</v>
          </cell>
          <cell r="B3738" t="str">
            <v xml:space="preserve">IRMA YULIANA                            </v>
          </cell>
          <cell r="C3738" t="str">
            <v>IASB327</v>
          </cell>
          <cell r="D3738">
            <v>112901001036560</v>
          </cell>
          <cell r="E3738" t="str">
            <v>SEDANG</v>
          </cell>
          <cell r="F3738" t="str">
            <v>Tidak</v>
          </cell>
          <cell r="G3738" t="str">
            <v>Tidak</v>
          </cell>
          <cell r="H3738" t="str">
            <v>Tidak</v>
          </cell>
          <cell r="I3738" t="str">
            <v>Bandar Judol Depo</v>
          </cell>
          <cell r="J3738">
            <v>50</v>
          </cell>
          <cell r="K3738" t="str">
            <v>86,74,87</v>
          </cell>
          <cell r="L3738" t="str">
            <v>Judi Online</v>
          </cell>
          <cell r="M3738" t="str">
            <v xml:space="preserve">Kas Kanpus                              </v>
          </cell>
          <cell r="N3738" t="str">
            <v xml:space="preserve">Kas Kanpus                              </v>
          </cell>
          <cell r="O3738" t="str">
            <v xml:space="preserve">KAS KANPUS                              </v>
          </cell>
          <cell r="P3738" t="str">
            <v>Ya</v>
          </cell>
          <cell r="Q3738" t="str">
            <v>Ya</v>
          </cell>
          <cell r="R3738" t="str">
            <v>Done</v>
          </cell>
          <cell r="S3738" t="str">
            <v>Approved</v>
          </cell>
          <cell r="T3738" t="str">
            <v>00336949 - Mochammad Al Farabi</v>
          </cell>
          <cell r="U3738" t="str">
            <v>"-"</v>
          </cell>
        </row>
        <row r="3739">
          <cell r="A3739">
            <v>46265</v>
          </cell>
          <cell r="B3739" t="str">
            <v xml:space="preserve">INDRA WIRANTO                           </v>
          </cell>
          <cell r="C3739" t="str">
            <v>IASQ501</v>
          </cell>
          <cell r="D3739">
            <v>115001000584563</v>
          </cell>
          <cell r="E3739" t="str">
            <v>SEDANG</v>
          </cell>
          <cell r="F3739" t="str">
            <v>Tidak</v>
          </cell>
          <cell r="G3739" t="str">
            <v>Tidak</v>
          </cell>
          <cell r="H3739" t="str">
            <v>Tidak</v>
          </cell>
          <cell r="I3739" t="str">
            <v>Bandar Judol Withdrawal</v>
          </cell>
          <cell r="J3739">
            <v>50</v>
          </cell>
          <cell r="K3739" t="str">
            <v>86,88,87</v>
          </cell>
          <cell r="L3739" t="str">
            <v>Judi Online</v>
          </cell>
          <cell r="M3739" t="str">
            <v xml:space="preserve">Kas Kanpus                              </v>
          </cell>
          <cell r="N3739" t="str">
            <v xml:space="preserve">Kas Kanpus                              </v>
          </cell>
          <cell r="O3739" t="str">
            <v xml:space="preserve">KAS KANPUS                              </v>
          </cell>
          <cell r="P3739" t="str">
            <v>Ya</v>
          </cell>
          <cell r="Q3739" t="str">
            <v>Ya</v>
          </cell>
          <cell r="R3739" t="str">
            <v>Done</v>
          </cell>
          <cell r="S3739" t="str">
            <v>Approved</v>
          </cell>
          <cell r="T3739" t="str">
            <v>90186790 - Muhammad Alfin Farha</v>
          </cell>
          <cell r="U3739" t="str">
            <v>"-"</v>
          </cell>
        </row>
        <row r="3740">
          <cell r="A3740">
            <v>46265</v>
          </cell>
          <cell r="B3740" t="str">
            <v xml:space="preserve">ISHAK EFENDI                            </v>
          </cell>
          <cell r="C3740" t="str">
            <v>IAVW557</v>
          </cell>
          <cell r="D3740">
            <v>563201020394508</v>
          </cell>
          <cell r="E3740" t="str">
            <v>SEDANG</v>
          </cell>
          <cell r="F3740" t="str">
            <v>Tidak</v>
          </cell>
          <cell r="G3740" t="str">
            <v>Tidak</v>
          </cell>
          <cell r="H3740" t="str">
            <v>Tidak</v>
          </cell>
          <cell r="I3740" t="str">
            <v>Bandar Judol Withdrawal</v>
          </cell>
          <cell r="J3740">
            <v>50</v>
          </cell>
          <cell r="K3740" t="str">
            <v>86,88,87</v>
          </cell>
          <cell r="L3740" t="str">
            <v>Judi Online</v>
          </cell>
          <cell r="M3740" t="str">
            <v xml:space="preserve">Kas Kanpus                              </v>
          </cell>
          <cell r="N3740" t="str">
            <v xml:space="preserve">Kas Kanpus                              </v>
          </cell>
          <cell r="O3740" t="str">
            <v xml:space="preserve">KAS KANPUS                              </v>
          </cell>
          <cell r="P3740" t="str">
            <v>Ya</v>
          </cell>
          <cell r="Q3740" t="str">
            <v>Ya</v>
          </cell>
          <cell r="R3740" t="str">
            <v>Done</v>
          </cell>
          <cell r="S3740" t="str">
            <v>Approved</v>
          </cell>
          <cell r="T3740" t="str">
            <v>90186796 - Devito Arya Wiradila</v>
          </cell>
          <cell r="U3740" t="str">
            <v>"-"</v>
          </cell>
        </row>
        <row r="3741">
          <cell r="A3741">
            <v>46265</v>
          </cell>
          <cell r="B3741" t="str">
            <v xml:space="preserve">ISHAK                                   </v>
          </cell>
          <cell r="C3741" t="str">
            <v>IAW5850</v>
          </cell>
          <cell r="D3741">
            <v>221301000623566</v>
          </cell>
          <cell r="E3741" t="str">
            <v>SEDANG</v>
          </cell>
          <cell r="F3741" t="str">
            <v>Tidak</v>
          </cell>
          <cell r="G3741" t="str">
            <v>Tidak</v>
          </cell>
          <cell r="H3741" t="str">
            <v>Tidak</v>
          </cell>
          <cell r="I3741" t="str">
            <v>Perikanan dan Kelautan</v>
          </cell>
          <cell r="J3741">
            <v>49</v>
          </cell>
          <cell r="K3741">
            <v>101</v>
          </cell>
          <cell r="L3741" t="str">
            <v>Perikanan dan Kelautan</v>
          </cell>
          <cell r="M3741" t="str">
            <v xml:space="preserve">UNIT TAPUS LUBUK SIKAPING               </v>
          </cell>
          <cell r="N3741" t="str">
            <v xml:space="preserve">KC Lubuk Sikaping                       </v>
          </cell>
          <cell r="O3741" t="str">
            <v xml:space="preserve">Padang                                  </v>
          </cell>
          <cell r="P3741" t="str">
            <v>Tidak</v>
          </cell>
          <cell r="Q3741" t="str">
            <v>Tidak</v>
          </cell>
          <cell r="R3741" t="str">
            <v>Done</v>
          </cell>
          <cell r="S3741" t="str">
            <v>Approved</v>
          </cell>
          <cell r="T3741" t="str">
            <v>90186790 - Muhammad Alfin Farha</v>
          </cell>
          <cell r="U3741" t="str">
            <v>"-"</v>
          </cell>
        </row>
        <row r="3742">
          <cell r="A3742">
            <v>46265</v>
          </cell>
          <cell r="B3742" t="str">
            <v xml:space="preserve">AYU ANGGARA PUTRI                       </v>
          </cell>
          <cell r="C3742" t="str">
            <v>ACFBS27</v>
          </cell>
          <cell r="D3742">
            <v>58101006581537</v>
          </cell>
          <cell r="E3742" t="str">
            <v>SEDANG</v>
          </cell>
          <cell r="F3742" t="str">
            <v>Tidak</v>
          </cell>
          <cell r="G3742" t="str">
            <v>Tidak</v>
          </cell>
          <cell r="H3742" t="str">
            <v>Tidak</v>
          </cell>
          <cell r="I3742" t="str">
            <v>Bandar Judol Depo</v>
          </cell>
          <cell r="J3742">
            <v>50</v>
          </cell>
          <cell r="K3742" t="str">
            <v>86,74,87</v>
          </cell>
          <cell r="L3742" t="str">
            <v>Judi Online</v>
          </cell>
          <cell r="M3742" t="str">
            <v xml:space="preserve">Kas Kanpus                              </v>
          </cell>
          <cell r="N3742" t="str">
            <v xml:space="preserve">Kas Kanpus                              </v>
          </cell>
          <cell r="O3742" t="str">
            <v xml:space="preserve">KAS KANPUS                              </v>
          </cell>
          <cell r="P3742" t="str">
            <v>Tidak</v>
          </cell>
          <cell r="Q3742" t="str">
            <v>Ya</v>
          </cell>
          <cell r="R3742" t="str">
            <v>Done</v>
          </cell>
          <cell r="S3742" t="str">
            <v>Approved</v>
          </cell>
          <cell r="T3742" t="str">
            <v>90150130 - Intan Aida Pratiwi</v>
          </cell>
          <cell r="U3742" t="str">
            <v>"-"</v>
          </cell>
        </row>
        <row r="3743">
          <cell r="A3743">
            <v>46265</v>
          </cell>
          <cell r="B3743" t="str">
            <v xml:space="preserve">AHMAD MUNAWAR                           </v>
          </cell>
          <cell r="C3743" t="str">
            <v>ACDII17</v>
          </cell>
          <cell r="D3743">
            <v>8001002112560</v>
          </cell>
          <cell r="E3743" t="str">
            <v>SEDANG</v>
          </cell>
          <cell r="F3743" t="str">
            <v>Tidak</v>
          </cell>
          <cell r="G3743" t="str">
            <v>Tidak</v>
          </cell>
          <cell r="H3743" t="str">
            <v>Tidak</v>
          </cell>
          <cell r="I3743" t="str">
            <v>Bandar Judol Depo</v>
          </cell>
          <cell r="J3743">
            <v>50</v>
          </cell>
          <cell r="K3743" t="str">
            <v>86,74,87</v>
          </cell>
          <cell r="L3743" t="str">
            <v>Judi Online</v>
          </cell>
          <cell r="M3743" t="str">
            <v xml:space="preserve">Kas Kanpus                              </v>
          </cell>
          <cell r="N3743" t="str">
            <v xml:space="preserve">Kas Kanpus                              </v>
          </cell>
          <cell r="O3743" t="str">
            <v xml:space="preserve">KAS KANPUS                              </v>
          </cell>
          <cell r="P3743" t="str">
            <v>Ya</v>
          </cell>
          <cell r="Q3743" t="str">
            <v>Ya</v>
          </cell>
          <cell r="R3743" t="str">
            <v>Done</v>
          </cell>
          <cell r="S3743" t="str">
            <v>Approved</v>
          </cell>
          <cell r="T3743" t="str">
            <v>90170665 - Mutiara Ayuningtyas</v>
          </cell>
          <cell r="U3743" t="str">
            <v>"-"</v>
          </cell>
        </row>
        <row r="3744">
          <cell r="A3744">
            <v>46265</v>
          </cell>
          <cell r="B3744" t="str">
            <v xml:space="preserve">AHMAD SYAFI'I                           </v>
          </cell>
          <cell r="C3744" t="str">
            <v>ACE0688</v>
          </cell>
          <cell r="D3744">
            <v>7701054606502</v>
          </cell>
          <cell r="E3744" t="str">
            <v>TINGGI</v>
          </cell>
          <cell r="F3744" t="str">
            <v>Tidak</v>
          </cell>
          <cell r="G3744" t="str">
            <v>Tidak</v>
          </cell>
          <cell r="H3744" t="str">
            <v>Tidak</v>
          </cell>
          <cell r="I3744" t="str">
            <v>Terorisme - SIPENDAR</v>
          </cell>
          <cell r="J3744">
            <v>185</v>
          </cell>
          <cell r="K3744">
            <v>36</v>
          </cell>
          <cell r="L3744" t="str">
            <v>Terorisme</v>
          </cell>
          <cell r="M3744" t="str">
            <v xml:space="preserve">Kas Kanpus                              </v>
          </cell>
          <cell r="N3744" t="str">
            <v xml:space="preserve">Kas Kanpus                              </v>
          </cell>
          <cell r="O3744" t="str">
            <v xml:space="preserve">KAS KANPUS                              </v>
          </cell>
          <cell r="P3744" t="str">
            <v>Tidak</v>
          </cell>
          <cell r="Q3744" t="str">
            <v>Tidak</v>
          </cell>
          <cell r="R3744" t="str">
            <v>Done</v>
          </cell>
          <cell r="S3744" t="str">
            <v>Approved</v>
          </cell>
          <cell r="T3744" t="str">
            <v>90186796 - Devito Arya Wiradila</v>
          </cell>
          <cell r="U3744" t="str">
            <v>"-"</v>
          </cell>
        </row>
        <row r="3745">
          <cell r="A3745">
            <v>46265</v>
          </cell>
          <cell r="B3745" t="str">
            <v xml:space="preserve">AGUSCIK ALAMSYAH                        </v>
          </cell>
          <cell r="C3745" t="str">
            <v>ABZXR72</v>
          </cell>
          <cell r="D3745">
            <v>208901000630562</v>
          </cell>
          <cell r="E3745" t="str">
            <v>SEDANG</v>
          </cell>
          <cell r="F3745" t="str">
            <v>Tidak</v>
          </cell>
          <cell r="G3745" t="str">
            <v>Tidak</v>
          </cell>
          <cell r="H3745" t="str">
            <v>Tidak</v>
          </cell>
          <cell r="I3745" t="str">
            <v>Bandar Judol Withdrawal</v>
          </cell>
          <cell r="J3745">
            <v>50</v>
          </cell>
          <cell r="K3745" t="str">
            <v>86,88,87</v>
          </cell>
          <cell r="L3745" t="str">
            <v>Judi Online</v>
          </cell>
          <cell r="M3745" t="str">
            <v xml:space="preserve">Kas Kanpus                              </v>
          </cell>
          <cell r="N3745" t="str">
            <v xml:space="preserve">Kas Kanpus                              </v>
          </cell>
          <cell r="O3745" t="str">
            <v xml:space="preserve">KAS KANPUS                              </v>
          </cell>
          <cell r="P3745" t="str">
            <v>Ya</v>
          </cell>
          <cell r="Q3745" t="str">
            <v>Ya</v>
          </cell>
          <cell r="R3745" t="str">
            <v>Done</v>
          </cell>
          <cell r="S3745" t="str">
            <v>Approved</v>
          </cell>
          <cell r="T3745" t="str">
            <v>00394521 - Muhammad Hibbanduta</v>
          </cell>
          <cell r="U3745" t="str">
            <v>"-"</v>
          </cell>
        </row>
        <row r="3746">
          <cell r="A3746">
            <v>46265</v>
          </cell>
          <cell r="B3746" t="str">
            <v xml:space="preserve">AMRIS                                   </v>
          </cell>
          <cell r="C3746" t="str">
            <v>ABZYU16</v>
          </cell>
          <cell r="D3746">
            <v>212601000639564</v>
          </cell>
          <cell r="E3746" t="str">
            <v>SEDANG</v>
          </cell>
          <cell r="F3746" t="str">
            <v>Tidak</v>
          </cell>
          <cell r="G3746" t="str">
            <v>Tidak</v>
          </cell>
          <cell r="H3746" t="str">
            <v>Ya</v>
          </cell>
          <cell r="I3746" t="str">
            <v>Bandar Judol Depo</v>
          </cell>
          <cell r="J3746">
            <v>50</v>
          </cell>
          <cell r="K3746" t="str">
            <v>86,74,87</v>
          </cell>
          <cell r="L3746" t="str">
            <v>Judi Online</v>
          </cell>
          <cell r="M3746" t="str">
            <v xml:space="preserve">Kas Kanpus                              </v>
          </cell>
          <cell r="N3746" t="str">
            <v xml:space="preserve">Kas Kanpus                              </v>
          </cell>
          <cell r="O3746" t="str">
            <v xml:space="preserve">KAS KANPUS                              </v>
          </cell>
          <cell r="P3746" t="str">
            <v>Ya</v>
          </cell>
          <cell r="Q3746" t="str">
            <v>Ya</v>
          </cell>
          <cell r="R3746" t="str">
            <v>Done</v>
          </cell>
          <cell r="S3746" t="str">
            <v>Approved</v>
          </cell>
          <cell r="T3746" t="str">
            <v>00336949 - Mochammad Al Farabi</v>
          </cell>
          <cell r="U3746" t="str">
            <v>"-"</v>
          </cell>
        </row>
        <row r="3747">
          <cell r="A3747">
            <v>46265</v>
          </cell>
          <cell r="B3747" t="str">
            <v xml:space="preserve">ARIS MUNANDAR                           </v>
          </cell>
          <cell r="C3747" t="str">
            <v>ACAIL48</v>
          </cell>
          <cell r="D3747">
            <v>40401002935564</v>
          </cell>
          <cell r="E3747" t="str">
            <v>SEDANG</v>
          </cell>
          <cell r="F3747" t="str">
            <v>Tidak</v>
          </cell>
          <cell r="G3747" t="str">
            <v>Tidak</v>
          </cell>
          <cell r="H3747" t="str">
            <v>Tidak</v>
          </cell>
          <cell r="I3747" t="str">
            <v>Bandar Judol Depo</v>
          </cell>
          <cell r="J3747">
            <v>50</v>
          </cell>
          <cell r="K3747" t="str">
            <v>86,74,87</v>
          </cell>
          <cell r="L3747" t="str">
            <v>Judi Online</v>
          </cell>
          <cell r="M3747" t="str">
            <v xml:space="preserve">Kas Kanpus                              </v>
          </cell>
          <cell r="N3747" t="str">
            <v xml:space="preserve">Kas Kanpus                              </v>
          </cell>
          <cell r="O3747" t="str">
            <v xml:space="preserve">KAS KANPUS                              </v>
          </cell>
          <cell r="P3747" t="str">
            <v>Ya</v>
          </cell>
          <cell r="Q3747" t="str">
            <v>Ya</v>
          </cell>
          <cell r="R3747" t="str">
            <v>Done</v>
          </cell>
          <cell r="S3747" t="str">
            <v>Approved</v>
          </cell>
          <cell r="T3747" t="str">
            <v>90150130 - Intan Aida Pratiwi</v>
          </cell>
          <cell r="U3747" t="str">
            <v>"-"</v>
          </cell>
        </row>
        <row r="3748">
          <cell r="A3748">
            <v>46265</v>
          </cell>
          <cell r="B3748" t="str">
            <v xml:space="preserve">AGUNG SURYA DILAGA                      </v>
          </cell>
          <cell r="C3748" t="str">
            <v>ACCTA38</v>
          </cell>
          <cell r="D3748">
            <v>13901002763564</v>
          </cell>
          <cell r="E3748" t="str">
            <v>SEDANG</v>
          </cell>
          <cell r="F3748" t="str">
            <v>Tidak</v>
          </cell>
          <cell r="G3748" t="str">
            <v>Tidak</v>
          </cell>
          <cell r="H3748" t="str">
            <v>Tidak</v>
          </cell>
          <cell r="I3748" t="str">
            <v>Bandar Judol Depo</v>
          </cell>
          <cell r="J3748">
            <v>50</v>
          </cell>
          <cell r="K3748" t="str">
            <v>86,74,87</v>
          </cell>
          <cell r="L3748" t="str">
            <v>Judi Online</v>
          </cell>
          <cell r="M3748" t="str">
            <v xml:space="preserve">Kas Kanpus                              </v>
          </cell>
          <cell r="N3748" t="str">
            <v xml:space="preserve">Kas Kanpus                              </v>
          </cell>
          <cell r="O3748" t="str">
            <v xml:space="preserve">KAS KANPUS                              </v>
          </cell>
          <cell r="P3748" t="str">
            <v>Ya</v>
          </cell>
          <cell r="Q3748" t="str">
            <v>Ya</v>
          </cell>
          <cell r="R3748" t="str">
            <v>Done</v>
          </cell>
          <cell r="S3748" t="str">
            <v>Approved</v>
          </cell>
          <cell r="T3748" t="str">
            <v>90170665 - Mutiara Ayuningtyas</v>
          </cell>
          <cell r="U3748" t="str">
            <v>"-"</v>
          </cell>
        </row>
        <row r="3749">
          <cell r="A3749">
            <v>46265</v>
          </cell>
          <cell r="B3749" t="str">
            <v xml:space="preserve">ABDUL KADIR JAILANI TANJUNG             </v>
          </cell>
          <cell r="C3749" t="str">
            <v>ACCYO01</v>
          </cell>
          <cell r="D3749">
            <v>208301000641569</v>
          </cell>
          <cell r="E3749" t="str">
            <v>SEDANG</v>
          </cell>
          <cell r="F3749" t="str">
            <v>Tidak</v>
          </cell>
          <cell r="G3749" t="str">
            <v>Tidak</v>
          </cell>
          <cell r="H3749" t="str">
            <v>Ya</v>
          </cell>
          <cell r="I3749" t="str">
            <v>Bandar Judol Depo</v>
          </cell>
          <cell r="J3749">
            <v>50</v>
          </cell>
          <cell r="K3749" t="str">
            <v>86,74,87</v>
          </cell>
          <cell r="L3749" t="str">
            <v>Judi Online</v>
          </cell>
          <cell r="M3749" t="str">
            <v xml:space="preserve">Kas Kanpus                              </v>
          </cell>
          <cell r="N3749" t="str">
            <v xml:space="preserve">Kas Kanpus                              </v>
          </cell>
          <cell r="O3749" t="str">
            <v xml:space="preserve">KAS KANPUS                              </v>
          </cell>
          <cell r="P3749" t="str">
            <v>Tidak</v>
          </cell>
          <cell r="Q3749" t="str">
            <v>Tidak</v>
          </cell>
          <cell r="R3749" t="str">
            <v>Done</v>
          </cell>
          <cell r="S3749" t="str">
            <v>Approved</v>
          </cell>
          <cell r="T3749" t="str">
            <v>00336949 - Mochammad Al Farabi</v>
          </cell>
          <cell r="U3749" t="str">
            <v>"-"</v>
          </cell>
        </row>
        <row r="3750">
          <cell r="A3750">
            <v>46265</v>
          </cell>
          <cell r="B3750" t="str">
            <v xml:space="preserve">ADITIYA SANJAYA                         </v>
          </cell>
          <cell r="C3750" t="str">
            <v>ACDAI07</v>
          </cell>
          <cell r="D3750">
            <v>52601001552535</v>
          </cell>
          <cell r="E3750" t="str">
            <v>SEDANG</v>
          </cell>
          <cell r="F3750" t="str">
            <v>Tidak</v>
          </cell>
          <cell r="G3750" t="str">
            <v>Tidak</v>
          </cell>
          <cell r="H3750" t="str">
            <v>Tidak</v>
          </cell>
          <cell r="I3750" t="str">
            <v>Bandar Judol Withdrawal</v>
          </cell>
          <cell r="J3750">
            <v>50</v>
          </cell>
          <cell r="K3750" t="str">
            <v>86,88,87</v>
          </cell>
          <cell r="L3750" t="str">
            <v>Judi Online</v>
          </cell>
          <cell r="M3750" t="str">
            <v xml:space="preserve">Kas Kanpus                              </v>
          </cell>
          <cell r="N3750" t="str">
            <v xml:space="preserve">Kas Kanpus                              </v>
          </cell>
          <cell r="O3750" t="str">
            <v xml:space="preserve">KAS KANPUS                              </v>
          </cell>
          <cell r="P3750" t="str">
            <v>Ya</v>
          </cell>
          <cell r="Q3750" t="str">
            <v>Ya</v>
          </cell>
          <cell r="R3750" t="str">
            <v>Done</v>
          </cell>
          <cell r="S3750" t="str">
            <v>Approved</v>
          </cell>
          <cell r="T3750" t="str">
            <v>90185537 - Moh.Khoerul Fajar Ar</v>
          </cell>
          <cell r="U3750" t="str">
            <v>"-"</v>
          </cell>
        </row>
        <row r="3751">
          <cell r="A3751">
            <v>46265</v>
          </cell>
          <cell r="B3751" t="str">
            <v xml:space="preserve">ARI ARDIANSAH                           </v>
          </cell>
          <cell r="C3751" t="str">
            <v>ACNLR01</v>
          </cell>
          <cell r="D3751">
            <v>112901009243535</v>
          </cell>
          <cell r="E3751" t="str">
            <v>SEDANG</v>
          </cell>
          <cell r="F3751" t="str">
            <v>Tidak</v>
          </cell>
          <cell r="G3751" t="str">
            <v>Tidak</v>
          </cell>
          <cell r="H3751" t="str">
            <v>Tidak</v>
          </cell>
          <cell r="I3751" t="str">
            <v>Bandar Judol Withdrawal</v>
          </cell>
          <cell r="J3751">
            <v>50</v>
          </cell>
          <cell r="K3751" t="str">
            <v>86,88,87</v>
          </cell>
          <cell r="L3751" t="str">
            <v>Judi Online</v>
          </cell>
          <cell r="M3751" t="str">
            <v xml:space="preserve">Kas Kanpus                              </v>
          </cell>
          <cell r="N3751" t="str">
            <v xml:space="preserve">Kas Kanpus                              </v>
          </cell>
          <cell r="O3751" t="str">
            <v xml:space="preserve">KAS KANPUS                              </v>
          </cell>
          <cell r="P3751" t="str">
            <v>Ya</v>
          </cell>
          <cell r="Q3751" t="str">
            <v>Ya</v>
          </cell>
          <cell r="R3751" t="str">
            <v>Done</v>
          </cell>
          <cell r="S3751" t="str">
            <v>Approved</v>
          </cell>
          <cell r="T3751" t="str">
            <v>00394520 - Frida Akbar Rani</v>
          </cell>
          <cell r="U3751" t="str">
            <v>"-"</v>
          </cell>
        </row>
        <row r="3752">
          <cell r="A3752">
            <v>46265</v>
          </cell>
          <cell r="B3752" t="str">
            <v xml:space="preserve">ARNOLD HEDY                             </v>
          </cell>
          <cell r="C3752" t="str">
            <v>ACKW705</v>
          </cell>
          <cell r="D3752">
            <v>1901061490502</v>
          </cell>
          <cell r="E3752" t="str">
            <v>SEDANG</v>
          </cell>
          <cell r="F3752" t="str">
            <v>Tidak</v>
          </cell>
          <cell r="G3752" t="str">
            <v>Tidak</v>
          </cell>
          <cell r="H3752" t="str">
            <v>Tidak</v>
          </cell>
          <cell r="I3752" t="str">
            <v>Bandar Judol Withdrawal</v>
          </cell>
          <cell r="J3752">
            <v>50</v>
          </cell>
          <cell r="K3752" t="str">
            <v>86,88,87</v>
          </cell>
          <cell r="L3752" t="str">
            <v>Judi Online</v>
          </cell>
          <cell r="M3752" t="str">
            <v xml:space="preserve">Kas Kanpus                              </v>
          </cell>
          <cell r="N3752" t="str">
            <v xml:space="preserve">Kas Kanpus                              </v>
          </cell>
          <cell r="O3752" t="str">
            <v xml:space="preserve">KAS KANPUS                              </v>
          </cell>
          <cell r="P3752" t="str">
            <v>Ya</v>
          </cell>
          <cell r="Q3752" t="str">
            <v>Ya</v>
          </cell>
          <cell r="R3752" t="str">
            <v>Done</v>
          </cell>
          <cell r="S3752" t="str">
            <v>Approved</v>
          </cell>
          <cell r="T3752" t="str">
            <v>00336949 - Mochammad Al Farabi</v>
          </cell>
          <cell r="U3752" t="str">
            <v>"-"</v>
          </cell>
        </row>
        <row r="3753">
          <cell r="A3753">
            <v>46265</v>
          </cell>
          <cell r="B3753" t="str">
            <v xml:space="preserve">AHMAD ARIEF SULAIMAN                    </v>
          </cell>
          <cell r="C3753" t="str">
            <v>ACLRM75</v>
          </cell>
          <cell r="D3753">
            <v>5301006086560</v>
          </cell>
          <cell r="E3753" t="str">
            <v>SEDANG</v>
          </cell>
          <cell r="F3753" t="str">
            <v>Tidak</v>
          </cell>
          <cell r="G3753" t="str">
            <v>Tidak</v>
          </cell>
          <cell r="H3753" t="str">
            <v>Tidak</v>
          </cell>
          <cell r="I3753" t="str">
            <v>Bandar Judol Depo</v>
          </cell>
          <cell r="J3753">
            <v>50</v>
          </cell>
          <cell r="K3753" t="str">
            <v>86,74,87</v>
          </cell>
          <cell r="L3753" t="str">
            <v>Judi Online</v>
          </cell>
          <cell r="M3753" t="str">
            <v xml:space="preserve">Kas Kanpus                              </v>
          </cell>
          <cell r="N3753" t="str">
            <v xml:space="preserve">Kas Kanpus                              </v>
          </cell>
          <cell r="O3753" t="str">
            <v xml:space="preserve">KAS KANPUS                              </v>
          </cell>
          <cell r="P3753" t="str">
            <v>Ya</v>
          </cell>
          <cell r="Q3753" t="str">
            <v>Ya</v>
          </cell>
          <cell r="R3753" t="str">
            <v>Done</v>
          </cell>
          <cell r="S3753" t="str">
            <v>Approved</v>
          </cell>
          <cell r="T3753" t="str">
            <v>00336949 - Mochammad Al Farabi</v>
          </cell>
          <cell r="U3753" t="str">
            <v>"-"</v>
          </cell>
        </row>
        <row r="3754">
          <cell r="A3754">
            <v>46265</v>
          </cell>
          <cell r="B3754" t="str">
            <v xml:space="preserve">ALDI HARTONO                            </v>
          </cell>
          <cell r="C3754" t="str">
            <v>ACHCN12</v>
          </cell>
          <cell r="D3754">
            <v>53101014885506</v>
          </cell>
          <cell r="E3754" t="str">
            <v>SEDANG</v>
          </cell>
          <cell r="F3754" t="str">
            <v>Tidak</v>
          </cell>
          <cell r="G3754" t="str">
            <v>Tidak</v>
          </cell>
          <cell r="H3754" t="str">
            <v>Tidak</v>
          </cell>
          <cell r="I3754" t="str">
            <v>Bandar Judol Depo</v>
          </cell>
          <cell r="J3754">
            <v>50</v>
          </cell>
          <cell r="K3754" t="str">
            <v>86,74,87</v>
          </cell>
          <cell r="L3754" t="str">
            <v>Judi Online</v>
          </cell>
          <cell r="M3754" t="str">
            <v xml:space="preserve">Kas Kanpus                              </v>
          </cell>
          <cell r="N3754" t="str">
            <v xml:space="preserve">Kas Kanpus                              </v>
          </cell>
          <cell r="O3754" t="str">
            <v xml:space="preserve">KAS KANPUS                              </v>
          </cell>
          <cell r="P3754" t="str">
            <v>Ya</v>
          </cell>
          <cell r="Q3754" t="str">
            <v>Ya</v>
          </cell>
          <cell r="R3754" t="str">
            <v>Done</v>
          </cell>
          <cell r="S3754" t="str">
            <v>Approved</v>
          </cell>
          <cell r="T3754" t="str">
            <v>90186790 - Muhammad Alfin Farha</v>
          </cell>
          <cell r="U3754" t="str">
            <v>"-"</v>
          </cell>
        </row>
        <row r="3755">
          <cell r="A3755">
            <v>46265</v>
          </cell>
          <cell r="B3755" t="str">
            <v xml:space="preserve">ASEP SARIFUDDIN                         </v>
          </cell>
          <cell r="C3755" t="str">
            <v>ACHMG35</v>
          </cell>
          <cell r="D3755">
            <v>39901047928505</v>
          </cell>
          <cell r="E3755" t="str">
            <v>SEDANG</v>
          </cell>
          <cell r="F3755" t="str">
            <v>Tidak</v>
          </cell>
          <cell r="G3755" t="str">
            <v>Tidak</v>
          </cell>
          <cell r="H3755" t="str">
            <v>Tidak</v>
          </cell>
          <cell r="I3755" t="str">
            <v>Bandar Judol Withdrawal</v>
          </cell>
          <cell r="J3755">
            <v>50</v>
          </cell>
          <cell r="K3755" t="str">
            <v>86,88,87</v>
          </cell>
          <cell r="L3755" t="str">
            <v>Judi Online</v>
          </cell>
          <cell r="M3755" t="str">
            <v xml:space="preserve">Kas Kanpus                              </v>
          </cell>
          <cell r="N3755" t="str">
            <v xml:space="preserve">Kas Kanpus                              </v>
          </cell>
          <cell r="O3755" t="str">
            <v xml:space="preserve">KAS KANPUS                              </v>
          </cell>
          <cell r="P3755" t="str">
            <v>Ya</v>
          </cell>
          <cell r="Q3755" t="str">
            <v>Ya</v>
          </cell>
          <cell r="R3755" t="str">
            <v>Done</v>
          </cell>
          <cell r="S3755" t="str">
            <v>Approved</v>
          </cell>
          <cell r="T3755" t="str">
            <v>90170665 - Mutiara Ayuningtyas</v>
          </cell>
          <cell r="U3755" t="str">
            <v>"-"</v>
          </cell>
        </row>
        <row r="3756">
          <cell r="A3756">
            <v>46265</v>
          </cell>
          <cell r="B3756" t="str">
            <v xml:space="preserve">ABDUL MAJID                             </v>
          </cell>
          <cell r="C3756" t="str">
            <v>ACHNP35</v>
          </cell>
          <cell r="D3756">
            <v>721101023473507</v>
          </cell>
          <cell r="E3756" t="str">
            <v>SEDANG</v>
          </cell>
          <cell r="F3756" t="str">
            <v>Tidak</v>
          </cell>
          <cell r="G3756" t="str">
            <v>Tidak</v>
          </cell>
          <cell r="H3756" t="str">
            <v>Tidak</v>
          </cell>
          <cell r="I3756" t="str">
            <v>Bandar Judol Depo</v>
          </cell>
          <cell r="J3756">
            <v>50</v>
          </cell>
          <cell r="K3756" t="str">
            <v>86,74,87</v>
          </cell>
          <cell r="L3756" t="str">
            <v>Judi Online</v>
          </cell>
          <cell r="M3756" t="str">
            <v xml:space="preserve">Kas Kanpus                              </v>
          </cell>
          <cell r="N3756" t="str">
            <v xml:space="preserve">Kas Kanpus                              </v>
          </cell>
          <cell r="O3756" t="str">
            <v xml:space="preserve">KAS KANPUS                              </v>
          </cell>
          <cell r="P3756" t="str">
            <v>Ya</v>
          </cell>
          <cell r="Q3756" t="str">
            <v>Ya</v>
          </cell>
          <cell r="R3756" t="str">
            <v>Done</v>
          </cell>
          <cell r="S3756" t="str">
            <v>Approved</v>
          </cell>
          <cell r="T3756" t="str">
            <v>90185537 - Moh.Khoerul Fajar Ar</v>
          </cell>
          <cell r="U3756" t="str">
            <v>"-"</v>
          </cell>
        </row>
        <row r="3757">
          <cell r="A3757">
            <v>46265</v>
          </cell>
          <cell r="B3757" t="str">
            <v xml:space="preserve">AGUS SYAMSUDIN                          </v>
          </cell>
          <cell r="C3757" t="str">
            <v>ACHSH67</v>
          </cell>
          <cell r="D3757">
            <v>142101005255508</v>
          </cell>
          <cell r="E3757" t="str">
            <v>SEDANG</v>
          </cell>
          <cell r="F3757" t="str">
            <v>Tidak</v>
          </cell>
          <cell r="G3757" t="str">
            <v>Tidak</v>
          </cell>
          <cell r="H3757" t="str">
            <v>Tidak</v>
          </cell>
          <cell r="I3757" t="str">
            <v>Bandar Judol Depo</v>
          </cell>
          <cell r="J3757">
            <v>50</v>
          </cell>
          <cell r="K3757" t="str">
            <v>86,74,87</v>
          </cell>
          <cell r="L3757" t="str">
            <v>Judi Online</v>
          </cell>
          <cell r="M3757" t="str">
            <v xml:space="preserve">Kas Kanpus                              </v>
          </cell>
          <cell r="N3757" t="str">
            <v xml:space="preserve">Kas Kanpus                              </v>
          </cell>
          <cell r="O3757" t="str">
            <v xml:space="preserve">KAS KANPUS                              </v>
          </cell>
          <cell r="P3757" t="str">
            <v>Ya</v>
          </cell>
          <cell r="Q3757" t="str">
            <v>Ya</v>
          </cell>
          <cell r="R3757" t="str">
            <v>Done</v>
          </cell>
          <cell r="S3757" t="str">
            <v>Approved</v>
          </cell>
          <cell r="T3757" t="str">
            <v>00336949 - Mochammad Al Farabi</v>
          </cell>
          <cell r="U3757" t="str">
            <v>"-"</v>
          </cell>
        </row>
        <row r="3758">
          <cell r="A3758">
            <v>46265</v>
          </cell>
          <cell r="B3758" t="str">
            <v xml:space="preserve">AHMAD ALPIYUDIN                         </v>
          </cell>
          <cell r="C3758" t="str">
            <v>ACGDQ54</v>
          </cell>
          <cell r="D3758">
            <v>112901009008537</v>
          </cell>
          <cell r="E3758" t="str">
            <v>SEDANG</v>
          </cell>
          <cell r="F3758" t="str">
            <v>Tidak</v>
          </cell>
          <cell r="G3758" t="str">
            <v>Tidak</v>
          </cell>
          <cell r="H3758" t="str">
            <v>Tidak</v>
          </cell>
          <cell r="I3758" t="str">
            <v>Bandar Judol Withdrawal</v>
          </cell>
          <cell r="J3758">
            <v>50</v>
          </cell>
          <cell r="K3758" t="str">
            <v>86,88,87</v>
          </cell>
          <cell r="L3758" t="str">
            <v>Judi Online</v>
          </cell>
          <cell r="M3758" t="str">
            <v xml:space="preserve">Kas Kanpus                              </v>
          </cell>
          <cell r="N3758" t="str">
            <v xml:space="preserve">Kas Kanpus                              </v>
          </cell>
          <cell r="O3758" t="str">
            <v xml:space="preserve">KAS KANPUS                              </v>
          </cell>
          <cell r="P3758" t="str">
            <v>Ya</v>
          </cell>
          <cell r="Q3758" t="str">
            <v>Ya</v>
          </cell>
          <cell r="R3758" t="str">
            <v>Done</v>
          </cell>
          <cell r="S3758" t="str">
            <v>Approved</v>
          </cell>
          <cell r="T3758" t="str">
            <v>90150130 - Intan Aida Pratiwi</v>
          </cell>
          <cell r="U3758" t="str">
            <v>"-"</v>
          </cell>
        </row>
        <row r="3759">
          <cell r="A3759">
            <v>46265</v>
          </cell>
          <cell r="B3759" t="str">
            <v xml:space="preserve">AMARTA WISESA                           </v>
          </cell>
          <cell r="C3759" t="str">
            <v>ACGLL30</v>
          </cell>
          <cell r="D3759">
            <v>34401002514304</v>
          </cell>
          <cell r="E3759" t="str">
            <v>SEDANG</v>
          </cell>
          <cell r="F3759" t="str">
            <v>Tidak</v>
          </cell>
          <cell r="G3759" t="str">
            <v>Tidak</v>
          </cell>
          <cell r="H3759" t="str">
            <v>Tidak</v>
          </cell>
          <cell r="I3759" t="str">
            <v>Perpajakan</v>
          </cell>
          <cell r="J3759">
            <v>48</v>
          </cell>
          <cell r="K3759">
            <v>41</v>
          </cell>
          <cell r="L3759" t="str">
            <v>Perpajakan</v>
          </cell>
          <cell r="M3759" t="str">
            <v xml:space="preserve">KC Malang Martadinata                   </v>
          </cell>
          <cell r="N3759" t="str">
            <v xml:space="preserve">KC Malang Martadinata                   </v>
          </cell>
          <cell r="O3759" t="str">
            <v xml:space="preserve">KANWIL MALANG                           </v>
          </cell>
          <cell r="P3759" t="str">
            <v>Tidak</v>
          </cell>
          <cell r="Q3759" t="str">
            <v>Tidak</v>
          </cell>
          <cell r="R3759" t="str">
            <v>Done</v>
          </cell>
          <cell r="S3759" t="str">
            <v>Approved</v>
          </cell>
          <cell r="T3759" t="str">
            <v>00394521 - Muhammad Hibbanduta</v>
          </cell>
          <cell r="U3759" t="str">
            <v>"-"</v>
          </cell>
        </row>
        <row r="3760">
          <cell r="A3760">
            <v>46265</v>
          </cell>
          <cell r="B3760" t="str">
            <v xml:space="preserve">AMELIA                                  </v>
          </cell>
          <cell r="C3760" t="str">
            <v>ACGPI91</v>
          </cell>
          <cell r="D3760">
            <v>741001002123503</v>
          </cell>
          <cell r="E3760" t="str">
            <v>SEDANG</v>
          </cell>
          <cell r="F3760" t="str">
            <v>Tidak</v>
          </cell>
          <cell r="G3760" t="str">
            <v>Tidak</v>
          </cell>
          <cell r="H3760" t="str">
            <v>Tidak</v>
          </cell>
          <cell r="I3760" t="str">
            <v>Bandar Judol Withdrawal</v>
          </cell>
          <cell r="J3760">
            <v>50</v>
          </cell>
          <cell r="K3760" t="str">
            <v>86,88,87</v>
          </cell>
          <cell r="L3760" t="str">
            <v>Judi Online</v>
          </cell>
          <cell r="M3760" t="str">
            <v xml:space="preserve">Kas Kanpus                              </v>
          </cell>
          <cell r="N3760" t="str">
            <v xml:space="preserve">Kas Kanpus                              </v>
          </cell>
          <cell r="O3760" t="str">
            <v xml:space="preserve">KAS KANPUS                              </v>
          </cell>
          <cell r="P3760" t="str">
            <v>Tidak</v>
          </cell>
          <cell r="Q3760" t="str">
            <v>Ya</v>
          </cell>
          <cell r="R3760" t="str">
            <v>Done</v>
          </cell>
          <cell r="S3760" t="str">
            <v>Approved</v>
          </cell>
          <cell r="T3760" t="str">
            <v>00394520 - Frida Akbar Rani</v>
          </cell>
          <cell r="U3760" t="str">
            <v>"-"</v>
          </cell>
        </row>
        <row r="3761">
          <cell r="A3761">
            <v>46265</v>
          </cell>
          <cell r="B3761" t="str">
            <v xml:space="preserve">ASIA SISTEM INDONESIA                   </v>
          </cell>
          <cell r="C3761" t="str">
            <v>AASTQ66</v>
          </cell>
          <cell r="D3761">
            <v>19301004188308</v>
          </cell>
          <cell r="E3761" t="str">
            <v>SEDANG</v>
          </cell>
          <cell r="F3761" t="str">
            <v>Tidak</v>
          </cell>
          <cell r="G3761" t="str">
            <v>Tidak</v>
          </cell>
          <cell r="H3761" t="str">
            <v>Tidak</v>
          </cell>
          <cell r="I3761" t="str">
            <v>Perpajakan</v>
          </cell>
          <cell r="J3761">
            <v>50</v>
          </cell>
          <cell r="K3761">
            <v>41</v>
          </cell>
          <cell r="L3761" t="str">
            <v>Perpajakan</v>
          </cell>
          <cell r="M3761" t="str">
            <v xml:space="preserve">KC Jakarta Kebayoran Baru               </v>
          </cell>
          <cell r="N3761" t="str">
            <v xml:space="preserve">KC Jakarta Kebayoran Baru               </v>
          </cell>
          <cell r="O3761" t="str">
            <v xml:space="preserve">DKI2                                    </v>
          </cell>
          <cell r="P3761" t="str">
            <v>Tidak</v>
          </cell>
          <cell r="Q3761" t="str">
            <v>Tidak</v>
          </cell>
          <cell r="R3761" t="str">
            <v>Done</v>
          </cell>
          <cell r="S3761" t="str">
            <v>Approved</v>
          </cell>
          <cell r="T3761" t="str">
            <v>90185537 - Moh.Khoerul Fajar Ar</v>
          </cell>
          <cell r="U3761" t="str">
            <v>"-"</v>
          </cell>
        </row>
        <row r="3762">
          <cell r="A3762">
            <v>46265</v>
          </cell>
          <cell r="B3762" t="str">
            <v xml:space="preserve">AGUS EFENDI                             </v>
          </cell>
          <cell r="C3762" t="str">
            <v>AATC639</v>
          </cell>
          <cell r="D3762">
            <v>20801000444567</v>
          </cell>
          <cell r="E3762" t="str">
            <v>SEDANG</v>
          </cell>
          <cell r="F3762" t="str">
            <v>Tidak</v>
          </cell>
          <cell r="G3762" t="str">
            <v>Tidak</v>
          </cell>
          <cell r="H3762" t="str">
            <v>Tidak</v>
          </cell>
          <cell r="I3762" t="str">
            <v>Bandar Judol Withdrawal</v>
          </cell>
          <cell r="J3762">
            <v>50</v>
          </cell>
          <cell r="K3762" t="str">
            <v>86,88,87</v>
          </cell>
          <cell r="L3762" t="str">
            <v>Judi Online</v>
          </cell>
          <cell r="M3762" t="str">
            <v xml:space="preserve">Kas Kanpus                              </v>
          </cell>
          <cell r="N3762" t="str">
            <v xml:space="preserve">Kas Kanpus                              </v>
          </cell>
          <cell r="O3762" t="str">
            <v xml:space="preserve">KAS KANPUS                              </v>
          </cell>
          <cell r="P3762" t="str">
            <v>Tidak</v>
          </cell>
          <cell r="Q3762" t="str">
            <v>Tidak</v>
          </cell>
          <cell r="R3762" t="str">
            <v>Done</v>
          </cell>
          <cell r="S3762" t="str">
            <v>Approved</v>
          </cell>
          <cell r="T3762" t="str">
            <v>90186790 - Muhammad Alfin Farha</v>
          </cell>
          <cell r="U3762" t="str">
            <v>"-"</v>
          </cell>
        </row>
        <row r="3763">
          <cell r="A3763">
            <v>46265</v>
          </cell>
          <cell r="B3763" t="str">
            <v xml:space="preserve">BRI ASURANSI INDONESIA                  </v>
          </cell>
          <cell r="C3763" t="str">
            <v>AAVH029</v>
          </cell>
          <cell r="D3763">
            <v>34101001227300</v>
          </cell>
          <cell r="E3763" t="str">
            <v>SEDANG</v>
          </cell>
          <cell r="F3763" t="str">
            <v>Tidak</v>
          </cell>
          <cell r="G3763" t="str">
            <v>Tidak</v>
          </cell>
          <cell r="H3763" t="str">
            <v>Tidak</v>
          </cell>
          <cell r="I3763" t="str">
            <v>Bandar Judol Depo</v>
          </cell>
          <cell r="J3763">
            <v>50</v>
          </cell>
          <cell r="K3763" t="str">
            <v>86,74,87</v>
          </cell>
          <cell r="L3763" t="str">
            <v>Judi Online</v>
          </cell>
          <cell r="M3763" t="str">
            <v xml:space="preserve">Kas Kanpus                              </v>
          </cell>
          <cell r="N3763" t="str">
            <v xml:space="preserve">Kas Kanpus                              </v>
          </cell>
          <cell r="O3763" t="str">
            <v xml:space="preserve">KAS KANPUS                              </v>
          </cell>
          <cell r="P3763" t="str">
            <v>Tidak</v>
          </cell>
          <cell r="Q3763" t="str">
            <v>Tidak</v>
          </cell>
          <cell r="R3763" t="str">
            <v>Done</v>
          </cell>
          <cell r="S3763" t="str">
            <v>Approved</v>
          </cell>
          <cell r="T3763" t="str">
            <v>90171841 - Rifqi Aziz</v>
          </cell>
          <cell r="U3763" t="str">
            <v>"-"</v>
          </cell>
        </row>
        <row r="3764">
          <cell r="A3764">
            <v>46265</v>
          </cell>
          <cell r="B3764" t="str">
            <v xml:space="preserve">ANGGA FEBRIANTO                         </v>
          </cell>
          <cell r="C3764" t="str">
            <v>AAVPL79</v>
          </cell>
          <cell r="D3764">
            <v>23801030523534</v>
          </cell>
          <cell r="E3764" t="str">
            <v>SEDANG</v>
          </cell>
          <cell r="F3764" t="str">
            <v>Tidak</v>
          </cell>
          <cell r="G3764" t="str">
            <v>Tidak</v>
          </cell>
          <cell r="H3764" t="str">
            <v>Tidak</v>
          </cell>
          <cell r="I3764" t="str">
            <v>Bandar Judol Depo</v>
          </cell>
          <cell r="J3764">
            <v>50</v>
          </cell>
          <cell r="K3764" t="str">
            <v>86,74,87</v>
          </cell>
          <cell r="L3764" t="str">
            <v>Judi Online</v>
          </cell>
          <cell r="M3764" t="str">
            <v xml:space="preserve">Kas Kanpus                              </v>
          </cell>
          <cell r="N3764" t="str">
            <v xml:space="preserve">Kas Kanpus                              </v>
          </cell>
          <cell r="O3764" t="str">
            <v xml:space="preserve">KAS KANPUS                              </v>
          </cell>
          <cell r="P3764" t="str">
            <v>Ya</v>
          </cell>
          <cell r="Q3764" t="str">
            <v>Ya</v>
          </cell>
          <cell r="R3764" t="str">
            <v>Done</v>
          </cell>
          <cell r="S3764" t="str">
            <v>Approved</v>
          </cell>
          <cell r="T3764" t="str">
            <v>90150130 - Intan Aida Pratiwi</v>
          </cell>
          <cell r="U3764" t="str">
            <v>"-"</v>
          </cell>
        </row>
        <row r="3765">
          <cell r="A3765">
            <v>46265</v>
          </cell>
          <cell r="B3765" t="str">
            <v xml:space="preserve">AGUS SETIAWAN                           </v>
          </cell>
          <cell r="C3765" t="str">
            <v>ABDFV07</v>
          </cell>
          <cell r="D3765">
            <v>23801031675538</v>
          </cell>
          <cell r="E3765" t="str">
            <v>SEDANG</v>
          </cell>
          <cell r="F3765" t="str">
            <v>Tidak</v>
          </cell>
          <cell r="G3765" t="str">
            <v>Tidak</v>
          </cell>
          <cell r="H3765" t="str">
            <v>Tidak</v>
          </cell>
          <cell r="I3765" t="str">
            <v>Bandar Judol Withdrawal</v>
          </cell>
          <cell r="J3765">
            <v>50</v>
          </cell>
          <cell r="K3765" t="str">
            <v>86,88,87</v>
          </cell>
          <cell r="L3765" t="str">
            <v>Judi Online</v>
          </cell>
          <cell r="M3765" t="str">
            <v xml:space="preserve">Kas Kanpus                              </v>
          </cell>
          <cell r="N3765" t="str">
            <v xml:space="preserve">Kas Kanpus                              </v>
          </cell>
          <cell r="O3765" t="str">
            <v xml:space="preserve">KAS KANPUS                              </v>
          </cell>
          <cell r="P3765" t="str">
            <v>Ya</v>
          </cell>
          <cell r="Q3765" t="str">
            <v>Ya</v>
          </cell>
          <cell r="R3765" t="str">
            <v>Done</v>
          </cell>
          <cell r="S3765" t="str">
            <v>Approved</v>
          </cell>
          <cell r="T3765" t="str">
            <v>90150130 - Intan Aida Pratiwi</v>
          </cell>
          <cell r="U3765" t="str">
            <v>"-"</v>
          </cell>
        </row>
        <row r="3766">
          <cell r="A3766">
            <v>46265</v>
          </cell>
          <cell r="B3766" t="str">
            <v xml:space="preserve">AGAM WAHYUDI                            </v>
          </cell>
          <cell r="C3766" t="str">
            <v>AAYFH97</v>
          </cell>
          <cell r="D3766">
            <v>33501001581561</v>
          </cell>
          <cell r="E3766" t="str">
            <v>SEDANG</v>
          </cell>
          <cell r="F3766" t="str">
            <v>Tidak</v>
          </cell>
          <cell r="G3766" t="str">
            <v>Tidak</v>
          </cell>
          <cell r="H3766" t="str">
            <v>Tidak</v>
          </cell>
          <cell r="I3766" t="str">
            <v>Bandar Judol Withdrawal</v>
          </cell>
          <cell r="J3766">
            <v>50</v>
          </cell>
          <cell r="K3766" t="str">
            <v>86,88,87</v>
          </cell>
          <cell r="L3766" t="str">
            <v>Judi Online</v>
          </cell>
          <cell r="M3766" t="str">
            <v xml:space="preserve">Kas Kanpus                              </v>
          </cell>
          <cell r="N3766" t="str">
            <v xml:space="preserve">Kas Kanpus                              </v>
          </cell>
          <cell r="O3766" t="str">
            <v xml:space="preserve">KAS KANPUS                              </v>
          </cell>
          <cell r="P3766" t="str">
            <v>Ya</v>
          </cell>
          <cell r="Q3766" t="str">
            <v>Ya</v>
          </cell>
          <cell r="R3766" t="str">
            <v>Done</v>
          </cell>
          <cell r="S3766" t="str">
            <v>Approved</v>
          </cell>
          <cell r="T3766" t="str">
            <v>90185538 - Muhammad Fahikal Auz</v>
          </cell>
          <cell r="U3766" t="str">
            <v>"-"</v>
          </cell>
        </row>
        <row r="3767">
          <cell r="A3767">
            <v>46265</v>
          </cell>
          <cell r="B3767" t="str">
            <v xml:space="preserve">AGUNG SUBEKTI                           </v>
          </cell>
          <cell r="C3767" t="str">
            <v>ABCBA11</v>
          </cell>
          <cell r="D3767">
            <v>43801002861566</v>
          </cell>
          <cell r="E3767" t="str">
            <v>SEDANG</v>
          </cell>
          <cell r="F3767" t="str">
            <v>Tidak</v>
          </cell>
          <cell r="G3767" t="str">
            <v>Tidak</v>
          </cell>
          <cell r="H3767" t="str">
            <v>Tidak</v>
          </cell>
          <cell r="I3767" t="str">
            <v>Bandar Judol Withdrawal</v>
          </cell>
          <cell r="J3767">
            <v>50</v>
          </cell>
          <cell r="K3767" t="str">
            <v>86,88,87</v>
          </cell>
          <cell r="L3767" t="str">
            <v>Judi Online</v>
          </cell>
          <cell r="M3767" t="str">
            <v xml:space="preserve">Kas Kanpus                              </v>
          </cell>
          <cell r="N3767" t="str">
            <v xml:space="preserve">Kas Kanpus                              </v>
          </cell>
          <cell r="O3767" t="str">
            <v xml:space="preserve">KAS KANPUS                              </v>
          </cell>
          <cell r="P3767" t="str">
            <v>Ya</v>
          </cell>
          <cell r="Q3767" t="str">
            <v>Ya</v>
          </cell>
          <cell r="R3767" t="str">
            <v>Done</v>
          </cell>
          <cell r="S3767" t="str">
            <v>Approved</v>
          </cell>
          <cell r="T3767" t="str">
            <v>90150130 - Intan Aida Pratiwi</v>
          </cell>
          <cell r="U3767" t="str">
            <v>"-"</v>
          </cell>
        </row>
        <row r="3768">
          <cell r="A3768">
            <v>46265</v>
          </cell>
          <cell r="B3768" t="str">
            <v xml:space="preserve">ABDUL RISAD                             </v>
          </cell>
          <cell r="C3768" t="str">
            <v>ABPNY02</v>
          </cell>
          <cell r="D3768">
            <v>34001001968562</v>
          </cell>
          <cell r="E3768" t="str">
            <v>SEDANG</v>
          </cell>
          <cell r="F3768" t="str">
            <v>Tidak</v>
          </cell>
          <cell r="G3768" t="str">
            <v>Tidak</v>
          </cell>
          <cell r="H3768" t="str">
            <v>Tidak</v>
          </cell>
          <cell r="I3768" t="str">
            <v>Bandar Judol Depo</v>
          </cell>
          <cell r="J3768">
            <v>50</v>
          </cell>
          <cell r="K3768" t="str">
            <v>86,74,87</v>
          </cell>
          <cell r="L3768" t="str">
            <v>Judi Online</v>
          </cell>
          <cell r="M3768" t="str">
            <v xml:space="preserve">Kas Kanpus                              </v>
          </cell>
          <cell r="N3768" t="str">
            <v xml:space="preserve">Kas Kanpus                              </v>
          </cell>
          <cell r="O3768" t="str">
            <v xml:space="preserve">KAS KANPUS                              </v>
          </cell>
          <cell r="P3768" t="str">
            <v>Ya</v>
          </cell>
          <cell r="Q3768" t="str">
            <v>Ya</v>
          </cell>
          <cell r="R3768" t="str">
            <v>Done</v>
          </cell>
          <cell r="S3768" t="str">
            <v>Approved</v>
          </cell>
          <cell r="T3768" t="str">
            <v>00394521 - Muhammad Hibbanduta</v>
          </cell>
          <cell r="U3768" t="str">
            <v>"-"</v>
          </cell>
        </row>
        <row r="3769">
          <cell r="A3769">
            <v>46265</v>
          </cell>
          <cell r="B3769" t="str">
            <v xml:space="preserve">ASHUNG SUHEGY                           </v>
          </cell>
          <cell r="C3769" t="str">
            <v>ABPOH56</v>
          </cell>
          <cell r="D3769">
            <v>401034294534</v>
          </cell>
          <cell r="E3769" t="str">
            <v>SEDANG</v>
          </cell>
          <cell r="F3769" t="str">
            <v>Tidak</v>
          </cell>
          <cell r="G3769" t="str">
            <v>Tidak</v>
          </cell>
          <cell r="H3769" t="str">
            <v>Tidak</v>
          </cell>
          <cell r="I3769" t="str">
            <v>Bandar Judol Depo</v>
          </cell>
          <cell r="J3769">
            <v>50</v>
          </cell>
          <cell r="K3769" t="str">
            <v>86,74,87</v>
          </cell>
          <cell r="L3769" t="str">
            <v>Judi Online</v>
          </cell>
          <cell r="M3769" t="str">
            <v xml:space="preserve">Kas Kanpus                              </v>
          </cell>
          <cell r="N3769" t="str">
            <v xml:space="preserve">Kas Kanpus                              </v>
          </cell>
          <cell r="O3769" t="str">
            <v xml:space="preserve">KAS KANPUS                              </v>
          </cell>
          <cell r="P3769" t="str">
            <v>Ya</v>
          </cell>
          <cell r="Q3769" t="str">
            <v>Ya</v>
          </cell>
          <cell r="R3769" t="str">
            <v>Done</v>
          </cell>
          <cell r="S3769" t="str">
            <v>Approved</v>
          </cell>
          <cell r="T3769" t="str">
            <v>90185537 - Moh.Khoerul Fajar Ar</v>
          </cell>
          <cell r="U3769" t="str">
            <v>"-"</v>
          </cell>
        </row>
        <row r="3770">
          <cell r="A3770">
            <v>46265</v>
          </cell>
          <cell r="B3770" t="str">
            <v xml:space="preserve">AGUNG PRASETYO                          </v>
          </cell>
          <cell r="C3770" t="str">
            <v>ABRMQ07</v>
          </cell>
          <cell r="D3770">
            <v>331001000007569</v>
          </cell>
          <cell r="E3770" t="str">
            <v>SEDANG</v>
          </cell>
          <cell r="F3770" t="str">
            <v>Tidak</v>
          </cell>
          <cell r="G3770" t="str">
            <v>Tidak</v>
          </cell>
          <cell r="H3770" t="str">
            <v>Tidak</v>
          </cell>
          <cell r="I3770" t="str">
            <v>Bandar Judol Withdrawal</v>
          </cell>
          <cell r="J3770">
            <v>50</v>
          </cell>
          <cell r="K3770" t="str">
            <v>86,88,87</v>
          </cell>
          <cell r="L3770" t="str">
            <v>Judi Online</v>
          </cell>
          <cell r="M3770" t="str">
            <v xml:space="preserve">Kas Kanpus                              </v>
          </cell>
          <cell r="N3770" t="str">
            <v xml:space="preserve">Kas Kanpus                              </v>
          </cell>
          <cell r="O3770" t="str">
            <v xml:space="preserve">KAS KANPUS                              </v>
          </cell>
          <cell r="P3770" t="str">
            <v>Ya</v>
          </cell>
          <cell r="Q3770" t="str">
            <v>Ya</v>
          </cell>
          <cell r="R3770" t="str">
            <v>Done</v>
          </cell>
          <cell r="S3770" t="str">
            <v>Approved</v>
          </cell>
          <cell r="T3770" t="str">
            <v>00336949 - Mochammad Al Farabi</v>
          </cell>
          <cell r="U3770" t="str">
            <v>"-"</v>
          </cell>
        </row>
        <row r="3771">
          <cell r="A3771">
            <v>46265</v>
          </cell>
          <cell r="B3771" t="str">
            <v xml:space="preserve">AGUS SANTOSO                            </v>
          </cell>
          <cell r="C3771" t="str">
            <v>ABRP621</v>
          </cell>
          <cell r="D3771">
            <v>223601001039564</v>
          </cell>
          <cell r="E3771" t="str">
            <v>SEDANG</v>
          </cell>
          <cell r="F3771" t="str">
            <v>Tidak</v>
          </cell>
          <cell r="G3771" t="str">
            <v>Tidak</v>
          </cell>
          <cell r="H3771" t="str">
            <v>Tidak</v>
          </cell>
          <cell r="I3771" t="str">
            <v>Bandar Judol Depo</v>
          </cell>
          <cell r="J3771">
            <v>50</v>
          </cell>
          <cell r="K3771" t="str">
            <v>86,74,87</v>
          </cell>
          <cell r="L3771" t="str">
            <v>Judi Online</v>
          </cell>
          <cell r="M3771" t="str">
            <v xml:space="preserve">Kas Kanpus                              </v>
          </cell>
          <cell r="N3771" t="str">
            <v xml:space="preserve">Kas Kanpus                              </v>
          </cell>
          <cell r="O3771" t="str">
            <v xml:space="preserve">KAS KANPUS                              </v>
          </cell>
          <cell r="P3771" t="str">
            <v>Ya</v>
          </cell>
          <cell r="Q3771" t="str">
            <v>Tidak</v>
          </cell>
          <cell r="R3771" t="str">
            <v>Done</v>
          </cell>
          <cell r="S3771" t="str">
            <v>Approved</v>
          </cell>
          <cell r="T3771" t="str">
            <v>90150130 - Intan Aida Pratiwi</v>
          </cell>
          <cell r="U3771" t="str">
            <v>"-"</v>
          </cell>
        </row>
        <row r="3772">
          <cell r="A3772">
            <v>46265</v>
          </cell>
          <cell r="B3772" t="str">
            <v xml:space="preserve">AGUNG NUGROHO                           </v>
          </cell>
          <cell r="C3772" t="str">
            <v>ABUWH68</v>
          </cell>
          <cell r="D3772">
            <v>187701000049563</v>
          </cell>
          <cell r="E3772" t="str">
            <v>SEDANG</v>
          </cell>
          <cell r="F3772" t="str">
            <v>Tidak</v>
          </cell>
          <cell r="G3772" t="str">
            <v>Tidak</v>
          </cell>
          <cell r="H3772" t="str">
            <v>Tidak</v>
          </cell>
          <cell r="I3772" t="str">
            <v>Bandar Judol Withdrawal</v>
          </cell>
          <cell r="J3772">
            <v>50</v>
          </cell>
          <cell r="K3772" t="str">
            <v>86,88,87</v>
          </cell>
          <cell r="L3772" t="str">
            <v>Judi Online</v>
          </cell>
          <cell r="M3772" t="str">
            <v xml:space="preserve">Kas Kanpus                              </v>
          </cell>
          <cell r="N3772" t="str">
            <v xml:space="preserve">Kas Kanpus                              </v>
          </cell>
          <cell r="O3772" t="str">
            <v xml:space="preserve">KAS KANPUS                              </v>
          </cell>
          <cell r="P3772" t="str">
            <v>Ya</v>
          </cell>
          <cell r="Q3772" t="str">
            <v>Ya</v>
          </cell>
          <cell r="R3772" t="str">
            <v>Done</v>
          </cell>
          <cell r="S3772" t="str">
            <v>Approved</v>
          </cell>
          <cell r="T3772" t="str">
            <v>90185538 - Muhammad Fahikal Auz</v>
          </cell>
          <cell r="U3772" t="str">
            <v>"-"</v>
          </cell>
        </row>
        <row r="3773">
          <cell r="A3773">
            <v>46265</v>
          </cell>
          <cell r="B3773" t="str">
            <v xml:space="preserve">ADHYAKSA BINTANG PRAMESWARA             </v>
          </cell>
          <cell r="C3773" t="str">
            <v>ABVHM55</v>
          </cell>
          <cell r="D3773">
            <v>62101010011532</v>
          </cell>
          <cell r="E3773" t="str">
            <v>SEDANG</v>
          </cell>
          <cell r="F3773" t="str">
            <v>Tidak</v>
          </cell>
          <cell r="G3773" t="str">
            <v>Tidak</v>
          </cell>
          <cell r="H3773" t="str">
            <v>Tidak</v>
          </cell>
          <cell r="I3773" t="str">
            <v>Judi Online</v>
          </cell>
          <cell r="J3773">
            <v>50</v>
          </cell>
          <cell r="K3773" t="str">
            <v>73,76,34,74,6</v>
          </cell>
          <cell r="L3773" t="str">
            <v>Judi Online</v>
          </cell>
          <cell r="M3773" t="str">
            <v xml:space="preserve">Kas Kanpus                              </v>
          </cell>
          <cell r="N3773" t="str">
            <v xml:space="preserve">Kas Kanpus                              </v>
          </cell>
          <cell r="O3773" t="str">
            <v xml:space="preserve">KAS KANPUS                              </v>
          </cell>
          <cell r="P3773" t="str">
            <v>Ya</v>
          </cell>
          <cell r="Q3773" t="str">
            <v>Tidak</v>
          </cell>
          <cell r="R3773" t="str">
            <v>Done</v>
          </cell>
          <cell r="S3773" t="str">
            <v>Approved</v>
          </cell>
          <cell r="T3773" t="str">
            <v>90185537 - Moh.Khoerul Fajar Ar</v>
          </cell>
          <cell r="U3773" t="str">
            <v>"-"</v>
          </cell>
        </row>
        <row r="3774">
          <cell r="A3774">
            <v>46265</v>
          </cell>
          <cell r="B3774" t="str">
            <v xml:space="preserve">ADHYAKSA BINTANG PRAMESWARA             </v>
          </cell>
          <cell r="C3774" t="str">
            <v>ABVHM55</v>
          </cell>
          <cell r="D3774">
            <v>62101010011532</v>
          </cell>
          <cell r="E3774" t="str">
            <v>SEDANG</v>
          </cell>
          <cell r="F3774" t="str">
            <v>Tidak</v>
          </cell>
          <cell r="G3774" t="str">
            <v>Tidak</v>
          </cell>
          <cell r="H3774" t="str">
            <v>Tidak</v>
          </cell>
          <cell r="I3774" t="str">
            <v>Bandar Judol Depo</v>
          </cell>
          <cell r="J3774">
            <v>50</v>
          </cell>
          <cell r="K3774" t="str">
            <v>86,74,87</v>
          </cell>
          <cell r="L3774" t="str">
            <v>Judi Online</v>
          </cell>
          <cell r="M3774" t="str">
            <v xml:space="preserve">Kas Kanpus                              </v>
          </cell>
          <cell r="N3774" t="str">
            <v xml:space="preserve">Kas Kanpus                              </v>
          </cell>
          <cell r="O3774" t="str">
            <v xml:space="preserve">KAS KANPUS                              </v>
          </cell>
          <cell r="P3774" t="str">
            <v>Ya</v>
          </cell>
          <cell r="Q3774" t="str">
            <v>Tidak</v>
          </cell>
          <cell r="R3774" t="str">
            <v>Done</v>
          </cell>
          <cell r="S3774" t="str">
            <v>Approved</v>
          </cell>
          <cell r="T3774" t="str">
            <v>90185537 - Moh.Khoerul Fajar Ar</v>
          </cell>
          <cell r="U3774" t="str">
            <v>"-"</v>
          </cell>
        </row>
        <row r="3775">
          <cell r="A3775">
            <v>46265</v>
          </cell>
          <cell r="B3775" t="str">
            <v xml:space="preserve">APRIANSYAH                              </v>
          </cell>
          <cell r="C3775" t="str">
            <v>ABVOK59</v>
          </cell>
          <cell r="D3775">
            <v>179001005448500</v>
          </cell>
          <cell r="E3775" t="str">
            <v>SEDANG</v>
          </cell>
          <cell r="F3775" t="str">
            <v>Tidak</v>
          </cell>
          <cell r="G3775" t="str">
            <v>Tidak</v>
          </cell>
          <cell r="H3775" t="str">
            <v>Tidak</v>
          </cell>
          <cell r="I3775" t="str">
            <v>Bandar Judol Withdrawal</v>
          </cell>
          <cell r="J3775">
            <v>50</v>
          </cell>
          <cell r="K3775" t="str">
            <v>86,88,87</v>
          </cell>
          <cell r="L3775" t="str">
            <v>Judi Online</v>
          </cell>
          <cell r="M3775" t="str">
            <v xml:space="preserve">Kas Kanpus                              </v>
          </cell>
          <cell r="N3775" t="str">
            <v xml:space="preserve">Kas Kanpus                              </v>
          </cell>
          <cell r="O3775" t="str">
            <v xml:space="preserve">KAS KANPUS                              </v>
          </cell>
          <cell r="P3775" t="str">
            <v>Ya</v>
          </cell>
          <cell r="Q3775" t="str">
            <v>Ya</v>
          </cell>
          <cell r="R3775" t="str">
            <v>Done</v>
          </cell>
          <cell r="S3775" t="str">
            <v>Approved</v>
          </cell>
          <cell r="T3775" t="str">
            <v>00394520 - Frida Akbar Rani</v>
          </cell>
          <cell r="U3775" t="str">
            <v>"-"</v>
          </cell>
        </row>
        <row r="3776">
          <cell r="A3776">
            <v>46265</v>
          </cell>
          <cell r="B3776" t="str">
            <v xml:space="preserve">ANDY TJAHAYA                            </v>
          </cell>
          <cell r="C3776" t="str">
            <v>ABWAD31</v>
          </cell>
          <cell r="D3776">
            <v>41801002165566</v>
          </cell>
          <cell r="E3776" t="str">
            <v>TINGGI</v>
          </cell>
          <cell r="F3776" t="str">
            <v>Tidak</v>
          </cell>
          <cell r="G3776" t="str">
            <v>Tidak</v>
          </cell>
          <cell r="H3776" t="str">
            <v>Tidak</v>
          </cell>
          <cell r="I3776" t="str">
            <v>Bandar Judol Withdrawal</v>
          </cell>
          <cell r="J3776">
            <v>65</v>
          </cell>
          <cell r="K3776" t="str">
            <v>86,88,87</v>
          </cell>
          <cell r="L3776" t="str">
            <v>Judi Online</v>
          </cell>
          <cell r="M3776" t="str">
            <v xml:space="preserve">Kas Kanpus                              </v>
          </cell>
          <cell r="N3776" t="str">
            <v xml:space="preserve">Kas Kanpus                              </v>
          </cell>
          <cell r="O3776" t="str">
            <v xml:space="preserve">KAS KANPUS                              </v>
          </cell>
          <cell r="P3776" t="str">
            <v>Ya</v>
          </cell>
          <cell r="Q3776" t="str">
            <v>Ya</v>
          </cell>
          <cell r="R3776" t="str">
            <v>Done</v>
          </cell>
          <cell r="S3776" t="str">
            <v>Approved</v>
          </cell>
          <cell r="T3776" t="str">
            <v>90186796 - Devito Arya Wiradila</v>
          </cell>
          <cell r="U3776" t="str">
            <v>"-"</v>
          </cell>
        </row>
        <row r="3777">
          <cell r="A3777">
            <v>46265</v>
          </cell>
          <cell r="B3777" t="str">
            <v xml:space="preserve">ANDREANSYAH                             </v>
          </cell>
          <cell r="C3777" t="str">
            <v>ABWYB41</v>
          </cell>
          <cell r="D3777">
            <v>173101008642507</v>
          </cell>
          <cell r="E3777" t="str">
            <v>SEDANG</v>
          </cell>
          <cell r="F3777" t="str">
            <v>Tidak</v>
          </cell>
          <cell r="G3777" t="str">
            <v>Tidak</v>
          </cell>
          <cell r="H3777" t="str">
            <v>Tidak</v>
          </cell>
          <cell r="I3777" t="str">
            <v>Bandar Judol Withdrawal</v>
          </cell>
          <cell r="J3777">
            <v>50</v>
          </cell>
          <cell r="K3777" t="str">
            <v>86,88,87</v>
          </cell>
          <cell r="L3777" t="str">
            <v>Judi Online</v>
          </cell>
          <cell r="M3777" t="str">
            <v xml:space="preserve">Kas Kanpus                              </v>
          </cell>
          <cell r="N3777" t="str">
            <v xml:space="preserve">Kas Kanpus                              </v>
          </cell>
          <cell r="O3777" t="str">
            <v xml:space="preserve">KAS KANPUS                              </v>
          </cell>
          <cell r="P3777" t="str">
            <v>Ya</v>
          </cell>
          <cell r="Q3777" t="str">
            <v>Tidak</v>
          </cell>
          <cell r="R3777" t="str">
            <v>Done</v>
          </cell>
          <cell r="S3777" t="str">
            <v>Approved</v>
          </cell>
          <cell r="T3777" t="str">
            <v>90186796 - Devito Arya Wiradila</v>
          </cell>
          <cell r="U3777" t="str">
            <v>"-"</v>
          </cell>
        </row>
        <row r="3778">
          <cell r="A3778">
            <v>46265</v>
          </cell>
          <cell r="B3778" t="str">
            <v xml:space="preserve">ARIS MUNANDAR                           </v>
          </cell>
          <cell r="C3778" t="str">
            <v>ABON510</v>
          </cell>
          <cell r="D3778">
            <v>328201035590538</v>
          </cell>
          <cell r="E3778" t="str">
            <v>SEDANG</v>
          </cell>
          <cell r="F3778" t="str">
            <v>Tidak</v>
          </cell>
          <cell r="G3778" t="str">
            <v>Tidak</v>
          </cell>
          <cell r="H3778" t="str">
            <v>Tidak</v>
          </cell>
          <cell r="I3778" t="str">
            <v>Bandar Judol Depo</v>
          </cell>
          <cell r="J3778">
            <v>50</v>
          </cell>
          <cell r="K3778" t="str">
            <v>86,74,87</v>
          </cell>
          <cell r="L3778" t="str">
            <v>Judi Online</v>
          </cell>
          <cell r="M3778" t="str">
            <v xml:space="preserve">Kas Kanpus                              </v>
          </cell>
          <cell r="N3778" t="str">
            <v xml:space="preserve">Kas Kanpus                              </v>
          </cell>
          <cell r="O3778" t="str">
            <v xml:space="preserve">KAS KANPUS                              </v>
          </cell>
          <cell r="P3778" t="str">
            <v>Ya</v>
          </cell>
          <cell r="Q3778" t="str">
            <v>Tidak</v>
          </cell>
          <cell r="R3778" t="str">
            <v>Done</v>
          </cell>
          <cell r="S3778" t="str">
            <v>Approved</v>
          </cell>
          <cell r="T3778" t="str">
            <v>00394521 - Muhammad Hibbanduta</v>
          </cell>
          <cell r="U3778" t="str">
            <v>"-"</v>
          </cell>
        </row>
        <row r="3779">
          <cell r="A3779">
            <v>46265</v>
          </cell>
          <cell r="B3779" t="str">
            <v xml:space="preserve">PT BRI ASURANSI INDONESIA               </v>
          </cell>
          <cell r="C3779" t="str">
            <v>A490531</v>
          </cell>
          <cell r="D3779">
            <v>5901000800300</v>
          </cell>
          <cell r="E3779" t="str">
            <v>SEDANG</v>
          </cell>
          <cell r="F3779" t="str">
            <v>Tidak</v>
          </cell>
          <cell r="G3779" t="str">
            <v>Tidak</v>
          </cell>
          <cell r="H3779" t="str">
            <v>Tidak</v>
          </cell>
          <cell r="I3779" t="str">
            <v>Bandar Judol Depo</v>
          </cell>
          <cell r="J3779">
            <v>50</v>
          </cell>
          <cell r="K3779" t="str">
            <v>86,74,87</v>
          </cell>
          <cell r="L3779" t="str">
            <v>Judi Online</v>
          </cell>
          <cell r="M3779" t="str">
            <v xml:space="preserve">Kas Kanpus                              </v>
          </cell>
          <cell r="N3779" t="str">
            <v xml:space="preserve">Kas Kanpus                              </v>
          </cell>
          <cell r="O3779" t="str">
            <v xml:space="preserve">KAS KANPUS                              </v>
          </cell>
          <cell r="P3779" t="str">
            <v>Tidak</v>
          </cell>
          <cell r="Q3779" t="str">
            <v>Tidak</v>
          </cell>
          <cell r="R3779" t="str">
            <v>Done</v>
          </cell>
          <cell r="S3779" t="str">
            <v>Approved</v>
          </cell>
          <cell r="T3779" t="str">
            <v>90185538 - Muhammad Fahikal Auz</v>
          </cell>
          <cell r="U3779" t="str">
            <v>"-"</v>
          </cell>
        </row>
        <row r="3780">
          <cell r="A3780">
            <v>46265</v>
          </cell>
          <cell r="B3780" t="str">
            <v xml:space="preserve">ARTHUR FONSECHA                         </v>
          </cell>
          <cell r="C3780" t="str">
            <v>AAAZW62</v>
          </cell>
          <cell r="D3780">
            <v>1701004782562</v>
          </cell>
          <cell r="E3780" t="str">
            <v>SEDANG</v>
          </cell>
          <cell r="F3780" t="str">
            <v>Tidak</v>
          </cell>
          <cell r="G3780" t="str">
            <v>Tidak</v>
          </cell>
          <cell r="H3780" t="str">
            <v>Tidak</v>
          </cell>
          <cell r="I3780" t="str">
            <v>Bandar Judol Depo</v>
          </cell>
          <cell r="J3780">
            <v>50</v>
          </cell>
          <cell r="K3780" t="str">
            <v>86,74,87</v>
          </cell>
          <cell r="L3780" t="str">
            <v>Judi Online</v>
          </cell>
          <cell r="M3780" t="str">
            <v xml:space="preserve">Kas Kanpus                              </v>
          </cell>
          <cell r="N3780" t="str">
            <v xml:space="preserve">Kas Kanpus                              </v>
          </cell>
          <cell r="O3780" t="str">
            <v xml:space="preserve">KAS KANPUS                              </v>
          </cell>
          <cell r="P3780" t="str">
            <v>Ya</v>
          </cell>
          <cell r="Q3780" t="str">
            <v>Ya</v>
          </cell>
          <cell r="R3780" t="str">
            <v>Done</v>
          </cell>
          <cell r="S3780" t="str">
            <v>Approved</v>
          </cell>
          <cell r="T3780" t="str">
            <v>90185537 - Moh.Khoerul Fajar Ar</v>
          </cell>
          <cell r="U3780" t="str">
            <v>"-"</v>
          </cell>
        </row>
        <row r="3781">
          <cell r="A3781">
            <v>46265</v>
          </cell>
          <cell r="B3781" t="str">
            <v xml:space="preserve">AL HAFIZ                                </v>
          </cell>
          <cell r="C3781" t="str">
            <v>AABKW94</v>
          </cell>
          <cell r="D3781">
            <v>65801000515569</v>
          </cell>
          <cell r="E3781" t="str">
            <v>SEDANG</v>
          </cell>
          <cell r="F3781" t="str">
            <v>Tidak</v>
          </cell>
          <cell r="G3781" t="str">
            <v>Tidak</v>
          </cell>
          <cell r="H3781" t="str">
            <v>Tidak</v>
          </cell>
          <cell r="I3781" t="str">
            <v>Bandar Judol Depo</v>
          </cell>
          <cell r="J3781">
            <v>50</v>
          </cell>
          <cell r="K3781" t="str">
            <v>86,74,87</v>
          </cell>
          <cell r="L3781" t="str">
            <v>Judi Online</v>
          </cell>
          <cell r="M3781" t="str">
            <v xml:space="preserve">Kas Kanpus                              </v>
          </cell>
          <cell r="N3781" t="str">
            <v xml:space="preserve">Kas Kanpus                              </v>
          </cell>
          <cell r="O3781" t="str">
            <v xml:space="preserve">KAS KANPUS                              </v>
          </cell>
          <cell r="P3781" t="str">
            <v>Ya</v>
          </cell>
          <cell r="Q3781" t="str">
            <v>Ya</v>
          </cell>
          <cell r="R3781" t="str">
            <v>Done</v>
          </cell>
          <cell r="S3781" t="str">
            <v>Approved</v>
          </cell>
          <cell r="T3781" t="str">
            <v>90171841 - Rifqi Aziz</v>
          </cell>
          <cell r="U3781" t="str">
            <v>"-"</v>
          </cell>
        </row>
        <row r="3782">
          <cell r="A3782">
            <v>46265</v>
          </cell>
          <cell r="B3782" t="str">
            <v xml:space="preserve">AGUS YONATAN ARYADI                     </v>
          </cell>
          <cell r="C3782" t="str">
            <v>AABOC36</v>
          </cell>
          <cell r="D3782">
            <v>55601038343508</v>
          </cell>
          <cell r="E3782" t="str">
            <v>SEDANG</v>
          </cell>
          <cell r="F3782" t="str">
            <v>Tidak</v>
          </cell>
          <cell r="G3782" t="str">
            <v>Tidak</v>
          </cell>
          <cell r="H3782" t="str">
            <v>Tidak</v>
          </cell>
          <cell r="I3782" t="str">
            <v>Bandar Judol Withdrawal</v>
          </cell>
          <cell r="J3782">
            <v>50</v>
          </cell>
          <cell r="K3782" t="str">
            <v>86,88,87</v>
          </cell>
          <cell r="L3782" t="str">
            <v>Judi Online</v>
          </cell>
          <cell r="M3782" t="str">
            <v xml:space="preserve">Kas Kanpus                              </v>
          </cell>
          <cell r="N3782" t="str">
            <v xml:space="preserve">Kas Kanpus                              </v>
          </cell>
          <cell r="O3782" t="str">
            <v xml:space="preserve">KAS KANPUS                              </v>
          </cell>
          <cell r="P3782" t="str">
            <v>Ya</v>
          </cell>
          <cell r="Q3782" t="str">
            <v>Ya</v>
          </cell>
          <cell r="R3782" t="str">
            <v>Done</v>
          </cell>
          <cell r="S3782" t="str">
            <v>Approved</v>
          </cell>
          <cell r="T3782" t="str">
            <v>90150130 - Intan Aida Pratiwi</v>
          </cell>
          <cell r="U3782" t="str">
            <v>"-"</v>
          </cell>
        </row>
        <row r="3783">
          <cell r="A3783">
            <v>46265</v>
          </cell>
          <cell r="B3783" t="str">
            <v xml:space="preserve">ANDRIAWAN CORNELIS NDIMA                </v>
          </cell>
          <cell r="C3783" t="str">
            <v>AACRM52</v>
          </cell>
          <cell r="D3783">
            <v>55601038350505</v>
          </cell>
          <cell r="E3783" t="str">
            <v>SEDANG</v>
          </cell>
          <cell r="F3783" t="str">
            <v>Tidak</v>
          </cell>
          <cell r="G3783" t="str">
            <v>Tidak</v>
          </cell>
          <cell r="H3783" t="str">
            <v>Tidak</v>
          </cell>
          <cell r="I3783" t="str">
            <v>Bandar Judol Withdrawal</v>
          </cell>
          <cell r="J3783">
            <v>50</v>
          </cell>
          <cell r="K3783" t="str">
            <v>86,88,87</v>
          </cell>
          <cell r="L3783" t="str">
            <v>Judi Online</v>
          </cell>
          <cell r="M3783" t="str">
            <v xml:space="preserve">Kas Kanpus                              </v>
          </cell>
          <cell r="N3783" t="str">
            <v xml:space="preserve">Kas Kanpus                              </v>
          </cell>
          <cell r="O3783" t="str">
            <v xml:space="preserve">KAS KANPUS                              </v>
          </cell>
          <cell r="P3783" t="str">
            <v>Ya</v>
          </cell>
          <cell r="Q3783" t="str">
            <v>Ya</v>
          </cell>
          <cell r="R3783" t="str">
            <v>Done</v>
          </cell>
          <cell r="S3783" t="str">
            <v>Approved</v>
          </cell>
          <cell r="T3783" t="str">
            <v>90185538 - Muhammad Fahikal Auz</v>
          </cell>
          <cell r="U3783" t="str">
            <v>"-"</v>
          </cell>
        </row>
        <row r="3784">
          <cell r="A3784">
            <v>46265</v>
          </cell>
          <cell r="B3784" t="str">
            <v xml:space="preserve">AMARTHA FINANSIAL ASIA                  </v>
          </cell>
          <cell r="C3784" t="str">
            <v>AAMNP20</v>
          </cell>
          <cell r="D3784">
            <v>42501001580308</v>
          </cell>
          <cell r="E3784" t="str">
            <v>SEDANG</v>
          </cell>
          <cell r="F3784" t="str">
            <v>Tidak</v>
          </cell>
          <cell r="G3784" t="str">
            <v>Tidak</v>
          </cell>
          <cell r="H3784" t="str">
            <v>Tidak</v>
          </cell>
          <cell r="I3784" t="str">
            <v>Narkotika - Area Lapas</v>
          </cell>
          <cell r="J3784">
            <v>50</v>
          </cell>
          <cell r="K3784">
            <v>46</v>
          </cell>
          <cell r="L3784" t="str">
            <v>Narkotika</v>
          </cell>
          <cell r="M3784" t="str">
            <v>KC Ampera</v>
          </cell>
          <cell r="N3784" t="str">
            <v>KC Ampera</v>
          </cell>
          <cell r="O3784" t="str">
            <v>DKI2</v>
          </cell>
          <cell r="P3784" t="str">
            <v>Tidak</v>
          </cell>
          <cell r="Q3784" t="str">
            <v>Tidak</v>
          </cell>
          <cell r="R3784" t="str">
            <v>Done</v>
          </cell>
          <cell r="S3784" t="str">
            <v>Approved</v>
          </cell>
          <cell r="T3784" t="str">
            <v>90170665 - Mutiara Ayuningtyas</v>
          </cell>
          <cell r="U3784" t="str">
            <v>"-"</v>
          </cell>
        </row>
        <row r="3785">
          <cell r="A3785">
            <v>46265</v>
          </cell>
          <cell r="B3785" t="str">
            <v xml:space="preserve">AAD FRASSTIYO                           </v>
          </cell>
          <cell r="C3785" t="str">
            <v>AAKXO67</v>
          </cell>
          <cell r="D3785">
            <v>12001002121569</v>
          </cell>
          <cell r="E3785" t="str">
            <v>SEDANG</v>
          </cell>
          <cell r="F3785" t="str">
            <v>Tidak</v>
          </cell>
          <cell r="G3785" t="str">
            <v>Tidak</v>
          </cell>
          <cell r="H3785" t="str">
            <v>Tidak</v>
          </cell>
          <cell r="I3785" t="str">
            <v>Bandar Judol Withdrawal</v>
          </cell>
          <cell r="J3785">
            <v>50</v>
          </cell>
          <cell r="K3785" t="str">
            <v>86,88,87</v>
          </cell>
          <cell r="L3785" t="str">
            <v>Judi Online</v>
          </cell>
          <cell r="M3785" t="str">
            <v xml:space="preserve">Kas Kanpus                              </v>
          </cell>
          <cell r="N3785" t="str">
            <v xml:space="preserve">Kas Kanpus                              </v>
          </cell>
          <cell r="O3785" t="str">
            <v xml:space="preserve">KAS KANPUS                              </v>
          </cell>
          <cell r="P3785" t="str">
            <v>Ya</v>
          </cell>
          <cell r="Q3785" t="str">
            <v>Tidak</v>
          </cell>
          <cell r="R3785" t="str">
            <v>Done</v>
          </cell>
          <cell r="S3785" t="str">
            <v>Approved</v>
          </cell>
          <cell r="T3785" t="str">
            <v>90171841 - Rifqi Aziz</v>
          </cell>
          <cell r="U3785" t="str">
            <v>"-"</v>
          </cell>
        </row>
        <row r="3786">
          <cell r="A3786">
            <v>46265</v>
          </cell>
          <cell r="B3786" t="str">
            <v xml:space="preserve">ADE RAHMAN                              </v>
          </cell>
          <cell r="C3786" t="str">
            <v>AAPBF47</v>
          </cell>
          <cell r="D3786">
            <v>50901078190506</v>
          </cell>
          <cell r="E3786" t="str">
            <v>SEDANG</v>
          </cell>
          <cell r="F3786" t="str">
            <v>Tidak</v>
          </cell>
          <cell r="G3786" t="str">
            <v>Tidak</v>
          </cell>
          <cell r="H3786" t="str">
            <v>Tidak</v>
          </cell>
          <cell r="I3786" t="str">
            <v>Bandar Judol Withdrawal</v>
          </cell>
          <cell r="J3786">
            <v>50</v>
          </cell>
          <cell r="K3786" t="str">
            <v>86,88,87</v>
          </cell>
          <cell r="L3786" t="str">
            <v>Judi Online</v>
          </cell>
          <cell r="M3786" t="str">
            <v xml:space="preserve">Kas Kanpus                              </v>
          </cell>
          <cell r="N3786" t="str">
            <v xml:space="preserve">Kas Kanpus                              </v>
          </cell>
          <cell r="O3786" t="str">
            <v xml:space="preserve">KAS KANPUS                              </v>
          </cell>
          <cell r="P3786" t="str">
            <v>Ya</v>
          </cell>
          <cell r="Q3786" t="str">
            <v>Ya</v>
          </cell>
          <cell r="R3786" t="str">
            <v>Done</v>
          </cell>
          <cell r="S3786" t="str">
            <v>Approved</v>
          </cell>
          <cell r="T3786" t="str">
            <v>90185537 - Moh.Khoerul Fajar Ar</v>
          </cell>
          <cell r="U3786" t="str">
            <v>"-"</v>
          </cell>
        </row>
        <row r="3787">
          <cell r="A3787">
            <v>46265</v>
          </cell>
          <cell r="B3787" t="str">
            <v xml:space="preserve">ANNISA SYABANI                          </v>
          </cell>
          <cell r="C3787" t="str">
            <v>AAPIR88</v>
          </cell>
          <cell r="D3787">
            <v>732601018728536</v>
          </cell>
          <cell r="E3787" t="str">
            <v>SEDANG</v>
          </cell>
          <cell r="F3787" t="str">
            <v>Tidak</v>
          </cell>
          <cell r="G3787" t="str">
            <v>Tidak</v>
          </cell>
          <cell r="H3787" t="str">
            <v>Ya</v>
          </cell>
          <cell r="I3787" t="str">
            <v>Bandar Judol Withdrawal</v>
          </cell>
          <cell r="J3787">
            <v>50</v>
          </cell>
          <cell r="K3787" t="str">
            <v>86,88,87</v>
          </cell>
          <cell r="L3787" t="str">
            <v>Judi Online</v>
          </cell>
          <cell r="M3787" t="str">
            <v xml:space="preserve">Kas Kanpus                              </v>
          </cell>
          <cell r="N3787" t="str">
            <v xml:space="preserve">Kas Kanpus                              </v>
          </cell>
          <cell r="O3787" t="str">
            <v xml:space="preserve">KAS KANPUS                              </v>
          </cell>
          <cell r="P3787" t="str">
            <v>Ya</v>
          </cell>
          <cell r="Q3787" t="str">
            <v>Ya</v>
          </cell>
          <cell r="R3787" t="str">
            <v>Done</v>
          </cell>
          <cell r="S3787" t="str">
            <v>Approved</v>
          </cell>
          <cell r="T3787" t="str">
            <v>90171841 - Rifqi Aziz</v>
          </cell>
          <cell r="U3787" t="str">
            <v>"-"</v>
          </cell>
        </row>
        <row r="3788">
          <cell r="A3788">
            <v>46265</v>
          </cell>
          <cell r="B3788" t="str">
            <v xml:space="preserve">ASHARI SALAM                            </v>
          </cell>
          <cell r="C3788" t="str">
            <v>AAPL743</v>
          </cell>
          <cell r="D3788">
            <v>225901000090507</v>
          </cell>
          <cell r="E3788" t="str">
            <v>SEDANG</v>
          </cell>
          <cell r="F3788" t="str">
            <v>Ya</v>
          </cell>
          <cell r="G3788" t="str">
            <v>Tidak</v>
          </cell>
          <cell r="H3788" t="str">
            <v>Tidak</v>
          </cell>
          <cell r="I3788" t="str">
            <v>Bandar Judol Depo</v>
          </cell>
          <cell r="J3788">
            <v>50</v>
          </cell>
          <cell r="K3788" t="str">
            <v>86,74,87</v>
          </cell>
          <cell r="L3788" t="str">
            <v>Judi Online</v>
          </cell>
          <cell r="M3788" t="str">
            <v xml:space="preserve">Kas Kanpus                              </v>
          </cell>
          <cell r="N3788" t="str">
            <v xml:space="preserve">Kas Kanpus                              </v>
          </cell>
          <cell r="O3788" t="str">
            <v xml:space="preserve">KAS KANPUS                              </v>
          </cell>
          <cell r="P3788" t="str">
            <v>Tidak</v>
          </cell>
          <cell r="Q3788" t="str">
            <v>Ya</v>
          </cell>
          <cell r="R3788" t="str">
            <v>Done</v>
          </cell>
          <cell r="S3788" t="str">
            <v>Approved</v>
          </cell>
          <cell r="T3788" t="str">
            <v>90150130 - Intan Aida Pratiwi</v>
          </cell>
          <cell r="U3788" t="str">
            <v>"-"</v>
          </cell>
        </row>
        <row r="3789">
          <cell r="A3789">
            <v>46265</v>
          </cell>
          <cell r="B3789" t="str">
            <v xml:space="preserve">AFRYAN MARPAUNG                         </v>
          </cell>
          <cell r="C3789" t="str">
            <v>AAONP42</v>
          </cell>
          <cell r="D3789">
            <v>5301021885533</v>
          </cell>
          <cell r="E3789" t="str">
            <v>TINGGI</v>
          </cell>
          <cell r="F3789" t="str">
            <v>Tidak</v>
          </cell>
          <cell r="G3789" t="str">
            <v>Tidak</v>
          </cell>
          <cell r="H3789" t="str">
            <v>Tidak</v>
          </cell>
          <cell r="I3789" t="str">
            <v>Bandar Judol Withdrawal</v>
          </cell>
          <cell r="J3789">
            <v>65</v>
          </cell>
          <cell r="K3789" t="str">
            <v>86,88,87</v>
          </cell>
          <cell r="L3789" t="str">
            <v>Judi Online</v>
          </cell>
          <cell r="M3789" t="str">
            <v xml:space="preserve">Kas Kanpus                              </v>
          </cell>
          <cell r="N3789" t="str">
            <v xml:space="preserve">Kas Kanpus                              </v>
          </cell>
          <cell r="O3789" t="str">
            <v xml:space="preserve">KAS KANPUS                              </v>
          </cell>
          <cell r="P3789" t="str">
            <v>Ya</v>
          </cell>
          <cell r="Q3789" t="str">
            <v>Ya</v>
          </cell>
          <cell r="R3789" t="str">
            <v>Done</v>
          </cell>
          <cell r="S3789" t="str">
            <v>Approved</v>
          </cell>
          <cell r="T3789" t="str">
            <v>90171841 - Rifqi Aziz</v>
          </cell>
          <cell r="U3789" t="str">
            <v>"-"</v>
          </cell>
        </row>
        <row r="3790">
          <cell r="A3790">
            <v>46265</v>
          </cell>
          <cell r="B3790" t="str">
            <v xml:space="preserve">ANANDA ASTRILIA                         </v>
          </cell>
          <cell r="C3790" t="str">
            <v>AAOO673</v>
          </cell>
          <cell r="D3790">
            <v>126301003818508</v>
          </cell>
          <cell r="E3790" t="str">
            <v>SEDANG</v>
          </cell>
          <cell r="F3790" t="str">
            <v>Tidak</v>
          </cell>
          <cell r="G3790" t="str">
            <v>Tidak</v>
          </cell>
          <cell r="H3790" t="str">
            <v>Tidak</v>
          </cell>
          <cell r="I3790" t="str">
            <v>Bandar Judol Withdrawal</v>
          </cell>
          <cell r="J3790">
            <v>50</v>
          </cell>
          <cell r="K3790" t="str">
            <v>86,88,87</v>
          </cell>
          <cell r="L3790" t="str">
            <v>Judi Online</v>
          </cell>
          <cell r="M3790" t="str">
            <v xml:space="preserve">Kas Kanpus                              </v>
          </cell>
          <cell r="N3790" t="str">
            <v xml:space="preserve">Kas Kanpus                              </v>
          </cell>
          <cell r="O3790" t="str">
            <v xml:space="preserve">KAS KANPUS                              </v>
          </cell>
          <cell r="P3790" t="str">
            <v>Ya</v>
          </cell>
          <cell r="Q3790" t="str">
            <v>Ya</v>
          </cell>
          <cell r="R3790" t="str">
            <v>Done</v>
          </cell>
          <cell r="S3790" t="str">
            <v>Approved</v>
          </cell>
          <cell r="T3790" t="str">
            <v>90150130 - Intan Aida Pratiwi</v>
          </cell>
          <cell r="U3790" t="str">
            <v>"-"</v>
          </cell>
        </row>
        <row r="3791">
          <cell r="A3791">
            <v>46265</v>
          </cell>
          <cell r="B3791" t="str">
            <v xml:space="preserve">ARGA FILSOF ADAM                        </v>
          </cell>
          <cell r="C3791" t="str">
            <v>AANEJ03</v>
          </cell>
          <cell r="D3791">
            <v>708101000036567</v>
          </cell>
          <cell r="E3791" t="str">
            <v>SEDANG</v>
          </cell>
          <cell r="F3791" t="str">
            <v>Tidak</v>
          </cell>
          <cell r="G3791" t="str">
            <v>Tidak</v>
          </cell>
          <cell r="H3791" t="str">
            <v>Tidak</v>
          </cell>
          <cell r="I3791" t="str">
            <v>Bandar Judol Depo</v>
          </cell>
          <cell r="J3791">
            <v>50</v>
          </cell>
          <cell r="K3791" t="str">
            <v>86,74,87</v>
          </cell>
          <cell r="L3791" t="str">
            <v>Judi Online</v>
          </cell>
          <cell r="M3791" t="str">
            <v xml:space="preserve">Kas Kanpus                              </v>
          </cell>
          <cell r="N3791" t="str">
            <v xml:space="preserve">Kas Kanpus                              </v>
          </cell>
          <cell r="O3791" t="str">
            <v xml:space="preserve">KAS KANPUS                              </v>
          </cell>
          <cell r="P3791" t="str">
            <v>Ya</v>
          </cell>
          <cell r="Q3791" t="str">
            <v>Ya</v>
          </cell>
          <cell r="R3791" t="str">
            <v>Done</v>
          </cell>
          <cell r="S3791" t="str">
            <v>Approved</v>
          </cell>
          <cell r="T3791" t="str">
            <v>90186796 - Devito Arya Wiradila</v>
          </cell>
          <cell r="U3791" t="str">
            <v>"-"</v>
          </cell>
        </row>
        <row r="3792">
          <cell r="A3792">
            <v>46265</v>
          </cell>
          <cell r="B3792" t="str">
            <v xml:space="preserve">ANGGI FEBRIYANTI                        </v>
          </cell>
          <cell r="C3792" t="str">
            <v>AANL136</v>
          </cell>
          <cell r="D3792">
            <v>722401019576538</v>
          </cell>
          <cell r="E3792" t="str">
            <v>SEDANG</v>
          </cell>
          <cell r="F3792" t="str">
            <v>Tidak</v>
          </cell>
          <cell r="G3792" t="str">
            <v>Tidak</v>
          </cell>
          <cell r="H3792" t="str">
            <v>Tidak</v>
          </cell>
          <cell r="I3792" t="str">
            <v>Bandar Judol Withdrawal</v>
          </cell>
          <cell r="J3792">
            <v>50</v>
          </cell>
          <cell r="K3792" t="str">
            <v>86,88,87</v>
          </cell>
          <cell r="L3792" t="str">
            <v>Judi Online</v>
          </cell>
          <cell r="M3792" t="str">
            <v xml:space="preserve">Kas Kanpus                              </v>
          </cell>
          <cell r="N3792" t="str">
            <v xml:space="preserve">Kas Kanpus                              </v>
          </cell>
          <cell r="O3792" t="str">
            <v xml:space="preserve">KAS KANPUS                              </v>
          </cell>
          <cell r="P3792" t="str">
            <v>Ya</v>
          </cell>
          <cell r="Q3792" t="str">
            <v>Ya</v>
          </cell>
          <cell r="R3792" t="str">
            <v>Done</v>
          </cell>
          <cell r="S3792" t="str">
            <v>Approved</v>
          </cell>
          <cell r="T3792" t="str">
            <v>90185537 - Moh.Khoerul Fajar Ar</v>
          </cell>
          <cell r="U3792" t="str">
            <v>"-"</v>
          </cell>
        </row>
        <row r="3793">
          <cell r="A3793">
            <v>46265</v>
          </cell>
          <cell r="B3793" t="str">
            <v xml:space="preserve">BRI ASURANSI INDONESIA                  </v>
          </cell>
          <cell r="C3793" t="str">
            <v>A075757</v>
          </cell>
          <cell r="D3793">
            <v>19301000191309</v>
          </cell>
          <cell r="E3793" t="str">
            <v>SEDANG</v>
          </cell>
          <cell r="F3793" t="str">
            <v>Tidak</v>
          </cell>
          <cell r="G3793" t="str">
            <v>Tidak</v>
          </cell>
          <cell r="H3793" t="str">
            <v>Tidak</v>
          </cell>
          <cell r="I3793" t="str">
            <v>Bandar Judol Depo</v>
          </cell>
          <cell r="J3793">
            <v>50</v>
          </cell>
          <cell r="K3793" t="str">
            <v>86,74,87</v>
          </cell>
          <cell r="L3793" t="str">
            <v>Judi Online</v>
          </cell>
          <cell r="M3793" t="str">
            <v xml:space="preserve">Kas Kanpus                              </v>
          </cell>
          <cell r="N3793" t="str">
            <v xml:space="preserve">Kas Kanpus                              </v>
          </cell>
          <cell r="O3793" t="str">
            <v xml:space="preserve">KAS KANPUS                              </v>
          </cell>
          <cell r="P3793" t="str">
            <v>Tidak</v>
          </cell>
          <cell r="Q3793" t="str">
            <v>Tidak</v>
          </cell>
          <cell r="R3793" t="str">
            <v>Done</v>
          </cell>
          <cell r="S3793" t="str">
            <v>Approved</v>
          </cell>
          <cell r="T3793" t="str">
            <v>90186790 - Muhammad Alfin Farha</v>
          </cell>
          <cell r="U3793" t="str">
            <v>"-"</v>
          </cell>
        </row>
        <row r="3794">
          <cell r="A3794">
            <v>46265</v>
          </cell>
          <cell r="B3794" t="str">
            <v xml:space="preserve">AHAMAD AJIJI                            </v>
          </cell>
          <cell r="C3794" t="str">
            <v>ADUWH20</v>
          </cell>
          <cell r="D3794">
            <v>44501076574508</v>
          </cell>
          <cell r="F3794" t="str">
            <v>Tidak</v>
          </cell>
          <cell r="G3794" t="str">
            <v>Tidak</v>
          </cell>
          <cell r="H3794" t="str">
            <v>Tidak</v>
          </cell>
          <cell r="I3794" t="str">
            <v>Bandar Judol Withdrawal</v>
          </cell>
          <cell r="J3794">
            <v>35</v>
          </cell>
          <cell r="K3794" t="str">
            <v>86,88,87</v>
          </cell>
          <cell r="L3794" t="str">
            <v>Judi Online</v>
          </cell>
          <cell r="M3794" t="str">
            <v xml:space="preserve">Kas Kanpus                              </v>
          </cell>
          <cell r="N3794" t="str">
            <v xml:space="preserve">Kas Kanpus                              </v>
          </cell>
          <cell r="O3794" t="str">
            <v xml:space="preserve">KAS KANPUS                              </v>
          </cell>
          <cell r="P3794" t="str">
            <v>Ya</v>
          </cell>
          <cell r="Q3794" t="str">
            <v>Ya</v>
          </cell>
          <cell r="R3794" t="str">
            <v>Done</v>
          </cell>
          <cell r="S3794" t="str">
            <v>Approved</v>
          </cell>
          <cell r="T3794" t="str">
            <v>90150130 - Intan Aida Pratiwi</v>
          </cell>
          <cell r="U3794" t="str">
            <v>"-"</v>
          </cell>
        </row>
        <row r="3795">
          <cell r="A3795">
            <v>46265</v>
          </cell>
          <cell r="B3795" t="str">
            <v xml:space="preserve">ANDRIAN MALIK                           </v>
          </cell>
          <cell r="C3795" t="str">
            <v>ADUXF37</v>
          </cell>
          <cell r="D3795">
            <v>721101025533507</v>
          </cell>
          <cell r="F3795" t="str">
            <v>Tidak</v>
          </cell>
          <cell r="G3795" t="str">
            <v>Tidak</v>
          </cell>
          <cell r="H3795" t="str">
            <v>Tidak</v>
          </cell>
          <cell r="I3795" t="str">
            <v>Bandar Judol Withdrawal</v>
          </cell>
          <cell r="J3795">
            <v>35</v>
          </cell>
          <cell r="K3795" t="str">
            <v>86,88,87</v>
          </cell>
          <cell r="L3795" t="str">
            <v>Judi Online</v>
          </cell>
          <cell r="M3795" t="str">
            <v xml:space="preserve">Kas Kanpus                              </v>
          </cell>
          <cell r="N3795" t="str">
            <v xml:space="preserve">Kas Kanpus                              </v>
          </cell>
          <cell r="O3795" t="str">
            <v xml:space="preserve">KAS KANPUS                              </v>
          </cell>
          <cell r="P3795" t="str">
            <v>Ya</v>
          </cell>
          <cell r="Q3795" t="str">
            <v>Ya</v>
          </cell>
          <cell r="R3795" t="str">
            <v>Done</v>
          </cell>
          <cell r="S3795" t="str">
            <v>Approved</v>
          </cell>
          <cell r="T3795" t="str">
            <v>90186790 - Muhammad Alfin Farha</v>
          </cell>
          <cell r="U3795" t="str">
            <v>"-"</v>
          </cell>
        </row>
        <row r="3796">
          <cell r="A3796">
            <v>46265</v>
          </cell>
          <cell r="B3796" t="str">
            <v xml:space="preserve">ABDUL BASIT AGGAHRA                     </v>
          </cell>
          <cell r="C3796" t="str">
            <v>ADVRZ30</v>
          </cell>
          <cell r="D3796">
            <v>39301003707561</v>
          </cell>
          <cell r="F3796" t="str">
            <v>Tidak</v>
          </cell>
          <cell r="G3796" t="str">
            <v>Tidak</v>
          </cell>
          <cell r="H3796" t="str">
            <v>Tidak</v>
          </cell>
          <cell r="I3796" t="str">
            <v>Bandar Judol Withdrawal</v>
          </cell>
          <cell r="J3796">
            <v>35</v>
          </cell>
          <cell r="K3796" t="str">
            <v>86,88,87</v>
          </cell>
          <cell r="L3796" t="str">
            <v>Judi Online</v>
          </cell>
          <cell r="M3796" t="str">
            <v xml:space="preserve">Kas Kanpus                              </v>
          </cell>
          <cell r="N3796" t="str">
            <v xml:space="preserve">Kas Kanpus                              </v>
          </cell>
          <cell r="O3796" t="str">
            <v xml:space="preserve">KAS KANPUS                              </v>
          </cell>
          <cell r="P3796" t="str">
            <v>Ya</v>
          </cell>
          <cell r="Q3796" t="str">
            <v>Ya</v>
          </cell>
          <cell r="R3796" t="str">
            <v>Done</v>
          </cell>
          <cell r="S3796" t="str">
            <v>Approved</v>
          </cell>
          <cell r="T3796" t="str">
            <v>90185538 - Muhammad Fahikal Auz</v>
          </cell>
          <cell r="U3796" t="str">
            <v>"-"</v>
          </cell>
        </row>
        <row r="3797">
          <cell r="A3797">
            <v>46265</v>
          </cell>
          <cell r="B3797" t="str">
            <v xml:space="preserve">ADINDA WIDIYANTI                        </v>
          </cell>
          <cell r="C3797" t="str">
            <v>ADWHT05</v>
          </cell>
          <cell r="D3797">
            <v>138701003039502</v>
          </cell>
          <cell r="F3797" t="str">
            <v>Tidak</v>
          </cell>
          <cell r="G3797" t="str">
            <v>Tidak</v>
          </cell>
          <cell r="H3797" t="str">
            <v>Tidak</v>
          </cell>
          <cell r="I3797" t="str">
            <v>Bandar Judol Withdrawal</v>
          </cell>
          <cell r="J3797">
            <v>35</v>
          </cell>
          <cell r="K3797" t="str">
            <v>86,88,87</v>
          </cell>
          <cell r="L3797" t="str">
            <v>Judi Online</v>
          </cell>
          <cell r="M3797" t="str">
            <v xml:space="preserve">Kas Kanpus                              </v>
          </cell>
          <cell r="N3797" t="str">
            <v xml:space="preserve">Kas Kanpus                              </v>
          </cell>
          <cell r="O3797" t="str">
            <v xml:space="preserve">KAS KANPUS                              </v>
          </cell>
          <cell r="P3797" t="str">
            <v>Ya</v>
          </cell>
          <cell r="Q3797" t="str">
            <v>Ya</v>
          </cell>
          <cell r="R3797" t="str">
            <v>Done</v>
          </cell>
          <cell r="S3797" t="str">
            <v>Approved</v>
          </cell>
          <cell r="T3797" t="str">
            <v>90185537 - Moh.Khoerul Fajar Ar</v>
          </cell>
          <cell r="U3797" t="str">
            <v>"-"</v>
          </cell>
        </row>
        <row r="3798">
          <cell r="A3798">
            <v>46265</v>
          </cell>
          <cell r="B3798" t="str">
            <v xml:space="preserve">ALAN ANDRIANSYAH                        </v>
          </cell>
          <cell r="C3798" t="str">
            <v>ADWNK05</v>
          </cell>
          <cell r="D3798">
            <v>1901105491509</v>
          </cell>
          <cell r="F3798" t="str">
            <v>Tidak</v>
          </cell>
          <cell r="G3798" t="str">
            <v>Tidak</v>
          </cell>
          <cell r="H3798" t="str">
            <v>Tidak</v>
          </cell>
          <cell r="I3798" t="str">
            <v>Bandar Judol Withdrawal</v>
          </cell>
          <cell r="J3798">
            <v>35</v>
          </cell>
          <cell r="K3798" t="str">
            <v>86,88,87</v>
          </cell>
          <cell r="L3798" t="str">
            <v>Judi Online</v>
          </cell>
          <cell r="M3798" t="str">
            <v xml:space="preserve">Kas Kanpus                              </v>
          </cell>
          <cell r="N3798" t="str">
            <v xml:space="preserve">Kas Kanpus                              </v>
          </cell>
          <cell r="O3798" t="str">
            <v xml:space="preserve">KAS KANPUS                              </v>
          </cell>
          <cell r="P3798" t="str">
            <v>Ya</v>
          </cell>
          <cell r="Q3798" t="str">
            <v>Ya</v>
          </cell>
          <cell r="R3798" t="str">
            <v>Done</v>
          </cell>
          <cell r="S3798" t="str">
            <v>Approved</v>
          </cell>
          <cell r="T3798" t="str">
            <v>00336949 - Mochammad Al Farabi</v>
          </cell>
          <cell r="U3798" t="str">
            <v>"-"</v>
          </cell>
        </row>
        <row r="3799">
          <cell r="A3799">
            <v>46265</v>
          </cell>
          <cell r="B3799" t="str">
            <v xml:space="preserve">ARMAN SUWANDI                           </v>
          </cell>
          <cell r="C3799" t="str">
            <v>ADVWI22</v>
          </cell>
          <cell r="D3799">
            <v>176701015422501</v>
          </cell>
          <cell r="F3799" t="str">
            <v>Tidak</v>
          </cell>
          <cell r="G3799" t="str">
            <v>Tidak</v>
          </cell>
          <cell r="H3799" t="str">
            <v>Tidak</v>
          </cell>
          <cell r="I3799" t="str">
            <v>Bandar Judol Withdrawal</v>
          </cell>
          <cell r="J3799">
            <v>35</v>
          </cell>
          <cell r="K3799" t="str">
            <v>86,88,87</v>
          </cell>
          <cell r="L3799" t="str">
            <v>Judi Online</v>
          </cell>
          <cell r="M3799" t="str">
            <v xml:space="preserve">Kas Kanpus                              </v>
          </cell>
          <cell r="N3799" t="str">
            <v xml:space="preserve">Kas Kanpus                              </v>
          </cell>
          <cell r="O3799" t="str">
            <v xml:space="preserve">KAS KANPUS                              </v>
          </cell>
          <cell r="P3799" t="str">
            <v>Ya</v>
          </cell>
          <cell r="Q3799" t="str">
            <v>Ya</v>
          </cell>
          <cell r="R3799" t="str">
            <v>Done</v>
          </cell>
          <cell r="S3799" t="str">
            <v>Approved</v>
          </cell>
          <cell r="T3799" t="str">
            <v>90150130 - Intan Aida Pratiwi</v>
          </cell>
          <cell r="U3799" t="str">
            <v>"-"</v>
          </cell>
        </row>
        <row r="3800">
          <cell r="A3800">
            <v>46265</v>
          </cell>
          <cell r="B3800" t="str">
            <v xml:space="preserve">ABDUL ROZAK                             </v>
          </cell>
          <cell r="C3800" t="str">
            <v>ADVZ028</v>
          </cell>
          <cell r="D3800">
            <v>117501000361563</v>
          </cell>
          <cell r="E3800" t="str">
            <v>TINGGI</v>
          </cell>
          <cell r="F3800" t="str">
            <v>Tidak</v>
          </cell>
          <cell r="G3800" t="str">
            <v>Tidak</v>
          </cell>
          <cell r="H3800" t="str">
            <v>Tidak</v>
          </cell>
          <cell r="I3800" t="str">
            <v>Terorisme - SIPENDAR</v>
          </cell>
          <cell r="J3800">
            <v>185</v>
          </cell>
          <cell r="K3800">
            <v>36</v>
          </cell>
          <cell r="L3800" t="str">
            <v>Terorisme</v>
          </cell>
          <cell r="M3800" t="str">
            <v xml:space="preserve">Kas Kanpus                              </v>
          </cell>
          <cell r="N3800" t="str">
            <v xml:space="preserve">Kas Kanpus                              </v>
          </cell>
          <cell r="O3800" t="str">
            <v xml:space="preserve">KAS KANPUS                              </v>
          </cell>
          <cell r="P3800" t="str">
            <v>Tidak</v>
          </cell>
          <cell r="Q3800" t="str">
            <v>Ya</v>
          </cell>
          <cell r="R3800" t="str">
            <v>Done</v>
          </cell>
          <cell r="S3800" t="str">
            <v>Approved</v>
          </cell>
          <cell r="T3800" t="str">
            <v>90185538 - Muhammad Fahikal Auz</v>
          </cell>
          <cell r="U3800" t="str">
            <v>"-"</v>
          </cell>
        </row>
        <row r="3801">
          <cell r="A3801">
            <v>46265</v>
          </cell>
          <cell r="B3801" t="str">
            <v xml:space="preserve">AGUSTINA MANDA SARI                     </v>
          </cell>
          <cell r="C3801" t="str">
            <v>ADUMB24</v>
          </cell>
          <cell r="D3801">
            <v>115001000737564</v>
          </cell>
          <cell r="F3801" t="str">
            <v>Tidak</v>
          </cell>
          <cell r="G3801" t="str">
            <v>Tidak</v>
          </cell>
          <cell r="H3801" t="str">
            <v>Tidak</v>
          </cell>
          <cell r="I3801" t="str">
            <v>Bandar Judol Withdrawal</v>
          </cell>
          <cell r="J3801">
            <v>35</v>
          </cell>
          <cell r="K3801" t="str">
            <v>86,88,87</v>
          </cell>
          <cell r="L3801" t="str">
            <v>Judi Online</v>
          </cell>
          <cell r="M3801" t="str">
            <v xml:space="preserve">Kas Kanpus                              </v>
          </cell>
          <cell r="N3801" t="str">
            <v xml:space="preserve">Kas Kanpus                              </v>
          </cell>
          <cell r="O3801" t="str">
            <v xml:space="preserve">KAS KANPUS                              </v>
          </cell>
          <cell r="P3801" t="str">
            <v>Ya</v>
          </cell>
          <cell r="Q3801" t="str">
            <v>Ya</v>
          </cell>
          <cell r="R3801" t="str">
            <v>Done</v>
          </cell>
          <cell r="S3801" t="str">
            <v>Approved</v>
          </cell>
          <cell r="T3801" t="str">
            <v>00394521 - Muhammad Hibbanduta</v>
          </cell>
          <cell r="U3801" t="str">
            <v>"-"</v>
          </cell>
        </row>
        <row r="3802">
          <cell r="A3802">
            <v>46265</v>
          </cell>
          <cell r="B3802" t="str">
            <v xml:space="preserve">ALDI SANUSI AL HASBALAH                 </v>
          </cell>
          <cell r="C3802" t="str">
            <v>ADUMC46</v>
          </cell>
          <cell r="D3802">
            <v>1201281264505</v>
          </cell>
          <cell r="F3802" t="str">
            <v>Tidak</v>
          </cell>
          <cell r="G3802" t="str">
            <v>Tidak</v>
          </cell>
          <cell r="H3802" t="str">
            <v>Tidak</v>
          </cell>
          <cell r="I3802" t="str">
            <v>Bandar Judol Withdrawal</v>
          </cell>
          <cell r="J3802">
            <v>35</v>
          </cell>
          <cell r="K3802" t="str">
            <v>86,88,87</v>
          </cell>
          <cell r="L3802" t="str">
            <v>Judi Online</v>
          </cell>
          <cell r="M3802" t="str">
            <v xml:space="preserve">Kas Kanpus                              </v>
          </cell>
          <cell r="N3802" t="str">
            <v xml:space="preserve">Kas Kanpus                              </v>
          </cell>
          <cell r="O3802" t="str">
            <v xml:space="preserve">KAS KANPUS                              </v>
          </cell>
          <cell r="P3802" t="str">
            <v>Ya</v>
          </cell>
          <cell r="Q3802" t="str">
            <v>Ya</v>
          </cell>
          <cell r="R3802" t="str">
            <v>Done</v>
          </cell>
          <cell r="S3802" t="str">
            <v>Approved</v>
          </cell>
          <cell r="T3802" t="str">
            <v>00394521 - Muhammad Hibbanduta</v>
          </cell>
          <cell r="U3802" t="str">
            <v>"-"</v>
          </cell>
        </row>
        <row r="3803">
          <cell r="A3803">
            <v>46265</v>
          </cell>
          <cell r="B3803" t="str">
            <v xml:space="preserve">AZRHIL RAYHAN V                         </v>
          </cell>
          <cell r="C3803" t="str">
            <v>ADUPC40</v>
          </cell>
          <cell r="D3803">
            <v>84101025649500</v>
          </cell>
          <cell r="F3803" t="str">
            <v>Tidak</v>
          </cell>
          <cell r="G3803" t="str">
            <v>Tidak</v>
          </cell>
          <cell r="H3803" t="str">
            <v>Tidak</v>
          </cell>
          <cell r="I3803" t="str">
            <v>Bandar Judol Withdrawal</v>
          </cell>
          <cell r="J3803">
            <v>35</v>
          </cell>
          <cell r="K3803" t="str">
            <v>86,88,87</v>
          </cell>
          <cell r="L3803" t="str">
            <v>Judi Online</v>
          </cell>
          <cell r="M3803" t="str">
            <v xml:space="preserve">Kas Kanpus                              </v>
          </cell>
          <cell r="N3803" t="str">
            <v xml:space="preserve">Kas Kanpus                              </v>
          </cell>
          <cell r="O3803" t="str">
            <v xml:space="preserve">KAS KANPUS                              </v>
          </cell>
          <cell r="P3803" t="str">
            <v>Ya</v>
          </cell>
          <cell r="Q3803" t="str">
            <v>Ya</v>
          </cell>
          <cell r="R3803" t="str">
            <v>Done</v>
          </cell>
          <cell r="S3803" t="str">
            <v>Approved</v>
          </cell>
          <cell r="T3803" t="str">
            <v>90185538 - Muhammad Fahikal Auz</v>
          </cell>
          <cell r="U3803" t="str">
            <v>"-"</v>
          </cell>
        </row>
        <row r="3804">
          <cell r="A3804">
            <v>46265</v>
          </cell>
          <cell r="B3804" t="str">
            <v xml:space="preserve">ADE KOMARA                              </v>
          </cell>
          <cell r="C3804" t="str">
            <v>ADUSL43</v>
          </cell>
          <cell r="D3804">
            <v>43801069751508</v>
          </cell>
          <cell r="F3804" t="str">
            <v>Tidak</v>
          </cell>
          <cell r="G3804" t="str">
            <v>Tidak</v>
          </cell>
          <cell r="H3804" t="str">
            <v>Tidak</v>
          </cell>
          <cell r="I3804" t="str">
            <v>Bandar Judol Withdrawal</v>
          </cell>
          <cell r="J3804">
            <v>35</v>
          </cell>
          <cell r="K3804" t="str">
            <v>86,88,87</v>
          </cell>
          <cell r="L3804" t="str">
            <v>Judi Online</v>
          </cell>
          <cell r="M3804" t="str">
            <v xml:space="preserve">Kas Kanpus                              </v>
          </cell>
          <cell r="N3804" t="str">
            <v xml:space="preserve">Kas Kanpus                              </v>
          </cell>
          <cell r="O3804" t="str">
            <v xml:space="preserve">KAS KANPUS                              </v>
          </cell>
          <cell r="P3804" t="str">
            <v>Ya</v>
          </cell>
          <cell r="Q3804" t="str">
            <v>Ya</v>
          </cell>
          <cell r="R3804" t="str">
            <v>Done</v>
          </cell>
          <cell r="S3804" t="str">
            <v>Approved</v>
          </cell>
          <cell r="T3804" t="str">
            <v>00394521 - Muhammad Hibbanduta</v>
          </cell>
          <cell r="U3804" t="str">
            <v>"-"</v>
          </cell>
        </row>
        <row r="3805">
          <cell r="A3805">
            <v>46265</v>
          </cell>
          <cell r="B3805" t="str">
            <v xml:space="preserve">AHMAD BAYHAKI                           </v>
          </cell>
          <cell r="C3805" t="str">
            <v>ADUUI29</v>
          </cell>
          <cell r="D3805">
            <v>84001000067567</v>
          </cell>
          <cell r="F3805" t="str">
            <v>Tidak</v>
          </cell>
          <cell r="G3805" t="str">
            <v>Tidak</v>
          </cell>
          <cell r="H3805" t="str">
            <v>Tidak</v>
          </cell>
          <cell r="I3805" t="str">
            <v>Bandar Judol Depo</v>
          </cell>
          <cell r="J3805">
            <v>35</v>
          </cell>
          <cell r="K3805" t="str">
            <v>86,74,87</v>
          </cell>
          <cell r="L3805" t="str">
            <v>Judi Online</v>
          </cell>
          <cell r="M3805" t="str">
            <v xml:space="preserve">Kas Kanpus                              </v>
          </cell>
          <cell r="N3805" t="str">
            <v xml:space="preserve">Kas Kanpus                              </v>
          </cell>
          <cell r="O3805" t="str">
            <v xml:space="preserve">KAS KANPUS                              </v>
          </cell>
          <cell r="P3805" t="str">
            <v>Ya</v>
          </cell>
          <cell r="Q3805" t="str">
            <v>Ya</v>
          </cell>
          <cell r="R3805" t="str">
            <v>Done</v>
          </cell>
          <cell r="S3805" t="str">
            <v>Approved</v>
          </cell>
          <cell r="T3805" t="str">
            <v>90150130 - Intan Aida Pratiwi</v>
          </cell>
          <cell r="U3805" t="str">
            <v>"-"</v>
          </cell>
        </row>
        <row r="3806">
          <cell r="A3806">
            <v>46265</v>
          </cell>
          <cell r="B3806" t="str">
            <v xml:space="preserve">AHMAD SUBEKTI                           </v>
          </cell>
          <cell r="C3806" t="str">
            <v>ADUVC71</v>
          </cell>
          <cell r="D3806">
            <v>113201019659501</v>
          </cell>
          <cell r="F3806" t="str">
            <v>Tidak</v>
          </cell>
          <cell r="G3806" t="str">
            <v>Tidak</v>
          </cell>
          <cell r="H3806" t="str">
            <v>Tidak</v>
          </cell>
          <cell r="I3806" t="str">
            <v>Bandar Judol Depo</v>
          </cell>
          <cell r="J3806">
            <v>35</v>
          </cell>
          <cell r="K3806" t="str">
            <v>86,74,87</v>
          </cell>
          <cell r="L3806" t="str">
            <v>Judi Online</v>
          </cell>
          <cell r="M3806" t="str">
            <v xml:space="preserve">Kas Kanpus                              </v>
          </cell>
          <cell r="N3806" t="str">
            <v xml:space="preserve">Kas Kanpus                              </v>
          </cell>
          <cell r="O3806" t="str">
            <v xml:space="preserve">KAS KANPUS                              </v>
          </cell>
          <cell r="P3806" t="str">
            <v>Ya</v>
          </cell>
          <cell r="Q3806" t="str">
            <v>Ya</v>
          </cell>
          <cell r="R3806" t="str">
            <v>Done</v>
          </cell>
          <cell r="S3806" t="str">
            <v>Approved</v>
          </cell>
          <cell r="T3806" t="str">
            <v>90150130 - Intan Aida Pratiwi</v>
          </cell>
          <cell r="U3806" t="str">
            <v>"-"</v>
          </cell>
        </row>
        <row r="3807">
          <cell r="A3807">
            <v>46265</v>
          </cell>
          <cell r="B3807" t="str">
            <v xml:space="preserve">AAN NURKANAH                            </v>
          </cell>
          <cell r="C3807" t="str">
            <v>ADIQR41</v>
          </cell>
          <cell r="D3807">
            <v>119601001018561</v>
          </cell>
          <cell r="F3807" t="str">
            <v>Tidak</v>
          </cell>
          <cell r="G3807" t="str">
            <v>Tidak</v>
          </cell>
          <cell r="H3807" t="str">
            <v>Tidak</v>
          </cell>
          <cell r="I3807" t="str">
            <v>Bandar Judol Depo</v>
          </cell>
          <cell r="J3807">
            <v>35</v>
          </cell>
          <cell r="K3807" t="str">
            <v>86,74,87</v>
          </cell>
          <cell r="L3807" t="str">
            <v>Judi Online</v>
          </cell>
          <cell r="M3807" t="str">
            <v xml:space="preserve">Kas Kanpus                              </v>
          </cell>
          <cell r="N3807" t="str">
            <v xml:space="preserve">Kas Kanpus                              </v>
          </cell>
          <cell r="O3807" t="str">
            <v xml:space="preserve">KAS KANPUS                              </v>
          </cell>
          <cell r="P3807" t="str">
            <v>Ya</v>
          </cell>
          <cell r="Q3807" t="str">
            <v>Ya</v>
          </cell>
          <cell r="R3807" t="str">
            <v>Done</v>
          </cell>
          <cell r="S3807" t="str">
            <v>Approved</v>
          </cell>
          <cell r="T3807" t="str">
            <v>90171841 - Rifqi Aziz</v>
          </cell>
          <cell r="U3807" t="str">
            <v>"-"</v>
          </cell>
        </row>
        <row r="3808">
          <cell r="A3808">
            <v>46265</v>
          </cell>
          <cell r="B3808" t="str">
            <v xml:space="preserve">ALDY CAHYA DHINU ALKHOLIS               </v>
          </cell>
          <cell r="C3808" t="str">
            <v>ADGAW97</v>
          </cell>
          <cell r="D3808">
            <v>300401000020566</v>
          </cell>
          <cell r="F3808" t="str">
            <v>Tidak</v>
          </cell>
          <cell r="G3808" t="str">
            <v>Tidak</v>
          </cell>
          <cell r="H3808" t="str">
            <v>Tidak</v>
          </cell>
          <cell r="I3808" t="str">
            <v>Bandar Judol Withdrawal</v>
          </cell>
          <cell r="J3808">
            <v>35</v>
          </cell>
          <cell r="K3808" t="str">
            <v>86,88,87</v>
          </cell>
          <cell r="L3808" t="str">
            <v>Judi Online</v>
          </cell>
          <cell r="M3808" t="str">
            <v xml:space="preserve">Kas Kanpus                              </v>
          </cell>
          <cell r="N3808" t="str">
            <v xml:space="preserve">Kas Kanpus                              </v>
          </cell>
          <cell r="O3808" t="str">
            <v xml:space="preserve">KAS KANPUS                              </v>
          </cell>
          <cell r="P3808" t="str">
            <v>Tidak</v>
          </cell>
          <cell r="Q3808" t="str">
            <v>Ya</v>
          </cell>
          <cell r="R3808" t="str">
            <v>Done</v>
          </cell>
          <cell r="S3808" t="str">
            <v>Approved</v>
          </cell>
          <cell r="T3808" t="str">
            <v>00336949 - Mochammad Al Farabi</v>
          </cell>
          <cell r="U3808" t="str">
            <v>"-"</v>
          </cell>
        </row>
        <row r="3809">
          <cell r="A3809">
            <v>46265</v>
          </cell>
          <cell r="B3809" t="str">
            <v xml:space="preserve">ACHMAD R                                </v>
          </cell>
          <cell r="C3809" t="str">
            <v>ADGIX84</v>
          </cell>
          <cell r="D3809">
            <v>12001002456566</v>
          </cell>
          <cell r="F3809" t="str">
            <v>Tidak</v>
          </cell>
          <cell r="G3809" t="str">
            <v>Tidak</v>
          </cell>
          <cell r="H3809" t="str">
            <v>Tidak</v>
          </cell>
          <cell r="I3809" t="str">
            <v>Bandar Judol Withdrawal</v>
          </cell>
          <cell r="J3809">
            <v>35</v>
          </cell>
          <cell r="K3809" t="str">
            <v>86,88,87</v>
          </cell>
          <cell r="L3809" t="str">
            <v>Judi Online</v>
          </cell>
          <cell r="M3809" t="str">
            <v xml:space="preserve">Kas Kanpus                              </v>
          </cell>
          <cell r="N3809" t="str">
            <v xml:space="preserve">Kas Kanpus                              </v>
          </cell>
          <cell r="O3809" t="str">
            <v xml:space="preserve">KAS KANPUS                              </v>
          </cell>
          <cell r="P3809" t="str">
            <v>Ya</v>
          </cell>
          <cell r="Q3809" t="str">
            <v>Ya</v>
          </cell>
          <cell r="R3809" t="str">
            <v>Done</v>
          </cell>
          <cell r="S3809" t="str">
            <v>Approved</v>
          </cell>
          <cell r="T3809" t="str">
            <v>90171841 - Rifqi Aziz</v>
          </cell>
          <cell r="U3809" t="str">
            <v>"-"</v>
          </cell>
        </row>
        <row r="3810">
          <cell r="A3810">
            <v>46265</v>
          </cell>
          <cell r="B3810" t="str">
            <v xml:space="preserve">ADITIYA SYAHPUTRA                       </v>
          </cell>
          <cell r="C3810" t="str">
            <v>ADJUR88</v>
          </cell>
          <cell r="D3810">
            <v>529401007086502</v>
          </cell>
          <cell r="F3810" t="str">
            <v>Tidak</v>
          </cell>
          <cell r="G3810" t="str">
            <v>Tidak</v>
          </cell>
          <cell r="H3810" t="str">
            <v>Tidak</v>
          </cell>
          <cell r="I3810" t="str">
            <v>Bandar Judol Withdrawal</v>
          </cell>
          <cell r="J3810">
            <v>35</v>
          </cell>
          <cell r="K3810" t="str">
            <v>86,88,87</v>
          </cell>
          <cell r="L3810" t="str">
            <v>Judi Online</v>
          </cell>
          <cell r="M3810" t="str">
            <v xml:space="preserve">Kas Kanpus                              </v>
          </cell>
          <cell r="N3810" t="str">
            <v xml:space="preserve">Kas Kanpus                              </v>
          </cell>
          <cell r="O3810" t="str">
            <v xml:space="preserve">KAS KANPUS                              </v>
          </cell>
          <cell r="P3810" t="str">
            <v>Ya</v>
          </cell>
          <cell r="Q3810" t="str">
            <v>Ya</v>
          </cell>
          <cell r="R3810" t="str">
            <v>Done</v>
          </cell>
          <cell r="S3810" t="str">
            <v>Approved</v>
          </cell>
          <cell r="T3810" t="str">
            <v>00336949 - Mochammad Al Farabi</v>
          </cell>
          <cell r="U3810" t="str">
            <v>"-"</v>
          </cell>
        </row>
        <row r="3811">
          <cell r="A3811">
            <v>46265</v>
          </cell>
          <cell r="B3811" t="str">
            <v xml:space="preserve">ABDUL ROHMAN                            </v>
          </cell>
          <cell r="C3811" t="str">
            <v>ADJZM08</v>
          </cell>
          <cell r="D3811">
            <v>43701002749566</v>
          </cell>
          <cell r="F3811" t="str">
            <v>Tidak</v>
          </cell>
          <cell r="G3811" t="str">
            <v>Tidak</v>
          </cell>
          <cell r="H3811" t="str">
            <v>Tidak</v>
          </cell>
          <cell r="I3811" t="str">
            <v>Bandar Judol Depo</v>
          </cell>
          <cell r="J3811">
            <v>35</v>
          </cell>
          <cell r="K3811" t="str">
            <v>86,74,87</v>
          </cell>
          <cell r="L3811" t="str">
            <v>Judi Online</v>
          </cell>
          <cell r="M3811" t="str">
            <v xml:space="preserve">Kas Kanpus                              </v>
          </cell>
          <cell r="N3811" t="str">
            <v xml:space="preserve">Kas Kanpus                              </v>
          </cell>
          <cell r="O3811" t="str">
            <v xml:space="preserve">KAS KANPUS                              </v>
          </cell>
          <cell r="P3811" t="str">
            <v>Ya</v>
          </cell>
          <cell r="Q3811" t="str">
            <v>Ya</v>
          </cell>
          <cell r="R3811" t="str">
            <v>Done</v>
          </cell>
          <cell r="S3811" t="str">
            <v>Approved</v>
          </cell>
          <cell r="T3811" t="str">
            <v>90170665 - Mutiara Ayuningtyas</v>
          </cell>
          <cell r="U3811" t="str">
            <v>"-"</v>
          </cell>
        </row>
        <row r="3812">
          <cell r="A3812">
            <v>46265</v>
          </cell>
          <cell r="B3812" t="str">
            <v xml:space="preserve">ALDO HANDOKO                            </v>
          </cell>
          <cell r="C3812" t="str">
            <v>ADKJJ84</v>
          </cell>
          <cell r="D3812">
            <v>8601004184567</v>
          </cell>
          <cell r="F3812" t="str">
            <v>Tidak</v>
          </cell>
          <cell r="G3812" t="str">
            <v>Tidak</v>
          </cell>
          <cell r="H3812" t="str">
            <v>Tidak</v>
          </cell>
          <cell r="I3812" t="str">
            <v>Bandar Judol Depo</v>
          </cell>
          <cell r="J3812">
            <v>35</v>
          </cell>
          <cell r="K3812" t="str">
            <v>86,74,87</v>
          </cell>
          <cell r="L3812" t="str">
            <v>Judi Online</v>
          </cell>
          <cell r="M3812" t="str">
            <v xml:space="preserve">Kas Kanpus                              </v>
          </cell>
          <cell r="N3812" t="str">
            <v xml:space="preserve">Kas Kanpus                              </v>
          </cell>
          <cell r="O3812" t="str">
            <v xml:space="preserve">KAS KANPUS                              </v>
          </cell>
          <cell r="P3812" t="str">
            <v>Ya</v>
          </cell>
          <cell r="Q3812" t="str">
            <v>Tidak</v>
          </cell>
          <cell r="R3812" t="str">
            <v>Done</v>
          </cell>
          <cell r="S3812" t="str">
            <v>Approved</v>
          </cell>
          <cell r="T3812" t="str">
            <v>90186796 - Devito Arya Wiradila</v>
          </cell>
          <cell r="U3812" t="str">
            <v>"-"</v>
          </cell>
        </row>
        <row r="3813">
          <cell r="A3813">
            <v>46265</v>
          </cell>
          <cell r="B3813" t="str">
            <v xml:space="preserve">AHMAD SYAUQI FADHIL                     </v>
          </cell>
          <cell r="C3813" t="str">
            <v>ADKRM49</v>
          </cell>
          <cell r="D3813">
            <v>142701000055567</v>
          </cell>
          <cell r="F3813" t="str">
            <v>Tidak</v>
          </cell>
          <cell r="G3813" t="str">
            <v>Tidak</v>
          </cell>
          <cell r="H3813" t="str">
            <v>Tidak</v>
          </cell>
          <cell r="I3813" t="str">
            <v>Bandar Judol Withdrawal</v>
          </cell>
          <cell r="J3813">
            <v>35</v>
          </cell>
          <cell r="K3813" t="str">
            <v>86,88,87</v>
          </cell>
          <cell r="L3813" t="str">
            <v>Judi Online</v>
          </cell>
          <cell r="M3813" t="str">
            <v xml:space="preserve">Kas Kanpus                              </v>
          </cell>
          <cell r="N3813" t="str">
            <v xml:space="preserve">Kas Kanpus                              </v>
          </cell>
          <cell r="O3813" t="str">
            <v xml:space="preserve">KAS KANPUS                              </v>
          </cell>
          <cell r="P3813" t="str">
            <v>Ya</v>
          </cell>
          <cell r="Q3813" t="str">
            <v>Ya</v>
          </cell>
          <cell r="R3813" t="str">
            <v>Done</v>
          </cell>
          <cell r="S3813" t="str">
            <v>Approved</v>
          </cell>
          <cell r="T3813" t="str">
            <v>00394521 - Muhammad Hibbanduta</v>
          </cell>
          <cell r="U3813" t="str">
            <v>"-"</v>
          </cell>
        </row>
        <row r="3814">
          <cell r="A3814">
            <v>46265</v>
          </cell>
          <cell r="B3814" t="str">
            <v xml:space="preserve">ABDULLAH SURYA FADILAH                  </v>
          </cell>
          <cell r="C3814" t="str">
            <v>ADLDX65</v>
          </cell>
          <cell r="D3814">
            <v>90901021013501</v>
          </cell>
          <cell r="F3814" t="str">
            <v>Tidak</v>
          </cell>
          <cell r="G3814" t="str">
            <v>Tidak</v>
          </cell>
          <cell r="H3814" t="str">
            <v>Tidak</v>
          </cell>
          <cell r="I3814" t="str">
            <v>Bandar Judol Withdrawal</v>
          </cell>
          <cell r="J3814">
            <v>35</v>
          </cell>
          <cell r="K3814" t="str">
            <v>86,88,87</v>
          </cell>
          <cell r="L3814" t="str">
            <v>Judi Online</v>
          </cell>
          <cell r="M3814" t="str">
            <v xml:space="preserve">Kas Kanpus                              </v>
          </cell>
          <cell r="N3814" t="str">
            <v xml:space="preserve">Kas Kanpus                              </v>
          </cell>
          <cell r="O3814" t="str">
            <v xml:space="preserve">KAS KANPUS                              </v>
          </cell>
          <cell r="P3814" t="str">
            <v>Ya</v>
          </cell>
          <cell r="Q3814" t="str">
            <v>Ya</v>
          </cell>
          <cell r="R3814" t="str">
            <v>Done</v>
          </cell>
          <cell r="S3814" t="str">
            <v>Approved</v>
          </cell>
          <cell r="T3814" t="str">
            <v>90171841 - Rifqi Aziz</v>
          </cell>
          <cell r="U3814" t="str">
            <v>"-"</v>
          </cell>
        </row>
        <row r="3815">
          <cell r="A3815">
            <v>46265</v>
          </cell>
          <cell r="B3815" t="str">
            <v xml:space="preserve">ASEP NURHIDAYAT                         </v>
          </cell>
          <cell r="C3815" t="str">
            <v>ADNT202</v>
          </cell>
          <cell r="D3815">
            <v>412501013389506</v>
          </cell>
          <cell r="E3815" t="str">
            <v>SEDANG</v>
          </cell>
          <cell r="F3815" t="str">
            <v>Ya</v>
          </cell>
          <cell r="G3815" t="str">
            <v>Tidak</v>
          </cell>
          <cell r="H3815" t="str">
            <v>Tidak</v>
          </cell>
          <cell r="I3815" t="str">
            <v>Bandar Judol Depo</v>
          </cell>
          <cell r="J3815">
            <v>50</v>
          </cell>
          <cell r="K3815" t="str">
            <v>86,74,87</v>
          </cell>
          <cell r="L3815" t="str">
            <v>Judi Online</v>
          </cell>
          <cell r="M3815" t="str">
            <v xml:space="preserve">Kas Kanpus                              </v>
          </cell>
          <cell r="N3815" t="str">
            <v xml:space="preserve">Kas Kanpus                              </v>
          </cell>
          <cell r="O3815" t="str">
            <v xml:space="preserve">KAS KANPUS                              </v>
          </cell>
          <cell r="P3815" t="str">
            <v>Tidak</v>
          </cell>
          <cell r="Q3815" t="str">
            <v>Tidak</v>
          </cell>
          <cell r="R3815" t="str">
            <v>Done</v>
          </cell>
          <cell r="S3815" t="str">
            <v>Approved</v>
          </cell>
          <cell r="T3815" t="str">
            <v>90186796 - Devito Arya Wiradila</v>
          </cell>
          <cell r="U3815" t="str">
            <v>"-"</v>
          </cell>
        </row>
        <row r="3816">
          <cell r="A3816">
            <v>46265</v>
          </cell>
          <cell r="B3816" t="str">
            <v xml:space="preserve">ANGGA GUNAWAN GINTING                   </v>
          </cell>
          <cell r="C3816" t="str">
            <v>ADRIV43</v>
          </cell>
          <cell r="D3816">
            <v>526401032882534</v>
          </cell>
          <cell r="F3816" t="str">
            <v>Tidak</v>
          </cell>
          <cell r="G3816" t="str">
            <v>Tidak</v>
          </cell>
          <cell r="H3816" t="str">
            <v>Tidak</v>
          </cell>
          <cell r="I3816" t="str">
            <v>Bandar Judol Depo</v>
          </cell>
          <cell r="J3816">
            <v>35</v>
          </cell>
          <cell r="K3816" t="str">
            <v>86,74,87</v>
          </cell>
          <cell r="L3816" t="str">
            <v>Judi Online</v>
          </cell>
          <cell r="M3816" t="str">
            <v xml:space="preserve">Kas Kanpus                              </v>
          </cell>
          <cell r="N3816" t="str">
            <v xml:space="preserve">Kas Kanpus                              </v>
          </cell>
          <cell r="O3816" t="str">
            <v xml:space="preserve">KAS KANPUS                              </v>
          </cell>
          <cell r="P3816" t="str">
            <v>Ya</v>
          </cell>
          <cell r="Q3816" t="str">
            <v>Ya</v>
          </cell>
          <cell r="R3816" t="str">
            <v>Done</v>
          </cell>
          <cell r="S3816" t="str">
            <v>Approved</v>
          </cell>
          <cell r="T3816" t="str">
            <v>90186796 - Devito Arya Wiradila</v>
          </cell>
          <cell r="U3816" t="str">
            <v>"-"</v>
          </cell>
        </row>
        <row r="3817">
          <cell r="A3817">
            <v>46265</v>
          </cell>
          <cell r="B3817" t="str">
            <v xml:space="preserve">ASNANTO                                 </v>
          </cell>
          <cell r="C3817" t="str">
            <v>ADTTG17</v>
          </cell>
          <cell r="D3817">
            <v>173101008556502</v>
          </cell>
          <cell r="F3817" t="str">
            <v>Tidak</v>
          </cell>
          <cell r="G3817" t="str">
            <v>Tidak</v>
          </cell>
          <cell r="H3817" t="str">
            <v>Tidak</v>
          </cell>
          <cell r="I3817" t="str">
            <v>Bandar Judol Withdrawal</v>
          </cell>
          <cell r="J3817">
            <v>35</v>
          </cell>
          <cell r="K3817" t="str">
            <v>86,88,87</v>
          </cell>
          <cell r="L3817" t="str">
            <v>Judi Online</v>
          </cell>
          <cell r="M3817" t="str">
            <v xml:space="preserve">Kas Kanpus                              </v>
          </cell>
          <cell r="N3817" t="str">
            <v xml:space="preserve">Kas Kanpus                              </v>
          </cell>
          <cell r="O3817" t="str">
            <v xml:space="preserve">KAS KANPUS                              </v>
          </cell>
          <cell r="P3817" t="str">
            <v>Tidak</v>
          </cell>
          <cell r="Q3817" t="str">
            <v>Ya</v>
          </cell>
          <cell r="R3817" t="str">
            <v>Done</v>
          </cell>
          <cell r="S3817" t="str">
            <v>Approved</v>
          </cell>
          <cell r="T3817" t="str">
            <v>90185538 - Muhammad Fahikal Auz</v>
          </cell>
          <cell r="U3817" t="str">
            <v>"-"</v>
          </cell>
        </row>
        <row r="3818">
          <cell r="A3818">
            <v>46265</v>
          </cell>
          <cell r="B3818" t="str">
            <v xml:space="preserve">AZHARI                                  </v>
          </cell>
          <cell r="C3818" t="str">
            <v>ADTXS60</v>
          </cell>
          <cell r="D3818">
            <v>36701004470562</v>
          </cell>
          <cell r="F3818" t="str">
            <v>Tidak</v>
          </cell>
          <cell r="G3818" t="str">
            <v>Tidak</v>
          </cell>
          <cell r="H3818" t="str">
            <v>Tidak</v>
          </cell>
          <cell r="I3818" t="str">
            <v>Bandar Judol Depo</v>
          </cell>
          <cell r="J3818">
            <v>35</v>
          </cell>
          <cell r="K3818" t="str">
            <v>86,74,87</v>
          </cell>
          <cell r="L3818" t="str">
            <v>Judi Online</v>
          </cell>
          <cell r="M3818" t="str">
            <v xml:space="preserve">Kas Kanpus                              </v>
          </cell>
          <cell r="N3818" t="str">
            <v xml:space="preserve">Kas Kanpus                              </v>
          </cell>
          <cell r="O3818" t="str">
            <v xml:space="preserve">KAS KANPUS                              </v>
          </cell>
          <cell r="P3818" t="str">
            <v>Ya</v>
          </cell>
          <cell r="Q3818" t="str">
            <v>Ya</v>
          </cell>
          <cell r="R3818" t="str">
            <v>Done</v>
          </cell>
          <cell r="S3818" t="str">
            <v>Approved</v>
          </cell>
          <cell r="T3818" t="str">
            <v>90185538 - Muhammad Fahikal Auz</v>
          </cell>
          <cell r="U3818" t="str">
            <v>"-"</v>
          </cell>
        </row>
        <row r="3819">
          <cell r="A3819">
            <v>46265</v>
          </cell>
          <cell r="B3819" t="str">
            <v xml:space="preserve">AGUS SETIAWAN                           </v>
          </cell>
          <cell r="C3819" t="str">
            <v>ADTXV15</v>
          </cell>
          <cell r="D3819">
            <v>207201018450507</v>
          </cell>
          <cell r="F3819" t="str">
            <v>Tidak</v>
          </cell>
          <cell r="G3819" t="str">
            <v>Tidak</v>
          </cell>
          <cell r="H3819" t="str">
            <v>Tidak</v>
          </cell>
          <cell r="I3819" t="str">
            <v>Bandar Judol Withdrawal</v>
          </cell>
          <cell r="J3819">
            <v>35</v>
          </cell>
          <cell r="K3819" t="str">
            <v>86,88,87</v>
          </cell>
          <cell r="L3819" t="str">
            <v>Judi Online</v>
          </cell>
          <cell r="M3819" t="str">
            <v xml:space="preserve">Kas Kanpus                              </v>
          </cell>
          <cell r="N3819" t="str">
            <v xml:space="preserve">Kas Kanpus                              </v>
          </cell>
          <cell r="O3819" t="str">
            <v xml:space="preserve">KAS KANPUS                              </v>
          </cell>
          <cell r="P3819" t="str">
            <v>Ya</v>
          </cell>
          <cell r="Q3819" t="str">
            <v>Ya</v>
          </cell>
          <cell r="R3819" t="str">
            <v>Done</v>
          </cell>
          <cell r="S3819" t="str">
            <v>Approved</v>
          </cell>
          <cell r="T3819" t="str">
            <v>00394520 - Frida Akbar Rani</v>
          </cell>
          <cell r="U3819" t="str">
            <v>"-"</v>
          </cell>
        </row>
        <row r="3820">
          <cell r="A3820">
            <v>46265</v>
          </cell>
          <cell r="B3820" t="str">
            <v xml:space="preserve">ACHMAD TAUFIQ RAMADHAN                  </v>
          </cell>
          <cell r="C3820" t="str">
            <v>ADUAW42</v>
          </cell>
          <cell r="D3820">
            <v>82601006152504</v>
          </cell>
          <cell r="F3820" t="str">
            <v>Tidak</v>
          </cell>
          <cell r="G3820" t="str">
            <v>Tidak</v>
          </cell>
          <cell r="H3820" t="str">
            <v>Tidak</v>
          </cell>
          <cell r="I3820" t="str">
            <v>Bandar Judol Withdrawal</v>
          </cell>
          <cell r="J3820">
            <v>35</v>
          </cell>
          <cell r="K3820" t="str">
            <v>86,88,87</v>
          </cell>
          <cell r="L3820" t="str">
            <v>Judi Online</v>
          </cell>
          <cell r="M3820" t="str">
            <v xml:space="preserve">Kas Kanpus                              </v>
          </cell>
          <cell r="N3820" t="str">
            <v xml:space="preserve">Kas Kanpus                              </v>
          </cell>
          <cell r="O3820" t="str">
            <v xml:space="preserve">KAS KANPUS                              </v>
          </cell>
          <cell r="P3820" t="str">
            <v>Ya</v>
          </cell>
          <cell r="Q3820" t="str">
            <v>Ya</v>
          </cell>
          <cell r="R3820" t="str">
            <v>Done</v>
          </cell>
          <cell r="S3820" t="str">
            <v>Approved</v>
          </cell>
          <cell r="T3820" t="str">
            <v>90185537 - Moh.Khoerul Fajar Ar</v>
          </cell>
          <cell r="U3820" t="str">
            <v>"-"</v>
          </cell>
        </row>
        <row r="3821">
          <cell r="A3821">
            <v>46265</v>
          </cell>
          <cell r="B3821" t="str">
            <v xml:space="preserve">AGUS SYAHPUTRA                          </v>
          </cell>
          <cell r="C3821" t="str">
            <v>ADUCX54</v>
          </cell>
          <cell r="D3821">
            <v>69401034536509</v>
          </cell>
          <cell r="F3821" t="str">
            <v>Tidak</v>
          </cell>
          <cell r="G3821" t="str">
            <v>Tidak</v>
          </cell>
          <cell r="H3821" t="str">
            <v>Tidak</v>
          </cell>
          <cell r="I3821" t="str">
            <v>Bandar Judol Withdrawal</v>
          </cell>
          <cell r="J3821">
            <v>35</v>
          </cell>
          <cell r="K3821" t="str">
            <v>86,88,87</v>
          </cell>
          <cell r="L3821" t="str">
            <v>Judi Online</v>
          </cell>
          <cell r="M3821" t="str">
            <v xml:space="preserve">Kas Kanpus                              </v>
          </cell>
          <cell r="N3821" t="str">
            <v xml:space="preserve">Kas Kanpus                              </v>
          </cell>
          <cell r="O3821" t="str">
            <v xml:space="preserve">KAS KANPUS                              </v>
          </cell>
          <cell r="P3821" t="str">
            <v>Ya</v>
          </cell>
          <cell r="Q3821" t="str">
            <v>Ya</v>
          </cell>
          <cell r="R3821" t="str">
            <v>Done</v>
          </cell>
          <cell r="S3821" t="str">
            <v>Approved</v>
          </cell>
          <cell r="T3821" t="str">
            <v>90170665 - Mutiara Ayuningtyas</v>
          </cell>
          <cell r="U3821" t="str">
            <v>"-"</v>
          </cell>
        </row>
        <row r="3822">
          <cell r="A3822">
            <v>46265</v>
          </cell>
          <cell r="B3822" t="str">
            <v xml:space="preserve">AHMAD JAUHARI                           </v>
          </cell>
          <cell r="C3822" t="str">
            <v>ADWPY52</v>
          </cell>
          <cell r="D3822">
            <v>150701008332509</v>
          </cell>
          <cell r="F3822" t="str">
            <v>Tidak</v>
          </cell>
          <cell r="G3822" t="str">
            <v>Tidak</v>
          </cell>
          <cell r="H3822" t="str">
            <v>Tidak</v>
          </cell>
          <cell r="I3822" t="str">
            <v>Bandar Judol Withdrawal</v>
          </cell>
          <cell r="J3822">
            <v>35</v>
          </cell>
          <cell r="K3822" t="str">
            <v>86,88,87</v>
          </cell>
          <cell r="L3822" t="str">
            <v>Judi Online</v>
          </cell>
          <cell r="M3822" t="str">
            <v xml:space="preserve">Kas Kanpus                              </v>
          </cell>
          <cell r="N3822" t="str">
            <v xml:space="preserve">Kas Kanpus                              </v>
          </cell>
          <cell r="O3822" t="str">
            <v xml:space="preserve">KAS KANPUS                              </v>
          </cell>
          <cell r="P3822" t="str">
            <v>Tidak</v>
          </cell>
          <cell r="Q3822" t="str">
            <v>Ya</v>
          </cell>
          <cell r="R3822" t="str">
            <v>Done</v>
          </cell>
          <cell r="S3822" t="str">
            <v>Approved</v>
          </cell>
          <cell r="T3822" t="str">
            <v>00394520 - Frida Akbar Rani</v>
          </cell>
          <cell r="U3822" t="str">
            <v>"-"</v>
          </cell>
        </row>
        <row r="3823">
          <cell r="A3823">
            <v>46265</v>
          </cell>
          <cell r="B3823" t="str">
            <v xml:space="preserve">ANDHIKA DWI PUTRA                       </v>
          </cell>
          <cell r="C3823" t="str">
            <v>ADWWU16</v>
          </cell>
          <cell r="D3823">
            <v>113301001035563</v>
          </cell>
          <cell r="F3823" t="str">
            <v>Tidak</v>
          </cell>
          <cell r="G3823" t="str">
            <v>Tidak</v>
          </cell>
          <cell r="H3823" t="str">
            <v>Tidak</v>
          </cell>
          <cell r="I3823" t="str">
            <v>Bandar Judol Withdrawal</v>
          </cell>
          <cell r="J3823">
            <v>35</v>
          </cell>
          <cell r="K3823" t="str">
            <v>86,88,87</v>
          </cell>
          <cell r="L3823" t="str">
            <v>Judi Online</v>
          </cell>
          <cell r="M3823" t="str">
            <v xml:space="preserve">Kas Kanpus                              </v>
          </cell>
          <cell r="N3823" t="str">
            <v xml:space="preserve">Kas Kanpus                              </v>
          </cell>
          <cell r="O3823" t="str">
            <v xml:space="preserve">KAS KANPUS                              </v>
          </cell>
          <cell r="P3823" t="str">
            <v>Ya</v>
          </cell>
          <cell r="Q3823" t="str">
            <v>Ya</v>
          </cell>
          <cell r="R3823" t="str">
            <v>Done</v>
          </cell>
          <cell r="S3823" t="str">
            <v>Approved</v>
          </cell>
          <cell r="T3823" t="str">
            <v>90170665 - Mutiara Ayuningtyas</v>
          </cell>
          <cell r="U3823" t="str">
            <v>"-"</v>
          </cell>
        </row>
        <row r="3824">
          <cell r="A3824">
            <v>46265</v>
          </cell>
          <cell r="B3824" t="str">
            <v xml:space="preserve">ALYCIA AZKA NAZHARA                     </v>
          </cell>
          <cell r="C3824" t="str">
            <v>ADXJW99</v>
          </cell>
          <cell r="D3824">
            <v>112701077444507</v>
          </cell>
          <cell r="F3824" t="str">
            <v>Tidak</v>
          </cell>
          <cell r="G3824" t="str">
            <v>Tidak</v>
          </cell>
          <cell r="H3824" t="str">
            <v>Tidak</v>
          </cell>
          <cell r="I3824" t="str">
            <v>Bandar Judol Depo</v>
          </cell>
          <cell r="J3824">
            <v>35</v>
          </cell>
          <cell r="K3824" t="str">
            <v>86,74,87</v>
          </cell>
          <cell r="L3824" t="str">
            <v>Judi Online</v>
          </cell>
          <cell r="M3824" t="str">
            <v xml:space="preserve">Kas Kanpus                              </v>
          </cell>
          <cell r="N3824" t="str">
            <v xml:space="preserve">Kas Kanpus                              </v>
          </cell>
          <cell r="O3824" t="str">
            <v xml:space="preserve">KAS KANPUS                              </v>
          </cell>
          <cell r="P3824" t="str">
            <v>Ya</v>
          </cell>
          <cell r="Q3824" t="str">
            <v>Ya</v>
          </cell>
          <cell r="R3824" t="str">
            <v>Done</v>
          </cell>
          <cell r="S3824" t="str">
            <v>Approved</v>
          </cell>
          <cell r="T3824" t="str">
            <v>90185538 - Muhammad Fahikal Auz</v>
          </cell>
          <cell r="U3824" t="str">
            <v>"-"</v>
          </cell>
        </row>
        <row r="3825">
          <cell r="A3825">
            <v>46265</v>
          </cell>
          <cell r="B3825" t="str">
            <v xml:space="preserve">AHMAD SHOLIHIN                          </v>
          </cell>
          <cell r="C3825" t="str">
            <v>ADXKP22</v>
          </cell>
          <cell r="D3825">
            <v>714401016767502</v>
          </cell>
          <cell r="F3825" t="str">
            <v>Tidak</v>
          </cell>
          <cell r="G3825" t="str">
            <v>Tidak</v>
          </cell>
          <cell r="H3825" t="str">
            <v>Tidak</v>
          </cell>
          <cell r="I3825" t="str">
            <v>Bandar Judol Withdrawal</v>
          </cell>
          <cell r="J3825">
            <v>35</v>
          </cell>
          <cell r="K3825" t="str">
            <v>86,88,87</v>
          </cell>
          <cell r="L3825" t="str">
            <v>Judi Online</v>
          </cell>
          <cell r="M3825" t="str">
            <v xml:space="preserve">Kas Kanpus                              </v>
          </cell>
          <cell r="N3825" t="str">
            <v xml:space="preserve">Kas Kanpus                              </v>
          </cell>
          <cell r="O3825" t="str">
            <v xml:space="preserve">KAS KANPUS                              </v>
          </cell>
          <cell r="P3825" t="str">
            <v>Ya</v>
          </cell>
          <cell r="Q3825" t="str">
            <v>Ya</v>
          </cell>
          <cell r="R3825" t="str">
            <v>Done</v>
          </cell>
          <cell r="S3825" t="str">
            <v>Approved</v>
          </cell>
          <cell r="T3825" t="str">
            <v>00394520 - Frida Akbar Rani</v>
          </cell>
          <cell r="U3825" t="str">
            <v>"-"</v>
          </cell>
        </row>
        <row r="3826">
          <cell r="A3826">
            <v>46265</v>
          </cell>
          <cell r="B3826" t="str">
            <v xml:space="preserve">AMSAL PULUNGAN                          </v>
          </cell>
          <cell r="C3826" t="str">
            <v>ADXDP29</v>
          </cell>
          <cell r="D3826">
            <v>529401007505506</v>
          </cell>
          <cell r="F3826" t="str">
            <v>Tidak</v>
          </cell>
          <cell r="G3826" t="str">
            <v>Tidak</v>
          </cell>
          <cell r="H3826" t="str">
            <v>Tidak</v>
          </cell>
          <cell r="I3826" t="str">
            <v>Bandar Judol Depo</v>
          </cell>
          <cell r="J3826">
            <v>35</v>
          </cell>
          <cell r="K3826" t="str">
            <v>86,74,87</v>
          </cell>
          <cell r="L3826" t="str">
            <v>Judi Online</v>
          </cell>
          <cell r="M3826" t="str">
            <v xml:space="preserve">Kas Kanpus                              </v>
          </cell>
          <cell r="N3826" t="str">
            <v xml:space="preserve">Kas Kanpus                              </v>
          </cell>
          <cell r="O3826" t="str">
            <v xml:space="preserve">KAS KANPUS                              </v>
          </cell>
          <cell r="P3826" t="str">
            <v>Ya</v>
          </cell>
          <cell r="Q3826" t="str">
            <v>Ya</v>
          </cell>
          <cell r="R3826" t="str">
            <v>Done</v>
          </cell>
          <cell r="S3826" t="str">
            <v>Approved</v>
          </cell>
          <cell r="T3826" t="str">
            <v>90185538 - Muhammad Fahikal Auz</v>
          </cell>
          <cell r="U3826" t="str">
            <v>"-"</v>
          </cell>
        </row>
        <row r="3827">
          <cell r="A3827">
            <v>46265</v>
          </cell>
          <cell r="B3827" t="str">
            <v xml:space="preserve">AGUS ENDAR                              </v>
          </cell>
          <cell r="C3827" t="str">
            <v>ADXFD66</v>
          </cell>
          <cell r="D3827">
            <v>1901116827507</v>
          </cell>
          <cell r="F3827" t="str">
            <v>Tidak</v>
          </cell>
          <cell r="G3827" t="str">
            <v>Tidak</v>
          </cell>
          <cell r="H3827" t="str">
            <v>Tidak</v>
          </cell>
          <cell r="I3827" t="str">
            <v>Bandar Judol Withdrawal</v>
          </cell>
          <cell r="J3827">
            <v>35</v>
          </cell>
          <cell r="K3827" t="str">
            <v>86,88,87</v>
          </cell>
          <cell r="L3827" t="str">
            <v>Judi Online</v>
          </cell>
          <cell r="M3827" t="str">
            <v xml:space="preserve">Kas Kanpus                              </v>
          </cell>
          <cell r="N3827" t="str">
            <v xml:space="preserve">Kas Kanpus                              </v>
          </cell>
          <cell r="O3827" t="str">
            <v xml:space="preserve">KAS KANPUS                              </v>
          </cell>
          <cell r="P3827" t="str">
            <v>Ya</v>
          </cell>
          <cell r="Q3827" t="str">
            <v>Ya</v>
          </cell>
          <cell r="R3827" t="str">
            <v>Done</v>
          </cell>
          <cell r="S3827" t="str">
            <v>Approved</v>
          </cell>
          <cell r="T3827" t="str">
            <v>90185537 - Moh.Khoerul Fajar Ar</v>
          </cell>
          <cell r="U3827" t="str">
            <v>"-"</v>
          </cell>
        </row>
        <row r="3828">
          <cell r="A3828">
            <v>46265</v>
          </cell>
          <cell r="B3828" t="str">
            <v xml:space="preserve">AZI SAMROZI                             </v>
          </cell>
          <cell r="C3828" t="str">
            <v>ADXNI06</v>
          </cell>
          <cell r="D3828">
            <v>385401006231504</v>
          </cell>
          <cell r="F3828" t="str">
            <v>Tidak</v>
          </cell>
          <cell r="G3828" t="str">
            <v>Tidak</v>
          </cell>
          <cell r="H3828" t="str">
            <v>Tidak</v>
          </cell>
          <cell r="I3828" t="str">
            <v>Bandar Judol Withdrawal</v>
          </cell>
          <cell r="J3828">
            <v>35</v>
          </cell>
          <cell r="K3828" t="str">
            <v>86,88,87</v>
          </cell>
          <cell r="L3828" t="str">
            <v>Judi Online</v>
          </cell>
          <cell r="M3828" t="str">
            <v xml:space="preserve">Kas Kanpus                              </v>
          </cell>
          <cell r="N3828" t="str">
            <v xml:space="preserve">Kas Kanpus                              </v>
          </cell>
          <cell r="O3828" t="str">
            <v xml:space="preserve">KAS KANPUS                              </v>
          </cell>
          <cell r="P3828" t="str">
            <v>Ya</v>
          </cell>
          <cell r="Q3828" t="str">
            <v>Ya</v>
          </cell>
          <cell r="R3828" t="str">
            <v>Done</v>
          </cell>
          <cell r="S3828" t="str">
            <v>Approved</v>
          </cell>
          <cell r="T3828" t="str">
            <v>90186790 - Muhammad Alfin Farha</v>
          </cell>
          <cell r="U3828" t="str">
            <v>"-"</v>
          </cell>
        </row>
        <row r="3829">
          <cell r="A3829">
            <v>46265</v>
          </cell>
          <cell r="B3829" t="str">
            <v xml:space="preserve">AMANDA PUTRI ANGELINA                   </v>
          </cell>
          <cell r="C3829" t="str">
            <v>ADXNT38</v>
          </cell>
          <cell r="D3829">
            <v>224201009447506</v>
          </cell>
          <cell r="F3829" t="str">
            <v>Tidak</v>
          </cell>
          <cell r="G3829" t="str">
            <v>Tidak</v>
          </cell>
          <cell r="H3829" t="str">
            <v>Tidak</v>
          </cell>
          <cell r="I3829" t="str">
            <v>Bandar Judol Withdrawal</v>
          </cell>
          <cell r="J3829">
            <v>35</v>
          </cell>
          <cell r="K3829" t="str">
            <v>86,88,87</v>
          </cell>
          <cell r="L3829" t="str">
            <v>Judi Online</v>
          </cell>
          <cell r="M3829" t="str">
            <v xml:space="preserve">Kas Kanpus                              </v>
          </cell>
          <cell r="N3829" t="str">
            <v xml:space="preserve">Kas Kanpus                              </v>
          </cell>
          <cell r="O3829" t="str">
            <v xml:space="preserve">KAS KANPUS                              </v>
          </cell>
          <cell r="P3829" t="str">
            <v>Ya</v>
          </cell>
          <cell r="Q3829" t="str">
            <v>Ya</v>
          </cell>
          <cell r="R3829" t="str">
            <v>Done</v>
          </cell>
          <cell r="S3829" t="str">
            <v>Approved</v>
          </cell>
          <cell r="T3829" t="str">
            <v>90185537 - Moh.Khoerul Fajar Ar</v>
          </cell>
          <cell r="U3829" t="str">
            <v>"-"</v>
          </cell>
        </row>
        <row r="3830">
          <cell r="A3830">
            <v>46265</v>
          </cell>
          <cell r="B3830" t="str">
            <v xml:space="preserve">ANDIKA SAPUTRA                          </v>
          </cell>
          <cell r="C3830" t="str">
            <v>ADXSX71</v>
          </cell>
          <cell r="D3830">
            <v>63801001024565</v>
          </cell>
          <cell r="F3830" t="str">
            <v>Tidak</v>
          </cell>
          <cell r="G3830" t="str">
            <v>Tidak</v>
          </cell>
          <cell r="H3830" t="str">
            <v>Tidak</v>
          </cell>
          <cell r="I3830" t="str">
            <v>Bandar Judol Withdrawal</v>
          </cell>
          <cell r="J3830">
            <v>35</v>
          </cell>
          <cell r="K3830" t="str">
            <v>86,88,87</v>
          </cell>
          <cell r="L3830" t="str">
            <v>Judi Online</v>
          </cell>
          <cell r="M3830" t="str">
            <v xml:space="preserve">Kas Kanpus                              </v>
          </cell>
          <cell r="N3830" t="str">
            <v xml:space="preserve">Kas Kanpus                              </v>
          </cell>
          <cell r="O3830" t="str">
            <v xml:space="preserve">KAS KANPUS                              </v>
          </cell>
          <cell r="P3830" t="str">
            <v>Ya</v>
          </cell>
          <cell r="Q3830" t="str">
            <v>Ya</v>
          </cell>
          <cell r="R3830" t="str">
            <v>Done</v>
          </cell>
          <cell r="S3830" t="str">
            <v>Approved</v>
          </cell>
          <cell r="T3830" t="str">
            <v>90185537 - Moh.Khoerul Fajar Ar</v>
          </cell>
          <cell r="U3830" t="str">
            <v>"-"</v>
          </cell>
        </row>
        <row r="3831">
          <cell r="A3831">
            <v>46265</v>
          </cell>
          <cell r="B3831" t="str">
            <v xml:space="preserve">AGUS KURNIAWAN                          </v>
          </cell>
          <cell r="C3831" t="str">
            <v>ADXXX79</v>
          </cell>
          <cell r="D3831">
            <v>375701018865505</v>
          </cell>
          <cell r="F3831" t="str">
            <v>Tidak</v>
          </cell>
          <cell r="G3831" t="str">
            <v>Tidak</v>
          </cell>
          <cell r="H3831" t="str">
            <v>Tidak</v>
          </cell>
          <cell r="I3831" t="str">
            <v>Bandar Judol Withdrawal</v>
          </cell>
          <cell r="J3831">
            <v>35</v>
          </cell>
          <cell r="K3831" t="str">
            <v>86,88,87</v>
          </cell>
          <cell r="L3831" t="str">
            <v>Judi Online</v>
          </cell>
          <cell r="M3831" t="str">
            <v xml:space="preserve">Kas Kanpus                              </v>
          </cell>
          <cell r="N3831" t="str">
            <v xml:space="preserve">Kas Kanpus                              </v>
          </cell>
          <cell r="O3831" t="str">
            <v xml:space="preserve">KAS KANPUS                              </v>
          </cell>
          <cell r="P3831" t="str">
            <v>Tidak</v>
          </cell>
          <cell r="Q3831" t="str">
            <v>Ya</v>
          </cell>
          <cell r="R3831" t="str">
            <v>Done</v>
          </cell>
          <cell r="S3831" t="str">
            <v>Approved</v>
          </cell>
          <cell r="T3831" t="str">
            <v>90171841 - Rifqi Aziz</v>
          </cell>
          <cell r="U3831" t="str">
            <v>"-"</v>
          </cell>
        </row>
        <row r="3832">
          <cell r="A3832">
            <v>46265</v>
          </cell>
          <cell r="B3832" t="str">
            <v xml:space="preserve">ARI WINATA                              </v>
          </cell>
          <cell r="C3832" t="str">
            <v>ADXPA12</v>
          </cell>
          <cell r="D3832">
            <v>39901053363507</v>
          </cell>
          <cell r="F3832" t="str">
            <v>Tidak</v>
          </cell>
          <cell r="G3832" t="str">
            <v>Tidak</v>
          </cell>
          <cell r="H3832" t="str">
            <v>Tidak</v>
          </cell>
          <cell r="I3832" t="str">
            <v>Bandar Judol Withdrawal</v>
          </cell>
          <cell r="J3832">
            <v>35</v>
          </cell>
          <cell r="K3832" t="str">
            <v>86,88,87</v>
          </cell>
          <cell r="L3832" t="str">
            <v>Judi Online</v>
          </cell>
          <cell r="M3832" t="str">
            <v xml:space="preserve">Kas Kanpus                              </v>
          </cell>
          <cell r="N3832" t="str">
            <v xml:space="preserve">Kas Kanpus                              </v>
          </cell>
          <cell r="O3832" t="str">
            <v xml:space="preserve">KAS KANPUS                              </v>
          </cell>
          <cell r="P3832" t="str">
            <v>Ya</v>
          </cell>
          <cell r="Q3832" t="str">
            <v>Tidak</v>
          </cell>
          <cell r="R3832" t="str">
            <v>Done</v>
          </cell>
          <cell r="S3832" t="str">
            <v>Approved</v>
          </cell>
          <cell r="T3832" t="str">
            <v>90186796 - Devito Arya Wiradila</v>
          </cell>
          <cell r="U3832" t="str">
            <v>"-"</v>
          </cell>
        </row>
        <row r="3833">
          <cell r="A3833">
            <v>46265</v>
          </cell>
          <cell r="B3833" t="str">
            <v xml:space="preserve">ABDI ALAMSYAH                           </v>
          </cell>
          <cell r="C3833" t="str">
            <v>AEDDB36</v>
          </cell>
          <cell r="D3833">
            <v>332801005476506</v>
          </cell>
          <cell r="F3833" t="str">
            <v>Tidak</v>
          </cell>
          <cell r="G3833" t="str">
            <v>Tidak</v>
          </cell>
          <cell r="H3833" t="str">
            <v>Tidak</v>
          </cell>
          <cell r="I3833" t="str">
            <v>Bandar Judol Withdrawal</v>
          </cell>
          <cell r="J3833">
            <v>35</v>
          </cell>
          <cell r="K3833" t="str">
            <v>86,88,87</v>
          </cell>
          <cell r="L3833" t="str">
            <v>Judi Online</v>
          </cell>
          <cell r="M3833" t="str">
            <v xml:space="preserve">Kas Kanpus                              </v>
          </cell>
          <cell r="N3833" t="str">
            <v xml:space="preserve">Kas Kanpus                              </v>
          </cell>
          <cell r="O3833" t="str">
            <v xml:space="preserve">KAS KANPUS                              </v>
          </cell>
          <cell r="P3833" t="str">
            <v>Ya</v>
          </cell>
          <cell r="Q3833" t="str">
            <v>Ya</v>
          </cell>
          <cell r="R3833" t="str">
            <v>Done</v>
          </cell>
          <cell r="S3833" t="str">
            <v>Approved</v>
          </cell>
          <cell r="T3833" t="str">
            <v>90170665 - Mutiara Ayuningtyas</v>
          </cell>
          <cell r="U3833" t="str">
            <v>"-"</v>
          </cell>
        </row>
        <row r="3834">
          <cell r="A3834">
            <v>46265</v>
          </cell>
          <cell r="B3834" t="str">
            <v xml:space="preserve">AMEL SULISTIAWATI                       </v>
          </cell>
          <cell r="C3834" t="str">
            <v>AEDHB45</v>
          </cell>
          <cell r="D3834">
            <v>332201004986504</v>
          </cell>
          <cell r="F3834" t="str">
            <v>Tidak</v>
          </cell>
          <cell r="G3834" t="str">
            <v>Tidak</v>
          </cell>
          <cell r="H3834" t="str">
            <v>Tidak</v>
          </cell>
          <cell r="I3834" t="str">
            <v>Bandar Judol Withdrawal</v>
          </cell>
          <cell r="J3834">
            <v>35</v>
          </cell>
          <cell r="K3834" t="str">
            <v>86,88,87</v>
          </cell>
          <cell r="L3834" t="str">
            <v>Judi Online</v>
          </cell>
          <cell r="M3834" t="str">
            <v xml:space="preserve">Kas Kanpus                              </v>
          </cell>
          <cell r="N3834" t="str">
            <v xml:space="preserve">Kas Kanpus                              </v>
          </cell>
          <cell r="O3834" t="str">
            <v xml:space="preserve">KAS KANPUS                              </v>
          </cell>
          <cell r="P3834" t="str">
            <v>Ya</v>
          </cell>
          <cell r="Q3834" t="str">
            <v>Tidak</v>
          </cell>
          <cell r="R3834" t="str">
            <v>Done</v>
          </cell>
          <cell r="S3834" t="str">
            <v>Approved</v>
          </cell>
          <cell r="T3834" t="str">
            <v>90185537 - Moh.Khoerul Fajar Ar</v>
          </cell>
          <cell r="U3834" t="str">
            <v>"-"</v>
          </cell>
        </row>
        <row r="3835">
          <cell r="A3835">
            <v>46265</v>
          </cell>
          <cell r="B3835" t="str">
            <v xml:space="preserve">ACHMAD DAFIN FIRMANSYAH                 </v>
          </cell>
          <cell r="C3835" t="str">
            <v>AEDMH03</v>
          </cell>
          <cell r="D3835">
            <v>1701144025503</v>
          </cell>
          <cell r="F3835" t="str">
            <v>Tidak</v>
          </cell>
          <cell r="G3835" t="str">
            <v>Tidak</v>
          </cell>
          <cell r="H3835" t="str">
            <v>Tidak</v>
          </cell>
          <cell r="I3835" t="str">
            <v>Bandar Judol Withdrawal</v>
          </cell>
          <cell r="J3835">
            <v>35</v>
          </cell>
          <cell r="K3835" t="str">
            <v>86,88,87</v>
          </cell>
          <cell r="L3835" t="str">
            <v>Judi Online</v>
          </cell>
          <cell r="M3835" t="str">
            <v xml:space="preserve">Kas Kanpus                              </v>
          </cell>
          <cell r="N3835" t="str">
            <v xml:space="preserve">Kas Kanpus                              </v>
          </cell>
          <cell r="O3835" t="str">
            <v xml:space="preserve">KAS KANPUS                              </v>
          </cell>
          <cell r="P3835" t="str">
            <v>Ya</v>
          </cell>
          <cell r="Q3835" t="str">
            <v>Ya</v>
          </cell>
          <cell r="R3835" t="str">
            <v>Done</v>
          </cell>
          <cell r="S3835" t="str">
            <v>Approved</v>
          </cell>
          <cell r="T3835" t="str">
            <v>00336949 - Mochammad Al Farabi</v>
          </cell>
          <cell r="U3835" t="str">
            <v>"-"</v>
          </cell>
        </row>
        <row r="3836">
          <cell r="A3836">
            <v>46265</v>
          </cell>
          <cell r="B3836" t="str">
            <v xml:space="preserve">ALE SANDRO                              </v>
          </cell>
          <cell r="C3836" t="str">
            <v>AECZH88</v>
          </cell>
          <cell r="D3836">
            <v>33201173677505</v>
          </cell>
          <cell r="F3836" t="str">
            <v>Tidak</v>
          </cell>
          <cell r="G3836" t="str">
            <v>Tidak</v>
          </cell>
          <cell r="H3836" t="str">
            <v>Tidak</v>
          </cell>
          <cell r="I3836" t="str">
            <v>Bandar Judol Withdrawal</v>
          </cell>
          <cell r="J3836">
            <v>35</v>
          </cell>
          <cell r="K3836" t="str">
            <v>86,88,87</v>
          </cell>
          <cell r="L3836" t="str">
            <v>Judi Online</v>
          </cell>
          <cell r="M3836" t="str">
            <v xml:space="preserve">Kas Kanpus                              </v>
          </cell>
          <cell r="N3836" t="str">
            <v xml:space="preserve">Kas Kanpus                              </v>
          </cell>
          <cell r="O3836" t="str">
            <v xml:space="preserve">KAS KANPUS                              </v>
          </cell>
          <cell r="P3836" t="str">
            <v>Ya</v>
          </cell>
          <cell r="Q3836" t="str">
            <v>Ya</v>
          </cell>
          <cell r="R3836" t="str">
            <v>Done</v>
          </cell>
          <cell r="S3836" t="str">
            <v>Approved</v>
          </cell>
          <cell r="T3836" t="str">
            <v>00394520 - Frida Akbar Rani</v>
          </cell>
          <cell r="U3836" t="str">
            <v>"-"</v>
          </cell>
        </row>
        <row r="3837">
          <cell r="A3837">
            <v>46265</v>
          </cell>
          <cell r="B3837" t="str">
            <v xml:space="preserve">ANAH HASANAH                            </v>
          </cell>
          <cell r="C3837" t="str">
            <v>ADZSV31</v>
          </cell>
          <cell r="D3837">
            <v>112901038708502</v>
          </cell>
          <cell r="F3837" t="str">
            <v>Tidak</v>
          </cell>
          <cell r="G3837" t="str">
            <v>Tidak</v>
          </cell>
          <cell r="H3837" t="str">
            <v>Tidak</v>
          </cell>
          <cell r="I3837" t="str">
            <v>Bandar Judol Withdrawal</v>
          </cell>
          <cell r="J3837">
            <v>35</v>
          </cell>
          <cell r="K3837" t="str">
            <v>86,88,87</v>
          </cell>
          <cell r="L3837" t="str">
            <v>Judi Online</v>
          </cell>
          <cell r="M3837" t="str">
            <v xml:space="preserve">Kas Kanpus                              </v>
          </cell>
          <cell r="N3837" t="str">
            <v xml:space="preserve">Kas Kanpus                              </v>
          </cell>
          <cell r="O3837" t="str">
            <v xml:space="preserve">KAS KANPUS                              </v>
          </cell>
          <cell r="P3837" t="str">
            <v>Ya</v>
          </cell>
          <cell r="Q3837" t="str">
            <v>Ya</v>
          </cell>
          <cell r="R3837" t="str">
            <v>Done</v>
          </cell>
          <cell r="S3837" t="str">
            <v>Approved</v>
          </cell>
          <cell r="T3837" t="str">
            <v>00394520 - Frida Akbar Rani</v>
          </cell>
          <cell r="U3837" t="str">
            <v>"-"</v>
          </cell>
        </row>
        <row r="3838">
          <cell r="A3838">
            <v>46265</v>
          </cell>
          <cell r="B3838" t="str">
            <v xml:space="preserve">ARYADI                                  </v>
          </cell>
          <cell r="C3838" t="str">
            <v>ADZZP25</v>
          </cell>
          <cell r="D3838">
            <v>44101045922504</v>
          </cell>
          <cell r="F3838" t="str">
            <v>Tidak</v>
          </cell>
          <cell r="G3838" t="str">
            <v>Tidak</v>
          </cell>
          <cell r="H3838" t="str">
            <v>Tidak</v>
          </cell>
          <cell r="I3838" t="str">
            <v>Bandar Judol Withdrawal</v>
          </cell>
          <cell r="J3838">
            <v>35</v>
          </cell>
          <cell r="K3838" t="str">
            <v>86,88,87</v>
          </cell>
          <cell r="L3838" t="str">
            <v>Judi Online</v>
          </cell>
          <cell r="M3838" t="str">
            <v xml:space="preserve">Kas Kanpus                              </v>
          </cell>
          <cell r="N3838" t="str">
            <v xml:space="preserve">Kas Kanpus                              </v>
          </cell>
          <cell r="O3838" t="str">
            <v xml:space="preserve">KAS KANPUS                              </v>
          </cell>
          <cell r="P3838" t="str">
            <v>Ya</v>
          </cell>
          <cell r="Q3838" t="str">
            <v>Tidak</v>
          </cell>
          <cell r="R3838" t="str">
            <v>Done</v>
          </cell>
          <cell r="S3838" t="str">
            <v>Approved</v>
          </cell>
          <cell r="T3838" t="str">
            <v>90170665 - Mutiara Ayuningtyas</v>
          </cell>
          <cell r="U3838" t="str">
            <v>"-"</v>
          </cell>
        </row>
        <row r="3839">
          <cell r="A3839">
            <v>46265</v>
          </cell>
          <cell r="B3839" t="str">
            <v xml:space="preserve">ALVI MUBAROK                            </v>
          </cell>
          <cell r="C3839" t="str">
            <v>AEABX44</v>
          </cell>
          <cell r="D3839">
            <v>415901060855503</v>
          </cell>
          <cell r="F3839" t="str">
            <v>Tidak</v>
          </cell>
          <cell r="G3839" t="str">
            <v>Tidak</v>
          </cell>
          <cell r="H3839" t="str">
            <v>Tidak</v>
          </cell>
          <cell r="I3839" t="str">
            <v>Bandar Judol Withdrawal</v>
          </cell>
          <cell r="J3839">
            <v>35</v>
          </cell>
          <cell r="K3839" t="str">
            <v>86,88,87</v>
          </cell>
          <cell r="L3839" t="str">
            <v>Judi Online</v>
          </cell>
          <cell r="M3839" t="str">
            <v xml:space="preserve">Kas Kanpus                              </v>
          </cell>
          <cell r="N3839" t="str">
            <v xml:space="preserve">Kas Kanpus                              </v>
          </cell>
          <cell r="O3839" t="str">
            <v xml:space="preserve">KAS KANPUS                              </v>
          </cell>
          <cell r="P3839" t="str">
            <v>Ya</v>
          </cell>
          <cell r="Q3839" t="str">
            <v>Ya</v>
          </cell>
          <cell r="R3839" t="str">
            <v>Done</v>
          </cell>
          <cell r="S3839" t="str">
            <v>Approved</v>
          </cell>
          <cell r="T3839" t="str">
            <v>90185538 - Muhammad Fahikal Auz</v>
          </cell>
          <cell r="U3839" t="str">
            <v>"-"</v>
          </cell>
        </row>
        <row r="3840">
          <cell r="A3840">
            <v>46265</v>
          </cell>
          <cell r="B3840" t="str">
            <v xml:space="preserve">AGUS JAYADI SARDI                       </v>
          </cell>
          <cell r="C3840" t="str">
            <v>ADYRB40</v>
          </cell>
          <cell r="D3840">
            <v>334201000254561</v>
          </cell>
          <cell r="F3840" t="str">
            <v>Tidak</v>
          </cell>
          <cell r="G3840" t="str">
            <v>Tidak</v>
          </cell>
          <cell r="H3840" t="str">
            <v>Tidak</v>
          </cell>
          <cell r="I3840" t="str">
            <v>Bandar Judol Withdrawal</v>
          </cell>
          <cell r="J3840">
            <v>35</v>
          </cell>
          <cell r="K3840" t="str">
            <v>86,88,87</v>
          </cell>
          <cell r="L3840" t="str">
            <v>Judi Online</v>
          </cell>
          <cell r="M3840" t="str">
            <v xml:space="preserve">Kas Kanpus                              </v>
          </cell>
          <cell r="N3840" t="str">
            <v xml:space="preserve">Kas Kanpus                              </v>
          </cell>
          <cell r="O3840" t="str">
            <v xml:space="preserve">KAS KANPUS                              </v>
          </cell>
          <cell r="P3840" t="str">
            <v>Ya</v>
          </cell>
          <cell r="Q3840" t="str">
            <v>Ya</v>
          </cell>
          <cell r="R3840" t="str">
            <v>Done</v>
          </cell>
          <cell r="S3840" t="str">
            <v>Approved</v>
          </cell>
          <cell r="T3840" t="str">
            <v>90185537 - Moh.Khoerul Fajar Ar</v>
          </cell>
          <cell r="U3840" t="str">
            <v>"-"</v>
          </cell>
        </row>
        <row r="3841">
          <cell r="A3841">
            <v>46265</v>
          </cell>
          <cell r="B3841" t="str">
            <v xml:space="preserve">ANDRIAN FARIS                           </v>
          </cell>
          <cell r="C3841" t="str">
            <v>ADYRH21</v>
          </cell>
          <cell r="D3841">
            <v>532101000216567</v>
          </cell>
          <cell r="F3841" t="str">
            <v>Tidak</v>
          </cell>
          <cell r="G3841" t="str">
            <v>Tidak</v>
          </cell>
          <cell r="H3841" t="str">
            <v>Tidak</v>
          </cell>
          <cell r="I3841" t="str">
            <v>Bandar Judol Withdrawal</v>
          </cell>
          <cell r="J3841">
            <v>35</v>
          </cell>
          <cell r="K3841" t="str">
            <v>86,88,87</v>
          </cell>
          <cell r="L3841" t="str">
            <v>Judi Online</v>
          </cell>
          <cell r="M3841" t="str">
            <v xml:space="preserve">Kas Kanpus                              </v>
          </cell>
          <cell r="N3841" t="str">
            <v xml:space="preserve">Kas Kanpus                              </v>
          </cell>
          <cell r="O3841" t="str">
            <v xml:space="preserve">KAS KANPUS                              </v>
          </cell>
          <cell r="P3841" t="str">
            <v>Ya</v>
          </cell>
          <cell r="Q3841" t="str">
            <v>Ya</v>
          </cell>
          <cell r="R3841" t="str">
            <v>Done</v>
          </cell>
          <cell r="S3841" t="str">
            <v>Approved</v>
          </cell>
          <cell r="T3841" t="str">
            <v>00336949 - Mochammad Al Farabi</v>
          </cell>
          <cell r="U3841" t="str">
            <v>"-"</v>
          </cell>
        </row>
        <row r="3842">
          <cell r="A3842">
            <v>46265</v>
          </cell>
          <cell r="B3842" t="str">
            <v xml:space="preserve">ALDI YANSYAH                            </v>
          </cell>
          <cell r="C3842" t="str">
            <v>ADYTZ29</v>
          </cell>
          <cell r="D3842">
            <v>385401006301503</v>
          </cell>
          <cell r="F3842" t="str">
            <v>Tidak</v>
          </cell>
          <cell r="G3842" t="str">
            <v>Tidak</v>
          </cell>
          <cell r="H3842" t="str">
            <v>Tidak</v>
          </cell>
          <cell r="I3842" t="str">
            <v>Bandar Judol Withdrawal</v>
          </cell>
          <cell r="J3842">
            <v>35</v>
          </cell>
          <cell r="K3842" t="str">
            <v>86,88,87</v>
          </cell>
          <cell r="L3842" t="str">
            <v>Judi Online</v>
          </cell>
          <cell r="M3842" t="str">
            <v xml:space="preserve">Kas Kanpus                              </v>
          </cell>
          <cell r="N3842" t="str">
            <v xml:space="preserve">Kas Kanpus                              </v>
          </cell>
          <cell r="O3842" t="str">
            <v xml:space="preserve">KAS KANPUS                              </v>
          </cell>
          <cell r="P3842" t="str">
            <v>Ya</v>
          </cell>
          <cell r="Q3842" t="str">
            <v>Tidak</v>
          </cell>
          <cell r="R3842" t="str">
            <v>Done</v>
          </cell>
          <cell r="S3842" t="str">
            <v>Approved</v>
          </cell>
          <cell r="T3842" t="str">
            <v>90171841 - Rifqi Aziz</v>
          </cell>
          <cell r="U3842" t="str">
            <v>"-"</v>
          </cell>
        </row>
        <row r="3843">
          <cell r="A3843">
            <v>46265</v>
          </cell>
          <cell r="B3843" t="str">
            <v xml:space="preserve">AUGUSTYAN FAHREZA AKBAR                 </v>
          </cell>
          <cell r="C3843" t="str">
            <v>ADYVM19</v>
          </cell>
          <cell r="D3843">
            <v>1901003280565</v>
          </cell>
          <cell r="F3843" t="str">
            <v>Tidak</v>
          </cell>
          <cell r="G3843" t="str">
            <v>Tidak</v>
          </cell>
          <cell r="H3843" t="str">
            <v>Tidak</v>
          </cell>
          <cell r="I3843" t="str">
            <v>Bandar Judol Withdrawal</v>
          </cell>
          <cell r="J3843">
            <v>35</v>
          </cell>
          <cell r="K3843" t="str">
            <v>86,88,87</v>
          </cell>
          <cell r="L3843" t="str">
            <v>Judi Online</v>
          </cell>
          <cell r="M3843" t="str">
            <v xml:space="preserve">Kas Kanpus                              </v>
          </cell>
          <cell r="N3843" t="str">
            <v xml:space="preserve">Kas Kanpus                              </v>
          </cell>
          <cell r="O3843" t="str">
            <v xml:space="preserve">KAS KANPUS                              </v>
          </cell>
          <cell r="P3843" t="str">
            <v>Ya</v>
          </cell>
          <cell r="Q3843" t="str">
            <v>Ya</v>
          </cell>
          <cell r="R3843" t="str">
            <v>Done</v>
          </cell>
          <cell r="S3843" t="str">
            <v>Approved</v>
          </cell>
          <cell r="T3843" t="str">
            <v>00394520 - Frida Akbar Rani</v>
          </cell>
          <cell r="U3843" t="str">
            <v>"-"</v>
          </cell>
        </row>
        <row r="3844">
          <cell r="A3844">
            <v>46265</v>
          </cell>
          <cell r="B3844" t="str">
            <v xml:space="preserve">AHMAD ROSADI                            </v>
          </cell>
          <cell r="C3844" t="str">
            <v>ADYWF49</v>
          </cell>
          <cell r="D3844">
            <v>82601006302507</v>
          </cell>
          <cell r="F3844" t="str">
            <v>Tidak</v>
          </cell>
          <cell r="G3844" t="str">
            <v>Tidak</v>
          </cell>
          <cell r="H3844" t="str">
            <v>Tidak</v>
          </cell>
          <cell r="I3844" t="str">
            <v>Bandar Judol Withdrawal</v>
          </cell>
          <cell r="J3844">
            <v>35</v>
          </cell>
          <cell r="K3844" t="str">
            <v>86,88,87</v>
          </cell>
          <cell r="L3844" t="str">
            <v>Judi Online</v>
          </cell>
          <cell r="M3844" t="str">
            <v xml:space="preserve">Kas Kanpus                              </v>
          </cell>
          <cell r="N3844" t="str">
            <v xml:space="preserve">Kas Kanpus                              </v>
          </cell>
          <cell r="O3844" t="str">
            <v xml:space="preserve">KAS KANPUS                              </v>
          </cell>
          <cell r="P3844" t="str">
            <v>Ya</v>
          </cell>
          <cell r="Q3844" t="str">
            <v>Ya</v>
          </cell>
          <cell r="R3844" t="str">
            <v>Done</v>
          </cell>
          <cell r="S3844" t="str">
            <v>Approved</v>
          </cell>
          <cell r="T3844" t="str">
            <v>00394520 - Frida Akbar Rani</v>
          </cell>
          <cell r="U3844" t="str">
            <v>"-"</v>
          </cell>
        </row>
        <row r="3845">
          <cell r="A3845">
            <v>46265</v>
          </cell>
          <cell r="B3845" t="str">
            <v xml:space="preserve">ANTON PRIYANA                           </v>
          </cell>
          <cell r="C3845" t="str">
            <v>ACSNY14</v>
          </cell>
          <cell r="D3845">
            <v>84001017177507</v>
          </cell>
          <cell r="F3845" t="str">
            <v>Tidak</v>
          </cell>
          <cell r="G3845" t="str">
            <v>Tidak</v>
          </cell>
          <cell r="H3845" t="str">
            <v>Tidak</v>
          </cell>
          <cell r="I3845" t="str">
            <v>Bandar Judol Withdrawal</v>
          </cell>
          <cell r="J3845">
            <v>35</v>
          </cell>
          <cell r="K3845" t="str">
            <v>86,88,87</v>
          </cell>
          <cell r="L3845" t="str">
            <v>Judi Online</v>
          </cell>
          <cell r="M3845" t="str">
            <v xml:space="preserve">Kas Kanpus                              </v>
          </cell>
          <cell r="N3845" t="str">
            <v xml:space="preserve">Kas Kanpus                              </v>
          </cell>
          <cell r="O3845" t="str">
            <v xml:space="preserve">KAS KANPUS                              </v>
          </cell>
          <cell r="P3845" t="str">
            <v>Ya</v>
          </cell>
          <cell r="Q3845" t="str">
            <v>Ya</v>
          </cell>
          <cell r="R3845" t="str">
            <v>Done</v>
          </cell>
          <cell r="S3845" t="str">
            <v>Approved</v>
          </cell>
          <cell r="T3845" t="str">
            <v>90186796 - Devito Arya Wiradila</v>
          </cell>
          <cell r="U3845" t="str">
            <v>"-"</v>
          </cell>
        </row>
        <row r="3846">
          <cell r="A3846">
            <v>46265</v>
          </cell>
          <cell r="B3846" t="str">
            <v xml:space="preserve">ARIEF AFFANDI                           </v>
          </cell>
          <cell r="C3846" t="str">
            <v>ACSOL08</v>
          </cell>
          <cell r="D3846">
            <v>5301006379565</v>
          </cell>
          <cell r="F3846" t="str">
            <v>Tidak</v>
          </cell>
          <cell r="G3846" t="str">
            <v>Tidak</v>
          </cell>
          <cell r="H3846" t="str">
            <v>Tidak</v>
          </cell>
          <cell r="I3846" t="str">
            <v>Bandar Judol Depo</v>
          </cell>
          <cell r="J3846">
            <v>35</v>
          </cell>
          <cell r="K3846" t="str">
            <v>86,74,87</v>
          </cell>
          <cell r="L3846" t="str">
            <v>Judi Online</v>
          </cell>
          <cell r="M3846" t="str">
            <v xml:space="preserve">Kas Kanpus                              </v>
          </cell>
          <cell r="N3846" t="str">
            <v xml:space="preserve">Kas Kanpus                              </v>
          </cell>
          <cell r="O3846" t="str">
            <v xml:space="preserve">KAS KANPUS                              </v>
          </cell>
          <cell r="P3846" t="str">
            <v>Ya</v>
          </cell>
          <cell r="Q3846" t="str">
            <v>Ya</v>
          </cell>
          <cell r="R3846" t="str">
            <v>Done</v>
          </cell>
          <cell r="S3846" t="str">
            <v>Approved</v>
          </cell>
          <cell r="T3846" t="str">
            <v>00394520 - Frida Akbar Rani</v>
          </cell>
          <cell r="U3846" t="str">
            <v>"-"</v>
          </cell>
        </row>
        <row r="3847">
          <cell r="A3847">
            <v>46265</v>
          </cell>
          <cell r="B3847" t="str">
            <v xml:space="preserve">ASNAWI                                  </v>
          </cell>
          <cell r="C3847" t="str">
            <v>ACR4235</v>
          </cell>
          <cell r="D3847">
            <v>112901001060569</v>
          </cell>
          <cell r="E3847" t="str">
            <v>SEDANG</v>
          </cell>
          <cell r="F3847" t="str">
            <v>Tidak</v>
          </cell>
          <cell r="G3847" t="str">
            <v>Tidak</v>
          </cell>
          <cell r="H3847" t="str">
            <v>Tidak</v>
          </cell>
          <cell r="I3847" t="str">
            <v>Bandar Judol Withdrawal</v>
          </cell>
          <cell r="J3847">
            <v>50</v>
          </cell>
          <cell r="K3847" t="str">
            <v>86,88,87</v>
          </cell>
          <cell r="L3847" t="str">
            <v>Judi Online</v>
          </cell>
          <cell r="M3847" t="str">
            <v xml:space="preserve">Kas Kanpus                              </v>
          </cell>
          <cell r="N3847" t="str">
            <v xml:space="preserve">Kas Kanpus                              </v>
          </cell>
          <cell r="O3847" t="str">
            <v xml:space="preserve">KAS KANPUS                              </v>
          </cell>
          <cell r="P3847" t="str">
            <v>Ya</v>
          </cell>
          <cell r="Q3847" t="str">
            <v>Ya</v>
          </cell>
          <cell r="R3847" t="str">
            <v>Done</v>
          </cell>
          <cell r="S3847" t="str">
            <v>Approved</v>
          </cell>
          <cell r="T3847" t="str">
            <v>00336949 - Mochammad Al Farabi</v>
          </cell>
          <cell r="U3847" t="str">
            <v>"-"</v>
          </cell>
        </row>
        <row r="3848">
          <cell r="A3848">
            <v>46265</v>
          </cell>
          <cell r="B3848" t="str">
            <v xml:space="preserve">AYATOLLAH KHOMEINI AL LATIF             </v>
          </cell>
          <cell r="C3848" t="str">
            <v>ACORP05</v>
          </cell>
          <cell r="D3848">
            <v>360801039968531</v>
          </cell>
          <cell r="E3848" t="str">
            <v>SEDANG</v>
          </cell>
          <cell r="F3848" t="str">
            <v>Tidak</v>
          </cell>
          <cell r="G3848" t="str">
            <v>Tidak</v>
          </cell>
          <cell r="H3848" t="str">
            <v>Tidak</v>
          </cell>
          <cell r="I3848" t="str">
            <v>Narkotika - Area Lapas</v>
          </cell>
          <cell r="J3848">
            <v>49</v>
          </cell>
          <cell r="K3848">
            <v>47</v>
          </cell>
          <cell r="L3848" t="str">
            <v>Narkotika</v>
          </cell>
          <cell r="M3848" t="str">
            <v>UNIT KASONGAN PALANGKARAYA</v>
          </cell>
          <cell r="N3848" t="str">
            <v>KC Palangkaraya</v>
          </cell>
          <cell r="O3848" t="str">
            <v>Banjarmasin</v>
          </cell>
          <cell r="P3848" t="str">
            <v>Tidak</v>
          </cell>
          <cell r="Q3848" t="str">
            <v>Tidak</v>
          </cell>
          <cell r="R3848" t="str">
            <v>Done</v>
          </cell>
          <cell r="S3848" t="str">
            <v>Approved</v>
          </cell>
          <cell r="T3848" t="str">
            <v>90186796 - Devito Arya Wiradila</v>
          </cell>
          <cell r="U3848" t="str">
            <v>"-"</v>
          </cell>
        </row>
        <row r="3849">
          <cell r="A3849">
            <v>46265</v>
          </cell>
          <cell r="B3849" t="str">
            <v xml:space="preserve">ABDUL KOHAR                             </v>
          </cell>
          <cell r="C3849" t="str">
            <v>ADBRC09</v>
          </cell>
          <cell r="D3849">
            <v>43801011550534</v>
          </cell>
          <cell r="F3849" t="str">
            <v>Tidak</v>
          </cell>
          <cell r="G3849" t="str">
            <v>Tidak</v>
          </cell>
          <cell r="H3849" t="str">
            <v>Tidak</v>
          </cell>
          <cell r="I3849" t="str">
            <v>Bandar Judol Withdrawal</v>
          </cell>
          <cell r="J3849">
            <v>35</v>
          </cell>
          <cell r="K3849" t="str">
            <v>86,88,87</v>
          </cell>
          <cell r="L3849" t="str">
            <v>Judi Online</v>
          </cell>
          <cell r="M3849" t="str">
            <v xml:space="preserve">Kas Kanpus                              </v>
          </cell>
          <cell r="N3849" t="str">
            <v xml:space="preserve">Kas Kanpus                              </v>
          </cell>
          <cell r="O3849" t="str">
            <v xml:space="preserve">KAS KANPUS                              </v>
          </cell>
          <cell r="P3849" t="str">
            <v>Ya</v>
          </cell>
          <cell r="Q3849" t="str">
            <v>Ya</v>
          </cell>
          <cell r="R3849" t="str">
            <v>Done</v>
          </cell>
          <cell r="S3849" t="str">
            <v>Approved</v>
          </cell>
          <cell r="T3849" t="str">
            <v>90185538 - Muhammad Fahikal Auz</v>
          </cell>
          <cell r="U3849" t="str">
            <v>"-"</v>
          </cell>
        </row>
        <row r="3850">
          <cell r="A3850">
            <v>46265</v>
          </cell>
          <cell r="B3850" t="str">
            <v xml:space="preserve">ADE CHANDRA                             </v>
          </cell>
          <cell r="C3850" t="str">
            <v>ADAER73</v>
          </cell>
          <cell r="D3850">
            <v>63301003022569</v>
          </cell>
          <cell r="F3850" t="str">
            <v>Tidak</v>
          </cell>
          <cell r="G3850" t="str">
            <v>Tidak</v>
          </cell>
          <cell r="H3850" t="str">
            <v>Tidak</v>
          </cell>
          <cell r="I3850" t="str">
            <v>Bandar Judol Withdrawal</v>
          </cell>
          <cell r="J3850">
            <v>35</v>
          </cell>
          <cell r="K3850" t="str">
            <v>86,88,87</v>
          </cell>
          <cell r="L3850" t="str">
            <v>Judi Online</v>
          </cell>
          <cell r="M3850" t="str">
            <v xml:space="preserve">Kas Kanpus                              </v>
          </cell>
          <cell r="N3850" t="str">
            <v xml:space="preserve">Kas Kanpus                              </v>
          </cell>
          <cell r="O3850" t="str">
            <v xml:space="preserve">KAS KANPUS                              </v>
          </cell>
          <cell r="P3850" t="str">
            <v>Ya</v>
          </cell>
          <cell r="Q3850" t="str">
            <v>Ya</v>
          </cell>
          <cell r="R3850" t="str">
            <v>Done</v>
          </cell>
          <cell r="S3850" t="str">
            <v>Approved</v>
          </cell>
          <cell r="T3850" t="str">
            <v>00336949 - Mochammad Al Farabi</v>
          </cell>
          <cell r="U3850" t="str">
            <v>"-"</v>
          </cell>
        </row>
        <row r="3851">
          <cell r="A3851">
            <v>46265</v>
          </cell>
          <cell r="B3851" t="str">
            <v xml:space="preserve">ACHMAD RIYANTO                          </v>
          </cell>
          <cell r="C3851" t="str">
            <v>ADATH52</v>
          </cell>
          <cell r="D3851">
            <v>26101002058566</v>
          </cell>
          <cell r="F3851" t="str">
            <v>Tidak</v>
          </cell>
          <cell r="G3851" t="str">
            <v>Tidak</v>
          </cell>
          <cell r="H3851" t="str">
            <v>Tidak</v>
          </cell>
          <cell r="I3851" t="str">
            <v>Bandar Judol Depo</v>
          </cell>
          <cell r="J3851">
            <v>35</v>
          </cell>
          <cell r="K3851" t="str">
            <v>86,74,87</v>
          </cell>
          <cell r="L3851" t="str">
            <v>Judi Online</v>
          </cell>
          <cell r="M3851" t="str">
            <v xml:space="preserve">Kas Kanpus                              </v>
          </cell>
          <cell r="N3851" t="str">
            <v xml:space="preserve">Kas Kanpus                              </v>
          </cell>
          <cell r="O3851" t="str">
            <v xml:space="preserve">KAS KANPUS                              </v>
          </cell>
          <cell r="P3851" t="str">
            <v>Ya</v>
          </cell>
          <cell r="Q3851" t="str">
            <v>Tidak</v>
          </cell>
          <cell r="R3851" t="str">
            <v>Done</v>
          </cell>
          <cell r="S3851" t="str">
            <v>Approved</v>
          </cell>
          <cell r="T3851" t="str">
            <v>90171841 - Rifqi Aziz</v>
          </cell>
          <cell r="U3851" t="str">
            <v>"-"</v>
          </cell>
        </row>
        <row r="3852">
          <cell r="A3852">
            <v>46265</v>
          </cell>
          <cell r="B3852" t="str">
            <v xml:space="preserve">ANWAR                                   </v>
          </cell>
          <cell r="C3852" t="str">
            <v>ACZCR63</v>
          </cell>
          <cell r="D3852">
            <v>50901005179563</v>
          </cell>
          <cell r="F3852" t="str">
            <v>Tidak</v>
          </cell>
          <cell r="G3852" t="str">
            <v>Tidak</v>
          </cell>
          <cell r="H3852" t="str">
            <v>Tidak</v>
          </cell>
          <cell r="I3852" t="str">
            <v>Bandar Judol Depo</v>
          </cell>
          <cell r="J3852">
            <v>35</v>
          </cell>
          <cell r="K3852" t="str">
            <v>86,74,87</v>
          </cell>
          <cell r="L3852" t="str">
            <v>Judi Online</v>
          </cell>
          <cell r="M3852" t="str">
            <v xml:space="preserve">Kas Kanpus                              </v>
          </cell>
          <cell r="N3852" t="str">
            <v xml:space="preserve">Kas Kanpus                              </v>
          </cell>
          <cell r="O3852" t="str">
            <v xml:space="preserve">KAS KANPUS                              </v>
          </cell>
          <cell r="P3852" t="str">
            <v>Ya</v>
          </cell>
          <cell r="Q3852" t="str">
            <v>Ya</v>
          </cell>
          <cell r="R3852" t="str">
            <v>Done</v>
          </cell>
          <cell r="S3852" t="str">
            <v>Approved</v>
          </cell>
          <cell r="T3852" t="str">
            <v>90150130 - Intan Aida Pratiwi</v>
          </cell>
          <cell r="U3852" t="str">
            <v>"-"</v>
          </cell>
        </row>
        <row r="3853">
          <cell r="A3853">
            <v>46265</v>
          </cell>
          <cell r="B3853" t="str">
            <v xml:space="preserve">ANDI AWANGGA                            </v>
          </cell>
          <cell r="C3853" t="str">
            <v>ACZJX64</v>
          </cell>
          <cell r="D3853">
            <v>38401002865561</v>
          </cell>
          <cell r="F3853" t="str">
            <v>Tidak</v>
          </cell>
          <cell r="G3853" t="str">
            <v>Tidak</v>
          </cell>
          <cell r="H3853" t="str">
            <v>Tidak</v>
          </cell>
          <cell r="I3853" t="str">
            <v>Bandar Judol Depo</v>
          </cell>
          <cell r="J3853">
            <v>35</v>
          </cell>
          <cell r="K3853" t="str">
            <v>86,74,87</v>
          </cell>
          <cell r="L3853" t="str">
            <v>Judi Online</v>
          </cell>
          <cell r="M3853" t="str">
            <v xml:space="preserve">Kas Kanpus                              </v>
          </cell>
          <cell r="N3853" t="str">
            <v xml:space="preserve">Kas Kanpus                              </v>
          </cell>
          <cell r="O3853" t="str">
            <v xml:space="preserve">KAS KANPUS                              </v>
          </cell>
          <cell r="P3853" t="str">
            <v>Ya</v>
          </cell>
          <cell r="Q3853" t="str">
            <v>Ya</v>
          </cell>
          <cell r="R3853" t="str">
            <v>Done</v>
          </cell>
          <cell r="S3853" t="str">
            <v>Approved</v>
          </cell>
          <cell r="T3853" t="str">
            <v>90171841 - Rifqi Aziz</v>
          </cell>
          <cell r="U3853" t="str">
            <v>"-"</v>
          </cell>
        </row>
        <row r="3854">
          <cell r="A3854">
            <v>46265</v>
          </cell>
          <cell r="B3854" t="str">
            <v xml:space="preserve">AGUS NOORSANTO                          </v>
          </cell>
          <cell r="C3854" t="str">
            <v>ACV6370</v>
          </cell>
          <cell r="D3854">
            <v>5326599000002780</v>
          </cell>
          <cell r="E3854" t="str">
            <v>TINGGI</v>
          </cell>
          <cell r="F3854" t="str">
            <v>Tidak</v>
          </cell>
          <cell r="G3854" t="str">
            <v>Ya</v>
          </cell>
          <cell r="H3854" t="str">
            <v>Tidak</v>
          </cell>
          <cell r="I3854" t="str">
            <v>Private or Priority Customer Investment</v>
          </cell>
          <cell r="J3854">
            <v>93</v>
          </cell>
          <cell r="K3854">
            <v>93</v>
          </cell>
          <cell r="L3854" t="str">
            <v>Pasar Modal</v>
          </cell>
          <cell r="M3854" t="str">
            <v xml:space="preserve">Jkt KCK                                 </v>
          </cell>
          <cell r="N3854" t="str">
            <v xml:space="preserve">Jkt KCK                                 </v>
          </cell>
          <cell r="O3854" t="str">
            <v xml:space="preserve">DKI                                     </v>
          </cell>
          <cell r="P3854" t="str">
            <v>Tidak</v>
          </cell>
          <cell r="Q3854" t="str">
            <v>Tidak</v>
          </cell>
          <cell r="R3854" t="str">
            <v>Done</v>
          </cell>
          <cell r="S3854" t="str">
            <v>Approved</v>
          </cell>
          <cell r="T3854" t="str">
            <v>00394520 - Frida Akbar Rani</v>
          </cell>
          <cell r="U3854" t="str">
            <v>"-"</v>
          </cell>
        </row>
        <row r="3855">
          <cell r="A3855">
            <v>46265</v>
          </cell>
          <cell r="B3855" t="str">
            <v xml:space="preserve">ATEP NUR'ALIM                           </v>
          </cell>
          <cell r="C3855" t="str">
            <v>ACVA263</v>
          </cell>
          <cell r="D3855">
            <v>30201124701502</v>
          </cell>
          <cell r="E3855" t="str">
            <v>SEDANG</v>
          </cell>
          <cell r="F3855" t="str">
            <v>Tidak</v>
          </cell>
          <cell r="G3855" t="str">
            <v>Tidak</v>
          </cell>
          <cell r="H3855" t="str">
            <v>Tidak</v>
          </cell>
          <cell r="I3855" t="str">
            <v>Narkotika/Psikotropika- Remark</v>
          </cell>
          <cell r="J3855">
            <v>50</v>
          </cell>
          <cell r="K3855">
            <v>9</v>
          </cell>
          <cell r="L3855" t="str">
            <v>Narkotika/Psikotropika</v>
          </cell>
          <cell r="M3855" t="str">
            <v xml:space="preserve">KC Cikampek                             </v>
          </cell>
          <cell r="N3855" t="str">
            <v xml:space="preserve">KC Cikampek                             </v>
          </cell>
          <cell r="O3855" t="str">
            <v xml:space="preserve">DKI2                                    </v>
          </cell>
          <cell r="P3855" t="str">
            <v>Ya</v>
          </cell>
          <cell r="Q3855" t="str">
            <v>Ya</v>
          </cell>
          <cell r="R3855" t="str">
            <v>Done</v>
          </cell>
          <cell r="S3855" t="str">
            <v>Approved</v>
          </cell>
          <cell r="T3855" t="str">
            <v>00336949 - Mochammad Al Farabi</v>
          </cell>
          <cell r="U3855" t="str">
            <v>"-"</v>
          </cell>
        </row>
        <row r="3856">
          <cell r="A3856">
            <v>46265</v>
          </cell>
          <cell r="B3856" t="str">
            <v xml:space="preserve">AHMAD DAEROBI                           </v>
          </cell>
          <cell r="C3856" t="str">
            <v>ACXTY26</v>
          </cell>
          <cell r="D3856">
            <v>112901009409539</v>
          </cell>
          <cell r="F3856" t="str">
            <v>Tidak</v>
          </cell>
          <cell r="G3856" t="str">
            <v>Tidak</v>
          </cell>
          <cell r="H3856" t="str">
            <v>Tidak</v>
          </cell>
          <cell r="I3856" t="str">
            <v>Bandar Judol Withdrawal</v>
          </cell>
          <cell r="J3856">
            <v>35</v>
          </cell>
          <cell r="K3856" t="str">
            <v>86,88,87</v>
          </cell>
          <cell r="L3856" t="str">
            <v>Judi Online</v>
          </cell>
          <cell r="M3856" t="str">
            <v xml:space="preserve">Kas Kanpus                              </v>
          </cell>
          <cell r="N3856" t="str">
            <v xml:space="preserve">Kas Kanpus                              </v>
          </cell>
          <cell r="O3856" t="str">
            <v xml:space="preserve">KAS KANPUS                              </v>
          </cell>
          <cell r="P3856" t="str">
            <v>Ya</v>
          </cell>
          <cell r="Q3856" t="str">
            <v>Ya</v>
          </cell>
          <cell r="R3856" t="str">
            <v>Done</v>
          </cell>
          <cell r="S3856" t="str">
            <v>Approved</v>
          </cell>
          <cell r="T3856" t="str">
            <v>90170665 - Mutiara Ayuningtyas</v>
          </cell>
          <cell r="U3856" t="str">
            <v>"-"</v>
          </cell>
        </row>
        <row r="3857">
          <cell r="A3857">
            <v>46265</v>
          </cell>
          <cell r="B3857" t="str">
            <v xml:space="preserve">ALVIN PRATAMA                           </v>
          </cell>
          <cell r="C3857" t="str">
            <v>ACXWM36</v>
          </cell>
          <cell r="D3857">
            <v>39601026133507</v>
          </cell>
          <cell r="F3857" t="str">
            <v>Tidak</v>
          </cell>
          <cell r="G3857" t="str">
            <v>Tidak</v>
          </cell>
          <cell r="H3857" t="str">
            <v>Tidak</v>
          </cell>
          <cell r="I3857" t="str">
            <v>Bandar Judol Withdrawal</v>
          </cell>
          <cell r="J3857">
            <v>35</v>
          </cell>
          <cell r="K3857" t="str">
            <v>86,88,87</v>
          </cell>
          <cell r="L3857" t="str">
            <v>Judi Online</v>
          </cell>
          <cell r="M3857" t="str">
            <v xml:space="preserve">Kas Kanpus                              </v>
          </cell>
          <cell r="N3857" t="str">
            <v xml:space="preserve">Kas Kanpus                              </v>
          </cell>
          <cell r="O3857" t="str">
            <v xml:space="preserve">KAS KANPUS                              </v>
          </cell>
          <cell r="P3857" t="str">
            <v>Ya</v>
          </cell>
          <cell r="Q3857" t="str">
            <v>Ya</v>
          </cell>
          <cell r="R3857" t="str">
            <v>Done</v>
          </cell>
          <cell r="S3857" t="str">
            <v>Approved</v>
          </cell>
          <cell r="T3857" t="str">
            <v>90171841 - Rifqi Aziz</v>
          </cell>
          <cell r="U3857" t="str">
            <v>"-"</v>
          </cell>
        </row>
        <row r="3858">
          <cell r="A3858">
            <v>46265</v>
          </cell>
          <cell r="B3858" t="str">
            <v xml:space="preserve">ANDRE MARIO                             </v>
          </cell>
          <cell r="C3858" t="str">
            <v>ACYOO83</v>
          </cell>
          <cell r="D3858">
            <v>42101096297508</v>
          </cell>
          <cell r="F3858" t="str">
            <v>Tidak</v>
          </cell>
          <cell r="G3858" t="str">
            <v>Tidak</v>
          </cell>
          <cell r="H3858" t="str">
            <v>Tidak</v>
          </cell>
          <cell r="I3858" t="str">
            <v>Bandar Judol Depo</v>
          </cell>
          <cell r="J3858">
            <v>35</v>
          </cell>
          <cell r="K3858" t="str">
            <v>86,74,87</v>
          </cell>
          <cell r="L3858" t="str">
            <v>Judi Online</v>
          </cell>
          <cell r="M3858" t="str">
            <v xml:space="preserve">Kas Kanpus                              </v>
          </cell>
          <cell r="N3858" t="str">
            <v xml:space="preserve">Kas Kanpus                              </v>
          </cell>
          <cell r="O3858" t="str">
            <v xml:space="preserve">KAS KANPUS                              </v>
          </cell>
          <cell r="P3858" t="str">
            <v>Ya</v>
          </cell>
          <cell r="Q3858" t="str">
            <v>Ya</v>
          </cell>
          <cell r="R3858" t="str">
            <v>Done</v>
          </cell>
          <cell r="S3858" t="str">
            <v>Approved</v>
          </cell>
          <cell r="T3858" t="str">
            <v>90170665 - Mutiara Ayuningtyas</v>
          </cell>
          <cell r="U3858" t="str">
            <v>"-"</v>
          </cell>
        </row>
        <row r="3859">
          <cell r="A3859">
            <v>46265</v>
          </cell>
          <cell r="B3859" t="str">
            <v xml:space="preserve">AGUS HASANUDIN                          </v>
          </cell>
          <cell r="C3859" t="str">
            <v>ADESR98</v>
          </cell>
          <cell r="D3859">
            <v>720701005665503</v>
          </cell>
          <cell r="F3859" t="str">
            <v>Tidak</v>
          </cell>
          <cell r="G3859" t="str">
            <v>Tidak</v>
          </cell>
          <cell r="H3859" t="str">
            <v>Tidak</v>
          </cell>
          <cell r="I3859" t="str">
            <v>Bandar Judol Withdrawal</v>
          </cell>
          <cell r="J3859">
            <v>35</v>
          </cell>
          <cell r="K3859" t="str">
            <v>86,88,87</v>
          </cell>
          <cell r="L3859" t="str">
            <v>Judi Online</v>
          </cell>
          <cell r="M3859" t="str">
            <v xml:space="preserve">Kas Kanpus                              </v>
          </cell>
          <cell r="N3859" t="str">
            <v xml:space="preserve">Kas Kanpus                              </v>
          </cell>
          <cell r="O3859" t="str">
            <v xml:space="preserve">KAS KANPUS                              </v>
          </cell>
          <cell r="P3859" t="str">
            <v>Ya</v>
          </cell>
          <cell r="Q3859" t="str">
            <v>Ya</v>
          </cell>
          <cell r="R3859" t="str">
            <v>Done</v>
          </cell>
          <cell r="S3859" t="str">
            <v>Approved</v>
          </cell>
          <cell r="T3859" t="str">
            <v>90186790 - Muhammad Alfin Farha</v>
          </cell>
          <cell r="U3859" t="str">
            <v>"-"</v>
          </cell>
        </row>
        <row r="3860">
          <cell r="A3860">
            <v>46265</v>
          </cell>
          <cell r="B3860" t="str">
            <v xml:space="preserve">ABDUL HADI                              </v>
          </cell>
          <cell r="C3860" t="str">
            <v>ADEUX37</v>
          </cell>
          <cell r="D3860">
            <v>84101023431503</v>
          </cell>
          <cell r="F3860" t="str">
            <v>Tidak</v>
          </cell>
          <cell r="G3860" t="str">
            <v>Tidak</v>
          </cell>
          <cell r="H3860" t="str">
            <v>Tidak</v>
          </cell>
          <cell r="I3860" t="str">
            <v>Bandar Judol Withdrawal</v>
          </cell>
          <cell r="J3860">
            <v>35</v>
          </cell>
          <cell r="K3860" t="str">
            <v>86,88,87</v>
          </cell>
          <cell r="L3860" t="str">
            <v>Judi Online</v>
          </cell>
          <cell r="M3860" t="str">
            <v xml:space="preserve">Kas Kanpus                              </v>
          </cell>
          <cell r="N3860" t="str">
            <v xml:space="preserve">Kas Kanpus                              </v>
          </cell>
          <cell r="O3860" t="str">
            <v xml:space="preserve">KAS KANPUS                              </v>
          </cell>
          <cell r="P3860" t="str">
            <v>Ya</v>
          </cell>
          <cell r="Q3860" t="str">
            <v>Ya</v>
          </cell>
          <cell r="R3860" t="str">
            <v>Done</v>
          </cell>
          <cell r="S3860" t="str">
            <v>Approved</v>
          </cell>
          <cell r="T3860" t="str">
            <v>90185538 - Muhammad Fahikal Auz</v>
          </cell>
          <cell r="U3860" t="str">
            <v>"-"</v>
          </cell>
        </row>
        <row r="3861">
          <cell r="A3861">
            <v>46265</v>
          </cell>
          <cell r="B3861" t="str">
            <v xml:space="preserve">AJENG DWI PRIHATINI                     </v>
          </cell>
          <cell r="C3861" t="str">
            <v>ADCAD44</v>
          </cell>
          <cell r="D3861">
            <v>1201262842504</v>
          </cell>
          <cell r="F3861" t="str">
            <v>Tidak</v>
          </cell>
          <cell r="G3861" t="str">
            <v>Tidak</v>
          </cell>
          <cell r="H3861" t="str">
            <v>Tidak</v>
          </cell>
          <cell r="I3861" t="str">
            <v>Bandar Judol Withdrawal</v>
          </cell>
          <cell r="J3861">
            <v>35</v>
          </cell>
          <cell r="K3861" t="str">
            <v>86,88,87</v>
          </cell>
          <cell r="L3861" t="str">
            <v>Judi Online</v>
          </cell>
          <cell r="M3861" t="str">
            <v xml:space="preserve">Kas Kanpus                              </v>
          </cell>
          <cell r="N3861" t="str">
            <v xml:space="preserve">Kas Kanpus                              </v>
          </cell>
          <cell r="O3861" t="str">
            <v xml:space="preserve">KAS KANPUS                              </v>
          </cell>
          <cell r="P3861" t="str">
            <v>Ya</v>
          </cell>
          <cell r="Q3861" t="str">
            <v>Ya</v>
          </cell>
          <cell r="R3861" t="str">
            <v>Done</v>
          </cell>
          <cell r="S3861" t="str">
            <v>Approved</v>
          </cell>
          <cell r="T3861" t="str">
            <v>00336949 - Mochammad Al Farabi</v>
          </cell>
          <cell r="U3861" t="str">
            <v>"-"</v>
          </cell>
        </row>
        <row r="3862">
          <cell r="A3862">
            <v>46265</v>
          </cell>
          <cell r="B3862" t="str">
            <v xml:space="preserve">ARIF SUPRIYANTO                         </v>
          </cell>
          <cell r="C3862" t="str">
            <v>ADCVY94</v>
          </cell>
          <cell r="D3862">
            <v>110901014467500</v>
          </cell>
          <cell r="F3862" t="str">
            <v>Tidak</v>
          </cell>
          <cell r="G3862" t="str">
            <v>Tidak</v>
          </cell>
          <cell r="H3862" t="str">
            <v>Tidak</v>
          </cell>
          <cell r="I3862" t="str">
            <v>Bandar Judol Depo</v>
          </cell>
          <cell r="J3862">
            <v>35</v>
          </cell>
          <cell r="K3862" t="str">
            <v>86,74,87</v>
          </cell>
          <cell r="L3862" t="str">
            <v>Judi Online</v>
          </cell>
          <cell r="M3862" t="str">
            <v xml:space="preserve">Kas Kanpus                              </v>
          </cell>
          <cell r="N3862" t="str">
            <v xml:space="preserve">Kas Kanpus                              </v>
          </cell>
          <cell r="O3862" t="str">
            <v xml:space="preserve">KAS KANPUS                              </v>
          </cell>
          <cell r="P3862" t="str">
            <v>Ya</v>
          </cell>
          <cell r="Q3862" t="str">
            <v>Ya</v>
          </cell>
          <cell r="R3862" t="str">
            <v>Done</v>
          </cell>
          <cell r="S3862" t="str">
            <v>Approved</v>
          </cell>
          <cell r="T3862" t="str">
            <v>90185537 - Moh.Khoerul Fajar Ar</v>
          </cell>
          <cell r="U3862" t="str">
            <v>"-"</v>
          </cell>
        </row>
        <row r="3863">
          <cell r="A3863">
            <v>46265</v>
          </cell>
          <cell r="B3863" t="str">
            <v xml:space="preserve">AHMAD KUSNADI                           </v>
          </cell>
          <cell r="C3863" t="str">
            <v>ADDDC12</v>
          </cell>
          <cell r="D3863">
            <v>1201003686569</v>
          </cell>
          <cell r="F3863" t="str">
            <v>Tidak</v>
          </cell>
          <cell r="G3863" t="str">
            <v>Tidak</v>
          </cell>
          <cell r="H3863" t="str">
            <v>Tidak</v>
          </cell>
          <cell r="I3863" t="str">
            <v>Judi Online</v>
          </cell>
          <cell r="J3863">
            <v>35</v>
          </cell>
          <cell r="K3863" t="str">
            <v>73,76,34,74,6</v>
          </cell>
          <cell r="L3863" t="str">
            <v>Judi Online</v>
          </cell>
          <cell r="M3863" t="str">
            <v xml:space="preserve">Kas Kanpus                              </v>
          </cell>
          <cell r="N3863" t="str">
            <v xml:space="preserve">Kas Kanpus                              </v>
          </cell>
          <cell r="O3863" t="str">
            <v xml:space="preserve">KAS KANPUS                              </v>
          </cell>
          <cell r="P3863" t="str">
            <v>Ya</v>
          </cell>
          <cell r="Q3863" t="str">
            <v>Ya</v>
          </cell>
          <cell r="R3863" t="str">
            <v>Done</v>
          </cell>
          <cell r="S3863" t="str">
            <v>Approved</v>
          </cell>
          <cell r="T3863" t="str">
            <v>00336949 - Mochammad Al Farabi</v>
          </cell>
          <cell r="U3863" t="str">
            <v>"-"</v>
          </cell>
        </row>
        <row r="3864">
          <cell r="A3864">
            <v>46265</v>
          </cell>
          <cell r="B3864" t="str">
            <v xml:space="preserve">AHMAD KUSNADI                           </v>
          </cell>
          <cell r="C3864" t="str">
            <v>ADDDC12</v>
          </cell>
          <cell r="D3864">
            <v>1201003686569</v>
          </cell>
          <cell r="F3864" t="str">
            <v>Tidak</v>
          </cell>
          <cell r="G3864" t="str">
            <v>Tidak</v>
          </cell>
          <cell r="H3864" t="str">
            <v>Tidak</v>
          </cell>
          <cell r="I3864" t="str">
            <v>Bandar Judol Depo</v>
          </cell>
          <cell r="J3864">
            <v>35</v>
          </cell>
          <cell r="K3864" t="str">
            <v>86,74,87</v>
          </cell>
          <cell r="L3864" t="str">
            <v>Judi Online</v>
          </cell>
          <cell r="M3864" t="str">
            <v xml:space="preserve">Kas Kanpus                              </v>
          </cell>
          <cell r="N3864" t="str">
            <v xml:space="preserve">Kas Kanpus                              </v>
          </cell>
          <cell r="O3864" t="str">
            <v xml:space="preserve">KAS KANPUS                              </v>
          </cell>
          <cell r="P3864" t="str">
            <v>Ya</v>
          </cell>
          <cell r="Q3864" t="str">
            <v>Ya</v>
          </cell>
          <cell r="R3864" t="str">
            <v>Done</v>
          </cell>
          <cell r="S3864" t="str">
            <v>Approved</v>
          </cell>
          <cell r="T3864" t="str">
            <v>00394520 - Frida Akbar Rani</v>
          </cell>
          <cell r="U3864" t="str">
            <v>"-"</v>
          </cell>
        </row>
        <row r="3865">
          <cell r="A3865">
            <v>46265</v>
          </cell>
          <cell r="B3865" t="str">
            <v xml:space="preserve">AHMAD HUMAEDI                           </v>
          </cell>
          <cell r="C3865" t="str">
            <v>ADEHO71</v>
          </cell>
          <cell r="D3865">
            <v>117101025563500</v>
          </cell>
          <cell r="F3865" t="str">
            <v>Tidak</v>
          </cell>
          <cell r="G3865" t="str">
            <v>Tidak</v>
          </cell>
          <cell r="H3865" t="str">
            <v>Tidak</v>
          </cell>
          <cell r="I3865" t="str">
            <v>Bandar Judol Depo</v>
          </cell>
          <cell r="J3865">
            <v>35</v>
          </cell>
          <cell r="K3865" t="str">
            <v>86,74,87</v>
          </cell>
          <cell r="L3865" t="str">
            <v>Judi Online</v>
          </cell>
          <cell r="M3865" t="str">
            <v xml:space="preserve">Kas Kanpus                              </v>
          </cell>
          <cell r="N3865" t="str">
            <v xml:space="preserve">Kas Kanpus                              </v>
          </cell>
          <cell r="O3865" t="str">
            <v xml:space="preserve">KAS KANPUS                              </v>
          </cell>
          <cell r="P3865" t="str">
            <v>Ya</v>
          </cell>
          <cell r="Q3865" t="str">
            <v>Ya</v>
          </cell>
          <cell r="R3865" t="str">
            <v>Done</v>
          </cell>
          <cell r="S3865" t="str">
            <v>Approved</v>
          </cell>
          <cell r="T3865" t="str">
            <v>90150130 - Intan Aida Pratiwi</v>
          </cell>
          <cell r="U3865" t="str">
            <v>"-"</v>
          </cell>
        </row>
        <row r="3866">
          <cell r="A3866">
            <v>46265</v>
          </cell>
          <cell r="B3866" t="str">
            <v xml:space="preserve">ALDI YULIYANTO                          </v>
          </cell>
          <cell r="C3866" t="str">
            <v>ADEYV23</v>
          </cell>
          <cell r="D3866">
            <v>204001009184502</v>
          </cell>
          <cell r="F3866" t="str">
            <v>Tidak</v>
          </cell>
          <cell r="G3866" t="str">
            <v>Tidak</v>
          </cell>
          <cell r="H3866" t="str">
            <v>Tidak</v>
          </cell>
          <cell r="I3866" t="str">
            <v>Bandar Judol Withdrawal</v>
          </cell>
          <cell r="J3866">
            <v>35</v>
          </cell>
          <cell r="K3866" t="str">
            <v>86,88,87</v>
          </cell>
          <cell r="L3866" t="str">
            <v>Judi Online</v>
          </cell>
          <cell r="M3866" t="str">
            <v xml:space="preserve">Kas Kanpus                              </v>
          </cell>
          <cell r="N3866" t="str">
            <v xml:space="preserve">Kas Kanpus                              </v>
          </cell>
          <cell r="O3866" t="str">
            <v xml:space="preserve">KAS KANPUS                              </v>
          </cell>
          <cell r="P3866" t="str">
            <v>Ya</v>
          </cell>
          <cell r="Q3866" t="str">
            <v>Ya</v>
          </cell>
          <cell r="R3866" t="str">
            <v>Done</v>
          </cell>
          <cell r="S3866" t="str">
            <v>Approved</v>
          </cell>
          <cell r="T3866" t="str">
            <v>90150130 - Intan Aida Pratiwi</v>
          </cell>
          <cell r="U3866" t="str">
            <v>"-"</v>
          </cell>
        </row>
        <row r="3867">
          <cell r="A3867">
            <v>46265</v>
          </cell>
          <cell r="B3867" t="str">
            <v xml:space="preserve">AHMAD FADLI                             </v>
          </cell>
          <cell r="C3867" t="str">
            <v>ADFNA73</v>
          </cell>
          <cell r="D3867">
            <v>28301084023507</v>
          </cell>
          <cell r="F3867" t="str">
            <v>Tidak</v>
          </cell>
          <cell r="G3867" t="str">
            <v>Tidak</v>
          </cell>
          <cell r="H3867" t="str">
            <v>Tidak</v>
          </cell>
          <cell r="I3867" t="str">
            <v>Bandar Judol Withdrawal</v>
          </cell>
          <cell r="J3867">
            <v>35</v>
          </cell>
          <cell r="K3867" t="str">
            <v>86,88,87</v>
          </cell>
          <cell r="L3867" t="str">
            <v>Judi Online</v>
          </cell>
          <cell r="M3867" t="str">
            <v xml:space="preserve">Kas Kanpus                              </v>
          </cell>
          <cell r="N3867" t="str">
            <v xml:space="preserve">Kas Kanpus                              </v>
          </cell>
          <cell r="O3867" t="str">
            <v xml:space="preserve">KAS KANPUS                              </v>
          </cell>
          <cell r="P3867" t="str">
            <v>Ya</v>
          </cell>
          <cell r="Q3867" t="str">
            <v>Ya</v>
          </cell>
          <cell r="R3867" t="str">
            <v>Done</v>
          </cell>
          <cell r="S3867" t="str">
            <v>Approved</v>
          </cell>
          <cell r="T3867" t="str">
            <v>00394521 - Muhammad Hibbanduta</v>
          </cell>
          <cell r="U3867" t="str">
            <v>"-"</v>
          </cell>
        </row>
        <row r="3868">
          <cell r="A3868">
            <v>46265</v>
          </cell>
          <cell r="B3868" t="str">
            <v xml:space="preserve">ANDI                                    </v>
          </cell>
          <cell r="C3868" t="str">
            <v>ADHAY71</v>
          </cell>
          <cell r="D3868">
            <v>82701043592507</v>
          </cell>
          <cell r="F3868" t="str">
            <v>Tidak</v>
          </cell>
          <cell r="G3868" t="str">
            <v>Tidak</v>
          </cell>
          <cell r="H3868" t="str">
            <v>Tidak</v>
          </cell>
          <cell r="I3868" t="str">
            <v>Bandar Judol Withdrawal</v>
          </cell>
          <cell r="J3868">
            <v>35</v>
          </cell>
          <cell r="K3868" t="str">
            <v>86,88,87</v>
          </cell>
          <cell r="L3868" t="str">
            <v>Judi Online</v>
          </cell>
          <cell r="M3868" t="str">
            <v xml:space="preserve">Kas Kanpus                              </v>
          </cell>
          <cell r="N3868" t="str">
            <v xml:space="preserve">Kas Kanpus                              </v>
          </cell>
          <cell r="O3868" t="str">
            <v xml:space="preserve">KAS KANPUS                              </v>
          </cell>
          <cell r="P3868" t="str">
            <v>Ya</v>
          </cell>
          <cell r="Q3868" t="str">
            <v>Ya</v>
          </cell>
          <cell r="R3868" t="str">
            <v>Done</v>
          </cell>
          <cell r="S3868" t="str">
            <v>Approved</v>
          </cell>
          <cell r="T3868" t="str">
            <v>90186790 - Muhammad Alfin Farha</v>
          </cell>
          <cell r="U3868" t="str">
            <v>"-"</v>
          </cell>
        </row>
        <row r="3869">
          <cell r="A3869">
            <v>46265</v>
          </cell>
          <cell r="B3869" t="str">
            <v xml:space="preserve">ARDIANSYAH                              </v>
          </cell>
          <cell r="C3869" t="str">
            <v>ADHFY75</v>
          </cell>
          <cell r="D3869">
            <v>33601003834566</v>
          </cell>
          <cell r="F3869" t="str">
            <v>Tidak</v>
          </cell>
          <cell r="G3869" t="str">
            <v>Tidak</v>
          </cell>
          <cell r="H3869" t="str">
            <v>Tidak</v>
          </cell>
          <cell r="I3869" t="str">
            <v>Bandar Judol Withdrawal</v>
          </cell>
          <cell r="J3869">
            <v>35</v>
          </cell>
          <cell r="K3869" t="str">
            <v>86,88,87</v>
          </cell>
          <cell r="L3869" t="str">
            <v>Judi Online</v>
          </cell>
          <cell r="M3869" t="str">
            <v xml:space="preserve">Kas Kanpus                              </v>
          </cell>
          <cell r="N3869" t="str">
            <v xml:space="preserve">Kas Kanpus                              </v>
          </cell>
          <cell r="O3869" t="str">
            <v xml:space="preserve">KAS KANPUS                              </v>
          </cell>
          <cell r="P3869" t="str">
            <v>Ya</v>
          </cell>
          <cell r="Q3869" t="str">
            <v>Ya</v>
          </cell>
          <cell r="R3869" t="str">
            <v>Done</v>
          </cell>
          <cell r="S3869" t="str">
            <v>Approved</v>
          </cell>
          <cell r="T3869" t="str">
            <v>90185537 - Moh.Khoerul Fajar Ar</v>
          </cell>
          <cell r="U3869" t="str">
            <v>"-"</v>
          </cell>
        </row>
        <row r="3870">
          <cell r="A3870">
            <v>46265</v>
          </cell>
          <cell r="B3870" t="str">
            <v xml:space="preserve">ANDI HERMAWAN                           </v>
          </cell>
          <cell r="C3870" t="str">
            <v>ADHPB67</v>
          </cell>
          <cell r="D3870">
            <v>12001002491566</v>
          </cell>
          <cell r="F3870" t="str">
            <v>Tidak</v>
          </cell>
          <cell r="G3870" t="str">
            <v>Tidak</v>
          </cell>
          <cell r="H3870" t="str">
            <v>Tidak</v>
          </cell>
          <cell r="I3870" t="str">
            <v>Bandar Judol Withdrawal</v>
          </cell>
          <cell r="J3870">
            <v>35</v>
          </cell>
          <cell r="K3870" t="str">
            <v>86,88,87</v>
          </cell>
          <cell r="L3870" t="str">
            <v>Judi Online</v>
          </cell>
          <cell r="M3870" t="str">
            <v xml:space="preserve">Kas Kanpus                              </v>
          </cell>
          <cell r="N3870" t="str">
            <v xml:space="preserve">Kas Kanpus                              </v>
          </cell>
          <cell r="O3870" t="str">
            <v xml:space="preserve">KAS KANPUS                              </v>
          </cell>
          <cell r="P3870" t="str">
            <v>Ya</v>
          </cell>
          <cell r="Q3870" t="str">
            <v>Ya</v>
          </cell>
          <cell r="R3870" t="str">
            <v>Done</v>
          </cell>
          <cell r="S3870" t="str">
            <v>Approved</v>
          </cell>
          <cell r="T3870" t="str">
            <v>00394520 - Frida Akbar Rani</v>
          </cell>
          <cell r="U3870" t="str">
            <v>"-"</v>
          </cell>
        </row>
        <row r="3871">
          <cell r="A3871">
            <v>46265</v>
          </cell>
          <cell r="B3871" t="str">
            <v xml:space="preserve">ADINDA ANGGUN PUTRI                     </v>
          </cell>
          <cell r="C3871" t="str">
            <v>ADGSN19</v>
          </cell>
          <cell r="D3871">
            <v>212601000860563</v>
          </cell>
          <cell r="F3871" t="str">
            <v>Tidak</v>
          </cell>
          <cell r="G3871" t="str">
            <v>Tidak</v>
          </cell>
          <cell r="H3871" t="str">
            <v>Tidak</v>
          </cell>
          <cell r="I3871" t="str">
            <v>Bandar Judol Withdrawal</v>
          </cell>
          <cell r="J3871">
            <v>35</v>
          </cell>
          <cell r="K3871" t="str">
            <v>86,88,87</v>
          </cell>
          <cell r="L3871" t="str">
            <v>Judi Online</v>
          </cell>
          <cell r="M3871" t="str">
            <v xml:space="preserve">Kas Kanpus                              </v>
          </cell>
          <cell r="N3871" t="str">
            <v xml:space="preserve">Kas Kanpus                              </v>
          </cell>
          <cell r="O3871" t="str">
            <v xml:space="preserve">KAS KANPUS                              </v>
          </cell>
          <cell r="P3871" t="str">
            <v>Ya</v>
          </cell>
          <cell r="Q3871" t="str">
            <v>Ya</v>
          </cell>
          <cell r="R3871" t="str">
            <v>Done</v>
          </cell>
          <cell r="S3871" t="str">
            <v>Approved</v>
          </cell>
          <cell r="T3871" t="str">
            <v>90171841 - Rifqi Aziz</v>
          </cell>
          <cell r="U3871" t="str">
            <v>"-"</v>
          </cell>
        </row>
        <row r="3872">
          <cell r="A3872">
            <v>46265</v>
          </cell>
          <cell r="B3872" t="str">
            <v xml:space="preserve">ASEP SAEPUDIN                           </v>
          </cell>
          <cell r="C3872" t="str">
            <v>ADGTB83</v>
          </cell>
          <cell r="D3872">
            <v>38701074471502</v>
          </cell>
          <cell r="F3872" t="str">
            <v>Tidak</v>
          </cell>
          <cell r="G3872" t="str">
            <v>Tidak</v>
          </cell>
          <cell r="H3872" t="str">
            <v>Tidak</v>
          </cell>
          <cell r="I3872" t="str">
            <v>Bandar Judol Withdrawal</v>
          </cell>
          <cell r="J3872">
            <v>35</v>
          </cell>
          <cell r="K3872" t="str">
            <v>86,88,87</v>
          </cell>
          <cell r="L3872" t="str">
            <v>Judi Online</v>
          </cell>
          <cell r="M3872" t="str">
            <v xml:space="preserve">Kas Kanpus                              </v>
          </cell>
          <cell r="N3872" t="str">
            <v xml:space="preserve">Kas Kanpus                              </v>
          </cell>
          <cell r="O3872" t="str">
            <v xml:space="preserve">KAS KANPUS                              </v>
          </cell>
          <cell r="P3872" t="str">
            <v>Ya</v>
          </cell>
          <cell r="Q3872" t="str">
            <v>Ya</v>
          </cell>
          <cell r="R3872" t="str">
            <v>Done</v>
          </cell>
          <cell r="S3872" t="str">
            <v>Approved</v>
          </cell>
          <cell r="T3872" t="str">
            <v>90186796 - Devito Arya Wiradila</v>
          </cell>
          <cell r="U3872" t="str">
            <v>"-"</v>
          </cell>
        </row>
        <row r="3873">
          <cell r="A3873">
            <v>46265</v>
          </cell>
          <cell r="B3873" t="str">
            <v xml:space="preserve">ALFRIDO                                 </v>
          </cell>
          <cell r="C3873" t="str">
            <v>ADGTK70</v>
          </cell>
          <cell r="D3873">
            <v>112901001311562</v>
          </cell>
          <cell r="F3873" t="str">
            <v>Tidak</v>
          </cell>
          <cell r="G3873" t="str">
            <v>Tidak</v>
          </cell>
          <cell r="H3873" t="str">
            <v>Tidak</v>
          </cell>
          <cell r="I3873" t="str">
            <v>Bandar Judol Withdrawal</v>
          </cell>
          <cell r="J3873">
            <v>35</v>
          </cell>
          <cell r="K3873" t="str">
            <v>86,88,87</v>
          </cell>
          <cell r="L3873" t="str">
            <v>Judi Online</v>
          </cell>
          <cell r="M3873" t="str">
            <v xml:space="preserve">Kas Kanpus                              </v>
          </cell>
          <cell r="N3873" t="str">
            <v xml:space="preserve">Kas Kanpus                              </v>
          </cell>
          <cell r="O3873" t="str">
            <v xml:space="preserve">KAS KANPUS                              </v>
          </cell>
          <cell r="P3873" t="str">
            <v>Ya</v>
          </cell>
          <cell r="Q3873" t="str">
            <v>Tidak</v>
          </cell>
          <cell r="R3873" t="str">
            <v>Done</v>
          </cell>
          <cell r="S3873" t="str">
            <v>Approved</v>
          </cell>
          <cell r="T3873" t="str">
            <v>00394520 - Frida Akbar Rani</v>
          </cell>
          <cell r="U3873" t="str">
            <v>"-"</v>
          </cell>
        </row>
        <row r="3874">
          <cell r="A3874">
            <v>46265</v>
          </cell>
          <cell r="B3874" t="str">
            <v xml:space="preserve">ADITYA ALAMSYAH                         </v>
          </cell>
          <cell r="C3874" t="str">
            <v>ADGUH60</v>
          </cell>
          <cell r="D3874">
            <v>43801003918560</v>
          </cell>
          <cell r="F3874" t="str">
            <v>Tidak</v>
          </cell>
          <cell r="G3874" t="str">
            <v>Tidak</v>
          </cell>
          <cell r="H3874" t="str">
            <v>Tidak</v>
          </cell>
          <cell r="I3874" t="str">
            <v>Bandar Judol Withdrawal</v>
          </cell>
          <cell r="J3874">
            <v>35</v>
          </cell>
          <cell r="K3874" t="str">
            <v>86,88,87</v>
          </cell>
          <cell r="L3874" t="str">
            <v>Judi Online</v>
          </cell>
          <cell r="M3874" t="str">
            <v xml:space="preserve">Kas Kanpus                              </v>
          </cell>
          <cell r="N3874" t="str">
            <v xml:space="preserve">Kas Kanpus                              </v>
          </cell>
          <cell r="O3874" t="str">
            <v xml:space="preserve">KAS KANPUS                              </v>
          </cell>
          <cell r="P3874" t="str">
            <v>Ya</v>
          </cell>
          <cell r="Q3874" t="str">
            <v>Ya</v>
          </cell>
          <cell r="R3874" t="str">
            <v>Done</v>
          </cell>
          <cell r="S3874" t="str">
            <v>Approved</v>
          </cell>
          <cell r="T3874" t="str">
            <v>90170665 - Mutiara Ayuningtyas</v>
          </cell>
          <cell r="U3874" t="str">
            <v>"-"</v>
          </cell>
        </row>
        <row r="3875">
          <cell r="A3875">
            <v>46265</v>
          </cell>
          <cell r="B3875" t="str">
            <v xml:space="preserve">ANDREW                                  </v>
          </cell>
          <cell r="C3875" t="str">
            <v>AQIE420</v>
          </cell>
          <cell r="D3875">
            <v>37701080885306</v>
          </cell>
          <cell r="E3875" t="str">
            <v>TINGGI</v>
          </cell>
          <cell r="F3875" t="str">
            <v>Tidak</v>
          </cell>
          <cell r="G3875" t="str">
            <v>Tidak</v>
          </cell>
          <cell r="H3875" t="str">
            <v>Tidak</v>
          </cell>
          <cell r="I3875" t="str">
            <v>Bandar Judol Withdrawal</v>
          </cell>
          <cell r="J3875">
            <v>75</v>
          </cell>
          <cell r="K3875" t="str">
            <v>86,88,87</v>
          </cell>
          <cell r="L3875" t="str">
            <v>Judi Online</v>
          </cell>
          <cell r="M3875" t="str">
            <v xml:space="preserve">Kas Kanpus                              </v>
          </cell>
          <cell r="N3875" t="str">
            <v xml:space="preserve">Kas Kanpus                              </v>
          </cell>
          <cell r="O3875" t="str">
            <v xml:space="preserve">KAS KANPUS                              </v>
          </cell>
          <cell r="P3875" t="str">
            <v>Tidak</v>
          </cell>
          <cell r="Q3875" t="str">
            <v>Tidak</v>
          </cell>
          <cell r="R3875" t="str">
            <v>Done</v>
          </cell>
          <cell r="S3875" t="str">
            <v>Approved</v>
          </cell>
          <cell r="T3875" t="str">
            <v>90171841 - Rifqi Aziz</v>
          </cell>
          <cell r="U3875" t="str">
            <v>"-"</v>
          </cell>
        </row>
        <row r="3876">
          <cell r="A3876">
            <v>46265</v>
          </cell>
          <cell r="B3876" t="str">
            <v xml:space="preserve">ARYADI                                  </v>
          </cell>
          <cell r="C3876" t="str">
            <v>AQIG089</v>
          </cell>
          <cell r="D3876">
            <v>113201019971505</v>
          </cell>
          <cell r="E3876" t="str">
            <v>RENDAH</v>
          </cell>
          <cell r="F3876" t="str">
            <v>Tidak</v>
          </cell>
          <cell r="G3876" t="str">
            <v>Tidak</v>
          </cell>
          <cell r="H3876" t="str">
            <v>Tidak</v>
          </cell>
          <cell r="I3876" t="str">
            <v>Bandar Judol Withdrawal</v>
          </cell>
          <cell r="J3876">
            <v>35</v>
          </cell>
          <cell r="K3876" t="str">
            <v>86,88,87</v>
          </cell>
          <cell r="L3876" t="str">
            <v>Judi Online</v>
          </cell>
          <cell r="M3876" t="str">
            <v xml:space="preserve">Kas Kanpus                              </v>
          </cell>
          <cell r="N3876" t="str">
            <v xml:space="preserve">Kas Kanpus                              </v>
          </cell>
          <cell r="O3876" t="str">
            <v xml:space="preserve">KAS KANPUS                              </v>
          </cell>
          <cell r="P3876" t="str">
            <v>Ya</v>
          </cell>
          <cell r="Q3876" t="str">
            <v>Ya</v>
          </cell>
          <cell r="R3876" t="str">
            <v>Done</v>
          </cell>
          <cell r="S3876" t="str">
            <v>Approved</v>
          </cell>
          <cell r="T3876" t="str">
            <v>90170665 - Mutiara Ayuningtyas</v>
          </cell>
          <cell r="U3876" t="str">
            <v>"-"</v>
          </cell>
        </row>
        <row r="3877">
          <cell r="A3877">
            <v>46265</v>
          </cell>
          <cell r="B3877" t="str">
            <v xml:space="preserve">ABDUL HAVID                             </v>
          </cell>
          <cell r="C3877" t="str">
            <v>AQIV545</v>
          </cell>
          <cell r="D3877">
            <v>5101005545563</v>
          </cell>
          <cell r="E3877" t="str">
            <v>TINGGI</v>
          </cell>
          <cell r="F3877" t="str">
            <v>Tidak</v>
          </cell>
          <cell r="G3877" t="str">
            <v>Tidak</v>
          </cell>
          <cell r="H3877" t="str">
            <v>Tidak</v>
          </cell>
          <cell r="I3877" t="str">
            <v>Terorisme - SIPENDAR</v>
          </cell>
          <cell r="J3877">
            <v>183</v>
          </cell>
          <cell r="K3877">
            <v>36</v>
          </cell>
          <cell r="L3877" t="str">
            <v>Terorisme</v>
          </cell>
          <cell r="M3877" t="str">
            <v xml:space="preserve">Kas Kanpus                              </v>
          </cell>
          <cell r="N3877" t="str">
            <v xml:space="preserve">Kas Kanpus                              </v>
          </cell>
          <cell r="O3877" t="str">
            <v xml:space="preserve">KAS KANPUS                              </v>
          </cell>
          <cell r="P3877" t="str">
            <v>Tidak</v>
          </cell>
          <cell r="Q3877" t="str">
            <v>Tidak</v>
          </cell>
          <cell r="R3877" t="str">
            <v>Done</v>
          </cell>
          <cell r="S3877" t="str">
            <v>Approved</v>
          </cell>
          <cell r="T3877" t="str">
            <v>90186790 - Muhammad Alfin Farha</v>
          </cell>
          <cell r="U3877" t="str">
            <v>"-"</v>
          </cell>
        </row>
        <row r="3878">
          <cell r="A3878">
            <v>46265</v>
          </cell>
          <cell r="B3878" t="str">
            <v xml:space="preserve">ASEP CAHYADI                            </v>
          </cell>
          <cell r="C3878" t="str">
            <v>APH8403</v>
          </cell>
          <cell r="D3878">
            <v>404801009266538</v>
          </cell>
          <cell r="E3878" t="str">
            <v>SEDANG</v>
          </cell>
          <cell r="F3878" t="str">
            <v>Tidak</v>
          </cell>
          <cell r="G3878" t="str">
            <v>Tidak</v>
          </cell>
          <cell r="H3878" t="str">
            <v>Tidak</v>
          </cell>
          <cell r="I3878" t="str">
            <v>Bandar Judol Depo</v>
          </cell>
          <cell r="J3878">
            <v>50</v>
          </cell>
          <cell r="K3878" t="str">
            <v>86,74,87</v>
          </cell>
          <cell r="L3878" t="str">
            <v>Judi Online</v>
          </cell>
          <cell r="M3878" t="str">
            <v xml:space="preserve">Kas Kanpus                              </v>
          </cell>
          <cell r="N3878" t="str">
            <v xml:space="preserve">Kas Kanpus                              </v>
          </cell>
          <cell r="O3878" t="str">
            <v xml:space="preserve">KAS KANPUS                              </v>
          </cell>
          <cell r="P3878" t="str">
            <v>Ya</v>
          </cell>
          <cell r="Q3878" t="str">
            <v>Ya</v>
          </cell>
          <cell r="R3878" t="str">
            <v>Done</v>
          </cell>
          <cell r="S3878" t="str">
            <v>Approved</v>
          </cell>
          <cell r="T3878" t="str">
            <v>90186790 - Muhammad Alfin Farha</v>
          </cell>
          <cell r="U3878" t="str">
            <v>"-"</v>
          </cell>
        </row>
        <row r="3879">
          <cell r="A3879">
            <v>46265</v>
          </cell>
          <cell r="B3879" t="str">
            <v xml:space="preserve">ANI PARWATI                             </v>
          </cell>
          <cell r="C3879" t="str">
            <v>AOPC788</v>
          </cell>
          <cell r="D3879">
            <v>82601006389509</v>
          </cell>
          <cell r="E3879" t="str">
            <v>SEDANG</v>
          </cell>
          <cell r="F3879" t="str">
            <v>Tidak</v>
          </cell>
          <cell r="G3879" t="str">
            <v>Tidak</v>
          </cell>
          <cell r="H3879" t="str">
            <v>Tidak</v>
          </cell>
          <cell r="I3879" t="str">
            <v>Bandar Judol Withdrawal</v>
          </cell>
          <cell r="J3879">
            <v>50</v>
          </cell>
          <cell r="K3879" t="str">
            <v>86,88,87</v>
          </cell>
          <cell r="L3879" t="str">
            <v>Judi Online</v>
          </cell>
          <cell r="M3879" t="str">
            <v xml:space="preserve">Kas Kanpus                              </v>
          </cell>
          <cell r="N3879" t="str">
            <v xml:space="preserve">Kas Kanpus                              </v>
          </cell>
          <cell r="O3879" t="str">
            <v xml:space="preserve">KAS KANPUS                              </v>
          </cell>
          <cell r="P3879" t="str">
            <v>Ya</v>
          </cell>
          <cell r="Q3879" t="str">
            <v>Ya</v>
          </cell>
          <cell r="R3879" t="str">
            <v>Done</v>
          </cell>
          <cell r="S3879" t="str">
            <v>Approved</v>
          </cell>
          <cell r="T3879" t="str">
            <v>90150130 - Intan Aida Pratiwi</v>
          </cell>
          <cell r="U3879" t="str">
            <v>"-"</v>
          </cell>
        </row>
        <row r="3880">
          <cell r="A3880">
            <v>46265</v>
          </cell>
          <cell r="B3880" t="str">
            <v xml:space="preserve">AGUNG RAMADHAN                          </v>
          </cell>
          <cell r="C3880" t="str">
            <v>AQVH809</v>
          </cell>
          <cell r="D3880">
            <v>108901007908537</v>
          </cell>
          <cell r="E3880" t="str">
            <v>SEDANG</v>
          </cell>
          <cell r="F3880" t="str">
            <v>Tidak</v>
          </cell>
          <cell r="G3880" t="str">
            <v>Tidak</v>
          </cell>
          <cell r="H3880" t="str">
            <v>Tidak</v>
          </cell>
          <cell r="I3880" t="str">
            <v>Bandar Judol Withdrawal</v>
          </cell>
          <cell r="J3880">
            <v>50</v>
          </cell>
          <cell r="K3880" t="str">
            <v>86,88,87</v>
          </cell>
          <cell r="L3880" t="str">
            <v>Judi Online</v>
          </cell>
          <cell r="M3880" t="str">
            <v xml:space="preserve">Kas Kanpus                              </v>
          </cell>
          <cell r="N3880" t="str">
            <v xml:space="preserve">Kas Kanpus                              </v>
          </cell>
          <cell r="O3880" t="str">
            <v xml:space="preserve">KAS KANPUS                              </v>
          </cell>
          <cell r="P3880" t="str">
            <v>Ya</v>
          </cell>
          <cell r="Q3880" t="str">
            <v>Tidak</v>
          </cell>
          <cell r="R3880" t="str">
            <v>Done</v>
          </cell>
          <cell r="S3880" t="str">
            <v>Approved</v>
          </cell>
          <cell r="T3880" t="str">
            <v>00394520 - Frida Akbar Rani</v>
          </cell>
          <cell r="U3880" t="str">
            <v>"-"</v>
          </cell>
        </row>
        <row r="3881">
          <cell r="A3881">
            <v>46265</v>
          </cell>
          <cell r="B3881" t="str">
            <v xml:space="preserve">ABDULLAH C                              </v>
          </cell>
          <cell r="C3881" t="str">
            <v>ARB9882</v>
          </cell>
          <cell r="D3881">
            <v>56001017293533</v>
          </cell>
          <cell r="E3881" t="str">
            <v>SEDANG</v>
          </cell>
          <cell r="F3881" t="str">
            <v>Tidak</v>
          </cell>
          <cell r="G3881" t="str">
            <v>Tidak</v>
          </cell>
          <cell r="H3881" t="str">
            <v>Tidak</v>
          </cell>
          <cell r="I3881" t="str">
            <v>Bandar Judol Depo</v>
          </cell>
          <cell r="J3881">
            <v>50</v>
          </cell>
          <cell r="K3881" t="str">
            <v>86,74,87</v>
          </cell>
          <cell r="L3881" t="str">
            <v>Judi Online</v>
          </cell>
          <cell r="M3881" t="str">
            <v xml:space="preserve">Kas Kanpus                              </v>
          </cell>
          <cell r="N3881" t="str">
            <v xml:space="preserve">Kas Kanpus                              </v>
          </cell>
          <cell r="O3881" t="str">
            <v xml:space="preserve">KAS KANPUS                              </v>
          </cell>
          <cell r="P3881" t="str">
            <v>Ya</v>
          </cell>
          <cell r="Q3881" t="str">
            <v>Ya</v>
          </cell>
          <cell r="R3881" t="str">
            <v>Done</v>
          </cell>
          <cell r="S3881" t="str">
            <v>Approved</v>
          </cell>
          <cell r="T3881" t="str">
            <v>00336949 - Mochammad Al Farabi</v>
          </cell>
          <cell r="U3881" t="str">
            <v>"-"</v>
          </cell>
        </row>
        <row r="3882">
          <cell r="A3882">
            <v>46265</v>
          </cell>
          <cell r="B3882" t="str">
            <v xml:space="preserve">AHMAD SYAEFI                            </v>
          </cell>
          <cell r="C3882" t="str">
            <v>ARJ8544</v>
          </cell>
          <cell r="D3882">
            <v>19001002203304</v>
          </cell>
          <cell r="E3882" t="str">
            <v>SEDANG</v>
          </cell>
          <cell r="F3882" t="str">
            <v>Tidak</v>
          </cell>
          <cell r="G3882" t="str">
            <v>Tidak</v>
          </cell>
          <cell r="H3882" t="str">
            <v>Tidak</v>
          </cell>
          <cell r="I3882" t="str">
            <v>Pencurian Rekening</v>
          </cell>
          <cell r="J3882">
            <v>49</v>
          </cell>
          <cell r="K3882">
            <v>59</v>
          </cell>
          <cell r="L3882" t="str">
            <v>Perbankan</v>
          </cell>
          <cell r="M3882" t="str">
            <v xml:space="preserve">KC Bumiayu                              </v>
          </cell>
          <cell r="N3882" t="str">
            <v xml:space="preserve">KC Bumiayu                              </v>
          </cell>
          <cell r="O3882" t="str">
            <v xml:space="preserve">Semarang                                </v>
          </cell>
          <cell r="P3882" t="str">
            <v>Tidak</v>
          </cell>
          <cell r="Q3882" t="str">
            <v>Tidak</v>
          </cell>
          <cell r="R3882" t="str">
            <v>Done</v>
          </cell>
          <cell r="S3882" t="str">
            <v>Approved</v>
          </cell>
          <cell r="T3882" t="str">
            <v>90170665 - Mutiara Ayuningtyas</v>
          </cell>
          <cell r="U3882" t="str">
            <v>"-"</v>
          </cell>
        </row>
        <row r="3883">
          <cell r="A3883">
            <v>46265</v>
          </cell>
          <cell r="B3883" t="str">
            <v xml:space="preserve">ANITA RUSWANDANI                        </v>
          </cell>
          <cell r="C3883" t="str">
            <v>ARM3134</v>
          </cell>
          <cell r="D3883">
            <v>649701007697536</v>
          </cell>
          <cell r="E3883" t="str">
            <v>SEDANG</v>
          </cell>
          <cell r="F3883" t="str">
            <v>Tidak</v>
          </cell>
          <cell r="G3883" t="str">
            <v>Tidak</v>
          </cell>
          <cell r="H3883" t="str">
            <v>Tidak</v>
          </cell>
          <cell r="I3883" t="str">
            <v>Bandar Judol Depo</v>
          </cell>
          <cell r="J3883">
            <v>50</v>
          </cell>
          <cell r="K3883" t="str">
            <v>86,74,87</v>
          </cell>
          <cell r="L3883" t="str">
            <v>Judi Online</v>
          </cell>
          <cell r="M3883" t="str">
            <v xml:space="preserve">Kas Kanpus                              </v>
          </cell>
          <cell r="N3883" t="str">
            <v xml:space="preserve">Kas Kanpus                              </v>
          </cell>
          <cell r="O3883" t="str">
            <v xml:space="preserve">KAS KANPUS                              </v>
          </cell>
          <cell r="P3883" t="str">
            <v>Tidak</v>
          </cell>
          <cell r="Q3883" t="str">
            <v>Tidak</v>
          </cell>
          <cell r="R3883" t="str">
            <v>Done</v>
          </cell>
          <cell r="S3883" t="str">
            <v>Approved</v>
          </cell>
          <cell r="T3883" t="str">
            <v>90171841 - Rifqi Aziz</v>
          </cell>
          <cell r="U3883" t="str">
            <v>"-"</v>
          </cell>
        </row>
        <row r="3884">
          <cell r="A3884">
            <v>46265</v>
          </cell>
          <cell r="B3884" t="str">
            <v xml:space="preserve">ADINDA NURUL FATIMAH                    </v>
          </cell>
          <cell r="C3884" t="str">
            <v>ARNL467</v>
          </cell>
          <cell r="D3884">
            <v>7001037031532</v>
          </cell>
          <cell r="E3884" t="str">
            <v>SEDANG</v>
          </cell>
          <cell r="F3884" t="str">
            <v>Tidak</v>
          </cell>
          <cell r="G3884" t="str">
            <v>Tidak</v>
          </cell>
          <cell r="H3884" t="str">
            <v>Tidak</v>
          </cell>
          <cell r="I3884" t="str">
            <v>Bandar Judol Depo</v>
          </cell>
          <cell r="J3884">
            <v>50</v>
          </cell>
          <cell r="K3884" t="str">
            <v>86,74,87</v>
          </cell>
          <cell r="L3884" t="str">
            <v>Judi Online</v>
          </cell>
          <cell r="M3884" t="str">
            <v xml:space="preserve">Kas Kanpus                              </v>
          </cell>
          <cell r="N3884" t="str">
            <v xml:space="preserve">Kas Kanpus                              </v>
          </cell>
          <cell r="O3884" t="str">
            <v xml:space="preserve">KAS KANPUS                              </v>
          </cell>
          <cell r="P3884" t="str">
            <v>Tidak</v>
          </cell>
          <cell r="Q3884" t="str">
            <v>Ya</v>
          </cell>
          <cell r="R3884" t="str">
            <v>Done</v>
          </cell>
          <cell r="S3884" t="str">
            <v>Approved</v>
          </cell>
          <cell r="T3884" t="str">
            <v>90171841 - Rifqi Aziz</v>
          </cell>
          <cell r="U3884" t="str">
            <v>"-"</v>
          </cell>
        </row>
        <row r="3885">
          <cell r="A3885">
            <v>46265</v>
          </cell>
          <cell r="B3885" t="str">
            <v xml:space="preserve">ASIH SUPRIYATIN                         </v>
          </cell>
          <cell r="C3885" t="str">
            <v>ARU5262</v>
          </cell>
          <cell r="D3885">
            <v>39901001877568</v>
          </cell>
          <cell r="E3885" t="str">
            <v>SEDANG</v>
          </cell>
          <cell r="F3885" t="str">
            <v>Tidak</v>
          </cell>
          <cell r="G3885" t="str">
            <v>Tidak</v>
          </cell>
          <cell r="H3885" t="str">
            <v>Tidak</v>
          </cell>
          <cell r="I3885" t="str">
            <v>Bandar Judol Withdrawal</v>
          </cell>
          <cell r="J3885">
            <v>50</v>
          </cell>
          <cell r="K3885" t="str">
            <v>86,88,87</v>
          </cell>
          <cell r="L3885" t="str">
            <v>Judi Online</v>
          </cell>
          <cell r="M3885" t="str">
            <v xml:space="preserve">Kas Kanpus                              </v>
          </cell>
          <cell r="N3885" t="str">
            <v xml:space="preserve">Kas Kanpus                              </v>
          </cell>
          <cell r="O3885" t="str">
            <v xml:space="preserve">KAS KANPUS                              </v>
          </cell>
          <cell r="P3885" t="str">
            <v>Ya</v>
          </cell>
          <cell r="Q3885" t="str">
            <v>Ya</v>
          </cell>
          <cell r="R3885" t="str">
            <v>Done</v>
          </cell>
          <cell r="S3885" t="str">
            <v>Approved</v>
          </cell>
          <cell r="T3885" t="str">
            <v>90150130 - Intan Aida Pratiwi</v>
          </cell>
          <cell r="U3885" t="str">
            <v>"-"</v>
          </cell>
        </row>
        <row r="3886">
          <cell r="A3886">
            <v>46265</v>
          </cell>
          <cell r="B3886" t="str">
            <v xml:space="preserve">ANDRE PRATAMA                           </v>
          </cell>
          <cell r="C3886" t="str">
            <v>ASFU848</v>
          </cell>
          <cell r="D3886">
            <v>109001029089502</v>
          </cell>
          <cell r="E3886" t="str">
            <v>SEDANG</v>
          </cell>
          <cell r="F3886" t="str">
            <v>Tidak</v>
          </cell>
          <cell r="G3886" t="str">
            <v>Tidak</v>
          </cell>
          <cell r="H3886" t="str">
            <v>Ya</v>
          </cell>
          <cell r="I3886" t="str">
            <v>Bandar Judol Depo</v>
          </cell>
          <cell r="J3886">
            <v>50</v>
          </cell>
          <cell r="K3886" t="str">
            <v>86,74,87</v>
          </cell>
          <cell r="L3886" t="str">
            <v>Judi Online</v>
          </cell>
          <cell r="M3886" t="str">
            <v xml:space="preserve">Kas Kanpus                              </v>
          </cell>
          <cell r="N3886" t="str">
            <v xml:space="preserve">Kas Kanpus                              </v>
          </cell>
          <cell r="O3886" t="str">
            <v xml:space="preserve">KAS KANPUS                              </v>
          </cell>
          <cell r="P3886" t="str">
            <v>Ya</v>
          </cell>
          <cell r="Q3886" t="str">
            <v>Ya</v>
          </cell>
          <cell r="R3886" t="str">
            <v>Done</v>
          </cell>
          <cell r="S3886" t="str">
            <v>Approved</v>
          </cell>
          <cell r="T3886" t="str">
            <v>90150130 - Intan Aida Pratiwi</v>
          </cell>
          <cell r="U3886" t="str">
            <v>"-"</v>
          </cell>
        </row>
        <row r="3887">
          <cell r="A3887">
            <v>46265</v>
          </cell>
          <cell r="B3887" t="str">
            <v xml:space="preserve">ADITYA GUMAI SAMIUN                     </v>
          </cell>
          <cell r="C3887" t="str">
            <v>ASKQ722</v>
          </cell>
          <cell r="D3887">
            <v>10301001915563</v>
          </cell>
          <cell r="E3887" t="str">
            <v>SEDANG</v>
          </cell>
          <cell r="F3887" t="str">
            <v>Tidak</v>
          </cell>
          <cell r="G3887" t="str">
            <v>Tidak</v>
          </cell>
          <cell r="H3887" t="str">
            <v>Tidak</v>
          </cell>
          <cell r="I3887" t="str">
            <v>Bandar Judol Withdrawal</v>
          </cell>
          <cell r="J3887">
            <v>50</v>
          </cell>
          <cell r="K3887" t="str">
            <v>86,88,87</v>
          </cell>
          <cell r="L3887" t="str">
            <v>Judi Online</v>
          </cell>
          <cell r="M3887" t="str">
            <v xml:space="preserve">Kas Kanpus                              </v>
          </cell>
          <cell r="N3887" t="str">
            <v xml:space="preserve">Kas Kanpus                              </v>
          </cell>
          <cell r="O3887" t="str">
            <v xml:space="preserve">KAS KANPUS                              </v>
          </cell>
          <cell r="P3887" t="str">
            <v>Tidak</v>
          </cell>
          <cell r="Q3887" t="str">
            <v>Tidak</v>
          </cell>
          <cell r="R3887" t="str">
            <v>Done</v>
          </cell>
          <cell r="S3887" t="str">
            <v>Approved</v>
          </cell>
          <cell r="T3887" t="str">
            <v>00336949 - Mochammad Al Farabi</v>
          </cell>
          <cell r="U3887" t="str">
            <v>"-"</v>
          </cell>
        </row>
        <row r="3888">
          <cell r="A3888">
            <v>46265</v>
          </cell>
          <cell r="B3888" t="str">
            <v xml:space="preserve">ANISA YOLANDA                           </v>
          </cell>
          <cell r="C3888" t="str">
            <v>ASDZ556</v>
          </cell>
          <cell r="D3888">
            <v>763501014533534</v>
          </cell>
          <cell r="E3888" t="str">
            <v>SEDANG</v>
          </cell>
          <cell r="F3888" t="str">
            <v>Tidak</v>
          </cell>
          <cell r="G3888" t="str">
            <v>Tidak</v>
          </cell>
          <cell r="H3888" t="str">
            <v>Tidak</v>
          </cell>
          <cell r="I3888" t="str">
            <v>Bandar Judol Withdrawal</v>
          </cell>
          <cell r="J3888">
            <v>50</v>
          </cell>
          <cell r="K3888" t="str">
            <v>86,88,87</v>
          </cell>
          <cell r="L3888" t="str">
            <v>Judi Online</v>
          </cell>
          <cell r="M3888" t="str">
            <v xml:space="preserve">Kas Kanpus                              </v>
          </cell>
          <cell r="N3888" t="str">
            <v xml:space="preserve">Kas Kanpus                              </v>
          </cell>
          <cell r="O3888" t="str">
            <v xml:space="preserve">KAS KANPUS                              </v>
          </cell>
          <cell r="P3888" t="str">
            <v>Ya</v>
          </cell>
          <cell r="Q3888" t="str">
            <v>Ya</v>
          </cell>
          <cell r="R3888" t="str">
            <v>Done</v>
          </cell>
          <cell r="S3888" t="str">
            <v>Approved</v>
          </cell>
          <cell r="T3888" t="str">
            <v>90186796 - Devito Arya Wiradila</v>
          </cell>
          <cell r="U3888" t="str">
            <v>"-"</v>
          </cell>
        </row>
        <row r="3889">
          <cell r="A3889">
            <v>46265</v>
          </cell>
          <cell r="B3889" t="str">
            <v xml:space="preserve">ARSONI PRANATA                          </v>
          </cell>
          <cell r="C3889" t="str">
            <v>ASE5669</v>
          </cell>
          <cell r="D3889">
            <v>4001000841569</v>
          </cell>
          <cell r="E3889" t="str">
            <v>TINGGI</v>
          </cell>
          <cell r="F3889" t="str">
            <v>Ya</v>
          </cell>
          <cell r="G3889" t="str">
            <v>Tidak</v>
          </cell>
          <cell r="H3889" t="str">
            <v>Tidak</v>
          </cell>
          <cell r="I3889" t="str">
            <v>Narkotika - Area Lapas</v>
          </cell>
          <cell r="J3889">
            <v>70</v>
          </cell>
          <cell r="K3889">
            <v>46</v>
          </cell>
          <cell r="L3889" t="str">
            <v>Narkotika</v>
          </cell>
          <cell r="M3889" t="str">
            <v>KC Lahat</v>
          </cell>
          <cell r="N3889" t="str">
            <v>KC Lahat</v>
          </cell>
          <cell r="O3889" t="str">
            <v>Palembang</v>
          </cell>
          <cell r="P3889" t="str">
            <v>Tidak</v>
          </cell>
          <cell r="Q3889" t="str">
            <v>Tidak</v>
          </cell>
          <cell r="R3889" t="str">
            <v>Done</v>
          </cell>
          <cell r="S3889" t="str">
            <v>Approved</v>
          </cell>
          <cell r="T3889" t="str">
            <v>00394521 - Muhammad Hibbanduta</v>
          </cell>
          <cell r="U3889" t="str">
            <v>"-"</v>
          </cell>
        </row>
        <row r="3890">
          <cell r="A3890">
            <v>46265</v>
          </cell>
          <cell r="B3890" t="str">
            <v xml:space="preserve">ARI                                     </v>
          </cell>
          <cell r="C3890" t="str">
            <v>ARF6013</v>
          </cell>
          <cell r="D3890">
            <v>114301000467566</v>
          </cell>
          <cell r="E3890" t="str">
            <v>SEDANG</v>
          </cell>
          <cell r="F3890" t="str">
            <v>Tidak</v>
          </cell>
          <cell r="G3890" t="str">
            <v>Tidak</v>
          </cell>
          <cell r="H3890" t="str">
            <v>Tidak</v>
          </cell>
          <cell r="I3890" t="str">
            <v>Bandar Judol Depo</v>
          </cell>
          <cell r="J3890">
            <v>50</v>
          </cell>
          <cell r="K3890" t="str">
            <v>86,74,87</v>
          </cell>
          <cell r="L3890" t="str">
            <v>Judi Online</v>
          </cell>
          <cell r="M3890" t="str">
            <v xml:space="preserve">Kas Kanpus                              </v>
          </cell>
          <cell r="N3890" t="str">
            <v xml:space="preserve">Kas Kanpus                              </v>
          </cell>
          <cell r="O3890" t="str">
            <v xml:space="preserve">KAS KANPUS                              </v>
          </cell>
          <cell r="P3890" t="str">
            <v>Ya</v>
          </cell>
          <cell r="Q3890" t="str">
            <v>Ya</v>
          </cell>
          <cell r="R3890" t="str">
            <v>Done</v>
          </cell>
          <cell r="S3890" t="str">
            <v>Approved</v>
          </cell>
          <cell r="T3890" t="str">
            <v>90171841 - Rifqi Aziz</v>
          </cell>
          <cell r="U3890" t="str">
            <v>"-"</v>
          </cell>
        </row>
        <row r="3891">
          <cell r="A3891">
            <v>46265</v>
          </cell>
          <cell r="B3891" t="str">
            <v xml:space="preserve">AGUSSALIM                               </v>
          </cell>
          <cell r="C3891" t="str">
            <v>AOK9384</v>
          </cell>
          <cell r="D3891">
            <v>107401017423508</v>
          </cell>
          <cell r="E3891" t="str">
            <v>TINGGI</v>
          </cell>
          <cell r="F3891" t="str">
            <v>Tidak</v>
          </cell>
          <cell r="G3891" t="str">
            <v>Tidak</v>
          </cell>
          <cell r="H3891" t="str">
            <v>Tidak</v>
          </cell>
          <cell r="I3891" t="str">
            <v>Terorisme - SIPENDAR</v>
          </cell>
          <cell r="J3891">
            <v>186</v>
          </cell>
          <cell r="K3891">
            <v>36</v>
          </cell>
          <cell r="L3891" t="str">
            <v>Terorisme</v>
          </cell>
          <cell r="M3891" t="str">
            <v xml:space="preserve">Kas Kanpus                              </v>
          </cell>
          <cell r="N3891" t="str">
            <v xml:space="preserve">Kas Kanpus                              </v>
          </cell>
          <cell r="O3891" t="str">
            <v xml:space="preserve">KAS KANPUS                              </v>
          </cell>
          <cell r="P3891" t="str">
            <v>Tidak</v>
          </cell>
          <cell r="Q3891" t="str">
            <v>Tidak</v>
          </cell>
          <cell r="R3891" t="str">
            <v>Done</v>
          </cell>
          <cell r="S3891" t="str">
            <v>Approved</v>
          </cell>
          <cell r="T3891" t="str">
            <v>90170665 - Mutiara Ayuningtyas</v>
          </cell>
          <cell r="U3891" t="str">
            <v>"-"</v>
          </cell>
        </row>
        <row r="3892">
          <cell r="A3892">
            <v>46265</v>
          </cell>
          <cell r="B3892" t="str">
            <v xml:space="preserve">ASBULLAH                                </v>
          </cell>
          <cell r="C3892" t="str">
            <v>APCC893</v>
          </cell>
          <cell r="D3892">
            <v>530001019581535</v>
          </cell>
          <cell r="E3892" t="str">
            <v>SEDANG</v>
          </cell>
          <cell r="F3892" t="str">
            <v>Tidak</v>
          </cell>
          <cell r="G3892" t="str">
            <v>Tidak</v>
          </cell>
          <cell r="H3892" t="str">
            <v>Tidak</v>
          </cell>
          <cell r="I3892" t="str">
            <v>Bandar Judol Withdrawal</v>
          </cell>
          <cell r="J3892">
            <v>50</v>
          </cell>
          <cell r="K3892" t="str">
            <v>86,88,87</v>
          </cell>
          <cell r="L3892" t="str">
            <v>Judi Online</v>
          </cell>
          <cell r="M3892" t="str">
            <v xml:space="preserve">Kas Kanpus                              </v>
          </cell>
          <cell r="N3892" t="str">
            <v xml:space="preserve">Kas Kanpus                              </v>
          </cell>
          <cell r="O3892" t="str">
            <v xml:space="preserve">KAS KANPUS                              </v>
          </cell>
          <cell r="P3892" t="str">
            <v>Ya</v>
          </cell>
          <cell r="Q3892" t="str">
            <v>Ya</v>
          </cell>
          <cell r="R3892" t="str">
            <v>Done</v>
          </cell>
          <cell r="S3892" t="str">
            <v>Approved</v>
          </cell>
          <cell r="T3892" t="str">
            <v>00394521 - Muhammad Hibbanduta</v>
          </cell>
          <cell r="U3892" t="str">
            <v>"-"</v>
          </cell>
        </row>
        <row r="3893">
          <cell r="A3893">
            <v>46265</v>
          </cell>
          <cell r="B3893" t="str">
            <v xml:space="preserve">AHMAD ABIDIN                            </v>
          </cell>
          <cell r="C3893" t="str">
            <v>ANPV922</v>
          </cell>
          <cell r="D3893">
            <v>44001027071503</v>
          </cell>
          <cell r="E3893" t="str">
            <v>SEDANG</v>
          </cell>
          <cell r="F3893" t="str">
            <v>Tidak</v>
          </cell>
          <cell r="G3893" t="str">
            <v>Tidak</v>
          </cell>
          <cell r="H3893" t="str">
            <v>Tidak</v>
          </cell>
          <cell r="I3893" t="str">
            <v>Bandar Judol Depo</v>
          </cell>
          <cell r="J3893">
            <v>50</v>
          </cell>
          <cell r="K3893" t="str">
            <v>86,74,87</v>
          </cell>
          <cell r="L3893" t="str">
            <v>Judi Online</v>
          </cell>
          <cell r="M3893" t="str">
            <v xml:space="preserve">Kas Kanpus                              </v>
          </cell>
          <cell r="N3893" t="str">
            <v xml:space="preserve">Kas Kanpus                              </v>
          </cell>
          <cell r="O3893" t="str">
            <v xml:space="preserve">KAS KANPUS                              </v>
          </cell>
          <cell r="P3893" t="str">
            <v>Ya</v>
          </cell>
          <cell r="Q3893" t="str">
            <v>Ya</v>
          </cell>
          <cell r="R3893" t="str">
            <v>Done</v>
          </cell>
          <cell r="S3893" t="str">
            <v>Approved</v>
          </cell>
          <cell r="T3893" t="str">
            <v>90185537 - Moh.Khoerul Fajar Ar</v>
          </cell>
          <cell r="U3893" t="str">
            <v>"-"</v>
          </cell>
        </row>
        <row r="3894">
          <cell r="A3894">
            <v>46265</v>
          </cell>
          <cell r="B3894" t="str">
            <v xml:space="preserve">ADE ERAWAN                              </v>
          </cell>
          <cell r="C3894" t="str">
            <v>AOGY218</v>
          </cell>
          <cell r="D3894">
            <v>1901003231566</v>
          </cell>
          <cell r="E3894" t="str">
            <v>SEDANG</v>
          </cell>
          <cell r="F3894" t="str">
            <v>Tidak</v>
          </cell>
          <cell r="G3894" t="str">
            <v>Tidak</v>
          </cell>
          <cell r="H3894" t="str">
            <v>Tidak</v>
          </cell>
          <cell r="I3894" t="str">
            <v>Bandar Judol Withdrawal</v>
          </cell>
          <cell r="J3894">
            <v>50</v>
          </cell>
          <cell r="K3894" t="str">
            <v>86,88,87</v>
          </cell>
          <cell r="L3894" t="str">
            <v>Judi Online</v>
          </cell>
          <cell r="M3894" t="str">
            <v xml:space="preserve">Kas Kanpus                              </v>
          </cell>
          <cell r="N3894" t="str">
            <v xml:space="preserve">Kas Kanpus                              </v>
          </cell>
          <cell r="O3894" t="str">
            <v xml:space="preserve">KAS KANPUS                              </v>
          </cell>
          <cell r="P3894" t="str">
            <v>Ya</v>
          </cell>
          <cell r="Q3894" t="str">
            <v>Ya</v>
          </cell>
          <cell r="R3894" t="str">
            <v>Done</v>
          </cell>
          <cell r="S3894" t="str">
            <v>Approved</v>
          </cell>
          <cell r="T3894" t="str">
            <v>90150130 - Intan Aida Pratiwi</v>
          </cell>
          <cell r="U3894" t="str">
            <v>"-"</v>
          </cell>
        </row>
        <row r="3895">
          <cell r="A3895">
            <v>46265</v>
          </cell>
          <cell r="B3895" t="str">
            <v xml:space="preserve">ARIF SULISTIYAWAN                       </v>
          </cell>
          <cell r="C3895" t="str">
            <v>AO34183</v>
          </cell>
          <cell r="D3895">
            <v>359501005182534</v>
          </cell>
          <cell r="E3895" t="str">
            <v>SEDANG</v>
          </cell>
          <cell r="F3895" t="str">
            <v>Tidak</v>
          </cell>
          <cell r="G3895" t="str">
            <v>Tidak</v>
          </cell>
          <cell r="H3895" t="str">
            <v>Tidak</v>
          </cell>
          <cell r="I3895" t="str">
            <v>Bandar Judol Depo</v>
          </cell>
          <cell r="J3895">
            <v>50</v>
          </cell>
          <cell r="K3895" t="str">
            <v>86,74,87</v>
          </cell>
          <cell r="L3895" t="str">
            <v>Judi Online</v>
          </cell>
          <cell r="M3895" t="str">
            <v xml:space="preserve">Kas Kanpus                              </v>
          </cell>
          <cell r="N3895" t="str">
            <v xml:space="preserve">Kas Kanpus                              </v>
          </cell>
          <cell r="O3895" t="str">
            <v xml:space="preserve">KAS KANPUS                              </v>
          </cell>
          <cell r="P3895" t="str">
            <v>Tidak</v>
          </cell>
          <cell r="Q3895" t="str">
            <v>Ya</v>
          </cell>
          <cell r="R3895" t="str">
            <v>Done</v>
          </cell>
          <cell r="S3895" t="str">
            <v>Approved</v>
          </cell>
          <cell r="T3895" t="str">
            <v>90171841 - Rifqi Aziz</v>
          </cell>
          <cell r="U3895" t="str">
            <v>"-"</v>
          </cell>
        </row>
        <row r="3896">
          <cell r="A3896">
            <v>46265</v>
          </cell>
          <cell r="B3896" t="str">
            <v xml:space="preserve">ALI FITRA FRATAMA                       </v>
          </cell>
          <cell r="C3896" t="str">
            <v>ANEL599</v>
          </cell>
          <cell r="D3896">
            <v>96501000006565</v>
          </cell>
          <cell r="E3896" t="str">
            <v>SEDANG</v>
          </cell>
          <cell r="F3896" t="str">
            <v>Tidak</v>
          </cell>
          <cell r="G3896" t="str">
            <v>Tidak</v>
          </cell>
          <cell r="H3896" t="str">
            <v>Tidak</v>
          </cell>
          <cell r="I3896" t="str">
            <v>Bandar Judol Withdrawal</v>
          </cell>
          <cell r="J3896">
            <v>50</v>
          </cell>
          <cell r="K3896" t="str">
            <v>86,88,87</v>
          </cell>
          <cell r="L3896" t="str">
            <v>Judi Online</v>
          </cell>
          <cell r="M3896" t="str">
            <v xml:space="preserve">Kas Kanpus                              </v>
          </cell>
          <cell r="N3896" t="str">
            <v xml:space="preserve">Kas Kanpus                              </v>
          </cell>
          <cell r="O3896" t="str">
            <v xml:space="preserve">KAS KANPUS                              </v>
          </cell>
          <cell r="P3896" t="str">
            <v>Ya</v>
          </cell>
          <cell r="Q3896" t="str">
            <v>Ya</v>
          </cell>
          <cell r="R3896" t="str">
            <v>Done</v>
          </cell>
          <cell r="S3896" t="str">
            <v>Approved</v>
          </cell>
          <cell r="T3896" t="str">
            <v>90185538 - Muhammad Fahikal Auz</v>
          </cell>
          <cell r="U3896" t="str">
            <v>"-"</v>
          </cell>
        </row>
        <row r="3897">
          <cell r="A3897">
            <v>46265</v>
          </cell>
          <cell r="B3897" t="str">
            <v xml:space="preserve">ALMAIDAH ULFAH                          </v>
          </cell>
          <cell r="C3897" t="str">
            <v>ANME978</v>
          </cell>
          <cell r="D3897">
            <v>44501072298508</v>
          </cell>
          <cell r="E3897" t="str">
            <v>SEDANG</v>
          </cell>
          <cell r="F3897" t="str">
            <v>Tidak</v>
          </cell>
          <cell r="G3897" t="str">
            <v>Tidak</v>
          </cell>
          <cell r="H3897" t="str">
            <v>Tidak</v>
          </cell>
          <cell r="I3897" t="str">
            <v>Bandar Judol Withdrawal</v>
          </cell>
          <cell r="J3897">
            <v>50</v>
          </cell>
          <cell r="K3897" t="str">
            <v>86,88,87</v>
          </cell>
          <cell r="L3897" t="str">
            <v>Judi Online</v>
          </cell>
          <cell r="M3897" t="str">
            <v xml:space="preserve">Kas Kanpus                              </v>
          </cell>
          <cell r="N3897" t="str">
            <v xml:space="preserve">Kas Kanpus                              </v>
          </cell>
          <cell r="O3897" t="str">
            <v xml:space="preserve">KAS KANPUS                              </v>
          </cell>
          <cell r="P3897" t="str">
            <v>Ya</v>
          </cell>
          <cell r="Q3897" t="str">
            <v>Ya</v>
          </cell>
          <cell r="R3897" t="str">
            <v>Done</v>
          </cell>
          <cell r="S3897" t="str">
            <v>Approved</v>
          </cell>
          <cell r="T3897" t="str">
            <v>00394521 - Muhammad Hibbanduta</v>
          </cell>
          <cell r="U3897" t="str">
            <v>"-"</v>
          </cell>
        </row>
        <row r="3898">
          <cell r="A3898">
            <v>46265</v>
          </cell>
          <cell r="B3898" t="str">
            <v xml:space="preserve">ARI SETIOBUDI                           </v>
          </cell>
          <cell r="C3898" t="str">
            <v>ANOJ894</v>
          </cell>
          <cell r="D3898">
            <v>761601001350505</v>
          </cell>
          <cell r="E3898" t="str">
            <v>TINGGI</v>
          </cell>
          <cell r="F3898" t="str">
            <v>Tidak</v>
          </cell>
          <cell r="G3898" t="str">
            <v>Tidak</v>
          </cell>
          <cell r="H3898" t="str">
            <v>Tidak</v>
          </cell>
          <cell r="I3898" t="str">
            <v>Bandar Judol Withdrawal</v>
          </cell>
          <cell r="J3898">
            <v>65</v>
          </cell>
          <cell r="K3898" t="str">
            <v>86,88,87</v>
          </cell>
          <cell r="L3898" t="str">
            <v>Judi Online</v>
          </cell>
          <cell r="M3898" t="str">
            <v xml:space="preserve">Kas Kanpus                              </v>
          </cell>
          <cell r="N3898" t="str">
            <v xml:space="preserve">Kas Kanpus                              </v>
          </cell>
          <cell r="O3898" t="str">
            <v xml:space="preserve">KAS KANPUS                              </v>
          </cell>
          <cell r="P3898" t="str">
            <v>Ya</v>
          </cell>
          <cell r="Q3898" t="str">
            <v>Ya</v>
          </cell>
          <cell r="R3898" t="str">
            <v>Done</v>
          </cell>
          <cell r="S3898" t="str">
            <v>Approved</v>
          </cell>
          <cell r="T3898" t="str">
            <v>00394521 - Muhammad Hibbanduta</v>
          </cell>
          <cell r="U3898" t="str">
            <v>"-"</v>
          </cell>
        </row>
        <row r="3899">
          <cell r="A3899">
            <v>46265</v>
          </cell>
          <cell r="B3899" t="str">
            <v xml:space="preserve">ALFINDA ZAKARIA                         </v>
          </cell>
          <cell r="C3899" t="str">
            <v>ANOK474</v>
          </cell>
          <cell r="D3899">
            <v>109101000707567</v>
          </cell>
          <cell r="E3899" t="str">
            <v>SEDANG</v>
          </cell>
          <cell r="F3899" t="str">
            <v>Tidak</v>
          </cell>
          <cell r="G3899" t="str">
            <v>Tidak</v>
          </cell>
          <cell r="H3899" t="str">
            <v>Tidak</v>
          </cell>
          <cell r="I3899" t="str">
            <v>Bandar Judol Depo</v>
          </cell>
          <cell r="J3899">
            <v>50</v>
          </cell>
          <cell r="K3899" t="str">
            <v>86,74,87</v>
          </cell>
          <cell r="L3899" t="str">
            <v>Judi Online</v>
          </cell>
          <cell r="M3899" t="str">
            <v xml:space="preserve">Kas Kanpus                              </v>
          </cell>
          <cell r="N3899" t="str">
            <v xml:space="preserve">Kas Kanpus                              </v>
          </cell>
          <cell r="O3899" t="str">
            <v xml:space="preserve">KAS KANPUS                              </v>
          </cell>
          <cell r="P3899" t="str">
            <v>Ya</v>
          </cell>
          <cell r="Q3899" t="str">
            <v>Ya</v>
          </cell>
          <cell r="R3899" t="str">
            <v>Done</v>
          </cell>
          <cell r="S3899" t="str">
            <v>Approved</v>
          </cell>
          <cell r="T3899" t="str">
            <v>90150130 - Intan Aida Pratiwi</v>
          </cell>
          <cell r="U3899" t="str">
            <v>"-"</v>
          </cell>
        </row>
        <row r="3900">
          <cell r="A3900">
            <v>46265</v>
          </cell>
          <cell r="B3900" t="str">
            <v xml:space="preserve">ALWI                                    </v>
          </cell>
          <cell r="C3900" t="str">
            <v>ANGP510</v>
          </cell>
          <cell r="D3900">
            <v>41801014304504</v>
          </cell>
          <cell r="E3900" t="str">
            <v>SEDANG</v>
          </cell>
          <cell r="F3900" t="str">
            <v>Tidak</v>
          </cell>
          <cell r="G3900" t="str">
            <v>Tidak</v>
          </cell>
          <cell r="H3900" t="str">
            <v>Tidak</v>
          </cell>
          <cell r="I3900" t="str">
            <v>Bandar Judol Depo</v>
          </cell>
          <cell r="J3900">
            <v>50</v>
          </cell>
          <cell r="K3900" t="str">
            <v>86,74,87</v>
          </cell>
          <cell r="L3900" t="str">
            <v>Judi Online</v>
          </cell>
          <cell r="M3900" t="str">
            <v xml:space="preserve">Kas Kanpus                              </v>
          </cell>
          <cell r="N3900" t="str">
            <v xml:space="preserve">Kas Kanpus                              </v>
          </cell>
          <cell r="O3900" t="str">
            <v xml:space="preserve">KAS KANPUS                              </v>
          </cell>
          <cell r="P3900" t="str">
            <v>Ya</v>
          </cell>
          <cell r="Q3900" t="str">
            <v>Ya</v>
          </cell>
          <cell r="R3900" t="str">
            <v>Done</v>
          </cell>
          <cell r="S3900" t="str">
            <v>Approved</v>
          </cell>
          <cell r="T3900" t="str">
            <v>90170665 - Mutiara Ayuningtyas</v>
          </cell>
          <cell r="U3900" t="str">
            <v>"-"</v>
          </cell>
        </row>
        <row r="3901">
          <cell r="A3901">
            <v>46265</v>
          </cell>
          <cell r="B3901" t="str">
            <v xml:space="preserve">ALIF AKBAR HERYANTO                     </v>
          </cell>
          <cell r="C3901" t="str">
            <v>ANBT018</v>
          </cell>
          <cell r="D3901">
            <v>44501078301503</v>
          </cell>
          <cell r="E3901" t="str">
            <v>RENDAH</v>
          </cell>
          <cell r="F3901" t="str">
            <v>Tidak</v>
          </cell>
          <cell r="G3901" t="str">
            <v>Tidak</v>
          </cell>
          <cell r="H3901" t="str">
            <v>Tidak</v>
          </cell>
          <cell r="I3901" t="str">
            <v>Bandar Judol Withdrawal</v>
          </cell>
          <cell r="J3901">
            <v>35</v>
          </cell>
          <cell r="K3901" t="str">
            <v>86,88,87</v>
          </cell>
          <cell r="L3901" t="str">
            <v>Judi Online</v>
          </cell>
          <cell r="M3901" t="str">
            <v xml:space="preserve">Kas Kanpus                              </v>
          </cell>
          <cell r="N3901" t="str">
            <v xml:space="preserve">Kas Kanpus                              </v>
          </cell>
          <cell r="O3901" t="str">
            <v xml:space="preserve">KAS KANPUS                              </v>
          </cell>
          <cell r="P3901" t="str">
            <v>Ya</v>
          </cell>
          <cell r="Q3901" t="str">
            <v>Ya</v>
          </cell>
          <cell r="R3901" t="str">
            <v>Done</v>
          </cell>
          <cell r="S3901" t="str">
            <v>Approved</v>
          </cell>
          <cell r="T3901" t="str">
            <v>00394521 - Muhammad Hibbanduta</v>
          </cell>
          <cell r="U3901" t="str">
            <v>"-"</v>
          </cell>
        </row>
        <row r="3902">
          <cell r="A3902">
            <v>46265</v>
          </cell>
          <cell r="B3902" t="str">
            <v xml:space="preserve">ADJIE DJAFLIN KOSSAH                    </v>
          </cell>
          <cell r="C3902" t="str">
            <v>AMXQ209</v>
          </cell>
          <cell r="D3902">
            <v>56101060306509</v>
          </cell>
          <cell r="E3902" t="str">
            <v>SEDANG</v>
          </cell>
          <cell r="F3902" t="str">
            <v>Tidak</v>
          </cell>
          <cell r="G3902" t="str">
            <v>Tidak</v>
          </cell>
          <cell r="H3902" t="str">
            <v>Tidak</v>
          </cell>
          <cell r="I3902" t="str">
            <v>Narkotika - Area Lapas</v>
          </cell>
          <cell r="J3902">
            <v>53</v>
          </cell>
          <cell r="K3902">
            <v>48</v>
          </cell>
          <cell r="L3902" t="str">
            <v>Narkotika</v>
          </cell>
          <cell r="M3902" t="str">
            <v>KC Timika</v>
          </cell>
          <cell r="N3902" t="str">
            <v>KC Timika</v>
          </cell>
          <cell r="O3902" t="str">
            <v>KANWIL JAYAPURA</v>
          </cell>
          <cell r="P3902" t="str">
            <v>Tidak</v>
          </cell>
          <cell r="Q3902" t="str">
            <v>Tidak</v>
          </cell>
          <cell r="R3902" t="str">
            <v>Done</v>
          </cell>
          <cell r="S3902" t="str">
            <v>Approved</v>
          </cell>
          <cell r="T3902" t="str">
            <v>90185538 - Muhammad Fahikal Auz</v>
          </cell>
          <cell r="U3902" t="str">
            <v>"-"</v>
          </cell>
        </row>
        <row r="3903">
          <cell r="A3903">
            <v>46265</v>
          </cell>
          <cell r="B3903" t="str">
            <v xml:space="preserve">ANGGA RAMADHANI FIQRI                   </v>
          </cell>
          <cell r="C3903" t="str">
            <v>AZK9776</v>
          </cell>
          <cell r="D3903">
            <v>732301030035535</v>
          </cell>
          <cell r="E3903" t="str">
            <v>SEDANG</v>
          </cell>
          <cell r="F3903" t="str">
            <v>Tidak</v>
          </cell>
          <cell r="G3903" t="str">
            <v>Tidak</v>
          </cell>
          <cell r="H3903" t="str">
            <v>Tidak</v>
          </cell>
          <cell r="I3903" t="str">
            <v>Bandar Judol Withdrawal</v>
          </cell>
          <cell r="J3903">
            <v>50</v>
          </cell>
          <cell r="K3903" t="str">
            <v>86,88,87</v>
          </cell>
          <cell r="L3903" t="str">
            <v>Judi Online</v>
          </cell>
          <cell r="M3903" t="str">
            <v xml:space="preserve">Kas Kanpus                              </v>
          </cell>
          <cell r="N3903" t="str">
            <v xml:space="preserve">Kas Kanpus                              </v>
          </cell>
          <cell r="O3903" t="str">
            <v xml:space="preserve">KAS KANPUS                              </v>
          </cell>
          <cell r="P3903" t="str">
            <v>Ya</v>
          </cell>
          <cell r="Q3903" t="str">
            <v>Ya</v>
          </cell>
          <cell r="R3903" t="str">
            <v>Done</v>
          </cell>
          <cell r="S3903" t="str">
            <v>Approved</v>
          </cell>
          <cell r="T3903" t="str">
            <v>90185538 - Muhammad Fahikal Auz</v>
          </cell>
          <cell r="U3903" t="str">
            <v>"-"</v>
          </cell>
        </row>
        <row r="3904">
          <cell r="A3904">
            <v>46265</v>
          </cell>
          <cell r="B3904" t="str">
            <v xml:space="preserve">ARDIANTO                                </v>
          </cell>
          <cell r="C3904" t="str">
            <v>AZXP038</v>
          </cell>
          <cell r="D3904">
            <v>307801007097503</v>
          </cell>
          <cell r="E3904" t="str">
            <v>SEDANG</v>
          </cell>
          <cell r="F3904" t="str">
            <v>Tidak</v>
          </cell>
          <cell r="G3904" t="str">
            <v>Tidak</v>
          </cell>
          <cell r="H3904" t="str">
            <v>Ya</v>
          </cell>
          <cell r="I3904" t="str">
            <v>Bandar Judol Withdrawal</v>
          </cell>
          <cell r="J3904">
            <v>50</v>
          </cell>
          <cell r="K3904" t="str">
            <v>86,88,87</v>
          </cell>
          <cell r="L3904" t="str">
            <v>Judi Online</v>
          </cell>
          <cell r="M3904" t="str">
            <v xml:space="preserve">Kas Kanpus                              </v>
          </cell>
          <cell r="N3904" t="str">
            <v xml:space="preserve">Kas Kanpus                              </v>
          </cell>
          <cell r="O3904" t="str">
            <v xml:space="preserve">KAS KANPUS                              </v>
          </cell>
          <cell r="P3904" t="str">
            <v>Ya</v>
          </cell>
          <cell r="Q3904" t="str">
            <v>Ya</v>
          </cell>
          <cell r="R3904" t="str">
            <v>Done</v>
          </cell>
          <cell r="S3904" t="str">
            <v>Approved</v>
          </cell>
          <cell r="T3904" t="str">
            <v>90171841 - Rifqi Aziz</v>
          </cell>
          <cell r="U3904" t="str">
            <v>"-"</v>
          </cell>
        </row>
        <row r="3905">
          <cell r="A3905">
            <v>46265</v>
          </cell>
          <cell r="B3905" t="str">
            <v>ASURANSI BRINGINSEJAHTERA ARTAMAKMURSEJA</v>
          </cell>
          <cell r="C3905" t="str">
            <v>B021066</v>
          </cell>
          <cell r="D3905">
            <v>32901000599302</v>
          </cell>
          <cell r="E3905" t="str">
            <v>SEDANG</v>
          </cell>
          <cell r="F3905" t="str">
            <v>Tidak</v>
          </cell>
          <cell r="G3905" t="str">
            <v>Tidak</v>
          </cell>
          <cell r="H3905" t="str">
            <v>Tidak</v>
          </cell>
          <cell r="I3905" t="str">
            <v>Bandar Judol Depo</v>
          </cell>
          <cell r="J3905">
            <v>50</v>
          </cell>
          <cell r="K3905" t="str">
            <v>86,74,87</v>
          </cell>
          <cell r="L3905" t="str">
            <v>Judi Online</v>
          </cell>
          <cell r="M3905" t="str">
            <v xml:space="preserve">Kas Kanpus                              </v>
          </cell>
          <cell r="N3905" t="str">
            <v xml:space="preserve">Kas Kanpus                              </v>
          </cell>
          <cell r="O3905" t="str">
            <v xml:space="preserve">KAS KANPUS                              </v>
          </cell>
          <cell r="P3905" t="str">
            <v>Tidak</v>
          </cell>
          <cell r="Q3905" t="str">
            <v>Tidak</v>
          </cell>
          <cell r="R3905" t="str">
            <v>Done</v>
          </cell>
          <cell r="S3905" t="str">
            <v>Approved</v>
          </cell>
          <cell r="T3905" t="str">
            <v>90185538 - Muhammad Fahikal Auz</v>
          </cell>
          <cell r="U3905" t="str">
            <v>"-"</v>
          </cell>
        </row>
        <row r="3906">
          <cell r="A3906">
            <v>46265</v>
          </cell>
          <cell r="B3906" t="str">
            <v xml:space="preserve">ASRI EKO WIBOWO                         </v>
          </cell>
          <cell r="C3906" t="str">
            <v>AZVG288</v>
          </cell>
          <cell r="D3906">
            <v>66001007012539</v>
          </cell>
          <cell r="E3906" t="str">
            <v>SEDANG</v>
          </cell>
          <cell r="F3906" t="str">
            <v>Tidak</v>
          </cell>
          <cell r="G3906" t="str">
            <v>Tidak</v>
          </cell>
          <cell r="H3906" t="str">
            <v>Tidak</v>
          </cell>
          <cell r="I3906" t="str">
            <v>Bandar Judol Depo</v>
          </cell>
          <cell r="J3906">
            <v>50</v>
          </cell>
          <cell r="K3906" t="str">
            <v>86,74,87</v>
          </cell>
          <cell r="L3906" t="str">
            <v>Judi Online</v>
          </cell>
          <cell r="M3906" t="str">
            <v xml:space="preserve">Kas Kanpus                              </v>
          </cell>
          <cell r="N3906" t="str">
            <v xml:space="preserve">Kas Kanpus                              </v>
          </cell>
          <cell r="O3906" t="str">
            <v xml:space="preserve">KAS KANPUS                              </v>
          </cell>
          <cell r="P3906" t="str">
            <v>Tidak</v>
          </cell>
          <cell r="Q3906" t="str">
            <v>Ya</v>
          </cell>
          <cell r="R3906" t="str">
            <v>Done</v>
          </cell>
          <cell r="S3906" t="str">
            <v>Approved</v>
          </cell>
          <cell r="T3906" t="str">
            <v>00394520 - Frida Akbar Rani</v>
          </cell>
          <cell r="U3906" t="str">
            <v>"-"</v>
          </cell>
        </row>
        <row r="3907">
          <cell r="A3907">
            <v>46265</v>
          </cell>
          <cell r="B3907" t="str">
            <v xml:space="preserve">ACHMAD AL FARIZI                        </v>
          </cell>
          <cell r="C3907" t="str">
            <v>AZVT203</v>
          </cell>
          <cell r="D3907">
            <v>120701000126560</v>
          </cell>
          <cell r="E3907" t="str">
            <v>SEDANG</v>
          </cell>
          <cell r="F3907" t="str">
            <v>Tidak</v>
          </cell>
          <cell r="G3907" t="str">
            <v>Tidak</v>
          </cell>
          <cell r="H3907" t="str">
            <v>Tidak</v>
          </cell>
          <cell r="I3907" t="str">
            <v>Bandar Judol Withdrawal</v>
          </cell>
          <cell r="J3907">
            <v>50</v>
          </cell>
          <cell r="K3907" t="str">
            <v>86,88,87</v>
          </cell>
          <cell r="L3907" t="str">
            <v>Judi Online</v>
          </cell>
          <cell r="M3907" t="str">
            <v xml:space="preserve">Kas Kanpus                              </v>
          </cell>
          <cell r="N3907" t="str">
            <v xml:space="preserve">Kas Kanpus                              </v>
          </cell>
          <cell r="O3907" t="str">
            <v xml:space="preserve">KAS KANPUS                              </v>
          </cell>
          <cell r="P3907" t="str">
            <v>Ya</v>
          </cell>
          <cell r="Q3907" t="str">
            <v>Ya</v>
          </cell>
          <cell r="R3907" t="str">
            <v>Done</v>
          </cell>
          <cell r="S3907" t="str">
            <v>Approved</v>
          </cell>
          <cell r="T3907" t="str">
            <v>90171841 - Rifqi Aziz</v>
          </cell>
          <cell r="U3907" t="str">
            <v>"-"</v>
          </cell>
        </row>
        <row r="3908">
          <cell r="A3908">
            <v>46265</v>
          </cell>
          <cell r="B3908" t="str">
            <v xml:space="preserve">BULOG                                   </v>
          </cell>
          <cell r="C3908" t="str">
            <v>B157607</v>
          </cell>
          <cell r="D3908">
            <v>19201004356305</v>
          </cell>
          <cell r="E3908" t="str">
            <v>SEDANG</v>
          </cell>
          <cell r="F3908" t="str">
            <v>Tidak</v>
          </cell>
          <cell r="G3908" t="str">
            <v>Tidak</v>
          </cell>
          <cell r="H3908" t="str">
            <v>Tidak</v>
          </cell>
          <cell r="I3908" t="str">
            <v>Narkotika - Area Lapas</v>
          </cell>
          <cell r="J3908">
            <v>50</v>
          </cell>
          <cell r="K3908">
            <v>46</v>
          </cell>
          <cell r="L3908" t="str">
            <v>Narkotika</v>
          </cell>
          <cell r="M3908" t="str">
            <v>KC Kendari Samratulangi</v>
          </cell>
          <cell r="N3908" t="str">
            <v>KC Kendari Samratulangi</v>
          </cell>
          <cell r="O3908" t="str">
            <v>Makassar</v>
          </cell>
          <cell r="P3908" t="str">
            <v>Tidak</v>
          </cell>
          <cell r="Q3908" t="str">
            <v>Tidak</v>
          </cell>
          <cell r="R3908" t="str">
            <v>Done</v>
          </cell>
          <cell r="S3908" t="str">
            <v>Approved</v>
          </cell>
          <cell r="T3908" t="str">
            <v>90186790 - Muhammad Alfin Farha</v>
          </cell>
          <cell r="U3908" t="str">
            <v>"-"</v>
          </cell>
        </row>
        <row r="3909">
          <cell r="A3909">
            <v>46265</v>
          </cell>
          <cell r="B3909" t="str">
            <v xml:space="preserve">BRI ASURANSI INDONESIA                  </v>
          </cell>
          <cell r="C3909" t="str">
            <v>B057609</v>
          </cell>
          <cell r="D3909">
            <v>32501000040307</v>
          </cell>
          <cell r="E3909" t="str">
            <v>SEDANG</v>
          </cell>
          <cell r="F3909" t="str">
            <v>Tidak</v>
          </cell>
          <cell r="G3909" t="str">
            <v>Tidak</v>
          </cell>
          <cell r="H3909" t="str">
            <v>Tidak</v>
          </cell>
          <cell r="I3909" t="str">
            <v>Bandar Judol Depo</v>
          </cell>
          <cell r="J3909">
            <v>50</v>
          </cell>
          <cell r="K3909" t="str">
            <v>86,74,87</v>
          </cell>
          <cell r="L3909" t="str">
            <v>Judi Online</v>
          </cell>
          <cell r="M3909" t="str">
            <v xml:space="preserve">Kas Kanpus                              </v>
          </cell>
          <cell r="N3909" t="str">
            <v xml:space="preserve">Kas Kanpus                              </v>
          </cell>
          <cell r="O3909" t="str">
            <v xml:space="preserve">KAS KANPUS                              </v>
          </cell>
          <cell r="P3909" t="str">
            <v>Tidak</v>
          </cell>
          <cell r="Q3909" t="str">
            <v>Tidak</v>
          </cell>
          <cell r="R3909" t="str">
            <v>Done</v>
          </cell>
          <cell r="S3909" t="str">
            <v>Approved</v>
          </cell>
          <cell r="T3909" t="str">
            <v>90185538 - Muhammad Fahikal Auz</v>
          </cell>
          <cell r="U3909" t="str">
            <v>"-"</v>
          </cell>
        </row>
        <row r="3910">
          <cell r="A3910">
            <v>46265</v>
          </cell>
          <cell r="B3910" t="str">
            <v xml:space="preserve">BRI ASURANSI INDONESIA                  </v>
          </cell>
          <cell r="C3910" t="str">
            <v>B083771</v>
          </cell>
          <cell r="D3910">
            <v>9601000516309</v>
          </cell>
          <cell r="E3910" t="str">
            <v>SEDANG</v>
          </cell>
          <cell r="F3910" t="str">
            <v>Tidak</v>
          </cell>
          <cell r="G3910" t="str">
            <v>Tidak</v>
          </cell>
          <cell r="H3910" t="str">
            <v>Tidak</v>
          </cell>
          <cell r="I3910" t="str">
            <v>Bandar Judol Depo</v>
          </cell>
          <cell r="J3910">
            <v>50</v>
          </cell>
          <cell r="K3910" t="str">
            <v>86,74,87</v>
          </cell>
          <cell r="L3910" t="str">
            <v>Judi Online</v>
          </cell>
          <cell r="M3910" t="str">
            <v xml:space="preserve">Kas Kanpus                              </v>
          </cell>
          <cell r="N3910" t="str">
            <v xml:space="preserve">Kas Kanpus                              </v>
          </cell>
          <cell r="O3910" t="str">
            <v xml:space="preserve">KAS KANPUS                              </v>
          </cell>
          <cell r="P3910" t="str">
            <v>Tidak</v>
          </cell>
          <cell r="Q3910" t="str">
            <v>Ya</v>
          </cell>
          <cell r="R3910" t="str">
            <v>Done</v>
          </cell>
          <cell r="S3910" t="str">
            <v>Approved</v>
          </cell>
          <cell r="T3910" t="str">
            <v>90186796 - Devito Arya Wiradila</v>
          </cell>
          <cell r="U3910" t="str">
            <v>"-"</v>
          </cell>
        </row>
        <row r="3911">
          <cell r="A3911">
            <v>46265</v>
          </cell>
          <cell r="B3911" t="str">
            <v xml:space="preserve">AWALUDDIN                               </v>
          </cell>
          <cell r="C3911" t="str">
            <v>AXGT428</v>
          </cell>
          <cell r="D3911">
            <v>108701011833506</v>
          </cell>
          <cell r="E3911" t="str">
            <v>SEDANG</v>
          </cell>
          <cell r="F3911" t="str">
            <v>Tidak</v>
          </cell>
          <cell r="G3911" t="str">
            <v>Tidak</v>
          </cell>
          <cell r="H3911" t="str">
            <v>Ya</v>
          </cell>
          <cell r="I3911" t="str">
            <v>Bandar Judol Withdrawal</v>
          </cell>
          <cell r="J3911">
            <v>50</v>
          </cell>
          <cell r="K3911" t="str">
            <v>86,88,87</v>
          </cell>
          <cell r="L3911" t="str">
            <v>Judi Online</v>
          </cell>
          <cell r="M3911" t="str">
            <v xml:space="preserve">Kas Kanpus                              </v>
          </cell>
          <cell r="N3911" t="str">
            <v xml:space="preserve">Kas Kanpus                              </v>
          </cell>
          <cell r="O3911" t="str">
            <v xml:space="preserve">KAS KANPUS                              </v>
          </cell>
          <cell r="P3911" t="str">
            <v>Ya</v>
          </cell>
          <cell r="Q3911" t="str">
            <v>Ya</v>
          </cell>
          <cell r="R3911" t="str">
            <v>Done</v>
          </cell>
          <cell r="S3911" t="str">
            <v>Approved</v>
          </cell>
          <cell r="T3911" t="str">
            <v>00394520 - Frida Akbar Rani</v>
          </cell>
          <cell r="U3911" t="str">
            <v>"-"</v>
          </cell>
        </row>
        <row r="3912">
          <cell r="A3912">
            <v>46265</v>
          </cell>
          <cell r="B3912" t="str">
            <v xml:space="preserve">ALDY FAJAR AGUSTIADI                    </v>
          </cell>
          <cell r="C3912" t="str">
            <v>AWUB850</v>
          </cell>
          <cell r="D3912">
            <v>8001002007561</v>
          </cell>
          <cell r="E3912" t="str">
            <v>SEDANG</v>
          </cell>
          <cell r="F3912" t="str">
            <v>Tidak</v>
          </cell>
          <cell r="G3912" t="str">
            <v>Tidak</v>
          </cell>
          <cell r="H3912" t="str">
            <v>Tidak</v>
          </cell>
          <cell r="I3912" t="str">
            <v>Bandar Judol Withdrawal</v>
          </cell>
          <cell r="J3912">
            <v>50</v>
          </cell>
          <cell r="K3912" t="str">
            <v>86,88,87</v>
          </cell>
          <cell r="L3912" t="str">
            <v>Judi Online</v>
          </cell>
          <cell r="M3912" t="str">
            <v xml:space="preserve">Kas Kanpus                              </v>
          </cell>
          <cell r="N3912" t="str">
            <v xml:space="preserve">Kas Kanpus                              </v>
          </cell>
          <cell r="O3912" t="str">
            <v xml:space="preserve">KAS KANPUS                              </v>
          </cell>
          <cell r="P3912" t="str">
            <v>Ya</v>
          </cell>
          <cell r="Q3912" t="str">
            <v>Ya</v>
          </cell>
          <cell r="R3912" t="str">
            <v>Done</v>
          </cell>
          <cell r="S3912" t="str">
            <v>Approved</v>
          </cell>
          <cell r="T3912" t="str">
            <v>90170665 - Mutiara Ayuningtyas</v>
          </cell>
          <cell r="U3912" t="str">
            <v>"-"</v>
          </cell>
        </row>
        <row r="3913">
          <cell r="A3913">
            <v>46265</v>
          </cell>
          <cell r="B3913" t="str">
            <v xml:space="preserve">AMELIA FITRIANI                         </v>
          </cell>
          <cell r="C3913" t="str">
            <v>AYCL609</v>
          </cell>
          <cell r="D3913">
            <v>53801001872562</v>
          </cell>
          <cell r="E3913" t="str">
            <v>SEDANG</v>
          </cell>
          <cell r="F3913" t="str">
            <v>Tidak</v>
          </cell>
          <cell r="G3913" t="str">
            <v>Tidak</v>
          </cell>
          <cell r="H3913" t="str">
            <v>Tidak</v>
          </cell>
          <cell r="I3913" t="str">
            <v>Bandar Judol Withdrawal</v>
          </cell>
          <cell r="J3913">
            <v>50</v>
          </cell>
          <cell r="K3913" t="str">
            <v>86,88,87</v>
          </cell>
          <cell r="L3913" t="str">
            <v>Judi Online</v>
          </cell>
          <cell r="M3913" t="str">
            <v xml:space="preserve">Kas Kanpus                              </v>
          </cell>
          <cell r="N3913" t="str">
            <v xml:space="preserve">Kas Kanpus                              </v>
          </cell>
          <cell r="O3913" t="str">
            <v xml:space="preserve">KAS KANPUS                              </v>
          </cell>
          <cell r="P3913" t="str">
            <v>Ya</v>
          </cell>
          <cell r="Q3913" t="str">
            <v>Ya</v>
          </cell>
          <cell r="R3913" t="str">
            <v>Done</v>
          </cell>
          <cell r="S3913" t="str">
            <v>Approved</v>
          </cell>
          <cell r="T3913" t="str">
            <v>00336949 - Mochammad Al Farabi</v>
          </cell>
          <cell r="U3913" t="str">
            <v>"-"</v>
          </cell>
        </row>
        <row r="3914">
          <cell r="A3914">
            <v>46265</v>
          </cell>
          <cell r="B3914" t="str">
            <v xml:space="preserve">ACHMAD ZIDAN NURRAHMAN                  </v>
          </cell>
          <cell r="C3914" t="str">
            <v>AYJE856</v>
          </cell>
          <cell r="D3914">
            <v>112801110559508</v>
          </cell>
          <cell r="E3914" t="str">
            <v>SEDANG</v>
          </cell>
          <cell r="F3914" t="str">
            <v>Tidak</v>
          </cell>
          <cell r="G3914" t="str">
            <v>Tidak</v>
          </cell>
          <cell r="H3914" t="str">
            <v>Tidak</v>
          </cell>
          <cell r="I3914" t="str">
            <v>Bandar Judol Withdrawal</v>
          </cell>
          <cell r="J3914">
            <v>50</v>
          </cell>
          <cell r="K3914" t="str">
            <v>86,88,87</v>
          </cell>
          <cell r="L3914" t="str">
            <v>Judi Online</v>
          </cell>
          <cell r="M3914" t="str">
            <v xml:space="preserve">Kas Kanpus                              </v>
          </cell>
          <cell r="N3914" t="str">
            <v xml:space="preserve">Kas Kanpus                              </v>
          </cell>
          <cell r="O3914" t="str">
            <v xml:space="preserve">KAS KANPUS                              </v>
          </cell>
          <cell r="P3914" t="str">
            <v>Ya</v>
          </cell>
          <cell r="Q3914" t="str">
            <v>Ya</v>
          </cell>
          <cell r="R3914" t="str">
            <v>Done</v>
          </cell>
          <cell r="S3914" t="str">
            <v>Approved</v>
          </cell>
          <cell r="T3914" t="str">
            <v>00394520 - Frida Akbar Rani</v>
          </cell>
          <cell r="U3914" t="str">
            <v>"-"</v>
          </cell>
        </row>
        <row r="3915">
          <cell r="A3915">
            <v>46265</v>
          </cell>
          <cell r="B3915" t="str">
            <v xml:space="preserve">AMELIA LUTFIANA                         </v>
          </cell>
          <cell r="C3915" t="str">
            <v>AXXA358</v>
          </cell>
          <cell r="D3915">
            <v>119601013574503</v>
          </cell>
          <cell r="E3915" t="str">
            <v>SEDANG</v>
          </cell>
          <cell r="F3915" t="str">
            <v>Tidak</v>
          </cell>
          <cell r="G3915" t="str">
            <v>Tidak</v>
          </cell>
          <cell r="H3915" t="str">
            <v>Tidak</v>
          </cell>
          <cell r="I3915" t="str">
            <v>Bandar Judol Withdrawal</v>
          </cell>
          <cell r="J3915">
            <v>50</v>
          </cell>
          <cell r="K3915" t="str">
            <v>86,88,87</v>
          </cell>
          <cell r="L3915" t="str">
            <v>Judi Online</v>
          </cell>
          <cell r="M3915" t="str">
            <v xml:space="preserve">Kas Kanpus                              </v>
          </cell>
          <cell r="N3915" t="str">
            <v xml:space="preserve">Kas Kanpus                              </v>
          </cell>
          <cell r="O3915" t="str">
            <v xml:space="preserve">KAS KANPUS                              </v>
          </cell>
          <cell r="P3915" t="str">
            <v>Ya</v>
          </cell>
          <cell r="Q3915" t="str">
            <v>Ya</v>
          </cell>
          <cell r="R3915" t="str">
            <v>Done</v>
          </cell>
          <cell r="S3915" t="str">
            <v>Approved</v>
          </cell>
          <cell r="T3915" t="str">
            <v>00336949 - Mochammad Al Farabi</v>
          </cell>
          <cell r="U3915" t="str">
            <v>"-"</v>
          </cell>
        </row>
        <row r="3916">
          <cell r="A3916">
            <v>46265</v>
          </cell>
          <cell r="B3916" t="str">
            <v xml:space="preserve">AHMAD FAHMI MUHIS                       </v>
          </cell>
          <cell r="C3916" t="str">
            <v>AXTN282</v>
          </cell>
          <cell r="D3916">
            <v>39601026834501</v>
          </cell>
          <cell r="E3916" t="str">
            <v>SEDANG</v>
          </cell>
          <cell r="F3916" t="str">
            <v>Tidak</v>
          </cell>
          <cell r="G3916" t="str">
            <v>Tidak</v>
          </cell>
          <cell r="H3916" t="str">
            <v>Tidak</v>
          </cell>
          <cell r="I3916" t="str">
            <v>Bandar Judol Withdrawal</v>
          </cell>
          <cell r="J3916">
            <v>50</v>
          </cell>
          <cell r="K3916" t="str">
            <v>86,88,87</v>
          </cell>
          <cell r="L3916" t="str">
            <v>Judi Online</v>
          </cell>
          <cell r="M3916" t="str">
            <v xml:space="preserve">Kas Kanpus                              </v>
          </cell>
          <cell r="N3916" t="str">
            <v xml:space="preserve">Kas Kanpus                              </v>
          </cell>
          <cell r="O3916" t="str">
            <v xml:space="preserve">KAS KANPUS                              </v>
          </cell>
          <cell r="P3916" t="str">
            <v>Ya</v>
          </cell>
          <cell r="Q3916" t="str">
            <v>Ya</v>
          </cell>
          <cell r="R3916" t="str">
            <v>Done</v>
          </cell>
          <cell r="S3916" t="str">
            <v>Approved</v>
          </cell>
          <cell r="T3916" t="str">
            <v>00394521 - Muhammad Hibbanduta</v>
          </cell>
          <cell r="U3916" t="str">
            <v>"-"</v>
          </cell>
        </row>
        <row r="3917">
          <cell r="A3917">
            <v>46265</v>
          </cell>
          <cell r="B3917" t="str">
            <v xml:space="preserve">ANDRI DWI FATKHUR                       </v>
          </cell>
          <cell r="C3917" t="str">
            <v>AXS2088</v>
          </cell>
          <cell r="D3917">
            <v>675201000521508</v>
          </cell>
          <cell r="E3917" t="str">
            <v>SEDANG</v>
          </cell>
          <cell r="F3917" t="str">
            <v>Tidak</v>
          </cell>
          <cell r="G3917" t="str">
            <v>Tidak</v>
          </cell>
          <cell r="H3917" t="str">
            <v>Tidak</v>
          </cell>
          <cell r="I3917" t="str">
            <v>Bandar Judol Depo</v>
          </cell>
          <cell r="J3917">
            <v>50</v>
          </cell>
          <cell r="K3917" t="str">
            <v>86,74,87</v>
          </cell>
          <cell r="L3917" t="str">
            <v>Judi Online</v>
          </cell>
          <cell r="M3917" t="str">
            <v xml:space="preserve">Kas Kanpus                              </v>
          </cell>
          <cell r="N3917" t="str">
            <v xml:space="preserve">Kas Kanpus                              </v>
          </cell>
          <cell r="O3917" t="str">
            <v xml:space="preserve">KAS KANPUS                              </v>
          </cell>
          <cell r="P3917" t="str">
            <v>Tidak</v>
          </cell>
          <cell r="Q3917" t="str">
            <v>Ya</v>
          </cell>
          <cell r="R3917" t="str">
            <v>Done</v>
          </cell>
          <cell r="S3917" t="str">
            <v>Approved</v>
          </cell>
          <cell r="T3917" t="str">
            <v>00336949 - Mochammad Al Farabi</v>
          </cell>
          <cell r="U3917" t="str">
            <v>"-"</v>
          </cell>
        </row>
        <row r="3918">
          <cell r="A3918">
            <v>46265</v>
          </cell>
          <cell r="B3918" t="str">
            <v xml:space="preserve">A MAPPAREPPA                            </v>
          </cell>
          <cell r="C3918" t="str">
            <v>AUXD445</v>
          </cell>
          <cell r="D3918">
            <v>56101073562500</v>
          </cell>
          <cell r="E3918" t="str">
            <v>SEDANG</v>
          </cell>
          <cell r="F3918" t="str">
            <v>Tidak</v>
          </cell>
          <cell r="G3918" t="str">
            <v>Tidak</v>
          </cell>
          <cell r="H3918" t="str">
            <v>Tidak</v>
          </cell>
          <cell r="I3918" t="str">
            <v>Bandar Judol Withdrawal</v>
          </cell>
          <cell r="J3918">
            <v>50</v>
          </cell>
          <cell r="K3918" t="str">
            <v>86,88,87</v>
          </cell>
          <cell r="L3918" t="str">
            <v>Judi Online</v>
          </cell>
          <cell r="M3918" t="str">
            <v xml:space="preserve">Kas Kanpus                              </v>
          </cell>
          <cell r="N3918" t="str">
            <v xml:space="preserve">Kas Kanpus                              </v>
          </cell>
          <cell r="O3918" t="str">
            <v xml:space="preserve">KAS KANPUS                              </v>
          </cell>
          <cell r="P3918" t="str">
            <v>Tidak</v>
          </cell>
          <cell r="Q3918" t="str">
            <v>Tidak</v>
          </cell>
          <cell r="R3918" t="str">
            <v>Done</v>
          </cell>
          <cell r="S3918" t="str">
            <v>Approved</v>
          </cell>
          <cell r="T3918" t="str">
            <v>90185537 - Moh.Khoerul Fajar Ar</v>
          </cell>
          <cell r="U3918" t="str">
            <v>"-"</v>
          </cell>
        </row>
        <row r="3919">
          <cell r="A3919">
            <v>46265</v>
          </cell>
          <cell r="B3919" t="str">
            <v xml:space="preserve">ASEP MAULANA                            </v>
          </cell>
          <cell r="C3919" t="str">
            <v>AWFV632</v>
          </cell>
          <cell r="D3919">
            <v>34501052441505</v>
          </cell>
          <cell r="E3919" t="str">
            <v>SEDANG</v>
          </cell>
          <cell r="F3919" t="str">
            <v>Tidak</v>
          </cell>
          <cell r="G3919" t="str">
            <v>Tidak</v>
          </cell>
          <cell r="H3919" t="str">
            <v>Tidak</v>
          </cell>
          <cell r="I3919" t="str">
            <v>Bandar Judol Depo</v>
          </cell>
          <cell r="J3919">
            <v>50</v>
          </cell>
          <cell r="K3919" t="str">
            <v>86,74,87</v>
          </cell>
          <cell r="L3919" t="str">
            <v>Judi Online</v>
          </cell>
          <cell r="M3919" t="str">
            <v xml:space="preserve">Kas Kanpus                              </v>
          </cell>
          <cell r="N3919" t="str">
            <v xml:space="preserve">Kas Kanpus                              </v>
          </cell>
          <cell r="O3919" t="str">
            <v xml:space="preserve">KAS KANPUS                              </v>
          </cell>
          <cell r="P3919" t="str">
            <v>Ya</v>
          </cell>
          <cell r="Q3919" t="str">
            <v>Ya</v>
          </cell>
          <cell r="R3919" t="str">
            <v>Done</v>
          </cell>
          <cell r="S3919" t="str">
            <v>Approved</v>
          </cell>
          <cell r="T3919" t="str">
            <v>90185537 - Moh.Khoerul Fajar Ar</v>
          </cell>
          <cell r="U3919" t="str">
            <v>"-"</v>
          </cell>
        </row>
        <row r="3920">
          <cell r="A3920">
            <v>46265</v>
          </cell>
          <cell r="B3920" t="str">
            <v xml:space="preserve">ARYANTO                                 </v>
          </cell>
          <cell r="C3920" t="str">
            <v>AVV5438</v>
          </cell>
          <cell r="D3920">
            <v>66001000478564</v>
          </cell>
          <cell r="E3920" t="str">
            <v>SEDANG</v>
          </cell>
          <cell r="F3920" t="str">
            <v>Tidak</v>
          </cell>
          <cell r="G3920" t="str">
            <v>Tidak</v>
          </cell>
          <cell r="H3920" t="str">
            <v>Tidak</v>
          </cell>
          <cell r="I3920" t="str">
            <v>Narkotika - Area Lapas</v>
          </cell>
          <cell r="J3920">
            <v>60</v>
          </cell>
          <cell r="K3920">
            <v>47</v>
          </cell>
          <cell r="L3920" t="str">
            <v>Narkotika</v>
          </cell>
          <cell r="M3920" t="str">
            <v>KCP PASAR NATAR TJ KARANG</v>
          </cell>
          <cell r="N3920" t="str">
            <v>KC Tanjung Karang</v>
          </cell>
          <cell r="O3920" t="str">
            <v>KANWIL BANDAR LAMPUNG</v>
          </cell>
          <cell r="P3920" t="str">
            <v>Tidak</v>
          </cell>
          <cell r="Q3920" t="str">
            <v>Tidak</v>
          </cell>
          <cell r="R3920" t="str">
            <v>Done</v>
          </cell>
          <cell r="S3920" t="str">
            <v>Approved</v>
          </cell>
          <cell r="T3920" t="str">
            <v>90186790 - Muhammad Alfin Farha</v>
          </cell>
          <cell r="U3920" t="str">
            <v>"-"</v>
          </cell>
        </row>
        <row r="3921">
          <cell r="A3921">
            <v>46265</v>
          </cell>
          <cell r="B3921" t="str">
            <v xml:space="preserve">ARYA PUTRA                              </v>
          </cell>
          <cell r="C3921" t="str">
            <v>AVXC459</v>
          </cell>
          <cell r="D3921">
            <v>352701000021560</v>
          </cell>
          <cell r="E3921" t="str">
            <v>SEDANG</v>
          </cell>
          <cell r="F3921" t="str">
            <v>Tidak</v>
          </cell>
          <cell r="G3921" t="str">
            <v>Tidak</v>
          </cell>
          <cell r="H3921" t="str">
            <v>Tidak</v>
          </cell>
          <cell r="I3921" t="str">
            <v>Bandar Judol Withdrawal</v>
          </cell>
          <cell r="J3921">
            <v>50</v>
          </cell>
          <cell r="K3921" t="str">
            <v>86,88,87</v>
          </cell>
          <cell r="L3921" t="str">
            <v>Judi Online</v>
          </cell>
          <cell r="M3921" t="str">
            <v xml:space="preserve">Kas Kanpus                              </v>
          </cell>
          <cell r="N3921" t="str">
            <v xml:space="preserve">Kas Kanpus                              </v>
          </cell>
          <cell r="O3921" t="str">
            <v xml:space="preserve">KAS KANPUS                              </v>
          </cell>
          <cell r="P3921" t="str">
            <v>Ya</v>
          </cell>
          <cell r="Q3921" t="str">
            <v>Ya</v>
          </cell>
          <cell r="R3921" t="str">
            <v>Done</v>
          </cell>
          <cell r="S3921" t="str">
            <v>Approved</v>
          </cell>
          <cell r="T3921" t="str">
            <v>90170665 - Mutiara Ayuningtyas</v>
          </cell>
          <cell r="U3921" t="str">
            <v>"-"</v>
          </cell>
        </row>
        <row r="3922">
          <cell r="A3922">
            <v>46265</v>
          </cell>
          <cell r="B3922" t="str">
            <v xml:space="preserve">ALVIA PERISTIAWATI                      </v>
          </cell>
          <cell r="C3922" t="str">
            <v>AUW0410</v>
          </cell>
          <cell r="D3922">
            <v>212601000610560</v>
          </cell>
          <cell r="E3922" t="str">
            <v>SEDANG</v>
          </cell>
          <cell r="F3922" t="str">
            <v>Tidak</v>
          </cell>
          <cell r="G3922" t="str">
            <v>Tidak</v>
          </cell>
          <cell r="H3922" t="str">
            <v>Tidak</v>
          </cell>
          <cell r="I3922" t="str">
            <v>Bandar Judol Withdrawal</v>
          </cell>
          <cell r="J3922">
            <v>50</v>
          </cell>
          <cell r="K3922" t="str">
            <v>86,88,87</v>
          </cell>
          <cell r="L3922" t="str">
            <v>Judi Online</v>
          </cell>
          <cell r="M3922" t="str">
            <v xml:space="preserve">Kas Kanpus                              </v>
          </cell>
          <cell r="N3922" t="str">
            <v xml:space="preserve">Kas Kanpus                              </v>
          </cell>
          <cell r="O3922" t="str">
            <v xml:space="preserve">KAS KANPUS                              </v>
          </cell>
          <cell r="P3922" t="str">
            <v>Ya</v>
          </cell>
          <cell r="Q3922" t="str">
            <v>Ya</v>
          </cell>
          <cell r="R3922" t="str">
            <v>Done</v>
          </cell>
          <cell r="S3922" t="str">
            <v>Approved</v>
          </cell>
          <cell r="T3922" t="str">
            <v>00336949 - Mochammad Al Farabi</v>
          </cell>
          <cell r="U3922" t="str">
            <v>"-"</v>
          </cell>
        </row>
        <row r="3923">
          <cell r="A3923">
            <v>46265</v>
          </cell>
          <cell r="B3923" t="str">
            <v xml:space="preserve">AHMAD ARIF                              </v>
          </cell>
          <cell r="C3923" t="str">
            <v>AUWB281</v>
          </cell>
          <cell r="D3923">
            <v>25601002950561</v>
          </cell>
          <cell r="E3923" t="str">
            <v>SEDANG</v>
          </cell>
          <cell r="F3923" t="str">
            <v>Tidak</v>
          </cell>
          <cell r="G3923" t="str">
            <v>Tidak</v>
          </cell>
          <cell r="H3923" t="str">
            <v>Tidak</v>
          </cell>
          <cell r="I3923" t="str">
            <v>Bandar Judol Depo</v>
          </cell>
          <cell r="J3923">
            <v>50</v>
          </cell>
          <cell r="K3923" t="str">
            <v>86,74,87</v>
          </cell>
          <cell r="L3923" t="str">
            <v>Judi Online</v>
          </cell>
          <cell r="M3923" t="str">
            <v xml:space="preserve">Kas Kanpus                              </v>
          </cell>
          <cell r="N3923" t="str">
            <v xml:space="preserve">Kas Kanpus                              </v>
          </cell>
          <cell r="O3923" t="str">
            <v xml:space="preserve">KAS KANPUS                              </v>
          </cell>
          <cell r="P3923" t="str">
            <v>Tidak</v>
          </cell>
          <cell r="Q3923" t="str">
            <v>Ya</v>
          </cell>
          <cell r="R3923" t="str">
            <v>Done</v>
          </cell>
          <cell r="S3923" t="str">
            <v>Approved</v>
          </cell>
          <cell r="T3923" t="str">
            <v>90186796 - Devito Arya Wiradila</v>
          </cell>
          <cell r="U3923" t="str">
            <v>"-"</v>
          </cell>
        </row>
        <row r="3924">
          <cell r="A3924">
            <v>46265</v>
          </cell>
          <cell r="B3924" t="str">
            <v xml:space="preserve">ARI MUKLIS                              </v>
          </cell>
          <cell r="C3924" t="str">
            <v>AURR647</v>
          </cell>
          <cell r="D3924">
            <v>1901185441508</v>
          </cell>
          <cell r="E3924" t="str">
            <v>SEDANG</v>
          </cell>
          <cell r="F3924" t="str">
            <v>Tidak</v>
          </cell>
          <cell r="G3924" t="str">
            <v>Tidak</v>
          </cell>
          <cell r="H3924" t="str">
            <v>Tidak</v>
          </cell>
          <cell r="I3924" t="str">
            <v>Bandar Judol Withdrawal</v>
          </cell>
          <cell r="J3924">
            <v>50</v>
          </cell>
          <cell r="K3924" t="str">
            <v>86,88,87</v>
          </cell>
          <cell r="L3924" t="str">
            <v>Judi Online</v>
          </cell>
          <cell r="M3924" t="str">
            <v xml:space="preserve">Kas Kanpus                              </v>
          </cell>
          <cell r="N3924" t="str">
            <v xml:space="preserve">Kas Kanpus                              </v>
          </cell>
          <cell r="O3924" t="str">
            <v xml:space="preserve">KAS KANPUS                              </v>
          </cell>
          <cell r="P3924" t="str">
            <v>Ya</v>
          </cell>
          <cell r="Q3924" t="str">
            <v>Ya</v>
          </cell>
          <cell r="R3924" t="str">
            <v>Done</v>
          </cell>
          <cell r="S3924" t="str">
            <v>Approved</v>
          </cell>
          <cell r="T3924" t="str">
            <v>90186790 - Muhammad Alfin Farha</v>
          </cell>
          <cell r="U3924" t="str">
            <v>"-"</v>
          </cell>
        </row>
        <row r="3925">
          <cell r="A3925">
            <v>46265</v>
          </cell>
          <cell r="B3925" t="str">
            <v xml:space="preserve">ARIEF EFFENDI                           </v>
          </cell>
          <cell r="C3925" t="str">
            <v>ATTO549</v>
          </cell>
          <cell r="D3925">
            <v>67101000890307</v>
          </cell>
          <cell r="E3925" t="str">
            <v>SEDANG</v>
          </cell>
          <cell r="F3925" t="str">
            <v>Tidak</v>
          </cell>
          <cell r="G3925" t="str">
            <v>Tidak</v>
          </cell>
          <cell r="H3925" t="str">
            <v>Tidak</v>
          </cell>
          <cell r="I3925" t="str">
            <v>High Transaction Custodian</v>
          </cell>
          <cell r="J3925">
            <v>46</v>
          </cell>
          <cell r="K3925">
            <v>32</v>
          </cell>
          <cell r="L3925" t="str">
            <v>Kustodian</v>
          </cell>
          <cell r="M3925" t="str">
            <v>Kas Kanpus</v>
          </cell>
          <cell r="N3925" t="str">
            <v>Kas Kanpus</v>
          </cell>
          <cell r="O3925" t="str">
            <v>KAS KANPUS</v>
          </cell>
          <cell r="P3925" t="str">
            <v>Tidak</v>
          </cell>
          <cell r="Q3925" t="str">
            <v>Tidak</v>
          </cell>
          <cell r="R3925" t="str">
            <v>Done</v>
          </cell>
          <cell r="S3925" t="str">
            <v>Approved</v>
          </cell>
          <cell r="T3925" t="str">
            <v>00394520 - Frida Akbar Rani</v>
          </cell>
          <cell r="U3925" t="str">
            <v>"-"</v>
          </cell>
        </row>
        <row r="3926">
          <cell r="A3926">
            <v>46265</v>
          </cell>
          <cell r="B3926" t="str">
            <v xml:space="preserve">AHMAD RIZAL                             </v>
          </cell>
          <cell r="C3926" t="str">
            <v>AUUZ523</v>
          </cell>
          <cell r="D3926">
            <v>116901000483562</v>
          </cell>
          <cell r="E3926" t="str">
            <v>SEDANG</v>
          </cell>
          <cell r="F3926" t="str">
            <v>Tidak</v>
          </cell>
          <cell r="G3926" t="str">
            <v>Tidak</v>
          </cell>
          <cell r="H3926" t="str">
            <v>Ya</v>
          </cell>
          <cell r="I3926" t="str">
            <v>Bandar Judol Depo</v>
          </cell>
          <cell r="J3926">
            <v>50</v>
          </cell>
          <cell r="K3926" t="str">
            <v>86,74,87</v>
          </cell>
          <cell r="L3926" t="str">
            <v>Judi Online</v>
          </cell>
          <cell r="M3926" t="str">
            <v xml:space="preserve">Kas Kanpus                              </v>
          </cell>
          <cell r="N3926" t="str">
            <v xml:space="preserve">Kas Kanpus                              </v>
          </cell>
          <cell r="O3926" t="str">
            <v xml:space="preserve">KAS KANPUS                              </v>
          </cell>
          <cell r="P3926" t="str">
            <v>Ya</v>
          </cell>
          <cell r="Q3926" t="str">
            <v>Ya</v>
          </cell>
          <cell r="R3926" t="str">
            <v>Done</v>
          </cell>
          <cell r="S3926" t="str">
            <v>Approved</v>
          </cell>
          <cell r="T3926" t="str">
            <v>90170665 - Mutiara Ayuningtyas</v>
          </cell>
          <cell r="U3926" t="str">
            <v>"-"</v>
          </cell>
        </row>
        <row r="3927">
          <cell r="A3927">
            <v>46265</v>
          </cell>
          <cell r="B3927" t="str">
            <v xml:space="preserve">ANDREAS THOMSON P SIRAIT                </v>
          </cell>
          <cell r="C3927" t="str">
            <v>AUVW676</v>
          </cell>
          <cell r="D3927">
            <v>222701011917509</v>
          </cell>
          <cell r="E3927" t="str">
            <v>SEDANG</v>
          </cell>
          <cell r="F3927" t="str">
            <v>Tidak</v>
          </cell>
          <cell r="G3927" t="str">
            <v>Tidak</v>
          </cell>
          <cell r="H3927" t="str">
            <v>Tidak</v>
          </cell>
          <cell r="I3927" t="str">
            <v>Bandar Judol Withdrawal</v>
          </cell>
          <cell r="J3927">
            <v>50</v>
          </cell>
          <cell r="K3927" t="str">
            <v>86,88,87</v>
          </cell>
          <cell r="L3927" t="str">
            <v>Judi Online</v>
          </cell>
          <cell r="M3927" t="str">
            <v xml:space="preserve">Kas Kanpus                              </v>
          </cell>
          <cell r="N3927" t="str">
            <v xml:space="preserve">Kas Kanpus                              </v>
          </cell>
          <cell r="O3927" t="str">
            <v xml:space="preserve">KAS KANPUS                              </v>
          </cell>
          <cell r="P3927" t="str">
            <v>Ya</v>
          </cell>
          <cell r="Q3927" t="str">
            <v>Ya</v>
          </cell>
          <cell r="R3927" t="str">
            <v>Done</v>
          </cell>
          <cell r="S3927" t="str">
            <v>Approved</v>
          </cell>
          <cell r="T3927" t="str">
            <v>00336949 - Mochammad Al Farabi</v>
          </cell>
          <cell r="U3927" t="str">
            <v>"-"</v>
          </cell>
        </row>
        <row r="3928">
          <cell r="A3928">
            <v>46265</v>
          </cell>
          <cell r="B3928" t="str">
            <v xml:space="preserve">AKBAR ADAM PRATAMA                      </v>
          </cell>
          <cell r="C3928" t="str">
            <v>ATLL840</v>
          </cell>
          <cell r="D3928">
            <v>108801000711561</v>
          </cell>
          <cell r="E3928" t="str">
            <v>SEDANG</v>
          </cell>
          <cell r="F3928" t="str">
            <v>Tidak</v>
          </cell>
          <cell r="G3928" t="str">
            <v>Tidak</v>
          </cell>
          <cell r="H3928" t="str">
            <v>Tidak</v>
          </cell>
          <cell r="I3928" t="str">
            <v>Bandar Judol Withdrawal</v>
          </cell>
          <cell r="J3928">
            <v>50</v>
          </cell>
          <cell r="K3928" t="str">
            <v>86,88,87</v>
          </cell>
          <cell r="L3928" t="str">
            <v>Judi Online</v>
          </cell>
          <cell r="M3928" t="str">
            <v xml:space="preserve">Kas Kanpus                              </v>
          </cell>
          <cell r="N3928" t="str">
            <v xml:space="preserve">Kas Kanpus                              </v>
          </cell>
          <cell r="O3928" t="str">
            <v xml:space="preserve">KAS KANPUS                              </v>
          </cell>
          <cell r="P3928" t="str">
            <v>Ya</v>
          </cell>
          <cell r="Q3928" t="str">
            <v>Ya</v>
          </cell>
          <cell r="R3928" t="str">
            <v>Done</v>
          </cell>
          <cell r="S3928" t="str">
            <v>Approved</v>
          </cell>
          <cell r="T3928" t="str">
            <v>90186796 - Devito Arya Wiradila</v>
          </cell>
          <cell r="U3928" t="str">
            <v>"-"</v>
          </cell>
        </row>
        <row r="3929">
          <cell r="A3929">
            <v>46265</v>
          </cell>
          <cell r="B3929" t="str">
            <v xml:space="preserve">ADAM GINANZAR                           </v>
          </cell>
          <cell r="C3929" t="str">
            <v>ATQZ068</v>
          </cell>
          <cell r="D3929">
            <v>40501001519563</v>
          </cell>
          <cell r="E3929" t="str">
            <v>TINGGI</v>
          </cell>
          <cell r="F3929" t="str">
            <v>Tidak</v>
          </cell>
          <cell r="G3929" t="str">
            <v>Tidak</v>
          </cell>
          <cell r="H3929" t="str">
            <v>Tidak</v>
          </cell>
          <cell r="I3929" t="str">
            <v>Bandar Judol Depo</v>
          </cell>
          <cell r="J3929">
            <v>65</v>
          </cell>
          <cell r="K3929" t="str">
            <v>86,74,87</v>
          </cell>
          <cell r="L3929" t="str">
            <v>Judi Online</v>
          </cell>
          <cell r="M3929" t="str">
            <v xml:space="preserve">Kas Kanpus                              </v>
          </cell>
          <cell r="N3929" t="str">
            <v xml:space="preserve">Kas Kanpus                              </v>
          </cell>
          <cell r="O3929" t="str">
            <v xml:space="preserve">KAS KANPUS                              </v>
          </cell>
          <cell r="P3929" t="str">
            <v>Tidak</v>
          </cell>
          <cell r="Q3929" t="str">
            <v>Ya</v>
          </cell>
          <cell r="R3929" t="str">
            <v>Done</v>
          </cell>
          <cell r="S3929" t="str">
            <v>Approved</v>
          </cell>
          <cell r="T3929" t="str">
            <v>90171841 - Rifqi Aziz</v>
          </cell>
          <cell r="U3929" t="str">
            <v>"-"</v>
          </cell>
        </row>
        <row r="3930">
          <cell r="A3930">
            <v>46265</v>
          </cell>
          <cell r="B3930" t="str">
            <v xml:space="preserve">ADITYA NURRACHMAN                       </v>
          </cell>
          <cell r="C3930" t="str">
            <v>AHSR395</v>
          </cell>
          <cell r="D3930">
            <v>173101008190500</v>
          </cell>
          <cell r="E3930" t="str">
            <v>SEDANG</v>
          </cell>
          <cell r="F3930" t="str">
            <v>Tidak</v>
          </cell>
          <cell r="G3930" t="str">
            <v>Tidak</v>
          </cell>
          <cell r="H3930" t="str">
            <v>Tidak</v>
          </cell>
          <cell r="I3930" t="str">
            <v>Bandar Judol Withdrawal</v>
          </cell>
          <cell r="J3930">
            <v>50</v>
          </cell>
          <cell r="K3930" t="str">
            <v>86,88,87</v>
          </cell>
          <cell r="L3930" t="str">
            <v>Judi Online</v>
          </cell>
          <cell r="M3930" t="str">
            <v xml:space="preserve">Kas Kanpus                              </v>
          </cell>
          <cell r="N3930" t="str">
            <v xml:space="preserve">Kas Kanpus                              </v>
          </cell>
          <cell r="O3930" t="str">
            <v xml:space="preserve">KAS KANPUS                              </v>
          </cell>
          <cell r="P3930" t="str">
            <v>Ya</v>
          </cell>
          <cell r="Q3930" t="str">
            <v>Ya</v>
          </cell>
          <cell r="R3930" t="str">
            <v>Done</v>
          </cell>
          <cell r="S3930" t="str">
            <v>Approved</v>
          </cell>
          <cell r="T3930" t="str">
            <v>90150130 - Intan Aida Pratiwi</v>
          </cell>
          <cell r="U3930" t="str">
            <v>"-"</v>
          </cell>
        </row>
        <row r="3931">
          <cell r="A3931">
            <v>46265</v>
          </cell>
          <cell r="B3931" t="str">
            <v xml:space="preserve">ARIF ROMDHON WAHYU KUSUMOJATI           </v>
          </cell>
          <cell r="C3931" t="str">
            <v>AIO8643</v>
          </cell>
          <cell r="D3931">
            <v>24701020515508</v>
          </cell>
          <cell r="E3931" t="str">
            <v>TINGGI</v>
          </cell>
          <cell r="F3931" t="str">
            <v>Tidak</v>
          </cell>
          <cell r="G3931" t="str">
            <v>Tidak</v>
          </cell>
          <cell r="H3931" t="str">
            <v>Tidak</v>
          </cell>
          <cell r="I3931" t="str">
            <v>Narkotika - Area Lapas</v>
          </cell>
          <cell r="J3931">
            <v>73</v>
          </cell>
          <cell r="K3931">
            <v>48</v>
          </cell>
          <cell r="L3931" t="str">
            <v>Narkotika</v>
          </cell>
          <cell r="M3931" t="str">
            <v>KC Sleman</v>
          </cell>
          <cell r="N3931" t="str">
            <v>KC Sleman</v>
          </cell>
          <cell r="O3931" t="str">
            <v>Yogyakarta</v>
          </cell>
          <cell r="P3931" t="str">
            <v>Tidak</v>
          </cell>
          <cell r="Q3931" t="str">
            <v>Tidak</v>
          </cell>
          <cell r="R3931" t="str">
            <v>Done</v>
          </cell>
          <cell r="S3931" t="str">
            <v>Approved</v>
          </cell>
          <cell r="T3931" t="str">
            <v>00336949 - Mochammad Al Farabi</v>
          </cell>
          <cell r="U3931" t="str">
            <v>"-"</v>
          </cell>
        </row>
        <row r="3932">
          <cell r="A3932">
            <v>46265</v>
          </cell>
          <cell r="B3932" t="str">
            <v xml:space="preserve">ALFIN NURLAILI ZAIN                     </v>
          </cell>
          <cell r="C3932" t="str">
            <v>AKAX276</v>
          </cell>
          <cell r="D3932">
            <v>601072969507</v>
          </cell>
          <cell r="E3932" t="str">
            <v>SEDANG</v>
          </cell>
          <cell r="F3932" t="str">
            <v>Tidak</v>
          </cell>
          <cell r="G3932" t="str">
            <v>Tidak</v>
          </cell>
          <cell r="H3932" t="str">
            <v>Tidak</v>
          </cell>
          <cell r="I3932" t="str">
            <v>Narkotika - Area Lapas</v>
          </cell>
          <cell r="J3932">
            <v>51</v>
          </cell>
          <cell r="K3932">
            <v>48</v>
          </cell>
          <cell r="L3932" t="str">
            <v>Narkotika</v>
          </cell>
          <cell r="M3932" t="str">
            <v>KC Bangkalan</v>
          </cell>
          <cell r="N3932" t="str">
            <v>KC Bangkalan</v>
          </cell>
          <cell r="O3932" t="str">
            <v>Surabaya</v>
          </cell>
          <cell r="P3932" t="str">
            <v>Tidak</v>
          </cell>
          <cell r="Q3932" t="str">
            <v>Tidak</v>
          </cell>
          <cell r="R3932" t="str">
            <v>Done</v>
          </cell>
          <cell r="S3932" t="str">
            <v>Approved</v>
          </cell>
          <cell r="T3932" t="str">
            <v>90186790 - Muhammad Alfin Farha</v>
          </cell>
          <cell r="U3932" t="str">
            <v>"-"</v>
          </cell>
        </row>
        <row r="3933">
          <cell r="A3933">
            <v>46265</v>
          </cell>
          <cell r="B3933" t="str">
            <v xml:space="preserve">AGUS ROBIN MUZUNI                       </v>
          </cell>
          <cell r="C3933" t="str">
            <v>AKDO916</v>
          </cell>
          <cell r="D3933">
            <v>512401033338538</v>
          </cell>
          <cell r="E3933" t="str">
            <v>SEDANG</v>
          </cell>
          <cell r="F3933" t="str">
            <v>Tidak</v>
          </cell>
          <cell r="G3933" t="str">
            <v>Tidak</v>
          </cell>
          <cell r="H3933" t="str">
            <v>Tidak</v>
          </cell>
          <cell r="I3933" t="str">
            <v>Pencurian Rekening</v>
          </cell>
          <cell r="J3933">
            <v>49</v>
          </cell>
          <cell r="K3933">
            <v>59</v>
          </cell>
          <cell r="L3933" t="str">
            <v>Perbankan</v>
          </cell>
          <cell r="M3933" t="str">
            <v xml:space="preserve">UNIT GIRIAN BITUNG                      </v>
          </cell>
          <cell r="N3933" t="str">
            <v xml:space="preserve">KC Bitung                               </v>
          </cell>
          <cell r="O3933" t="str">
            <v xml:space="preserve">Manado                                  </v>
          </cell>
          <cell r="P3933" t="str">
            <v>Ya</v>
          </cell>
          <cell r="Q3933" t="str">
            <v>Tidak</v>
          </cell>
          <cell r="R3933" t="str">
            <v>Done</v>
          </cell>
          <cell r="S3933" t="str">
            <v>Approved</v>
          </cell>
          <cell r="T3933" t="str">
            <v>90185537 - Moh.Khoerul Fajar Ar</v>
          </cell>
          <cell r="U3933" t="str">
            <v>"-"</v>
          </cell>
        </row>
        <row r="3934">
          <cell r="A3934">
            <v>46265</v>
          </cell>
          <cell r="B3934" t="str">
            <v xml:space="preserve">ALVA RIZIH TIJA                         </v>
          </cell>
          <cell r="C3934" t="str">
            <v>AIVY745</v>
          </cell>
          <cell r="D3934">
            <v>10701143642501</v>
          </cell>
          <cell r="E3934" t="str">
            <v>TINGGI</v>
          </cell>
          <cell r="F3934" t="str">
            <v>Tidak</v>
          </cell>
          <cell r="G3934" t="str">
            <v>Tidak</v>
          </cell>
          <cell r="H3934" t="str">
            <v>Tidak</v>
          </cell>
          <cell r="I3934" t="str">
            <v>Bandar Judol Withdrawal</v>
          </cell>
          <cell r="J3934">
            <v>65</v>
          </cell>
          <cell r="K3934" t="str">
            <v>86,88,87</v>
          </cell>
          <cell r="L3934" t="str">
            <v>Judi Online</v>
          </cell>
          <cell r="M3934" t="str">
            <v xml:space="preserve">Kas Kanpus                              </v>
          </cell>
          <cell r="N3934" t="str">
            <v xml:space="preserve">Kas Kanpus                              </v>
          </cell>
          <cell r="O3934" t="str">
            <v xml:space="preserve">KAS KANPUS                              </v>
          </cell>
          <cell r="P3934" t="str">
            <v>Ya</v>
          </cell>
          <cell r="Q3934" t="str">
            <v>Ya</v>
          </cell>
          <cell r="R3934" t="str">
            <v>Done</v>
          </cell>
          <cell r="S3934" t="str">
            <v>Approved</v>
          </cell>
          <cell r="T3934" t="str">
            <v>00336949 - Mochammad Al Farabi</v>
          </cell>
          <cell r="U3934" t="str">
            <v>"-"</v>
          </cell>
        </row>
        <row r="3935">
          <cell r="A3935">
            <v>46265</v>
          </cell>
          <cell r="B3935" t="str">
            <v xml:space="preserve">ALFIADI                                 </v>
          </cell>
          <cell r="C3935" t="str">
            <v>AJC2992</v>
          </cell>
          <cell r="D3935">
            <v>208901000733564</v>
          </cell>
          <cell r="E3935" t="str">
            <v>TINGGI</v>
          </cell>
          <cell r="F3935" t="str">
            <v>Tidak</v>
          </cell>
          <cell r="G3935" t="str">
            <v>Tidak</v>
          </cell>
          <cell r="H3935" t="str">
            <v>Tidak</v>
          </cell>
          <cell r="I3935" t="str">
            <v>Terorisme - SIPENDAR</v>
          </cell>
          <cell r="J3935">
            <v>185</v>
          </cell>
          <cell r="K3935">
            <v>36</v>
          </cell>
          <cell r="L3935" t="str">
            <v>Terorisme</v>
          </cell>
          <cell r="M3935" t="str">
            <v xml:space="preserve">Kas Kanpus                              </v>
          </cell>
          <cell r="N3935" t="str">
            <v xml:space="preserve">Kas Kanpus                              </v>
          </cell>
          <cell r="O3935" t="str">
            <v xml:space="preserve">KAS KANPUS                              </v>
          </cell>
          <cell r="P3935" t="str">
            <v>Tidak</v>
          </cell>
          <cell r="Q3935" t="str">
            <v>Ya</v>
          </cell>
          <cell r="R3935" t="str">
            <v>Done</v>
          </cell>
          <cell r="S3935" t="str">
            <v>Approved</v>
          </cell>
          <cell r="T3935" t="str">
            <v>90150130 - Intan Aida Pratiwi</v>
          </cell>
          <cell r="U3935" t="str">
            <v>"-"</v>
          </cell>
        </row>
        <row r="3936">
          <cell r="A3936">
            <v>46265</v>
          </cell>
          <cell r="B3936" t="str">
            <v xml:space="preserve">ANGGI SAGITA                            </v>
          </cell>
          <cell r="C3936" t="str">
            <v>AMSW653</v>
          </cell>
          <cell r="D3936">
            <v>52001015338505</v>
          </cell>
          <cell r="E3936" t="str">
            <v>SEDANG</v>
          </cell>
          <cell r="F3936" t="str">
            <v>Tidak</v>
          </cell>
          <cell r="G3936" t="str">
            <v>Tidak</v>
          </cell>
          <cell r="H3936" t="str">
            <v>Tidak</v>
          </cell>
          <cell r="I3936" t="str">
            <v>Bandar Judol Withdrawal</v>
          </cell>
          <cell r="J3936">
            <v>50</v>
          </cell>
          <cell r="K3936" t="str">
            <v>86,88,87</v>
          </cell>
          <cell r="L3936" t="str">
            <v>Judi Online</v>
          </cell>
          <cell r="M3936" t="str">
            <v xml:space="preserve">Kas Kanpus                              </v>
          </cell>
          <cell r="N3936" t="str">
            <v xml:space="preserve">Kas Kanpus                              </v>
          </cell>
          <cell r="O3936" t="str">
            <v xml:space="preserve">KAS KANPUS                              </v>
          </cell>
          <cell r="P3936" t="str">
            <v>Ya</v>
          </cell>
          <cell r="Q3936" t="str">
            <v>Ya</v>
          </cell>
          <cell r="R3936" t="str">
            <v>Done</v>
          </cell>
          <cell r="S3936" t="str">
            <v>Approved</v>
          </cell>
          <cell r="T3936" t="str">
            <v>00394520 - Frida Akbar Rani</v>
          </cell>
          <cell r="U3936" t="str">
            <v>"-"</v>
          </cell>
        </row>
        <row r="3937">
          <cell r="A3937">
            <v>46265</v>
          </cell>
          <cell r="B3937" t="str">
            <v xml:space="preserve">ANGGA SETIAWAN                          </v>
          </cell>
          <cell r="C3937" t="str">
            <v>ALHW023</v>
          </cell>
          <cell r="D3937">
            <v>1201030148532</v>
          </cell>
          <cell r="E3937" t="str">
            <v>SEDANG</v>
          </cell>
          <cell r="F3937" t="str">
            <v>Tidak</v>
          </cell>
          <cell r="G3937" t="str">
            <v>Tidak</v>
          </cell>
          <cell r="H3937" t="str">
            <v>Tidak</v>
          </cell>
          <cell r="I3937" t="str">
            <v>Bandar Judol Depo</v>
          </cell>
          <cell r="J3937">
            <v>50</v>
          </cell>
          <cell r="K3937" t="str">
            <v>86,74,87</v>
          </cell>
          <cell r="L3937" t="str">
            <v>Judi Online</v>
          </cell>
          <cell r="M3937" t="str">
            <v xml:space="preserve">Kas Kanpus                              </v>
          </cell>
          <cell r="N3937" t="str">
            <v xml:space="preserve">Kas Kanpus                              </v>
          </cell>
          <cell r="O3937" t="str">
            <v xml:space="preserve">KAS KANPUS                              </v>
          </cell>
          <cell r="P3937" t="str">
            <v>Ya</v>
          </cell>
          <cell r="Q3937" t="str">
            <v>Ya</v>
          </cell>
          <cell r="R3937" t="str">
            <v>Done</v>
          </cell>
          <cell r="S3937" t="str">
            <v>Approved</v>
          </cell>
          <cell r="T3937" t="str">
            <v>90185538 - Muhammad Fahikal Auz</v>
          </cell>
          <cell r="U3937" t="str">
            <v>"-"</v>
          </cell>
        </row>
        <row r="3938">
          <cell r="A3938">
            <v>46265</v>
          </cell>
          <cell r="B3938" t="str">
            <v xml:space="preserve">BPJS KESEHATAN                          </v>
          </cell>
          <cell r="C3938" t="str">
            <v>AIL5612</v>
          </cell>
          <cell r="D3938">
            <v>34101001125304</v>
          </cell>
          <cell r="E3938" t="str">
            <v>SEDANG</v>
          </cell>
          <cell r="F3938" t="str">
            <v>Tidak</v>
          </cell>
          <cell r="G3938" t="str">
            <v>Tidak</v>
          </cell>
          <cell r="H3938" t="str">
            <v>Tidak</v>
          </cell>
          <cell r="I3938" t="str">
            <v>Narkotika - Area Lapas</v>
          </cell>
          <cell r="J3938">
            <v>50</v>
          </cell>
          <cell r="K3938">
            <v>46</v>
          </cell>
          <cell r="L3938" t="str">
            <v>Narkotika</v>
          </cell>
          <cell r="M3938" t="str">
            <v>KC Jakarta Warung Buncit</v>
          </cell>
          <cell r="N3938" t="str">
            <v>KC Jakarta Warung Buncit</v>
          </cell>
          <cell r="O3938" t="str">
            <v>DKI2</v>
          </cell>
          <cell r="P3938" t="str">
            <v>Tidak</v>
          </cell>
          <cell r="Q3938" t="str">
            <v>Tidak</v>
          </cell>
          <cell r="R3938" t="str">
            <v>Done</v>
          </cell>
          <cell r="S3938" t="str">
            <v>Approved</v>
          </cell>
          <cell r="T3938" t="str">
            <v>00336949 - Mochammad Al Farabi</v>
          </cell>
          <cell r="U3938" t="str">
            <v>"-"</v>
          </cell>
        </row>
        <row r="3939">
          <cell r="A3939">
            <v>46265</v>
          </cell>
          <cell r="B3939" t="str">
            <v xml:space="preserve">ARMAN                                   </v>
          </cell>
          <cell r="C3939" t="str">
            <v>AL15270</v>
          </cell>
          <cell r="D3939">
            <v>108101000285562</v>
          </cell>
          <cell r="E3939" t="str">
            <v>SEDANG</v>
          </cell>
          <cell r="F3939" t="str">
            <v>Ya</v>
          </cell>
          <cell r="G3939" t="str">
            <v>Tidak</v>
          </cell>
          <cell r="H3939" t="str">
            <v>Tidak</v>
          </cell>
          <cell r="I3939" t="str">
            <v>Transaksi Agen BRILink terindikasi Judi Online</v>
          </cell>
          <cell r="J3939">
            <v>54</v>
          </cell>
          <cell r="K3939">
            <v>105</v>
          </cell>
          <cell r="L3939" t="str">
            <v>Agen BRILink</v>
          </cell>
          <cell r="M3939" t="str">
            <v xml:space="preserve">Kas Kanpus                              </v>
          </cell>
          <cell r="N3939" t="str">
            <v xml:space="preserve">Kas Kanpus                              </v>
          </cell>
          <cell r="O3939" t="str">
            <v xml:space="preserve">KAS KANPUS                              </v>
          </cell>
          <cell r="P3939" t="str">
            <v>Tidak</v>
          </cell>
          <cell r="Q3939" t="str">
            <v>Tidak</v>
          </cell>
          <cell r="R3939" t="str">
            <v>Done</v>
          </cell>
          <cell r="S3939" t="str">
            <v>Approved</v>
          </cell>
          <cell r="T3939" t="str">
            <v>90150130 - Intan Aida Pratiwi</v>
          </cell>
          <cell r="U3939" t="str">
            <v>"-"</v>
          </cell>
        </row>
        <row r="3940">
          <cell r="A3940">
            <v>46265</v>
          </cell>
          <cell r="B3940" t="str">
            <v xml:space="preserve">AHMAD SOLICHIN L                        </v>
          </cell>
          <cell r="C3940" t="str">
            <v>AG60014</v>
          </cell>
          <cell r="D3940">
            <v>5326599000000210</v>
          </cell>
          <cell r="E3940" t="str">
            <v>TINGGI</v>
          </cell>
          <cell r="F3940" t="str">
            <v>Tidak</v>
          </cell>
          <cell r="G3940" t="str">
            <v>Ya</v>
          </cell>
          <cell r="H3940" t="str">
            <v>Tidak</v>
          </cell>
          <cell r="I3940" t="str">
            <v>Private or Priority Customer Investment</v>
          </cell>
          <cell r="J3940">
            <v>93</v>
          </cell>
          <cell r="K3940">
            <v>93</v>
          </cell>
          <cell r="L3940" t="str">
            <v>Pasar Modal</v>
          </cell>
          <cell r="M3940" t="str">
            <v xml:space="preserve">Jkt KCK                                 </v>
          </cell>
          <cell r="N3940" t="str">
            <v xml:space="preserve">Jkt KCK                                 </v>
          </cell>
          <cell r="O3940" t="str">
            <v xml:space="preserve">DKI                                     </v>
          </cell>
          <cell r="P3940" t="str">
            <v>Tidak</v>
          </cell>
          <cell r="Q3940" t="str">
            <v>Tidak</v>
          </cell>
          <cell r="R3940" t="str">
            <v>Done</v>
          </cell>
          <cell r="S3940" t="str">
            <v>Approved</v>
          </cell>
          <cell r="T3940" t="str">
            <v>00394520 - Frida Akbar Rani</v>
          </cell>
          <cell r="U3940" t="str">
            <v>"-"</v>
          </cell>
        </row>
        <row r="3941">
          <cell r="A3941">
            <v>46265</v>
          </cell>
          <cell r="B3941" t="str">
            <v xml:space="preserve">AIDIL YUSAR                             </v>
          </cell>
          <cell r="C3941" t="str">
            <v>AESNJ60</v>
          </cell>
          <cell r="D3941">
            <v>532101024021504</v>
          </cell>
          <cell r="F3941" t="str">
            <v>Tidak</v>
          </cell>
          <cell r="G3941" t="str">
            <v>Tidak</v>
          </cell>
          <cell r="H3941" t="str">
            <v>Tidak</v>
          </cell>
          <cell r="I3941" t="str">
            <v>Bandar Judol Withdrawal</v>
          </cell>
          <cell r="J3941">
            <v>35</v>
          </cell>
          <cell r="K3941" t="str">
            <v>86,88,87</v>
          </cell>
          <cell r="L3941" t="str">
            <v>Judi Online</v>
          </cell>
          <cell r="M3941" t="str">
            <v xml:space="preserve">Kas Kanpus                              </v>
          </cell>
          <cell r="N3941" t="str">
            <v xml:space="preserve">Kas Kanpus                              </v>
          </cell>
          <cell r="O3941" t="str">
            <v xml:space="preserve">KAS KANPUS                              </v>
          </cell>
          <cell r="P3941" t="str">
            <v>Ya</v>
          </cell>
          <cell r="Q3941" t="str">
            <v>Ya</v>
          </cell>
          <cell r="R3941" t="str">
            <v>Done</v>
          </cell>
          <cell r="S3941" t="str">
            <v>Approved</v>
          </cell>
          <cell r="T3941" t="str">
            <v>90186796 - Devito Arya Wiradila</v>
          </cell>
          <cell r="U3941" t="str">
            <v>"-"</v>
          </cell>
        </row>
        <row r="3942">
          <cell r="A3942">
            <v>46265</v>
          </cell>
          <cell r="B3942" t="str">
            <v xml:space="preserve">AGIL PURWANTO                           </v>
          </cell>
          <cell r="C3942" t="str">
            <v>AESNQ25</v>
          </cell>
          <cell r="D3942">
            <v>431901000013563</v>
          </cell>
          <cell r="F3942" t="str">
            <v>Tidak</v>
          </cell>
          <cell r="G3942" t="str">
            <v>Tidak</v>
          </cell>
          <cell r="H3942" t="str">
            <v>Tidak</v>
          </cell>
          <cell r="I3942" t="str">
            <v>Bandar Judol Withdrawal</v>
          </cell>
          <cell r="J3942">
            <v>35</v>
          </cell>
          <cell r="K3942" t="str">
            <v>86,88,87</v>
          </cell>
          <cell r="L3942" t="str">
            <v>Judi Online</v>
          </cell>
          <cell r="M3942" t="str">
            <v xml:space="preserve">Kas Kanpus                              </v>
          </cell>
          <cell r="N3942" t="str">
            <v xml:space="preserve">Kas Kanpus                              </v>
          </cell>
          <cell r="O3942" t="str">
            <v xml:space="preserve">KAS KANPUS                              </v>
          </cell>
          <cell r="P3942" t="str">
            <v>Tidak</v>
          </cell>
          <cell r="Q3942" t="str">
            <v>Ya</v>
          </cell>
          <cell r="R3942" t="str">
            <v>Done</v>
          </cell>
          <cell r="S3942" t="str">
            <v>Approved</v>
          </cell>
          <cell r="T3942" t="str">
            <v>00336949 - Mochammad Al Farabi</v>
          </cell>
          <cell r="U3942" t="str">
            <v>"-"</v>
          </cell>
        </row>
        <row r="3943">
          <cell r="A3943">
            <v>46265</v>
          </cell>
          <cell r="B3943" t="str">
            <v xml:space="preserve">ALI MAHHUBI                             </v>
          </cell>
          <cell r="C3943" t="str">
            <v>AESKC92</v>
          </cell>
          <cell r="D3943">
            <v>1901199741500</v>
          </cell>
          <cell r="F3943" t="str">
            <v>Tidak</v>
          </cell>
          <cell r="G3943" t="str">
            <v>Tidak</v>
          </cell>
          <cell r="H3943" t="str">
            <v>Tidak</v>
          </cell>
          <cell r="I3943" t="str">
            <v>Bandar Judol Withdrawal</v>
          </cell>
          <cell r="J3943">
            <v>35</v>
          </cell>
          <cell r="K3943" t="str">
            <v>86,88,87</v>
          </cell>
          <cell r="L3943" t="str">
            <v>Judi Online</v>
          </cell>
          <cell r="M3943" t="str">
            <v xml:space="preserve">Kas Kanpus                              </v>
          </cell>
          <cell r="N3943" t="str">
            <v xml:space="preserve">Kas Kanpus                              </v>
          </cell>
          <cell r="O3943" t="str">
            <v xml:space="preserve">KAS KANPUS                              </v>
          </cell>
          <cell r="P3943" t="str">
            <v>Ya</v>
          </cell>
          <cell r="Q3943" t="str">
            <v>Ya</v>
          </cell>
          <cell r="R3943" t="str">
            <v>Done</v>
          </cell>
          <cell r="S3943" t="str">
            <v>Approved</v>
          </cell>
          <cell r="T3943" t="str">
            <v>90150130 - Intan Aida Pratiwi</v>
          </cell>
          <cell r="U3943" t="str">
            <v>"-"</v>
          </cell>
        </row>
        <row r="3944">
          <cell r="A3944">
            <v>46265</v>
          </cell>
          <cell r="B3944" t="str">
            <v xml:space="preserve">ANDIKA ALFARIZAL                        </v>
          </cell>
          <cell r="C3944" t="str">
            <v>AEPRR08</v>
          </cell>
          <cell r="D3944">
            <v>331901005871503</v>
          </cell>
          <cell r="F3944" t="str">
            <v>Tidak</v>
          </cell>
          <cell r="G3944" t="str">
            <v>Tidak</v>
          </cell>
          <cell r="H3944" t="str">
            <v>Tidak</v>
          </cell>
          <cell r="I3944" t="str">
            <v>Bandar Judol Withdrawal</v>
          </cell>
          <cell r="J3944">
            <v>35</v>
          </cell>
          <cell r="K3944" t="str">
            <v>86,88,87</v>
          </cell>
          <cell r="L3944" t="str">
            <v>Judi Online</v>
          </cell>
          <cell r="M3944" t="str">
            <v xml:space="preserve">Kas Kanpus                              </v>
          </cell>
          <cell r="N3944" t="str">
            <v xml:space="preserve">Kas Kanpus                              </v>
          </cell>
          <cell r="O3944" t="str">
            <v xml:space="preserve">KAS KANPUS                              </v>
          </cell>
          <cell r="P3944" t="str">
            <v>Ya</v>
          </cell>
          <cell r="Q3944" t="str">
            <v>Ya</v>
          </cell>
          <cell r="R3944" t="str">
            <v>Done</v>
          </cell>
          <cell r="S3944" t="str">
            <v>Approved</v>
          </cell>
          <cell r="T3944" t="str">
            <v>90171841 - Rifqi Aziz</v>
          </cell>
          <cell r="U3944" t="str">
            <v>"-"</v>
          </cell>
        </row>
        <row r="3945">
          <cell r="A3945">
            <v>46265</v>
          </cell>
          <cell r="B3945" t="str">
            <v xml:space="preserve">ARI TRIYATNO                            </v>
          </cell>
          <cell r="C3945" t="str">
            <v>AESAH93</v>
          </cell>
          <cell r="D3945">
            <v>463501000012561</v>
          </cell>
          <cell r="F3945" t="str">
            <v>Tidak</v>
          </cell>
          <cell r="G3945" t="str">
            <v>Tidak</v>
          </cell>
          <cell r="H3945" t="str">
            <v>Tidak</v>
          </cell>
          <cell r="I3945" t="str">
            <v>Bandar Judol Depo</v>
          </cell>
          <cell r="J3945">
            <v>35</v>
          </cell>
          <cell r="K3945" t="str">
            <v>86,74,87</v>
          </cell>
          <cell r="L3945" t="str">
            <v>Judi Online</v>
          </cell>
          <cell r="M3945" t="str">
            <v xml:space="preserve">Kas Kanpus                              </v>
          </cell>
          <cell r="N3945" t="str">
            <v xml:space="preserve">Kas Kanpus                              </v>
          </cell>
          <cell r="O3945" t="str">
            <v xml:space="preserve">KAS KANPUS                              </v>
          </cell>
          <cell r="P3945" t="str">
            <v>Ya</v>
          </cell>
          <cell r="Q3945" t="str">
            <v>Ya</v>
          </cell>
          <cell r="R3945" t="str">
            <v>Done</v>
          </cell>
          <cell r="S3945" t="str">
            <v>Approved</v>
          </cell>
          <cell r="T3945" t="str">
            <v>00394520 - Frida Akbar Rani</v>
          </cell>
          <cell r="U3945" t="str">
            <v>"-"</v>
          </cell>
        </row>
        <row r="3946">
          <cell r="A3946">
            <v>46265</v>
          </cell>
          <cell r="B3946" t="str">
            <v xml:space="preserve">AHMAD YUSUP                             </v>
          </cell>
          <cell r="C3946" t="str">
            <v>AEPNF52</v>
          </cell>
          <cell r="D3946">
            <v>748701001993506</v>
          </cell>
          <cell r="F3946" t="str">
            <v>Tidak</v>
          </cell>
          <cell r="G3946" t="str">
            <v>Tidak</v>
          </cell>
          <cell r="H3946" t="str">
            <v>Tidak</v>
          </cell>
          <cell r="I3946" t="str">
            <v>Bandar Judol Withdrawal</v>
          </cell>
          <cell r="J3946">
            <v>35</v>
          </cell>
          <cell r="K3946" t="str">
            <v>86,88,87</v>
          </cell>
          <cell r="L3946" t="str">
            <v>Judi Online</v>
          </cell>
          <cell r="M3946" t="str">
            <v xml:space="preserve">Kas Kanpus                              </v>
          </cell>
          <cell r="N3946" t="str">
            <v xml:space="preserve">Kas Kanpus                              </v>
          </cell>
          <cell r="O3946" t="str">
            <v xml:space="preserve">KAS KANPUS                              </v>
          </cell>
          <cell r="P3946" t="str">
            <v>Ya</v>
          </cell>
          <cell r="Q3946" t="str">
            <v>Ya</v>
          </cell>
          <cell r="R3946" t="str">
            <v>Done</v>
          </cell>
          <cell r="S3946" t="str">
            <v>Approved</v>
          </cell>
          <cell r="T3946" t="str">
            <v>00394520 - Frida Akbar Rani</v>
          </cell>
          <cell r="U3946" t="str">
            <v>"-"</v>
          </cell>
        </row>
        <row r="3947">
          <cell r="A3947">
            <v>46265</v>
          </cell>
          <cell r="B3947" t="str">
            <v xml:space="preserve">AGUNG SAFARIYANTO                       </v>
          </cell>
          <cell r="C3947" t="str">
            <v>AEOSJ74</v>
          </cell>
          <cell r="D3947">
            <v>83901000020568</v>
          </cell>
          <cell r="F3947" t="str">
            <v>Tidak</v>
          </cell>
          <cell r="G3947" t="str">
            <v>Tidak</v>
          </cell>
          <cell r="H3947" t="str">
            <v>Tidak</v>
          </cell>
          <cell r="I3947" t="str">
            <v>Bandar Judol Depo</v>
          </cell>
          <cell r="J3947">
            <v>35</v>
          </cell>
          <cell r="K3947" t="str">
            <v>86,74,87</v>
          </cell>
          <cell r="L3947" t="str">
            <v>Judi Online</v>
          </cell>
          <cell r="M3947" t="str">
            <v xml:space="preserve">Kas Kanpus                              </v>
          </cell>
          <cell r="N3947" t="str">
            <v xml:space="preserve">Kas Kanpus                              </v>
          </cell>
          <cell r="O3947" t="str">
            <v xml:space="preserve">KAS KANPUS                              </v>
          </cell>
          <cell r="P3947" t="str">
            <v>Ya</v>
          </cell>
          <cell r="Q3947" t="str">
            <v>Ya</v>
          </cell>
          <cell r="R3947" t="str">
            <v>Done</v>
          </cell>
          <cell r="S3947" t="str">
            <v>Approved</v>
          </cell>
          <cell r="T3947" t="str">
            <v>90186796 - Devito Arya Wiradila</v>
          </cell>
          <cell r="U3947" t="str">
            <v>"-"</v>
          </cell>
        </row>
        <row r="3948">
          <cell r="A3948">
            <v>46265</v>
          </cell>
          <cell r="B3948" t="str">
            <v xml:space="preserve">ANDRE LESMANA                           </v>
          </cell>
          <cell r="C3948" t="str">
            <v>AENHC06</v>
          </cell>
          <cell r="D3948">
            <v>526201036015539</v>
          </cell>
          <cell r="F3948" t="str">
            <v>Tidak</v>
          </cell>
          <cell r="G3948" t="str">
            <v>Tidak</v>
          </cell>
          <cell r="H3948" t="str">
            <v>Tidak</v>
          </cell>
          <cell r="I3948" t="str">
            <v>Bandar Judol Depo</v>
          </cell>
          <cell r="J3948">
            <v>35</v>
          </cell>
          <cell r="K3948" t="str">
            <v>86,74,87</v>
          </cell>
          <cell r="L3948" t="str">
            <v>Judi Online</v>
          </cell>
          <cell r="M3948" t="str">
            <v xml:space="preserve">Kas Kanpus                              </v>
          </cell>
          <cell r="N3948" t="str">
            <v xml:space="preserve">Kas Kanpus                              </v>
          </cell>
          <cell r="O3948" t="str">
            <v xml:space="preserve">KAS KANPUS                              </v>
          </cell>
          <cell r="P3948" t="str">
            <v>Tidak</v>
          </cell>
          <cell r="Q3948" t="str">
            <v>Ya</v>
          </cell>
          <cell r="R3948" t="str">
            <v>Done</v>
          </cell>
          <cell r="S3948" t="str">
            <v>Approved</v>
          </cell>
          <cell r="T3948" t="str">
            <v>00394520 - Frida Akbar Rani</v>
          </cell>
          <cell r="U3948" t="str">
            <v>"-"</v>
          </cell>
        </row>
        <row r="3949">
          <cell r="A3949">
            <v>46265</v>
          </cell>
          <cell r="B3949" t="str">
            <v xml:space="preserve">ARIANTO SITEPU                          </v>
          </cell>
          <cell r="C3949" t="str">
            <v>AENMY38</v>
          </cell>
          <cell r="D3949">
            <v>525601043524530</v>
          </cell>
          <cell r="F3949" t="str">
            <v>Tidak</v>
          </cell>
          <cell r="G3949" t="str">
            <v>Tidak</v>
          </cell>
          <cell r="H3949" t="str">
            <v>Tidak</v>
          </cell>
          <cell r="I3949" t="str">
            <v>Bandar Judol Withdrawal</v>
          </cell>
          <cell r="J3949">
            <v>35</v>
          </cell>
          <cell r="K3949" t="str">
            <v>86,88,87</v>
          </cell>
          <cell r="L3949" t="str">
            <v>Judi Online</v>
          </cell>
          <cell r="M3949" t="str">
            <v xml:space="preserve">Kas Kanpus                              </v>
          </cell>
          <cell r="N3949" t="str">
            <v xml:space="preserve">Kas Kanpus                              </v>
          </cell>
          <cell r="O3949" t="str">
            <v xml:space="preserve">KAS KANPUS                              </v>
          </cell>
          <cell r="P3949" t="str">
            <v>Ya</v>
          </cell>
          <cell r="Q3949" t="str">
            <v>Ya</v>
          </cell>
          <cell r="R3949" t="str">
            <v>Done</v>
          </cell>
          <cell r="S3949" t="str">
            <v>Approved</v>
          </cell>
          <cell r="T3949" t="str">
            <v>90186790 - Muhammad Alfin Farha</v>
          </cell>
          <cell r="U3949" t="str">
            <v>"-"</v>
          </cell>
        </row>
        <row r="3950">
          <cell r="A3950">
            <v>46265</v>
          </cell>
          <cell r="B3950" t="str">
            <v xml:space="preserve">AHMAD FAUZI                             </v>
          </cell>
          <cell r="C3950" t="str">
            <v>AENQU55</v>
          </cell>
          <cell r="D3950">
            <v>5301023474532</v>
          </cell>
          <cell r="F3950" t="str">
            <v>Tidak</v>
          </cell>
          <cell r="G3950" t="str">
            <v>Tidak</v>
          </cell>
          <cell r="H3950" t="str">
            <v>Tidak</v>
          </cell>
          <cell r="I3950" t="str">
            <v>Bandar Judol Depo</v>
          </cell>
          <cell r="J3950">
            <v>35</v>
          </cell>
          <cell r="K3950" t="str">
            <v>86,74,87</v>
          </cell>
          <cell r="L3950" t="str">
            <v>Judi Online</v>
          </cell>
          <cell r="M3950" t="str">
            <v xml:space="preserve">Kas Kanpus                              </v>
          </cell>
          <cell r="N3950" t="str">
            <v xml:space="preserve">Kas Kanpus                              </v>
          </cell>
          <cell r="O3950" t="str">
            <v xml:space="preserve">KAS KANPUS                              </v>
          </cell>
          <cell r="P3950" t="str">
            <v>Ya</v>
          </cell>
          <cell r="Q3950" t="str">
            <v>Ya</v>
          </cell>
          <cell r="R3950" t="str">
            <v>Done</v>
          </cell>
          <cell r="S3950" t="str">
            <v>Approved</v>
          </cell>
          <cell r="T3950" t="str">
            <v>90150130 - Intan Aida Pratiwi</v>
          </cell>
          <cell r="U3950" t="str">
            <v>"-"</v>
          </cell>
        </row>
        <row r="3951">
          <cell r="A3951">
            <v>46265</v>
          </cell>
          <cell r="B3951" t="str">
            <v xml:space="preserve">ABDI TRI YANDI                          </v>
          </cell>
          <cell r="C3951" t="str">
            <v>ADXZQ11</v>
          </cell>
          <cell r="D3951">
            <v>529401007588504</v>
          </cell>
          <cell r="F3951" t="str">
            <v>Tidak</v>
          </cell>
          <cell r="G3951" t="str">
            <v>Tidak</v>
          </cell>
          <cell r="H3951" t="str">
            <v>Tidak</v>
          </cell>
          <cell r="I3951" t="str">
            <v>Bandar Judol Withdrawal</v>
          </cell>
          <cell r="J3951">
            <v>35</v>
          </cell>
          <cell r="K3951" t="str">
            <v>86,88,87</v>
          </cell>
          <cell r="L3951" t="str">
            <v>Judi Online</v>
          </cell>
          <cell r="M3951" t="str">
            <v xml:space="preserve">Kas Kanpus                              </v>
          </cell>
          <cell r="N3951" t="str">
            <v xml:space="preserve">Kas Kanpus                              </v>
          </cell>
          <cell r="O3951" t="str">
            <v xml:space="preserve">KAS KANPUS                              </v>
          </cell>
          <cell r="P3951" t="str">
            <v>Ya</v>
          </cell>
          <cell r="Q3951" t="str">
            <v>Ya</v>
          </cell>
          <cell r="R3951" t="str">
            <v>Done</v>
          </cell>
          <cell r="S3951" t="str">
            <v>Approved</v>
          </cell>
          <cell r="T3951" t="str">
            <v>00394520 - Frida Akbar Rani</v>
          </cell>
          <cell r="U3951" t="str">
            <v>"-"</v>
          </cell>
        </row>
        <row r="3952">
          <cell r="A3952">
            <v>46265</v>
          </cell>
          <cell r="B3952" t="str">
            <v xml:space="preserve">AFRIDA                                  </v>
          </cell>
          <cell r="C3952" t="str">
            <v>ADYBH52</v>
          </cell>
          <cell r="D3952">
            <v>12001287778505</v>
          </cell>
          <cell r="F3952" t="str">
            <v>Tidak</v>
          </cell>
          <cell r="G3952" t="str">
            <v>Tidak</v>
          </cell>
          <cell r="H3952" t="str">
            <v>Tidak</v>
          </cell>
          <cell r="I3952" t="str">
            <v>Bandar Judol Depo</v>
          </cell>
          <cell r="J3952">
            <v>35</v>
          </cell>
          <cell r="K3952" t="str">
            <v>86,74,87</v>
          </cell>
          <cell r="L3952" t="str">
            <v>Judi Online</v>
          </cell>
          <cell r="M3952" t="str">
            <v xml:space="preserve">Kas Kanpus                              </v>
          </cell>
          <cell r="N3952" t="str">
            <v xml:space="preserve">Kas Kanpus                              </v>
          </cell>
          <cell r="O3952" t="str">
            <v xml:space="preserve">KAS KANPUS                              </v>
          </cell>
          <cell r="P3952" t="str">
            <v>Ya</v>
          </cell>
          <cell r="Q3952" t="str">
            <v>Ya</v>
          </cell>
          <cell r="R3952" t="str">
            <v>Done</v>
          </cell>
          <cell r="S3952" t="str">
            <v>Approved</v>
          </cell>
          <cell r="T3952" t="str">
            <v>90185537 - Moh.Khoerul Fajar Ar</v>
          </cell>
          <cell r="U3952" t="str">
            <v>"-"</v>
          </cell>
        </row>
        <row r="3953">
          <cell r="A3953">
            <v>46265</v>
          </cell>
          <cell r="B3953" t="str">
            <v xml:space="preserve">AYU AMELIA                              </v>
          </cell>
          <cell r="C3953" t="str">
            <v>AEDQM53</v>
          </cell>
          <cell r="D3953">
            <v>385401006489505</v>
          </cell>
          <cell r="F3953" t="str">
            <v>Tidak</v>
          </cell>
          <cell r="G3953" t="str">
            <v>Tidak</v>
          </cell>
          <cell r="H3953" t="str">
            <v>Tidak</v>
          </cell>
          <cell r="I3953" t="str">
            <v>Bandar Judol Withdrawal</v>
          </cell>
          <cell r="J3953">
            <v>35</v>
          </cell>
          <cell r="K3953" t="str">
            <v>86,88,87</v>
          </cell>
          <cell r="L3953" t="str">
            <v>Judi Online</v>
          </cell>
          <cell r="M3953" t="str">
            <v xml:space="preserve">Kas Kanpus                              </v>
          </cell>
          <cell r="N3953" t="str">
            <v xml:space="preserve">Kas Kanpus                              </v>
          </cell>
          <cell r="O3953" t="str">
            <v xml:space="preserve">KAS KANPUS                              </v>
          </cell>
          <cell r="P3953" t="str">
            <v>Ya</v>
          </cell>
          <cell r="Q3953" t="str">
            <v>Ya</v>
          </cell>
          <cell r="R3953" t="str">
            <v>Done</v>
          </cell>
          <cell r="S3953" t="str">
            <v>Approved</v>
          </cell>
          <cell r="T3953" t="str">
            <v>90170665 - Mutiara Ayuningtyas</v>
          </cell>
          <cell r="U3953" t="str">
            <v>"-"</v>
          </cell>
        </row>
        <row r="3954">
          <cell r="A3954">
            <v>46265</v>
          </cell>
          <cell r="B3954" t="str">
            <v xml:space="preserve">ACHMAD JUNAEDI                          </v>
          </cell>
          <cell r="C3954" t="str">
            <v>AEF7883</v>
          </cell>
          <cell r="D3954">
            <v>7301007742539</v>
          </cell>
          <cell r="E3954" t="str">
            <v>TINGGI</v>
          </cell>
          <cell r="F3954" t="str">
            <v>Tidak</v>
          </cell>
          <cell r="G3954" t="str">
            <v>Tidak</v>
          </cell>
          <cell r="H3954" t="str">
            <v>Tidak</v>
          </cell>
          <cell r="I3954" t="str">
            <v>Terorisme - SIPENDAR</v>
          </cell>
          <cell r="J3954">
            <v>185</v>
          </cell>
          <cell r="K3954">
            <v>36</v>
          </cell>
          <cell r="L3954" t="str">
            <v>Terorisme</v>
          </cell>
          <cell r="M3954" t="str">
            <v xml:space="preserve">Kas Kanpus                              </v>
          </cell>
          <cell r="N3954" t="str">
            <v xml:space="preserve">Kas Kanpus                              </v>
          </cell>
          <cell r="O3954" t="str">
            <v xml:space="preserve">KAS KANPUS                              </v>
          </cell>
          <cell r="P3954" t="str">
            <v>Tidak</v>
          </cell>
          <cell r="Q3954" t="str">
            <v>Tidak</v>
          </cell>
          <cell r="R3954" t="str">
            <v>Done</v>
          </cell>
          <cell r="S3954" t="str">
            <v>Approved</v>
          </cell>
          <cell r="T3954" t="str">
            <v>90150130 - Intan Aida Pratiwi</v>
          </cell>
          <cell r="U3954" t="str">
            <v>"-"</v>
          </cell>
        </row>
        <row r="3955">
          <cell r="A3955">
            <v>46265</v>
          </cell>
          <cell r="B3955" t="str">
            <v xml:space="preserve">ALI HARDI                               </v>
          </cell>
          <cell r="C3955" t="str">
            <v>AEGHS30</v>
          </cell>
          <cell r="D3955">
            <v>33201173819505</v>
          </cell>
          <cell r="F3955" t="str">
            <v>Tidak</v>
          </cell>
          <cell r="G3955" t="str">
            <v>Tidak</v>
          </cell>
          <cell r="H3955" t="str">
            <v>Tidak</v>
          </cell>
          <cell r="I3955" t="str">
            <v>Bandar Judol Withdrawal</v>
          </cell>
          <cell r="J3955">
            <v>35</v>
          </cell>
          <cell r="K3955" t="str">
            <v>86,88,87</v>
          </cell>
          <cell r="L3955" t="str">
            <v>Judi Online</v>
          </cell>
          <cell r="M3955" t="str">
            <v xml:space="preserve">Kas Kanpus                              </v>
          </cell>
          <cell r="N3955" t="str">
            <v xml:space="preserve">Kas Kanpus                              </v>
          </cell>
          <cell r="O3955" t="str">
            <v xml:space="preserve">KAS KANPUS                              </v>
          </cell>
          <cell r="P3955" t="str">
            <v>Ya</v>
          </cell>
          <cell r="Q3955" t="str">
            <v>Ya</v>
          </cell>
          <cell r="R3955" t="str">
            <v>Done</v>
          </cell>
          <cell r="S3955" t="str">
            <v>Approved</v>
          </cell>
          <cell r="T3955" t="str">
            <v>90186796 - Devito Arya Wiradila</v>
          </cell>
          <cell r="U3955" t="str">
            <v>"-"</v>
          </cell>
        </row>
        <row r="3956">
          <cell r="A3956">
            <v>46265</v>
          </cell>
          <cell r="B3956" t="str">
            <v xml:space="preserve">ARIE MUKHTIAS                           </v>
          </cell>
          <cell r="C3956" t="str">
            <v>AEGHU04</v>
          </cell>
          <cell r="D3956">
            <v>332201004997505</v>
          </cell>
          <cell r="F3956" t="str">
            <v>Tidak</v>
          </cell>
          <cell r="G3956" t="str">
            <v>Tidak</v>
          </cell>
          <cell r="H3956" t="str">
            <v>Tidak</v>
          </cell>
          <cell r="I3956" t="str">
            <v>Bandar Judol Withdrawal</v>
          </cell>
          <cell r="J3956">
            <v>35</v>
          </cell>
          <cell r="K3956" t="str">
            <v>86,88,87</v>
          </cell>
          <cell r="L3956" t="str">
            <v>Judi Online</v>
          </cell>
          <cell r="M3956" t="str">
            <v xml:space="preserve">Kas Kanpus                              </v>
          </cell>
          <cell r="N3956" t="str">
            <v xml:space="preserve">Kas Kanpus                              </v>
          </cell>
          <cell r="O3956" t="str">
            <v xml:space="preserve">KAS KANPUS                              </v>
          </cell>
          <cell r="P3956" t="str">
            <v>Ya</v>
          </cell>
          <cell r="Q3956" t="str">
            <v>Ya</v>
          </cell>
          <cell r="R3956" t="str">
            <v>Done</v>
          </cell>
          <cell r="S3956" t="str">
            <v>Approved</v>
          </cell>
          <cell r="T3956" t="str">
            <v>90150130 - Intan Aida Pratiwi</v>
          </cell>
          <cell r="U3956" t="str">
            <v>"-"</v>
          </cell>
        </row>
        <row r="3957">
          <cell r="A3957">
            <v>46265</v>
          </cell>
          <cell r="B3957" t="str">
            <v xml:space="preserve">ANDETA                                  </v>
          </cell>
          <cell r="C3957" t="str">
            <v>AEKN763</v>
          </cell>
          <cell r="D3957">
            <v>12901000626569</v>
          </cell>
          <cell r="E3957" t="str">
            <v>SEDANG</v>
          </cell>
          <cell r="F3957" t="str">
            <v>Tidak</v>
          </cell>
          <cell r="G3957" t="str">
            <v>Tidak</v>
          </cell>
          <cell r="H3957" t="str">
            <v>Tidak</v>
          </cell>
          <cell r="I3957" t="str">
            <v>Perpajakan</v>
          </cell>
          <cell r="J3957">
            <v>60</v>
          </cell>
          <cell r="K3957">
            <v>1.33</v>
          </cell>
          <cell r="L3957" t="str">
            <v>Perpajakan</v>
          </cell>
          <cell r="M3957" t="str">
            <v xml:space="preserve">KC Lubuk Linggau                        </v>
          </cell>
          <cell r="N3957" t="str">
            <v xml:space="preserve">KC Lubuk Linggau                        </v>
          </cell>
          <cell r="O3957" t="str">
            <v xml:space="preserve">Palembang                               </v>
          </cell>
          <cell r="P3957" t="str">
            <v>Tidak</v>
          </cell>
          <cell r="Q3957" t="str">
            <v>Tidak</v>
          </cell>
          <cell r="R3957" t="str">
            <v>Done</v>
          </cell>
          <cell r="S3957" t="str">
            <v>Approved</v>
          </cell>
          <cell r="T3957" t="str">
            <v>00336949 - Mochammad Al Farabi</v>
          </cell>
          <cell r="U3957" t="str">
            <v>"-"</v>
          </cell>
        </row>
        <row r="3958">
          <cell r="A3958">
            <v>46265</v>
          </cell>
          <cell r="B3958" t="str">
            <v xml:space="preserve">ARI                                     </v>
          </cell>
          <cell r="C3958" t="str">
            <v>AELWJ47</v>
          </cell>
          <cell r="D3958">
            <v>33201173830501</v>
          </cell>
          <cell r="F3958" t="str">
            <v>Tidak</v>
          </cell>
          <cell r="G3958" t="str">
            <v>Tidak</v>
          </cell>
          <cell r="H3958" t="str">
            <v>Tidak</v>
          </cell>
          <cell r="I3958" t="str">
            <v>Bandar Judol Withdrawal</v>
          </cell>
          <cell r="J3958">
            <v>35</v>
          </cell>
          <cell r="K3958" t="str">
            <v>86,88,87</v>
          </cell>
          <cell r="L3958" t="str">
            <v>Judi Online</v>
          </cell>
          <cell r="M3958" t="str">
            <v xml:space="preserve">Kas Kanpus                              </v>
          </cell>
          <cell r="N3958" t="str">
            <v xml:space="preserve">Kas Kanpus                              </v>
          </cell>
          <cell r="O3958" t="str">
            <v xml:space="preserve">KAS KANPUS                              </v>
          </cell>
          <cell r="P3958" t="str">
            <v>Ya</v>
          </cell>
          <cell r="Q3958" t="str">
            <v>Ya</v>
          </cell>
          <cell r="R3958" t="str">
            <v>Done</v>
          </cell>
          <cell r="S3958" t="str">
            <v>Approved</v>
          </cell>
          <cell r="T3958" t="str">
            <v>90171841 - Rifqi Aziz</v>
          </cell>
          <cell r="U3958" t="str">
            <v>"-"</v>
          </cell>
        </row>
        <row r="3959">
          <cell r="A3959">
            <v>46265</v>
          </cell>
          <cell r="B3959" t="str">
            <v xml:space="preserve">AMANDA                                  </v>
          </cell>
          <cell r="C3959" t="str">
            <v>AEMOS15</v>
          </cell>
          <cell r="D3959">
            <v>80101017643500</v>
          </cell>
          <cell r="F3959" t="str">
            <v>Tidak</v>
          </cell>
          <cell r="G3959" t="str">
            <v>Tidak</v>
          </cell>
          <cell r="H3959" t="str">
            <v>Tidak</v>
          </cell>
          <cell r="I3959" t="str">
            <v>Bandar Judol Depo</v>
          </cell>
          <cell r="J3959">
            <v>35</v>
          </cell>
          <cell r="K3959" t="str">
            <v>86,74,87</v>
          </cell>
          <cell r="L3959" t="str">
            <v>Judi Online</v>
          </cell>
          <cell r="M3959" t="str">
            <v xml:space="preserve">Kas Kanpus                              </v>
          </cell>
          <cell r="N3959" t="str">
            <v xml:space="preserve">Kas Kanpus                              </v>
          </cell>
          <cell r="O3959" t="str">
            <v xml:space="preserve">KAS KANPUS                              </v>
          </cell>
          <cell r="P3959" t="str">
            <v>Ya</v>
          </cell>
          <cell r="Q3959" t="str">
            <v>Tidak</v>
          </cell>
          <cell r="R3959" t="str">
            <v>Done</v>
          </cell>
          <cell r="S3959" t="str">
            <v>Approved</v>
          </cell>
          <cell r="T3959" t="str">
            <v>90150130 - Intan Aida Pratiwi</v>
          </cell>
          <cell r="U3959" t="str">
            <v>"-"</v>
          </cell>
        </row>
        <row r="3960">
          <cell r="A3960">
            <v>46265</v>
          </cell>
          <cell r="B3960" t="str">
            <v xml:space="preserve">AAN ROSANAH                             </v>
          </cell>
          <cell r="C3960" t="str">
            <v>AEUAZ80</v>
          </cell>
          <cell r="D3960">
            <v>52001015430501</v>
          </cell>
          <cell r="F3960" t="str">
            <v>Tidak</v>
          </cell>
          <cell r="G3960" t="str">
            <v>Tidak</v>
          </cell>
          <cell r="H3960" t="str">
            <v>Tidak</v>
          </cell>
          <cell r="I3960" t="str">
            <v>Bandar Judol Withdrawal</v>
          </cell>
          <cell r="J3960">
            <v>35</v>
          </cell>
          <cell r="K3960" t="str">
            <v>86,88,87</v>
          </cell>
          <cell r="L3960" t="str">
            <v>Judi Online</v>
          </cell>
          <cell r="M3960" t="str">
            <v xml:space="preserve">Kas Kanpus                              </v>
          </cell>
          <cell r="N3960" t="str">
            <v xml:space="preserve">Kas Kanpus                              </v>
          </cell>
          <cell r="O3960" t="str">
            <v xml:space="preserve">KAS KANPUS                              </v>
          </cell>
          <cell r="P3960" t="str">
            <v>Ya</v>
          </cell>
          <cell r="Q3960" t="str">
            <v>Ya</v>
          </cell>
          <cell r="R3960" t="str">
            <v>Done</v>
          </cell>
          <cell r="S3960" t="str">
            <v>Approved</v>
          </cell>
          <cell r="T3960" t="str">
            <v>00336949 - Mochammad Al Farabi</v>
          </cell>
          <cell r="U3960" t="str">
            <v>"-"</v>
          </cell>
        </row>
        <row r="3961">
          <cell r="A3961">
            <v>46265</v>
          </cell>
          <cell r="B3961" t="str">
            <v xml:space="preserve">ANNISA FITRIYATI                        </v>
          </cell>
          <cell r="C3961" t="str">
            <v>AEVFB14</v>
          </cell>
          <cell r="D3961">
            <v>50901100508502</v>
          </cell>
          <cell r="F3961" t="str">
            <v>Tidak</v>
          </cell>
          <cell r="G3961" t="str">
            <v>Tidak</v>
          </cell>
          <cell r="H3961" t="str">
            <v>Tidak</v>
          </cell>
          <cell r="I3961" t="str">
            <v>Bandar Judol Withdrawal</v>
          </cell>
          <cell r="J3961">
            <v>35</v>
          </cell>
          <cell r="K3961" t="str">
            <v>86,88,87</v>
          </cell>
          <cell r="L3961" t="str">
            <v>Judi Online</v>
          </cell>
          <cell r="M3961" t="str">
            <v xml:space="preserve">Kas Kanpus                              </v>
          </cell>
          <cell r="N3961" t="str">
            <v xml:space="preserve">Kas Kanpus                              </v>
          </cell>
          <cell r="O3961" t="str">
            <v xml:space="preserve">KAS KANPUS                              </v>
          </cell>
          <cell r="P3961" t="str">
            <v>Ya</v>
          </cell>
          <cell r="Q3961" t="str">
            <v>Ya</v>
          </cell>
          <cell r="R3961" t="str">
            <v>Done</v>
          </cell>
          <cell r="S3961" t="str">
            <v>Approved</v>
          </cell>
          <cell r="T3961" t="str">
            <v>00336949 - Mochammad Al Farabi</v>
          </cell>
          <cell r="U3961" t="str">
            <v>"-"</v>
          </cell>
        </row>
        <row r="3962">
          <cell r="A3962">
            <v>46265</v>
          </cell>
          <cell r="B3962" t="str">
            <v xml:space="preserve">BAYU PUJI WAHONO                        </v>
          </cell>
          <cell r="C3962" t="str">
            <v>BDG5664</v>
          </cell>
          <cell r="D3962">
            <v>583001024694534</v>
          </cell>
          <cell r="E3962" t="str">
            <v>SEDANG</v>
          </cell>
          <cell r="F3962" t="str">
            <v>Tidak</v>
          </cell>
          <cell r="G3962" t="str">
            <v>Tidak</v>
          </cell>
          <cell r="H3962" t="str">
            <v>Tidak</v>
          </cell>
          <cell r="I3962" t="str">
            <v>Bandar Judol Depo</v>
          </cell>
          <cell r="J3962">
            <v>50</v>
          </cell>
          <cell r="K3962" t="str">
            <v>86,74,87</v>
          </cell>
          <cell r="L3962" t="str">
            <v>Judi Online</v>
          </cell>
          <cell r="M3962" t="str">
            <v xml:space="preserve">Kas Kanpus                              </v>
          </cell>
          <cell r="N3962" t="str">
            <v xml:space="preserve">Kas Kanpus                              </v>
          </cell>
          <cell r="O3962" t="str">
            <v xml:space="preserve">KAS KANPUS                              </v>
          </cell>
          <cell r="P3962" t="str">
            <v>Tidak</v>
          </cell>
          <cell r="Q3962" t="str">
            <v>Ya</v>
          </cell>
          <cell r="R3962" t="str">
            <v>Done</v>
          </cell>
          <cell r="S3962" t="str">
            <v>Approved</v>
          </cell>
          <cell r="T3962" t="str">
            <v>00336949 - Mochammad Al Farabi</v>
          </cell>
          <cell r="U3962" t="str">
            <v>"-"</v>
          </cell>
        </row>
        <row r="3963">
          <cell r="A3963">
            <v>46265</v>
          </cell>
          <cell r="B3963" t="str">
            <v xml:space="preserve">BAGAS RIDHO PANGESTU                    </v>
          </cell>
          <cell r="C3963" t="str">
            <v>BDL1785</v>
          </cell>
          <cell r="D3963">
            <v>44501077401504</v>
          </cell>
          <cell r="E3963" t="str">
            <v>SEDANG</v>
          </cell>
          <cell r="F3963" t="str">
            <v>Tidak</v>
          </cell>
          <cell r="G3963" t="str">
            <v>Tidak</v>
          </cell>
          <cell r="H3963" t="str">
            <v>Tidak</v>
          </cell>
          <cell r="I3963" t="str">
            <v>Bandar Judol Withdrawal</v>
          </cell>
          <cell r="J3963">
            <v>50</v>
          </cell>
          <cell r="K3963" t="str">
            <v>86,88,87</v>
          </cell>
          <cell r="L3963" t="str">
            <v>Judi Online</v>
          </cell>
          <cell r="M3963" t="str">
            <v xml:space="preserve">Kas Kanpus                              </v>
          </cell>
          <cell r="N3963" t="str">
            <v xml:space="preserve">Kas Kanpus                              </v>
          </cell>
          <cell r="O3963" t="str">
            <v xml:space="preserve">KAS KANPUS                              </v>
          </cell>
          <cell r="P3963" t="str">
            <v>Ya</v>
          </cell>
          <cell r="Q3963" t="str">
            <v>Ya</v>
          </cell>
          <cell r="R3963" t="str">
            <v>Done</v>
          </cell>
          <cell r="S3963" t="str">
            <v>Approved</v>
          </cell>
          <cell r="T3963" t="str">
            <v>90185537 - Moh.Khoerul Fajar Ar</v>
          </cell>
          <cell r="U3963" t="str">
            <v>"-"</v>
          </cell>
        </row>
        <row r="3964">
          <cell r="A3964">
            <v>46265</v>
          </cell>
          <cell r="B3964" t="str">
            <v xml:space="preserve">BETE YULIANI                            </v>
          </cell>
          <cell r="C3964" t="str">
            <v>BEO9648</v>
          </cell>
          <cell r="D3964">
            <v>682501020455534</v>
          </cell>
          <cell r="E3964" t="str">
            <v>TINGGI</v>
          </cell>
          <cell r="F3964" t="str">
            <v>Tidak</v>
          </cell>
          <cell r="G3964" t="str">
            <v>Tidak</v>
          </cell>
          <cell r="H3964" t="str">
            <v>Tidak</v>
          </cell>
          <cell r="I3964" t="str">
            <v>Terorisme - SIPENDAR</v>
          </cell>
          <cell r="J3964">
            <v>185</v>
          </cell>
          <cell r="K3964">
            <v>36</v>
          </cell>
          <cell r="L3964" t="str">
            <v>Terorisme</v>
          </cell>
          <cell r="M3964" t="str">
            <v xml:space="preserve">Kas Kanpus                              </v>
          </cell>
          <cell r="N3964" t="str">
            <v xml:space="preserve">Kas Kanpus                              </v>
          </cell>
          <cell r="O3964" t="str">
            <v xml:space="preserve">KAS KANPUS                              </v>
          </cell>
          <cell r="P3964" t="str">
            <v>Tidak</v>
          </cell>
          <cell r="Q3964" t="str">
            <v>Tidak</v>
          </cell>
          <cell r="R3964" t="str">
            <v>Done</v>
          </cell>
          <cell r="S3964" t="str">
            <v>Approved</v>
          </cell>
          <cell r="T3964" t="str">
            <v>90171841 - Rifqi Aziz</v>
          </cell>
          <cell r="U3964" t="str">
            <v>"-"</v>
          </cell>
        </row>
        <row r="3965">
          <cell r="A3965">
            <v>46265</v>
          </cell>
          <cell r="B3965" t="str">
            <v xml:space="preserve">BENNY NICOLAS                           </v>
          </cell>
          <cell r="C3965" t="str">
            <v>BER0544</v>
          </cell>
          <cell r="D3965">
            <v>12001238973506</v>
          </cell>
          <cell r="E3965" t="str">
            <v>SEDANG</v>
          </cell>
          <cell r="F3965" t="str">
            <v>Tidak</v>
          </cell>
          <cell r="G3965" t="str">
            <v>Tidak</v>
          </cell>
          <cell r="H3965" t="str">
            <v>Tidak</v>
          </cell>
          <cell r="I3965" t="str">
            <v>Bandar Judol Withdrawal</v>
          </cell>
          <cell r="J3965">
            <v>50</v>
          </cell>
          <cell r="K3965" t="str">
            <v>86,88,87</v>
          </cell>
          <cell r="L3965" t="str">
            <v>Judi Online</v>
          </cell>
          <cell r="M3965" t="str">
            <v xml:space="preserve">Kas Kanpus                              </v>
          </cell>
          <cell r="N3965" t="str">
            <v xml:space="preserve">Kas Kanpus                              </v>
          </cell>
          <cell r="O3965" t="str">
            <v xml:space="preserve">KAS KANPUS                              </v>
          </cell>
          <cell r="P3965" t="str">
            <v>Ya</v>
          </cell>
          <cell r="Q3965" t="str">
            <v>Ya</v>
          </cell>
          <cell r="R3965" t="str">
            <v>Done</v>
          </cell>
          <cell r="S3965" t="str">
            <v>Approved</v>
          </cell>
          <cell r="T3965" t="str">
            <v>90171841 - Rifqi Aziz</v>
          </cell>
          <cell r="U3965" t="str">
            <v>"-"</v>
          </cell>
        </row>
        <row r="3966">
          <cell r="A3966">
            <v>46265</v>
          </cell>
          <cell r="B3966" t="str">
            <v xml:space="preserve">BAKTI SUKMA AFANDI                      </v>
          </cell>
          <cell r="C3966" t="str">
            <v>BFS2064</v>
          </cell>
          <cell r="D3966">
            <v>539501045337537</v>
          </cell>
          <cell r="E3966" t="str">
            <v>SEDANG</v>
          </cell>
          <cell r="F3966" t="str">
            <v>Tidak</v>
          </cell>
          <cell r="G3966" t="str">
            <v>Tidak</v>
          </cell>
          <cell r="H3966" t="str">
            <v>Ya</v>
          </cell>
          <cell r="I3966" t="str">
            <v>Bandar Judol Withdrawal</v>
          </cell>
          <cell r="J3966">
            <v>50</v>
          </cell>
          <cell r="K3966" t="str">
            <v>86,88,87</v>
          </cell>
          <cell r="L3966" t="str">
            <v>Judi Online</v>
          </cell>
          <cell r="M3966" t="str">
            <v xml:space="preserve">Kas Kanpus                              </v>
          </cell>
          <cell r="N3966" t="str">
            <v xml:space="preserve">Kas Kanpus                              </v>
          </cell>
          <cell r="O3966" t="str">
            <v xml:space="preserve">KAS KANPUS                              </v>
          </cell>
          <cell r="P3966" t="str">
            <v>Ya</v>
          </cell>
          <cell r="Q3966" t="str">
            <v>Tidak</v>
          </cell>
          <cell r="R3966" t="str">
            <v>Done</v>
          </cell>
          <cell r="S3966" t="str">
            <v>Approved</v>
          </cell>
          <cell r="T3966" t="str">
            <v>90186790 - Muhammad Alfin Farha</v>
          </cell>
          <cell r="U3966" t="str">
            <v>"-"</v>
          </cell>
        </row>
        <row r="3967">
          <cell r="A3967">
            <v>46265</v>
          </cell>
          <cell r="B3967" t="str">
            <v xml:space="preserve">BASRI                                   </v>
          </cell>
          <cell r="C3967" t="str">
            <v>BFU3226</v>
          </cell>
          <cell r="D3967">
            <v>23801001572566</v>
          </cell>
          <cell r="E3967" t="str">
            <v>TINGGI</v>
          </cell>
          <cell r="F3967" t="str">
            <v>Tidak</v>
          </cell>
          <cell r="G3967" t="str">
            <v>Tidak</v>
          </cell>
          <cell r="H3967" t="str">
            <v>Tidak</v>
          </cell>
          <cell r="I3967" t="str">
            <v>Bandar Judol Depo</v>
          </cell>
          <cell r="J3967">
            <v>65</v>
          </cell>
          <cell r="K3967" t="str">
            <v>86,74,87</v>
          </cell>
          <cell r="L3967" t="str">
            <v>Judi Online</v>
          </cell>
          <cell r="M3967" t="str">
            <v xml:space="preserve">Kas Kanpus                              </v>
          </cell>
          <cell r="N3967" t="str">
            <v xml:space="preserve">Kas Kanpus                              </v>
          </cell>
          <cell r="O3967" t="str">
            <v xml:space="preserve">KAS KANPUS                              </v>
          </cell>
          <cell r="P3967" t="str">
            <v>Ya</v>
          </cell>
          <cell r="Q3967" t="str">
            <v>Ya</v>
          </cell>
          <cell r="R3967" t="str">
            <v>Done</v>
          </cell>
          <cell r="S3967" t="str">
            <v>Approved</v>
          </cell>
          <cell r="T3967" t="str">
            <v>90186790 - Muhammad Alfin Farha</v>
          </cell>
          <cell r="U3967" t="str">
            <v>"-"</v>
          </cell>
        </row>
        <row r="3968">
          <cell r="A3968">
            <v>46265</v>
          </cell>
          <cell r="B3968" t="str">
            <v xml:space="preserve">BINSAR SITUMORANG                       </v>
          </cell>
          <cell r="C3968" t="str">
            <v>B192951</v>
          </cell>
          <cell r="D3968">
            <v>202601000758564</v>
          </cell>
          <cell r="E3968" t="str">
            <v>TINGGI</v>
          </cell>
          <cell r="F3968" t="str">
            <v>Tidak</v>
          </cell>
          <cell r="G3968" t="str">
            <v>Tidak</v>
          </cell>
          <cell r="H3968" t="str">
            <v>Tidak</v>
          </cell>
          <cell r="I3968" t="str">
            <v>Private or Priority Customer Investment</v>
          </cell>
          <cell r="J3968">
            <v>83</v>
          </cell>
          <cell r="K3968">
            <v>93</v>
          </cell>
          <cell r="L3968" t="str">
            <v>Pasar Modal</v>
          </cell>
          <cell r="M3968" t="str">
            <v xml:space="preserve">KC Pekanbaru Lancang Kuning             </v>
          </cell>
          <cell r="N3968" t="str">
            <v xml:space="preserve">KC Pekanbaru Lancang Kuning             </v>
          </cell>
          <cell r="O3968" t="str">
            <v xml:space="preserve">KANWIL PEKANBARU                        </v>
          </cell>
          <cell r="P3968" t="str">
            <v>Tidak</v>
          </cell>
          <cell r="Q3968" t="str">
            <v>Tidak</v>
          </cell>
          <cell r="R3968" t="str">
            <v>Done</v>
          </cell>
          <cell r="S3968" t="str">
            <v>Approved</v>
          </cell>
          <cell r="T3968" t="str">
            <v>00394520 - Frida Akbar Rani</v>
          </cell>
          <cell r="U3968" t="str">
            <v>"-"</v>
          </cell>
        </row>
        <row r="3969">
          <cell r="A3969">
            <v>46265</v>
          </cell>
          <cell r="B3969" t="str">
            <v xml:space="preserve">BUDIMAN SAHPUTRA                        </v>
          </cell>
          <cell r="C3969" t="str">
            <v>BCC9290</v>
          </cell>
          <cell r="D3969">
            <v>69201000842566</v>
          </cell>
          <cell r="E3969" t="str">
            <v>SEDANG</v>
          </cell>
          <cell r="F3969" t="str">
            <v>Tidak</v>
          </cell>
          <cell r="G3969" t="str">
            <v>Tidak</v>
          </cell>
          <cell r="H3969" t="str">
            <v>Tidak</v>
          </cell>
          <cell r="I3969" t="str">
            <v>Bandar Judol Withdrawal</v>
          </cell>
          <cell r="J3969">
            <v>50</v>
          </cell>
          <cell r="K3969" t="str">
            <v>86,88,87</v>
          </cell>
          <cell r="L3969" t="str">
            <v>Judi Online</v>
          </cell>
          <cell r="M3969" t="str">
            <v xml:space="preserve">Kas Kanpus                              </v>
          </cell>
          <cell r="N3969" t="str">
            <v xml:space="preserve">Kas Kanpus                              </v>
          </cell>
          <cell r="O3969" t="str">
            <v xml:space="preserve">KAS KANPUS                              </v>
          </cell>
          <cell r="P3969" t="str">
            <v>Ya</v>
          </cell>
          <cell r="Q3969" t="str">
            <v>Ya</v>
          </cell>
          <cell r="R3969" t="str">
            <v>Done</v>
          </cell>
          <cell r="S3969" t="str">
            <v>Approved</v>
          </cell>
          <cell r="T3969" t="str">
            <v>90150130 - Intan Aida Pratiwi</v>
          </cell>
          <cell r="U3969" t="str">
            <v>"-"</v>
          </cell>
        </row>
        <row r="3970">
          <cell r="A3970">
            <v>46265</v>
          </cell>
          <cell r="B3970" t="str">
            <v xml:space="preserve">BENS ALPIAN RAMADHAN                    </v>
          </cell>
          <cell r="C3970" t="str">
            <v>BCD8588</v>
          </cell>
          <cell r="D3970">
            <v>78401012113508</v>
          </cell>
          <cell r="E3970" t="str">
            <v>RENDAH</v>
          </cell>
          <cell r="F3970" t="str">
            <v>Tidak</v>
          </cell>
          <cell r="G3970" t="str">
            <v>Tidak</v>
          </cell>
          <cell r="H3970" t="str">
            <v>Tidak</v>
          </cell>
          <cell r="I3970" t="str">
            <v>Bandar Judol Withdrawal</v>
          </cell>
          <cell r="J3970">
            <v>35</v>
          </cell>
          <cell r="K3970" t="str">
            <v>86,88,87</v>
          </cell>
          <cell r="L3970" t="str">
            <v>Judi Online</v>
          </cell>
          <cell r="M3970" t="str">
            <v xml:space="preserve">Kas Kanpus                              </v>
          </cell>
          <cell r="N3970" t="str">
            <v xml:space="preserve">Kas Kanpus                              </v>
          </cell>
          <cell r="O3970" t="str">
            <v xml:space="preserve">KAS KANPUS                              </v>
          </cell>
          <cell r="P3970" t="str">
            <v>Ya</v>
          </cell>
          <cell r="Q3970" t="str">
            <v>Ya</v>
          </cell>
          <cell r="R3970" t="str">
            <v>Done</v>
          </cell>
          <cell r="S3970" t="str">
            <v>Approved</v>
          </cell>
          <cell r="T3970" t="str">
            <v>00394521 - Muhammad Hibbanduta</v>
          </cell>
          <cell r="U3970" t="str">
            <v>"-"</v>
          </cell>
        </row>
        <row r="3971">
          <cell r="A3971">
            <v>46265</v>
          </cell>
          <cell r="B3971" t="str">
            <v xml:space="preserve">BONIYO                                  </v>
          </cell>
          <cell r="C3971" t="str">
            <v>BBX8246</v>
          </cell>
          <cell r="D3971">
            <v>663901030214531</v>
          </cell>
          <cell r="E3971" t="str">
            <v>TINGGI</v>
          </cell>
          <cell r="F3971" t="str">
            <v>Tidak</v>
          </cell>
          <cell r="G3971" t="str">
            <v>Tidak</v>
          </cell>
          <cell r="H3971" t="str">
            <v>Tidak</v>
          </cell>
          <cell r="I3971" t="str">
            <v>Bandar Judol Withdrawal</v>
          </cell>
          <cell r="J3971">
            <v>70</v>
          </cell>
          <cell r="K3971" t="str">
            <v>86,88,87</v>
          </cell>
          <cell r="L3971" t="str">
            <v>Judi Online</v>
          </cell>
          <cell r="M3971" t="str">
            <v xml:space="preserve">Kas Kanpus                              </v>
          </cell>
          <cell r="N3971" t="str">
            <v xml:space="preserve">Kas Kanpus                              </v>
          </cell>
          <cell r="O3971" t="str">
            <v xml:space="preserve">KAS KANPUS                              </v>
          </cell>
          <cell r="P3971" t="str">
            <v>Tidak</v>
          </cell>
          <cell r="Q3971" t="str">
            <v>Ya</v>
          </cell>
          <cell r="R3971" t="str">
            <v>Done</v>
          </cell>
          <cell r="S3971" t="str">
            <v>Approved</v>
          </cell>
          <cell r="T3971" t="str">
            <v>00336949 - Mochammad Al Farabi</v>
          </cell>
          <cell r="U3971" t="str">
            <v>"-"</v>
          </cell>
        </row>
        <row r="3972">
          <cell r="A3972">
            <v>46265</v>
          </cell>
          <cell r="B3972" t="str">
            <v xml:space="preserve">BAMBANG ADI SUSILO                      </v>
          </cell>
          <cell r="C3972" t="str">
            <v>BBK0762</v>
          </cell>
          <cell r="D3972">
            <v>360801000018563</v>
          </cell>
          <cell r="E3972" t="str">
            <v>SEDANG</v>
          </cell>
          <cell r="F3972" t="str">
            <v>Ya</v>
          </cell>
          <cell r="G3972" t="str">
            <v>Tidak</v>
          </cell>
          <cell r="H3972" t="str">
            <v>Tidak</v>
          </cell>
          <cell r="I3972" t="str">
            <v>Narkotika - Area Lapas</v>
          </cell>
          <cell r="J3972">
            <v>48</v>
          </cell>
          <cell r="K3972">
            <v>47</v>
          </cell>
          <cell r="L3972" t="str">
            <v>Narkotika</v>
          </cell>
          <cell r="M3972" t="str">
            <v>UNIT KASONGAN PALANGKARAYA</v>
          </cell>
          <cell r="N3972" t="str">
            <v>KC Palangkaraya</v>
          </cell>
          <cell r="O3972" t="str">
            <v>Banjarmasin</v>
          </cell>
          <cell r="P3972" t="str">
            <v>Tidak</v>
          </cell>
          <cell r="Q3972" t="str">
            <v>Tidak</v>
          </cell>
          <cell r="R3972" t="str">
            <v>Done</v>
          </cell>
          <cell r="S3972" t="str">
            <v>Approved</v>
          </cell>
          <cell r="T3972" t="str">
            <v>00336949 - Mochammad Al Farabi</v>
          </cell>
          <cell r="U3972" t="str">
            <v>"-"</v>
          </cell>
        </row>
        <row r="3973">
          <cell r="A3973">
            <v>46265</v>
          </cell>
          <cell r="B3973" t="str">
            <v xml:space="preserve">BENEDICTA NATHANIA RURI PRATIWI         </v>
          </cell>
          <cell r="C3973" t="str">
            <v>BHW6413</v>
          </cell>
          <cell r="D3973">
            <v>77401026536509</v>
          </cell>
          <cell r="F3973" t="str">
            <v>Tidak</v>
          </cell>
          <cell r="G3973" t="str">
            <v>Tidak</v>
          </cell>
          <cell r="H3973" t="str">
            <v>Tidak</v>
          </cell>
          <cell r="I3973" t="str">
            <v>Bandar Judol Depo</v>
          </cell>
          <cell r="J3973">
            <v>35</v>
          </cell>
          <cell r="K3973" t="str">
            <v>86,74,87</v>
          </cell>
          <cell r="L3973" t="str">
            <v>Judi Online</v>
          </cell>
          <cell r="M3973" t="str">
            <v xml:space="preserve">Kas Kanpus                              </v>
          </cell>
          <cell r="N3973" t="str">
            <v xml:space="preserve">Kas Kanpus                              </v>
          </cell>
          <cell r="O3973" t="str">
            <v xml:space="preserve">KAS KANPUS                              </v>
          </cell>
          <cell r="P3973" t="str">
            <v>Ya</v>
          </cell>
          <cell r="Q3973" t="str">
            <v>Ya</v>
          </cell>
          <cell r="R3973" t="str">
            <v>Done</v>
          </cell>
          <cell r="S3973" t="str">
            <v>Approved</v>
          </cell>
          <cell r="T3973" t="str">
            <v>00336949 - Mochammad Al Farabi</v>
          </cell>
          <cell r="U3973" t="str">
            <v>"-"</v>
          </cell>
        </row>
        <row r="3974">
          <cell r="A3974">
            <v>46265</v>
          </cell>
          <cell r="B3974" t="str">
            <v xml:space="preserve">BAMBANG ABDULLAH SYUKUR                 </v>
          </cell>
          <cell r="C3974" t="str">
            <v>BHX4562</v>
          </cell>
          <cell r="D3974">
            <v>33601003787565</v>
          </cell>
          <cell r="F3974" t="str">
            <v>Tidak</v>
          </cell>
          <cell r="G3974" t="str">
            <v>Tidak</v>
          </cell>
          <cell r="H3974" t="str">
            <v>Tidak</v>
          </cell>
          <cell r="I3974" t="str">
            <v>Bandar Judol Depo</v>
          </cell>
          <cell r="J3974">
            <v>35</v>
          </cell>
          <cell r="K3974" t="str">
            <v>86,74,87</v>
          </cell>
          <cell r="L3974" t="str">
            <v>Judi Online</v>
          </cell>
          <cell r="M3974" t="str">
            <v xml:space="preserve">Kas Kanpus                              </v>
          </cell>
          <cell r="N3974" t="str">
            <v xml:space="preserve">Kas Kanpus                              </v>
          </cell>
          <cell r="O3974" t="str">
            <v xml:space="preserve">KAS KANPUS                              </v>
          </cell>
          <cell r="P3974" t="str">
            <v>Ya</v>
          </cell>
          <cell r="Q3974" t="str">
            <v>Tidak</v>
          </cell>
          <cell r="R3974" t="str">
            <v>Done</v>
          </cell>
          <cell r="S3974" t="str">
            <v>Approved</v>
          </cell>
          <cell r="T3974" t="str">
            <v>00394521 - Muhammad Hibbanduta</v>
          </cell>
          <cell r="U3974" t="str">
            <v>"-"</v>
          </cell>
        </row>
        <row r="3975">
          <cell r="A3975">
            <v>46265</v>
          </cell>
          <cell r="B3975" t="str">
            <v xml:space="preserve">BRITS INDONESIA BANDUNG                 </v>
          </cell>
          <cell r="C3975" t="str">
            <v>BHV1485</v>
          </cell>
          <cell r="D3975">
            <v>166201000208566</v>
          </cell>
          <cell r="F3975" t="str">
            <v>Tidak</v>
          </cell>
          <cell r="G3975" t="str">
            <v>Tidak</v>
          </cell>
          <cell r="H3975" t="str">
            <v>Tidak</v>
          </cell>
          <cell r="I3975" t="str">
            <v>Perpajakan</v>
          </cell>
          <cell r="J3975">
            <v>33</v>
          </cell>
          <cell r="K3975">
            <v>41</v>
          </cell>
          <cell r="L3975" t="str">
            <v>Perpajakan</v>
          </cell>
          <cell r="M3975" t="str">
            <v xml:space="preserve">KK UIN MALANG                           </v>
          </cell>
          <cell r="N3975" t="str">
            <v xml:space="preserve">KC Malang Martadinata                   </v>
          </cell>
          <cell r="O3975" t="str">
            <v xml:space="preserve">KANWIL MALANG                           </v>
          </cell>
          <cell r="P3975" t="str">
            <v>Tidak</v>
          </cell>
          <cell r="Q3975" t="str">
            <v>Tidak</v>
          </cell>
          <cell r="R3975" t="str">
            <v>Done</v>
          </cell>
          <cell r="S3975" t="str">
            <v>Approved</v>
          </cell>
          <cell r="T3975" t="str">
            <v>90150130 - Intan Aida Pratiwi</v>
          </cell>
          <cell r="U3975" t="str">
            <v>"-"</v>
          </cell>
        </row>
        <row r="3976">
          <cell r="A3976">
            <v>46265</v>
          </cell>
          <cell r="B3976" t="str">
            <v xml:space="preserve">BRITS INDONESIA YOGYAKARTA              </v>
          </cell>
          <cell r="C3976" t="str">
            <v>BHV1534</v>
          </cell>
          <cell r="D3976">
            <v>166201000209562</v>
          </cell>
          <cell r="F3976" t="str">
            <v>Tidak</v>
          </cell>
          <cell r="G3976" t="str">
            <v>Tidak</v>
          </cell>
          <cell r="H3976" t="str">
            <v>Tidak</v>
          </cell>
          <cell r="I3976" t="str">
            <v>Perpajakan</v>
          </cell>
          <cell r="J3976">
            <v>36</v>
          </cell>
          <cell r="K3976">
            <v>41</v>
          </cell>
          <cell r="L3976" t="str">
            <v>Perpajakan</v>
          </cell>
          <cell r="M3976" t="str">
            <v xml:space="preserve">KK UIN MALANG                           </v>
          </cell>
          <cell r="N3976" t="str">
            <v xml:space="preserve">KC Malang Martadinata                   </v>
          </cell>
          <cell r="O3976" t="str">
            <v xml:space="preserve">KANWIL MALANG                           </v>
          </cell>
          <cell r="P3976" t="str">
            <v>Tidak</v>
          </cell>
          <cell r="Q3976" t="str">
            <v>Tidak</v>
          </cell>
          <cell r="R3976" t="str">
            <v>Done</v>
          </cell>
          <cell r="S3976" t="str">
            <v>Approved</v>
          </cell>
          <cell r="T3976" t="str">
            <v>90171841 - Rifqi Aziz</v>
          </cell>
          <cell r="U3976" t="str">
            <v>"-"</v>
          </cell>
        </row>
        <row r="3977">
          <cell r="A3977">
            <v>46265</v>
          </cell>
          <cell r="B3977" t="str">
            <v xml:space="preserve">BRITS INDONESIA SAMARINDA               </v>
          </cell>
          <cell r="C3977" t="str">
            <v>BHV2441</v>
          </cell>
          <cell r="D3977">
            <v>166201000211569</v>
          </cell>
          <cell r="F3977" t="str">
            <v>Tidak</v>
          </cell>
          <cell r="G3977" t="str">
            <v>Tidak</v>
          </cell>
          <cell r="H3977" t="str">
            <v>Tidak</v>
          </cell>
          <cell r="I3977" t="str">
            <v>Perpajakan</v>
          </cell>
          <cell r="J3977">
            <v>35</v>
          </cell>
          <cell r="K3977">
            <v>41</v>
          </cell>
          <cell r="L3977" t="str">
            <v>Perpajakan</v>
          </cell>
          <cell r="M3977" t="str">
            <v xml:space="preserve">KK UIN MALANG                           </v>
          </cell>
          <cell r="N3977" t="str">
            <v xml:space="preserve">KC Malang Martadinata                   </v>
          </cell>
          <cell r="O3977" t="str">
            <v xml:space="preserve">KANWIL MALANG                           </v>
          </cell>
          <cell r="P3977" t="str">
            <v>Tidak</v>
          </cell>
          <cell r="Q3977" t="str">
            <v>Tidak</v>
          </cell>
          <cell r="R3977" t="str">
            <v>Done</v>
          </cell>
          <cell r="S3977" t="str">
            <v>Approved</v>
          </cell>
          <cell r="T3977" t="str">
            <v>00336949 - Mochammad Al Farabi</v>
          </cell>
          <cell r="U3977" t="str">
            <v>"-"</v>
          </cell>
        </row>
        <row r="3978">
          <cell r="A3978">
            <v>46265</v>
          </cell>
          <cell r="B3978" t="str">
            <v xml:space="preserve">BENDAHARA KODIM                         </v>
          </cell>
          <cell r="C3978" t="str">
            <v>BHU7232</v>
          </cell>
          <cell r="D3978">
            <v>360801040485534</v>
          </cell>
          <cell r="F3978" t="str">
            <v>Tidak</v>
          </cell>
          <cell r="G3978" t="str">
            <v>Tidak</v>
          </cell>
          <cell r="H3978" t="str">
            <v>Tidak</v>
          </cell>
          <cell r="I3978" t="str">
            <v>Narkotika - Area Lapas</v>
          </cell>
          <cell r="J3978">
            <v>33</v>
          </cell>
          <cell r="K3978">
            <v>47</v>
          </cell>
          <cell r="L3978" t="str">
            <v>Narkotika</v>
          </cell>
          <cell r="M3978" t="str">
            <v>UNIT KASONGAN PALANGKARAYA</v>
          </cell>
          <cell r="N3978" t="str">
            <v>KC Palangkaraya</v>
          </cell>
          <cell r="O3978" t="str">
            <v>Banjarmasin</v>
          </cell>
          <cell r="P3978" t="str">
            <v>Tidak</v>
          </cell>
          <cell r="Q3978" t="str">
            <v>Tidak</v>
          </cell>
          <cell r="R3978" t="str">
            <v>Done</v>
          </cell>
          <cell r="S3978" t="str">
            <v>Approved</v>
          </cell>
          <cell r="T3978" t="str">
            <v>00394520 - Frida Akbar Rani</v>
          </cell>
          <cell r="U3978" t="str">
            <v>"-"</v>
          </cell>
        </row>
        <row r="3979">
          <cell r="A3979">
            <v>46265</v>
          </cell>
          <cell r="B3979" t="str">
            <v xml:space="preserve">BAGAS PRATAMA                           </v>
          </cell>
          <cell r="C3979" t="str">
            <v>BHY5876</v>
          </cell>
          <cell r="D3979">
            <v>134201003244503</v>
          </cell>
          <cell r="F3979" t="str">
            <v>Tidak</v>
          </cell>
          <cell r="G3979" t="str">
            <v>Tidak</v>
          </cell>
          <cell r="H3979" t="str">
            <v>Tidak</v>
          </cell>
          <cell r="I3979" t="str">
            <v>Bandar Judol Withdrawal</v>
          </cell>
          <cell r="J3979">
            <v>35</v>
          </cell>
          <cell r="K3979" t="str">
            <v>86,88,87</v>
          </cell>
          <cell r="L3979" t="str">
            <v>Judi Online</v>
          </cell>
          <cell r="M3979" t="str">
            <v xml:space="preserve">Kas Kanpus                              </v>
          </cell>
          <cell r="N3979" t="str">
            <v xml:space="preserve">Kas Kanpus                              </v>
          </cell>
          <cell r="O3979" t="str">
            <v xml:space="preserve">KAS KANPUS                              </v>
          </cell>
          <cell r="P3979" t="str">
            <v>Ya</v>
          </cell>
          <cell r="Q3979" t="str">
            <v>Ya</v>
          </cell>
          <cell r="R3979" t="str">
            <v>Done</v>
          </cell>
          <cell r="S3979" t="str">
            <v>Approved</v>
          </cell>
          <cell r="T3979" t="str">
            <v>00394520 - Frida Akbar Rani</v>
          </cell>
          <cell r="U3979" t="str">
            <v>"-"</v>
          </cell>
        </row>
        <row r="3980">
          <cell r="A3980">
            <v>46265</v>
          </cell>
          <cell r="B3980" t="str">
            <v xml:space="preserve">BURHANUDDIN                             </v>
          </cell>
          <cell r="C3980" t="str">
            <v>BIA7694</v>
          </cell>
          <cell r="D3980">
            <v>525801017899509</v>
          </cell>
          <cell r="F3980" t="str">
            <v>Tidak</v>
          </cell>
          <cell r="G3980" t="str">
            <v>Tidak</v>
          </cell>
          <cell r="H3980" t="str">
            <v>Tidak</v>
          </cell>
          <cell r="I3980" t="str">
            <v>Bandar Judol Withdrawal</v>
          </cell>
          <cell r="J3980">
            <v>35</v>
          </cell>
          <cell r="K3980" t="str">
            <v>86,88,87</v>
          </cell>
          <cell r="L3980" t="str">
            <v>Judi Online</v>
          </cell>
          <cell r="M3980" t="str">
            <v xml:space="preserve">Kas Kanpus                              </v>
          </cell>
          <cell r="N3980" t="str">
            <v xml:space="preserve">Kas Kanpus                              </v>
          </cell>
          <cell r="O3980" t="str">
            <v xml:space="preserve">KAS KANPUS                              </v>
          </cell>
          <cell r="P3980" t="str">
            <v>Ya</v>
          </cell>
          <cell r="Q3980" t="str">
            <v>Ya</v>
          </cell>
          <cell r="R3980" t="str">
            <v>Done</v>
          </cell>
          <cell r="S3980" t="str">
            <v>Approved</v>
          </cell>
          <cell r="T3980" t="str">
            <v>00394520 - Frida Akbar Rani</v>
          </cell>
          <cell r="U3980" t="str">
            <v>"-"</v>
          </cell>
        </row>
        <row r="3981">
          <cell r="A3981">
            <v>46265</v>
          </cell>
          <cell r="B3981" t="str">
            <v xml:space="preserve">BRIGIF 8 GARUDA CAKTI                   </v>
          </cell>
          <cell r="C3981" t="str">
            <v>BFV5062</v>
          </cell>
          <cell r="D3981">
            <v>12901001704564</v>
          </cell>
          <cell r="E3981" t="str">
            <v>SEDANG</v>
          </cell>
          <cell r="F3981" t="str">
            <v>Tidak</v>
          </cell>
          <cell r="G3981" t="str">
            <v>Tidak</v>
          </cell>
          <cell r="H3981" t="str">
            <v>Tidak</v>
          </cell>
          <cell r="I3981" t="str">
            <v>Perpajakan</v>
          </cell>
          <cell r="J3981">
            <v>50</v>
          </cell>
          <cell r="K3981">
            <v>41</v>
          </cell>
          <cell r="L3981" t="str">
            <v>Perpajakan</v>
          </cell>
          <cell r="M3981" t="str">
            <v xml:space="preserve">KC Lubuk Linggau                        </v>
          </cell>
          <cell r="N3981" t="str">
            <v xml:space="preserve">KC Lubuk Linggau                        </v>
          </cell>
          <cell r="O3981" t="str">
            <v xml:space="preserve">Palembang                               </v>
          </cell>
          <cell r="P3981" t="str">
            <v>Tidak</v>
          </cell>
          <cell r="Q3981" t="str">
            <v>Tidak</v>
          </cell>
          <cell r="R3981" t="str">
            <v>Done</v>
          </cell>
          <cell r="S3981" t="str">
            <v>Approved</v>
          </cell>
          <cell r="T3981" t="str">
            <v>00394521 - Muhammad Hibbanduta</v>
          </cell>
          <cell r="U3981" t="str">
            <v>"-"</v>
          </cell>
        </row>
        <row r="3982">
          <cell r="A3982">
            <v>46265</v>
          </cell>
          <cell r="B3982" t="str">
            <v xml:space="preserve">BATAM SEHAT MADANI                      </v>
          </cell>
          <cell r="C3982" t="str">
            <v>BGH1921</v>
          </cell>
          <cell r="D3982">
            <v>65901000554305</v>
          </cell>
          <cell r="E3982" t="str">
            <v>SEDANG</v>
          </cell>
          <cell r="F3982" t="str">
            <v>Tidak</v>
          </cell>
          <cell r="G3982" t="str">
            <v>Tidak</v>
          </cell>
          <cell r="H3982" t="str">
            <v>Tidak</v>
          </cell>
          <cell r="I3982" t="str">
            <v>Perpajakan</v>
          </cell>
          <cell r="J3982">
            <v>50</v>
          </cell>
          <cell r="K3982">
            <v>41</v>
          </cell>
          <cell r="L3982" t="str">
            <v>Perpajakan</v>
          </cell>
          <cell r="M3982" t="str">
            <v xml:space="preserve">KCP AVIARI                              </v>
          </cell>
          <cell r="N3982" t="str">
            <v xml:space="preserve">KC Batam Center                         </v>
          </cell>
          <cell r="O3982" t="str">
            <v xml:space="preserve">KANWIL PEKANBARU                        </v>
          </cell>
          <cell r="P3982" t="str">
            <v>Tidak</v>
          </cell>
          <cell r="Q3982" t="str">
            <v>Tidak</v>
          </cell>
          <cell r="R3982" t="str">
            <v>Done</v>
          </cell>
          <cell r="S3982" t="str">
            <v>Approved</v>
          </cell>
          <cell r="T3982" t="str">
            <v>00336949 - Mochammad Al Farabi</v>
          </cell>
          <cell r="U3982" t="str">
            <v>"-"</v>
          </cell>
        </row>
        <row r="3983">
          <cell r="A3983">
            <v>46265</v>
          </cell>
          <cell r="B3983" t="str">
            <v xml:space="preserve">BARIAH                                  </v>
          </cell>
          <cell r="C3983" t="str">
            <v>BGJ4757</v>
          </cell>
          <cell r="D3983">
            <v>43401001511560</v>
          </cell>
          <cell r="E3983" t="str">
            <v>SEDANG</v>
          </cell>
          <cell r="F3983" t="str">
            <v>Tidak</v>
          </cell>
          <cell r="G3983" t="str">
            <v>Tidak</v>
          </cell>
          <cell r="H3983" t="str">
            <v>Tidak</v>
          </cell>
          <cell r="I3983" t="str">
            <v>Bandar Judol Depo</v>
          </cell>
          <cell r="J3983">
            <v>50</v>
          </cell>
          <cell r="K3983" t="str">
            <v>86,74,87</v>
          </cell>
          <cell r="L3983" t="str">
            <v>Judi Online</v>
          </cell>
          <cell r="M3983" t="str">
            <v xml:space="preserve">Kas Kanpus                              </v>
          </cell>
          <cell r="N3983" t="str">
            <v xml:space="preserve">Kas Kanpus                              </v>
          </cell>
          <cell r="O3983" t="str">
            <v xml:space="preserve">KAS KANPUS                              </v>
          </cell>
          <cell r="P3983" t="str">
            <v>Ya</v>
          </cell>
          <cell r="Q3983" t="str">
            <v>Ya</v>
          </cell>
          <cell r="R3983" t="str">
            <v>Done</v>
          </cell>
          <cell r="S3983" t="str">
            <v>Approved</v>
          </cell>
          <cell r="T3983" t="str">
            <v>00394521 - Muhammad Hibbanduta</v>
          </cell>
          <cell r="U3983" t="str">
            <v>"-"</v>
          </cell>
        </row>
        <row r="3984">
          <cell r="A3984">
            <v>46265</v>
          </cell>
          <cell r="B3984" t="str">
            <v xml:space="preserve">BENEDICTUS SALDRY                       </v>
          </cell>
          <cell r="C3984" t="str">
            <v>BGV6176</v>
          </cell>
          <cell r="D3984">
            <v>44101002230566</v>
          </cell>
          <cell r="E3984" t="str">
            <v>SEDANG</v>
          </cell>
          <cell r="F3984" t="str">
            <v>Tidak</v>
          </cell>
          <cell r="G3984" t="str">
            <v>Tidak</v>
          </cell>
          <cell r="H3984" t="str">
            <v>Tidak</v>
          </cell>
          <cell r="I3984" t="str">
            <v>Bandar Judol Withdrawal</v>
          </cell>
          <cell r="J3984">
            <v>50</v>
          </cell>
          <cell r="K3984" t="str">
            <v>86,88,87</v>
          </cell>
          <cell r="L3984" t="str">
            <v>Judi Online</v>
          </cell>
          <cell r="M3984" t="str">
            <v xml:space="preserve">Kas Kanpus                              </v>
          </cell>
          <cell r="N3984" t="str">
            <v xml:space="preserve">Kas Kanpus                              </v>
          </cell>
          <cell r="O3984" t="str">
            <v xml:space="preserve">KAS KANPUS                              </v>
          </cell>
          <cell r="P3984" t="str">
            <v>Ya</v>
          </cell>
          <cell r="Q3984" t="str">
            <v>Ya</v>
          </cell>
          <cell r="R3984" t="str">
            <v>Done</v>
          </cell>
          <cell r="S3984" t="str">
            <v>Approved</v>
          </cell>
          <cell r="T3984" t="str">
            <v>90170665 - Mutiara Ayuningtyas</v>
          </cell>
          <cell r="U3984" t="str">
            <v>"-"</v>
          </cell>
        </row>
        <row r="3985">
          <cell r="A3985">
            <v>46265</v>
          </cell>
          <cell r="B3985" t="str">
            <v xml:space="preserve">BADAN GIZI NASIONAL                     </v>
          </cell>
          <cell r="C3985" t="str">
            <v>BHT5586</v>
          </cell>
          <cell r="D3985">
            <v>20601080808301</v>
          </cell>
          <cell r="F3985" t="str">
            <v>Tidak</v>
          </cell>
          <cell r="G3985" t="str">
            <v>Tidak</v>
          </cell>
          <cell r="H3985" t="str">
            <v>Tidak</v>
          </cell>
          <cell r="I3985" t="str">
            <v>Narkotika - Area Lapas</v>
          </cell>
          <cell r="J3985">
            <v>35</v>
          </cell>
          <cell r="K3985">
            <v>46</v>
          </cell>
          <cell r="L3985" t="str">
            <v>Narkotika</v>
          </cell>
          <cell r="M3985" t="str">
            <v>KC SUDIRMAN SEMANGGI</v>
          </cell>
          <cell r="N3985" t="str">
            <v>KC SUDIRMAN SEMANGGI</v>
          </cell>
          <cell r="O3985" t="str">
            <v>DKI</v>
          </cell>
          <cell r="P3985" t="str">
            <v>Tidak</v>
          </cell>
          <cell r="Q3985" t="str">
            <v>Tidak</v>
          </cell>
          <cell r="R3985" t="str">
            <v>Done</v>
          </cell>
          <cell r="S3985" t="str">
            <v>Approved</v>
          </cell>
          <cell r="T3985" t="str">
            <v>00336949 - Mochammad Al Farabi</v>
          </cell>
          <cell r="U3985" t="str">
            <v>"-"</v>
          </cell>
        </row>
        <row r="3986">
          <cell r="A3986">
            <v>46265</v>
          </cell>
          <cell r="B3986" t="str">
            <v xml:space="preserve">BAHRUDIN                                </v>
          </cell>
          <cell r="C3986" t="str">
            <v>BHF9620</v>
          </cell>
          <cell r="D3986">
            <v>43801003975562</v>
          </cell>
          <cell r="E3986" t="str">
            <v>SEDANG</v>
          </cell>
          <cell r="F3986" t="str">
            <v>Tidak</v>
          </cell>
          <cell r="G3986" t="str">
            <v>Tidak</v>
          </cell>
          <cell r="H3986" t="str">
            <v>Tidak</v>
          </cell>
          <cell r="I3986" t="str">
            <v>Bandar Judol Withdrawal</v>
          </cell>
          <cell r="J3986">
            <v>50</v>
          </cell>
          <cell r="K3986" t="str">
            <v>86,88,87</v>
          </cell>
          <cell r="L3986" t="str">
            <v>Judi Online</v>
          </cell>
          <cell r="M3986" t="str">
            <v xml:space="preserve">Kas Kanpus                              </v>
          </cell>
          <cell r="N3986" t="str">
            <v xml:space="preserve">Kas Kanpus                              </v>
          </cell>
          <cell r="O3986" t="str">
            <v xml:space="preserve">KAS KANPUS                              </v>
          </cell>
          <cell r="P3986" t="str">
            <v>Ya</v>
          </cell>
          <cell r="Q3986" t="str">
            <v>Ya</v>
          </cell>
          <cell r="R3986" t="str">
            <v>Done</v>
          </cell>
          <cell r="S3986" t="str">
            <v>Approved</v>
          </cell>
          <cell r="T3986" t="str">
            <v>90186790 - Muhammad Alfin Farha</v>
          </cell>
          <cell r="U3986" t="str">
            <v>"-"</v>
          </cell>
        </row>
        <row r="3987">
          <cell r="A3987">
            <v>46265</v>
          </cell>
          <cell r="B3987" t="str">
            <v xml:space="preserve">CHOYRUL HUDA                            </v>
          </cell>
          <cell r="C3987" t="str">
            <v>C547645</v>
          </cell>
          <cell r="D3987">
            <v>614901024327535</v>
          </cell>
          <cell r="E3987" t="str">
            <v>SEDANG</v>
          </cell>
          <cell r="F3987" t="str">
            <v>Tidak</v>
          </cell>
          <cell r="G3987" t="str">
            <v>Tidak</v>
          </cell>
          <cell r="H3987" t="str">
            <v>Ya</v>
          </cell>
          <cell r="I3987" t="str">
            <v>Bandar Judol Depo</v>
          </cell>
          <cell r="J3987">
            <v>50</v>
          </cell>
          <cell r="K3987" t="str">
            <v>86,74,87</v>
          </cell>
          <cell r="L3987" t="str">
            <v>Judi Online</v>
          </cell>
          <cell r="M3987" t="str">
            <v xml:space="preserve">Kas Kanpus                              </v>
          </cell>
          <cell r="N3987" t="str">
            <v xml:space="preserve">Kas Kanpus                              </v>
          </cell>
          <cell r="O3987" t="str">
            <v xml:space="preserve">KAS KANPUS                              </v>
          </cell>
          <cell r="P3987" t="str">
            <v>Tidak</v>
          </cell>
          <cell r="Q3987" t="str">
            <v>Ya</v>
          </cell>
          <cell r="R3987" t="str">
            <v>Done</v>
          </cell>
          <cell r="S3987" t="str">
            <v>Approved</v>
          </cell>
          <cell r="T3987" t="str">
            <v>90150130 - Intan Aida Pratiwi</v>
          </cell>
          <cell r="U3987" t="str">
            <v>"-"</v>
          </cell>
        </row>
        <row r="3988">
          <cell r="A3988">
            <v>46265</v>
          </cell>
          <cell r="B3988" t="str">
            <v xml:space="preserve">CHANDRA MAS PERMATA LESTARI, PT         </v>
          </cell>
          <cell r="C3988" t="str">
            <v>C241810</v>
          </cell>
          <cell r="D3988">
            <v>24201000418302</v>
          </cell>
          <cell r="E3988" t="str">
            <v>SEDANG</v>
          </cell>
          <cell r="F3988" t="str">
            <v>Tidak</v>
          </cell>
          <cell r="G3988" t="str">
            <v>Tidak</v>
          </cell>
          <cell r="H3988" t="str">
            <v>Tidak</v>
          </cell>
          <cell r="I3988" t="str">
            <v>Narkotika - Area Lapas</v>
          </cell>
          <cell r="J3988">
            <v>48</v>
          </cell>
          <cell r="K3988">
            <v>47</v>
          </cell>
          <cell r="L3988" t="str">
            <v>Narkotika</v>
          </cell>
          <cell r="M3988" t="str">
            <v>KC Martapura</v>
          </cell>
          <cell r="N3988" t="str">
            <v>KC Martapura</v>
          </cell>
          <cell r="O3988" t="str">
            <v>Banjarmasin</v>
          </cell>
          <cell r="P3988" t="str">
            <v>Tidak</v>
          </cell>
          <cell r="Q3988" t="str">
            <v>Tidak</v>
          </cell>
          <cell r="R3988" t="str">
            <v>Done</v>
          </cell>
          <cell r="S3988" t="str">
            <v>Approved</v>
          </cell>
          <cell r="T3988" t="str">
            <v>90150130 - Intan Aida Pratiwi</v>
          </cell>
          <cell r="U3988" t="str">
            <v>"-"</v>
          </cell>
        </row>
        <row r="3989">
          <cell r="A3989">
            <v>46265</v>
          </cell>
          <cell r="B3989" t="str">
            <v xml:space="preserve">BISBON BUTAR BUTAR                      </v>
          </cell>
          <cell r="C3989" t="str">
            <v>BX89761</v>
          </cell>
          <cell r="D3989">
            <v>26601056867501</v>
          </cell>
          <cell r="E3989" t="str">
            <v>SEDANG</v>
          </cell>
          <cell r="F3989" t="str">
            <v>Tidak</v>
          </cell>
          <cell r="G3989" t="str">
            <v>Tidak</v>
          </cell>
          <cell r="H3989" t="str">
            <v>Tidak</v>
          </cell>
          <cell r="I3989" t="str">
            <v>Narkotika - Area Lapas</v>
          </cell>
          <cell r="J3989">
            <v>50</v>
          </cell>
          <cell r="K3989">
            <v>48</v>
          </cell>
          <cell r="L3989" t="str">
            <v>Narkotika</v>
          </cell>
          <cell r="M3989" t="str">
            <v>KC Lubuk Pakam</v>
          </cell>
          <cell r="N3989" t="str">
            <v>KC Lubuk Pakam</v>
          </cell>
          <cell r="O3989" t="str">
            <v>Medan</v>
          </cell>
          <cell r="P3989" t="str">
            <v>Ya</v>
          </cell>
          <cell r="Q3989" t="str">
            <v>Tidak</v>
          </cell>
          <cell r="R3989" t="str">
            <v>Done</v>
          </cell>
          <cell r="S3989" t="str">
            <v>Approved</v>
          </cell>
          <cell r="T3989" t="str">
            <v>90186790 - Muhammad Alfin Farha</v>
          </cell>
          <cell r="U3989" t="str">
            <v>"-"</v>
          </cell>
        </row>
        <row r="3990">
          <cell r="A3990">
            <v>46265</v>
          </cell>
          <cell r="B3990" t="str">
            <v xml:space="preserve">BIMO SATRIO SANTOSO                     </v>
          </cell>
          <cell r="C3990" t="str">
            <v>BW84720</v>
          </cell>
          <cell r="D3990">
            <v>44401054791502</v>
          </cell>
          <cell r="E3990" t="str">
            <v>SEDANG</v>
          </cell>
          <cell r="F3990" t="str">
            <v>Tidak</v>
          </cell>
          <cell r="G3990" t="str">
            <v>Tidak</v>
          </cell>
          <cell r="H3990" t="str">
            <v>Tidak</v>
          </cell>
          <cell r="I3990" t="str">
            <v>Bandar Judol Depo</v>
          </cell>
          <cell r="J3990">
            <v>50</v>
          </cell>
          <cell r="K3990" t="str">
            <v>86,74,87</v>
          </cell>
          <cell r="L3990" t="str">
            <v>Judi Online</v>
          </cell>
          <cell r="M3990" t="str">
            <v xml:space="preserve">Kas Kanpus                              </v>
          </cell>
          <cell r="N3990" t="str">
            <v xml:space="preserve">Kas Kanpus                              </v>
          </cell>
          <cell r="O3990" t="str">
            <v xml:space="preserve">KAS KANPUS                              </v>
          </cell>
          <cell r="P3990" t="str">
            <v>Ya</v>
          </cell>
          <cell r="Q3990" t="str">
            <v>Ya</v>
          </cell>
          <cell r="R3990" t="str">
            <v>Done</v>
          </cell>
          <cell r="S3990" t="str">
            <v>Approved</v>
          </cell>
          <cell r="T3990" t="str">
            <v>90170665 - Mutiara Ayuningtyas</v>
          </cell>
          <cell r="U3990" t="str">
            <v>"-"</v>
          </cell>
        </row>
        <row r="3991">
          <cell r="A3991">
            <v>46265</v>
          </cell>
          <cell r="B3991" t="str">
            <v xml:space="preserve">BUANA SAWIT INDAH                       </v>
          </cell>
          <cell r="C3991" t="str">
            <v>BR25562</v>
          </cell>
          <cell r="D3991">
            <v>5301004141306</v>
          </cell>
          <cell r="E3991" t="str">
            <v>SEDANG</v>
          </cell>
          <cell r="F3991" t="str">
            <v>Tidak</v>
          </cell>
          <cell r="G3991" t="str">
            <v>Tidak</v>
          </cell>
          <cell r="H3991" t="str">
            <v>Tidak</v>
          </cell>
          <cell r="I3991" t="str">
            <v>Perpajakan</v>
          </cell>
          <cell r="J3991">
            <v>51</v>
          </cell>
          <cell r="K3991">
            <v>41</v>
          </cell>
          <cell r="L3991" t="str">
            <v>Perpajakan</v>
          </cell>
          <cell r="M3991" t="str">
            <v xml:space="preserve">KC Medan Putri Hijau                    </v>
          </cell>
          <cell r="N3991" t="str">
            <v xml:space="preserve">KC Medan Putri Hijau                    </v>
          </cell>
          <cell r="O3991" t="str">
            <v xml:space="preserve">Medan                                   </v>
          </cell>
          <cell r="P3991" t="str">
            <v>Ya</v>
          </cell>
          <cell r="Q3991" t="str">
            <v>Tidak</v>
          </cell>
          <cell r="R3991" t="str">
            <v>Done</v>
          </cell>
          <cell r="S3991" t="str">
            <v>Approved</v>
          </cell>
          <cell r="T3991" t="str">
            <v>00394521 - Muhammad Hibbanduta</v>
          </cell>
          <cell r="U3991" t="str">
            <v>"-"</v>
          </cell>
        </row>
        <row r="3992">
          <cell r="A3992">
            <v>46265</v>
          </cell>
          <cell r="B3992" t="str">
            <v xml:space="preserve">BINAVALASINDO DOLARASIA SEJAHTERA UTAMA </v>
          </cell>
          <cell r="C3992" t="str">
            <v>BR89843</v>
          </cell>
          <cell r="D3992">
            <v>13901003434304</v>
          </cell>
          <cell r="E3992" t="str">
            <v>TINGGI</v>
          </cell>
          <cell r="F3992" t="str">
            <v>Tidak</v>
          </cell>
          <cell r="G3992" t="str">
            <v>Tidak</v>
          </cell>
          <cell r="H3992" t="str">
            <v>Tidak</v>
          </cell>
          <cell r="I3992" t="str">
            <v>Perpajakan</v>
          </cell>
          <cell r="J3992">
            <v>63</v>
          </cell>
          <cell r="K3992">
            <v>1.33</v>
          </cell>
          <cell r="L3992" t="str">
            <v>Perpajakan</v>
          </cell>
          <cell r="M3992" t="str">
            <v xml:space="preserve">KC Bekasi                               </v>
          </cell>
          <cell r="N3992" t="str">
            <v xml:space="preserve">KC Bekasi                               </v>
          </cell>
          <cell r="O3992" t="str">
            <v xml:space="preserve">DKI2                                    </v>
          </cell>
          <cell r="P3992" t="str">
            <v>Tidak</v>
          </cell>
          <cell r="Q3992" t="str">
            <v>Tidak</v>
          </cell>
          <cell r="R3992" t="str">
            <v>Done</v>
          </cell>
          <cell r="S3992" t="str">
            <v>Approved</v>
          </cell>
          <cell r="T3992" t="str">
            <v>90150130 - Intan Aida Pratiwi</v>
          </cell>
          <cell r="U3992" t="str">
            <v>"-"</v>
          </cell>
        </row>
        <row r="3993">
          <cell r="A3993">
            <v>46265</v>
          </cell>
          <cell r="B3993" t="str">
            <v xml:space="preserve">BENY AFRI                               </v>
          </cell>
          <cell r="C3993" t="str">
            <v>BN92110</v>
          </cell>
          <cell r="D3993">
            <v>354101022540500</v>
          </cell>
          <cell r="E3993" t="str">
            <v>SEDANG</v>
          </cell>
          <cell r="F3993" t="str">
            <v>Tidak</v>
          </cell>
          <cell r="G3993" t="str">
            <v>Tidak</v>
          </cell>
          <cell r="H3993" t="str">
            <v>Tidak</v>
          </cell>
          <cell r="I3993" t="str">
            <v>Bandar Judol Withdrawal</v>
          </cell>
          <cell r="J3993">
            <v>50</v>
          </cell>
          <cell r="K3993" t="str">
            <v>86,88,87</v>
          </cell>
          <cell r="L3993" t="str">
            <v>Judi Online</v>
          </cell>
          <cell r="M3993" t="str">
            <v xml:space="preserve">Kas Kanpus                              </v>
          </cell>
          <cell r="N3993" t="str">
            <v xml:space="preserve">Kas Kanpus                              </v>
          </cell>
          <cell r="O3993" t="str">
            <v xml:space="preserve">KAS KANPUS                              </v>
          </cell>
          <cell r="P3993" t="str">
            <v>Ya</v>
          </cell>
          <cell r="Q3993" t="str">
            <v>Ya</v>
          </cell>
          <cell r="R3993" t="str">
            <v>Done</v>
          </cell>
          <cell r="S3993" t="str">
            <v>Approved</v>
          </cell>
          <cell r="T3993" t="str">
            <v>90171841 - Rifqi Aziz</v>
          </cell>
          <cell r="U3993" t="str">
            <v>"-"</v>
          </cell>
        </row>
        <row r="3994">
          <cell r="A3994">
            <v>46265</v>
          </cell>
          <cell r="B3994" t="str">
            <v xml:space="preserve">BUYUNG AMAN                             </v>
          </cell>
          <cell r="C3994" t="str">
            <v>BP06228</v>
          </cell>
          <cell r="D3994">
            <v>710201000023562</v>
          </cell>
          <cell r="E3994" t="str">
            <v>SEDANG</v>
          </cell>
          <cell r="F3994" t="str">
            <v>Tidak</v>
          </cell>
          <cell r="G3994" t="str">
            <v>Tidak</v>
          </cell>
          <cell r="H3994" t="str">
            <v>Tidak</v>
          </cell>
          <cell r="I3994" t="str">
            <v>Narkotika - Area Lapas</v>
          </cell>
          <cell r="J3994">
            <v>50</v>
          </cell>
          <cell r="K3994">
            <v>46</v>
          </cell>
          <cell r="L3994" t="str">
            <v>Narkotika</v>
          </cell>
          <cell r="M3994" t="str">
            <v>UNIT RANTAU PANJANG BANGKO</v>
          </cell>
          <cell r="N3994" t="str">
            <v>KC Bangko</v>
          </cell>
          <cell r="O3994" t="str">
            <v>Palembang</v>
          </cell>
          <cell r="P3994" t="str">
            <v>Tidak</v>
          </cell>
          <cell r="Q3994" t="str">
            <v>Ya</v>
          </cell>
          <cell r="R3994" t="str">
            <v>Done</v>
          </cell>
          <cell r="S3994" t="str">
            <v>Approved</v>
          </cell>
          <cell r="T3994" t="str">
            <v>90185537 - Moh.Khoerul Fajar Ar</v>
          </cell>
          <cell r="U3994" t="str">
            <v>"-"</v>
          </cell>
        </row>
        <row r="3995">
          <cell r="A3995">
            <v>46265</v>
          </cell>
          <cell r="B3995" t="str">
            <v xml:space="preserve">BUDI EKO KURNIAWAN                      </v>
          </cell>
          <cell r="C3995" t="str">
            <v>BM02881</v>
          </cell>
          <cell r="D3995">
            <v>1901002349560</v>
          </cell>
          <cell r="E3995" t="str">
            <v>SEDANG</v>
          </cell>
          <cell r="F3995" t="str">
            <v>Tidak</v>
          </cell>
          <cell r="G3995" t="str">
            <v>Tidak</v>
          </cell>
          <cell r="H3995" t="str">
            <v>Tidak</v>
          </cell>
          <cell r="I3995" t="str">
            <v>Bandar Judol Withdrawal</v>
          </cell>
          <cell r="J3995">
            <v>50</v>
          </cell>
          <cell r="K3995" t="str">
            <v>86,88,87</v>
          </cell>
          <cell r="L3995" t="str">
            <v>Judi Online</v>
          </cell>
          <cell r="M3995" t="str">
            <v xml:space="preserve">Kas Kanpus                              </v>
          </cell>
          <cell r="N3995" t="str">
            <v xml:space="preserve">Kas Kanpus                              </v>
          </cell>
          <cell r="O3995" t="str">
            <v xml:space="preserve">KAS KANPUS                              </v>
          </cell>
          <cell r="P3995" t="str">
            <v>Ya</v>
          </cell>
          <cell r="Q3995" t="str">
            <v>Ya</v>
          </cell>
          <cell r="R3995" t="str">
            <v>Done</v>
          </cell>
          <cell r="S3995" t="str">
            <v>Approved</v>
          </cell>
          <cell r="T3995" t="str">
            <v>00336949 - Mochammad Al Farabi</v>
          </cell>
          <cell r="U3995" t="str">
            <v>"-"</v>
          </cell>
        </row>
        <row r="3996">
          <cell r="A3996">
            <v>46265</v>
          </cell>
          <cell r="B3996" t="str">
            <v xml:space="preserve">BAMBANG HIDAYAT SURBAKTI                </v>
          </cell>
          <cell r="C3996" t="str">
            <v>BK67729</v>
          </cell>
          <cell r="D3996">
            <v>23801036806532</v>
          </cell>
          <cell r="E3996" t="str">
            <v>SEDANG</v>
          </cell>
          <cell r="F3996" t="str">
            <v>Tidak</v>
          </cell>
          <cell r="G3996" t="str">
            <v>Tidak</v>
          </cell>
          <cell r="H3996" t="str">
            <v>Tidak</v>
          </cell>
          <cell r="I3996" t="str">
            <v>Bandar Judol Depo</v>
          </cell>
          <cell r="J3996">
            <v>50</v>
          </cell>
          <cell r="K3996" t="str">
            <v>86,74,87</v>
          </cell>
          <cell r="L3996" t="str">
            <v>Judi Online</v>
          </cell>
          <cell r="M3996" t="str">
            <v xml:space="preserve">Kas Kanpus                              </v>
          </cell>
          <cell r="N3996" t="str">
            <v xml:space="preserve">Kas Kanpus                              </v>
          </cell>
          <cell r="O3996" t="str">
            <v xml:space="preserve">KAS KANPUS                              </v>
          </cell>
          <cell r="P3996" t="str">
            <v>Ya</v>
          </cell>
          <cell r="Q3996" t="str">
            <v>Ya</v>
          </cell>
          <cell r="R3996" t="str">
            <v>Done</v>
          </cell>
          <cell r="S3996" t="str">
            <v>Approved</v>
          </cell>
          <cell r="T3996" t="str">
            <v>90186790 - Muhammad Alfin Farha</v>
          </cell>
          <cell r="U3996" t="str">
            <v>"-"</v>
          </cell>
        </row>
        <row r="3997">
          <cell r="A3997">
            <v>46265</v>
          </cell>
          <cell r="B3997" t="str">
            <v xml:space="preserve">BINTANG NUR ALAMSAH                     </v>
          </cell>
          <cell r="C3997" t="str">
            <v>BII3361</v>
          </cell>
          <cell r="D3997">
            <v>113901017682506</v>
          </cell>
          <cell r="F3997" t="str">
            <v>Tidak</v>
          </cell>
          <cell r="G3997" t="str">
            <v>Tidak</v>
          </cell>
          <cell r="H3997" t="str">
            <v>Tidak</v>
          </cell>
          <cell r="I3997" t="str">
            <v>Bandar Judol Withdrawal</v>
          </cell>
          <cell r="J3997">
            <v>35</v>
          </cell>
          <cell r="K3997" t="str">
            <v>86,88,87</v>
          </cell>
          <cell r="L3997" t="str">
            <v>Judi Online</v>
          </cell>
          <cell r="M3997" t="str">
            <v xml:space="preserve">Kas Kanpus                              </v>
          </cell>
          <cell r="N3997" t="str">
            <v xml:space="preserve">Kas Kanpus                              </v>
          </cell>
          <cell r="O3997" t="str">
            <v xml:space="preserve">KAS KANPUS                              </v>
          </cell>
          <cell r="P3997" t="str">
            <v>Ya</v>
          </cell>
          <cell r="Q3997" t="str">
            <v>Ya</v>
          </cell>
          <cell r="R3997" t="str">
            <v>Done</v>
          </cell>
          <cell r="S3997" t="str">
            <v>Approved</v>
          </cell>
          <cell r="T3997" t="str">
            <v>00394521 - Muhammad Hibbanduta</v>
          </cell>
          <cell r="U3997" t="str">
            <v>"-"</v>
          </cell>
        </row>
        <row r="3998">
          <cell r="A3998">
            <v>46265</v>
          </cell>
          <cell r="B3998" t="str">
            <v xml:space="preserve">BAGAS ADDI WIJAYA KUSUMA                </v>
          </cell>
          <cell r="C3998" t="str">
            <v>BII5033</v>
          </cell>
          <cell r="D3998">
            <v>721101025559503</v>
          </cell>
          <cell r="F3998" t="str">
            <v>Tidak</v>
          </cell>
          <cell r="G3998" t="str">
            <v>Tidak</v>
          </cell>
          <cell r="H3998" t="str">
            <v>Tidak</v>
          </cell>
          <cell r="I3998" t="str">
            <v>Bandar Judol Withdrawal</v>
          </cell>
          <cell r="J3998">
            <v>35</v>
          </cell>
          <cell r="K3998" t="str">
            <v>86,88,87</v>
          </cell>
          <cell r="L3998" t="str">
            <v>Judi Online</v>
          </cell>
          <cell r="M3998" t="str">
            <v xml:space="preserve">Kas Kanpus                              </v>
          </cell>
          <cell r="N3998" t="str">
            <v xml:space="preserve">Kas Kanpus                              </v>
          </cell>
          <cell r="O3998" t="str">
            <v xml:space="preserve">KAS KANPUS                              </v>
          </cell>
          <cell r="P3998" t="str">
            <v>Ya</v>
          </cell>
          <cell r="Q3998" t="str">
            <v>Ya</v>
          </cell>
          <cell r="R3998" t="str">
            <v>Done</v>
          </cell>
          <cell r="S3998" t="str">
            <v>Approved</v>
          </cell>
          <cell r="T3998" t="str">
            <v>90171841 - Rifqi Aziz</v>
          </cell>
          <cell r="U3998" t="str">
            <v>"-"</v>
          </cell>
        </row>
        <row r="3999">
          <cell r="A3999">
            <v>46265</v>
          </cell>
          <cell r="B3999" t="str">
            <v xml:space="preserve">BAHRUL SAHNI                            </v>
          </cell>
          <cell r="C3999" t="str">
            <v>BIJ7775</v>
          </cell>
          <cell r="D3999">
            <v>532101000204560</v>
          </cell>
          <cell r="F3999" t="str">
            <v>Tidak</v>
          </cell>
          <cell r="G3999" t="str">
            <v>Tidak</v>
          </cell>
          <cell r="H3999" t="str">
            <v>Tidak</v>
          </cell>
          <cell r="I3999" t="str">
            <v>Bandar Judol Withdrawal</v>
          </cell>
          <cell r="J3999">
            <v>35</v>
          </cell>
          <cell r="K3999" t="str">
            <v>86,88,87</v>
          </cell>
          <cell r="L3999" t="str">
            <v>Judi Online</v>
          </cell>
          <cell r="M3999" t="str">
            <v xml:space="preserve">Kas Kanpus                              </v>
          </cell>
          <cell r="N3999" t="str">
            <v xml:space="preserve">Kas Kanpus                              </v>
          </cell>
          <cell r="O3999" t="str">
            <v xml:space="preserve">KAS KANPUS                              </v>
          </cell>
          <cell r="P3999" t="str">
            <v>Ya</v>
          </cell>
          <cell r="Q3999" t="str">
            <v>Ya</v>
          </cell>
          <cell r="R3999" t="str">
            <v>Done</v>
          </cell>
          <cell r="S3999" t="str">
            <v>Approved</v>
          </cell>
          <cell r="T3999" t="str">
            <v>90185538 - Muhammad Fahikal Auz</v>
          </cell>
          <cell r="U3999" t="str">
            <v>"-"</v>
          </cell>
        </row>
        <row r="4000">
          <cell r="A4000">
            <v>46265</v>
          </cell>
          <cell r="B4000" t="str">
            <v xml:space="preserve">BIMA FEBRIAN                            </v>
          </cell>
          <cell r="C4000" t="str">
            <v>BIJ9060</v>
          </cell>
          <cell r="D4000">
            <v>714401016759509</v>
          </cell>
          <cell r="F4000" t="str">
            <v>Tidak</v>
          </cell>
          <cell r="G4000" t="str">
            <v>Tidak</v>
          </cell>
          <cell r="H4000" t="str">
            <v>Tidak</v>
          </cell>
          <cell r="I4000" t="str">
            <v>Bandar Judol Withdrawal</v>
          </cell>
          <cell r="J4000">
            <v>35</v>
          </cell>
          <cell r="K4000" t="str">
            <v>86,88,87</v>
          </cell>
          <cell r="L4000" t="str">
            <v>Judi Online</v>
          </cell>
          <cell r="M4000" t="str">
            <v xml:space="preserve">Kas Kanpus                              </v>
          </cell>
          <cell r="N4000" t="str">
            <v xml:space="preserve">Kas Kanpus                              </v>
          </cell>
          <cell r="O4000" t="str">
            <v xml:space="preserve">KAS KANPUS                              </v>
          </cell>
          <cell r="P4000" t="str">
            <v>Ya</v>
          </cell>
          <cell r="Q4000" t="str">
            <v>Ya</v>
          </cell>
          <cell r="R4000" t="str">
            <v>Done</v>
          </cell>
          <cell r="S4000" t="str">
            <v>Approved</v>
          </cell>
          <cell r="T4000" t="str">
            <v>00394521 - Muhammad Hibbanduta</v>
          </cell>
          <cell r="U4000" t="str">
            <v>"-"</v>
          </cell>
        </row>
        <row r="4001">
          <cell r="A4001">
            <v>46265</v>
          </cell>
          <cell r="B4001" t="str">
            <v xml:space="preserve">BRAM MARUTI                             </v>
          </cell>
          <cell r="C4001" t="str">
            <v>BIK2410</v>
          </cell>
          <cell r="D4001">
            <v>331201004136504</v>
          </cell>
          <cell r="F4001" t="str">
            <v>Tidak</v>
          </cell>
          <cell r="G4001" t="str">
            <v>Tidak</v>
          </cell>
          <cell r="H4001" t="str">
            <v>Tidak</v>
          </cell>
          <cell r="I4001" t="str">
            <v>Bandar Judol Depo</v>
          </cell>
          <cell r="J4001">
            <v>35</v>
          </cell>
          <cell r="K4001" t="str">
            <v>86,74,87</v>
          </cell>
          <cell r="L4001" t="str">
            <v>Judi Online</v>
          </cell>
          <cell r="M4001" t="str">
            <v xml:space="preserve">Kas Kanpus                              </v>
          </cell>
          <cell r="N4001" t="str">
            <v xml:space="preserve">Kas Kanpus                              </v>
          </cell>
          <cell r="O4001" t="str">
            <v xml:space="preserve">KAS KANPUS                              </v>
          </cell>
          <cell r="P4001" t="str">
            <v>Ya</v>
          </cell>
          <cell r="Q4001" t="str">
            <v>Ya</v>
          </cell>
          <cell r="R4001" t="str">
            <v>Done</v>
          </cell>
          <cell r="S4001" t="str">
            <v>Approved</v>
          </cell>
          <cell r="T4001" t="str">
            <v>00336949 - Mochammad Al Farabi</v>
          </cell>
          <cell r="U4001" t="str">
            <v>"-"</v>
          </cell>
        </row>
        <row r="4002">
          <cell r="A4002">
            <v>46265</v>
          </cell>
          <cell r="B4002" t="str">
            <v xml:space="preserve">BRITS INDONESIA JOGJA TAMSIS            </v>
          </cell>
          <cell r="C4002" t="str">
            <v>BIW4016</v>
          </cell>
          <cell r="D4002">
            <v>166201000263566</v>
          </cell>
          <cell r="F4002" t="str">
            <v>Tidak</v>
          </cell>
          <cell r="G4002" t="str">
            <v>Tidak</v>
          </cell>
          <cell r="H4002" t="str">
            <v>Tidak</v>
          </cell>
          <cell r="I4002" t="str">
            <v>Perpajakan</v>
          </cell>
          <cell r="J4002">
            <v>33</v>
          </cell>
          <cell r="K4002">
            <v>41</v>
          </cell>
          <cell r="L4002" t="str">
            <v>Perpajakan</v>
          </cell>
          <cell r="M4002" t="str">
            <v xml:space="preserve">KK UIN MALANG                           </v>
          </cell>
          <cell r="N4002" t="str">
            <v xml:space="preserve">KC Malang Martadinata                   </v>
          </cell>
          <cell r="O4002" t="str">
            <v xml:space="preserve">KANWIL MALANG                           </v>
          </cell>
          <cell r="P4002" t="str">
            <v>Tidak</v>
          </cell>
          <cell r="Q4002" t="str">
            <v>Tidak</v>
          </cell>
          <cell r="R4002" t="str">
            <v>Done</v>
          </cell>
          <cell r="S4002" t="str">
            <v>Approved</v>
          </cell>
          <cell r="T4002" t="str">
            <v>90186790 - Muhammad Alfin Farha</v>
          </cell>
          <cell r="U4002" t="str">
            <v>"-"</v>
          </cell>
        </row>
        <row r="4003">
          <cell r="A4003">
            <v>46265</v>
          </cell>
          <cell r="B4003" t="str">
            <v xml:space="preserve">BRITS INDONESIA SEMARANG                </v>
          </cell>
          <cell r="C4003" t="str">
            <v>BIW4071</v>
          </cell>
          <cell r="D4003">
            <v>166201000264562</v>
          </cell>
          <cell r="F4003" t="str">
            <v>Tidak</v>
          </cell>
          <cell r="G4003" t="str">
            <v>Tidak</v>
          </cell>
          <cell r="H4003" t="str">
            <v>Tidak</v>
          </cell>
          <cell r="I4003" t="str">
            <v>Perpajakan</v>
          </cell>
          <cell r="J4003">
            <v>33</v>
          </cell>
          <cell r="K4003">
            <v>41</v>
          </cell>
          <cell r="L4003" t="str">
            <v>Perpajakan</v>
          </cell>
          <cell r="M4003" t="str">
            <v xml:space="preserve">KK UIN MALANG                           </v>
          </cell>
          <cell r="N4003" t="str">
            <v xml:space="preserve">KC Malang Martadinata                   </v>
          </cell>
          <cell r="O4003" t="str">
            <v xml:space="preserve">KANWIL MALANG                           </v>
          </cell>
          <cell r="P4003" t="str">
            <v>Tidak</v>
          </cell>
          <cell r="Q4003" t="str">
            <v>Tidak</v>
          </cell>
          <cell r="R4003" t="str">
            <v>Done</v>
          </cell>
          <cell r="S4003" t="str">
            <v>Approved</v>
          </cell>
          <cell r="T4003" t="str">
            <v>90170665 - Mutiara Ayuningtyas</v>
          </cell>
          <cell r="U4003" t="str">
            <v>"-"</v>
          </cell>
        </row>
        <row r="4004">
          <cell r="A4004">
            <v>46265</v>
          </cell>
          <cell r="B4004" t="str">
            <v xml:space="preserve">BASTIAN BULU RENDA                      </v>
          </cell>
          <cell r="C4004" t="str">
            <v>BJA0487</v>
          </cell>
          <cell r="D4004">
            <v>57101021150504</v>
          </cell>
          <cell r="F4004" t="str">
            <v>Tidak</v>
          </cell>
          <cell r="G4004" t="str">
            <v>Tidak</v>
          </cell>
          <cell r="H4004" t="str">
            <v>Tidak</v>
          </cell>
          <cell r="I4004" t="str">
            <v>Bandar Judol Withdrawal</v>
          </cell>
          <cell r="J4004">
            <v>35</v>
          </cell>
          <cell r="K4004" t="str">
            <v>86,88,87</v>
          </cell>
          <cell r="L4004" t="str">
            <v>Judi Online</v>
          </cell>
          <cell r="M4004" t="str">
            <v xml:space="preserve">Kas Kanpus                              </v>
          </cell>
          <cell r="N4004" t="str">
            <v xml:space="preserve">Kas Kanpus                              </v>
          </cell>
          <cell r="O4004" t="str">
            <v xml:space="preserve">KAS KANPUS                              </v>
          </cell>
          <cell r="P4004" t="str">
            <v>Ya</v>
          </cell>
          <cell r="Q4004" t="str">
            <v>Ya</v>
          </cell>
          <cell r="R4004" t="str">
            <v>Done</v>
          </cell>
          <cell r="S4004" t="str">
            <v>Approved</v>
          </cell>
          <cell r="T4004" t="str">
            <v>00336949 - Mochammad Al Farabi</v>
          </cell>
          <cell r="U4004" t="str">
            <v>"-"</v>
          </cell>
        </row>
        <row r="4005">
          <cell r="A4005">
            <v>46265</v>
          </cell>
          <cell r="B4005" t="str">
            <v xml:space="preserve">BILAL ABDUL HADI                        </v>
          </cell>
          <cell r="C4005" t="str">
            <v>BJB8349</v>
          </cell>
          <cell r="D4005">
            <v>112901038959501</v>
          </cell>
          <cell r="F4005" t="str">
            <v>Tidak</v>
          </cell>
          <cell r="G4005" t="str">
            <v>Tidak</v>
          </cell>
          <cell r="H4005" t="str">
            <v>Tidak</v>
          </cell>
          <cell r="I4005" t="str">
            <v>Bandar Judol Withdrawal</v>
          </cell>
          <cell r="J4005">
            <v>35</v>
          </cell>
          <cell r="K4005" t="str">
            <v>86,88,87</v>
          </cell>
          <cell r="L4005" t="str">
            <v>Judi Online</v>
          </cell>
          <cell r="M4005" t="str">
            <v xml:space="preserve">Kas Kanpus                              </v>
          </cell>
          <cell r="N4005" t="str">
            <v xml:space="preserve">Kas Kanpus                              </v>
          </cell>
          <cell r="O4005" t="str">
            <v xml:space="preserve">KAS KANPUS                              </v>
          </cell>
          <cell r="P4005" t="str">
            <v>Ya</v>
          </cell>
          <cell r="Q4005" t="str">
            <v>Ya</v>
          </cell>
          <cell r="R4005" t="str">
            <v>Done</v>
          </cell>
          <cell r="S4005" t="str">
            <v>Approved</v>
          </cell>
          <cell r="T4005" t="str">
            <v>90170665 - Mutiara Ayuningtyas</v>
          </cell>
          <cell r="U4005" t="str">
            <v>"-"</v>
          </cell>
        </row>
        <row r="4006">
          <cell r="A4006">
            <v>46265</v>
          </cell>
          <cell r="B4006" t="str">
            <v xml:space="preserve">BAYU PRASETIANDI                        </v>
          </cell>
          <cell r="C4006" t="str">
            <v>BIC5636</v>
          </cell>
          <cell r="D4006">
            <v>44501075460502</v>
          </cell>
          <cell r="F4006" t="str">
            <v>Tidak</v>
          </cell>
          <cell r="G4006" t="str">
            <v>Tidak</v>
          </cell>
          <cell r="H4006" t="str">
            <v>Tidak</v>
          </cell>
          <cell r="I4006" t="str">
            <v>Bandar Judol Withdrawal</v>
          </cell>
          <cell r="J4006">
            <v>35</v>
          </cell>
          <cell r="K4006" t="str">
            <v>86,88,87</v>
          </cell>
          <cell r="L4006" t="str">
            <v>Judi Online</v>
          </cell>
          <cell r="M4006" t="str">
            <v xml:space="preserve">Kas Kanpus                              </v>
          </cell>
          <cell r="N4006" t="str">
            <v xml:space="preserve">Kas Kanpus                              </v>
          </cell>
          <cell r="O4006" t="str">
            <v xml:space="preserve">KAS KANPUS                              </v>
          </cell>
          <cell r="P4006" t="str">
            <v>Ya</v>
          </cell>
          <cell r="Q4006" t="str">
            <v>Ya</v>
          </cell>
          <cell r="R4006" t="str">
            <v>Done</v>
          </cell>
          <cell r="S4006" t="str">
            <v>Approved</v>
          </cell>
          <cell r="T4006" t="str">
            <v>90170665 - Mutiara Ayuningtyas</v>
          </cell>
          <cell r="U4006" t="str">
            <v>"-"</v>
          </cell>
        </row>
        <row r="4007">
          <cell r="A4007">
            <v>46265</v>
          </cell>
          <cell r="B4007" t="str">
            <v xml:space="preserve">BHAKTI PUTRA SEJATI                     </v>
          </cell>
          <cell r="C4007" t="str">
            <v>BIC6029</v>
          </cell>
          <cell r="D4007">
            <v>115601003094561</v>
          </cell>
          <cell r="F4007" t="str">
            <v>Tidak</v>
          </cell>
          <cell r="G4007" t="str">
            <v>Tidak</v>
          </cell>
          <cell r="H4007" t="str">
            <v>Tidak</v>
          </cell>
          <cell r="I4007" t="str">
            <v>Perpajakan</v>
          </cell>
          <cell r="J4007">
            <v>33</v>
          </cell>
          <cell r="K4007">
            <v>41</v>
          </cell>
          <cell r="L4007" t="str">
            <v>Perpajakan</v>
          </cell>
          <cell r="M4007" t="str">
            <v xml:space="preserve">KC Surabaya Diponegoro                  </v>
          </cell>
          <cell r="N4007" t="str">
            <v xml:space="preserve">KC Surabaya Diponegoro                  </v>
          </cell>
          <cell r="O4007" t="str">
            <v xml:space="preserve">Surabaya                                </v>
          </cell>
          <cell r="P4007" t="str">
            <v>Tidak</v>
          </cell>
          <cell r="Q4007" t="str">
            <v>Tidak</v>
          </cell>
          <cell r="R4007" t="str">
            <v>Done</v>
          </cell>
          <cell r="S4007" t="str">
            <v>Approved</v>
          </cell>
          <cell r="T4007" t="str">
            <v>90150130 - Intan Aida Pratiwi</v>
          </cell>
          <cell r="U4007" t="str">
            <v>"-"</v>
          </cell>
        </row>
        <row r="4008">
          <cell r="A4008">
            <v>46265</v>
          </cell>
          <cell r="B4008" t="str">
            <v xml:space="preserve">BOI SANDI                               </v>
          </cell>
          <cell r="C4008" t="str">
            <v>BJD2271</v>
          </cell>
          <cell r="D4008">
            <v>532101024016509</v>
          </cell>
          <cell r="F4008" t="str">
            <v>Tidak</v>
          </cell>
          <cell r="G4008" t="str">
            <v>Tidak</v>
          </cell>
          <cell r="H4008" t="str">
            <v>Tidak</v>
          </cell>
          <cell r="I4008" t="str">
            <v>Bandar Judol Withdrawal</v>
          </cell>
          <cell r="J4008">
            <v>35</v>
          </cell>
          <cell r="K4008" t="str">
            <v>86,88,87</v>
          </cell>
          <cell r="L4008" t="str">
            <v>Judi Online</v>
          </cell>
          <cell r="M4008" t="str">
            <v xml:space="preserve">Kas Kanpus                              </v>
          </cell>
          <cell r="N4008" t="str">
            <v xml:space="preserve">Kas Kanpus                              </v>
          </cell>
          <cell r="O4008" t="str">
            <v xml:space="preserve">KAS KANPUS                              </v>
          </cell>
          <cell r="P4008" t="str">
            <v>Ya</v>
          </cell>
          <cell r="Q4008" t="str">
            <v>Ya</v>
          </cell>
          <cell r="R4008" t="str">
            <v>Done</v>
          </cell>
          <cell r="S4008" t="str">
            <v>Approved</v>
          </cell>
          <cell r="T4008" t="str">
            <v>90185537 - Moh.Khoerul Fajar Ar</v>
          </cell>
          <cell r="U4008" t="str">
            <v>"-"</v>
          </cell>
        </row>
        <row r="4009">
          <cell r="A4009">
            <v>46265</v>
          </cell>
          <cell r="B4009" t="str">
            <v xml:space="preserve">BUKIT MATAHARI ABADI                    </v>
          </cell>
          <cell r="C4009" t="str">
            <v>BJO7490</v>
          </cell>
          <cell r="D4009">
            <v>1701005864561</v>
          </cell>
          <cell r="F4009" t="str">
            <v>Tidak</v>
          </cell>
          <cell r="G4009" t="str">
            <v>Tidak</v>
          </cell>
          <cell r="H4009" t="str">
            <v>Tidak</v>
          </cell>
          <cell r="I4009" t="str">
            <v>Perpajakan</v>
          </cell>
          <cell r="J4009">
            <v>33</v>
          </cell>
          <cell r="K4009">
            <v>41</v>
          </cell>
          <cell r="L4009" t="str">
            <v>Perpajakan</v>
          </cell>
          <cell r="M4009" t="str">
            <v xml:space="preserve">KC Denpasar Gajah Mada                  </v>
          </cell>
          <cell r="N4009" t="str">
            <v xml:space="preserve">KC Denpasar Gajah Mada                  </v>
          </cell>
          <cell r="O4009" t="str">
            <v xml:space="preserve">Denpasar                                </v>
          </cell>
          <cell r="P4009" t="str">
            <v>Tidak</v>
          </cell>
          <cell r="Q4009" t="str">
            <v>Ya</v>
          </cell>
          <cell r="R4009" t="str">
            <v>Done</v>
          </cell>
          <cell r="S4009" t="str">
            <v>Approved</v>
          </cell>
          <cell r="T4009" t="str">
            <v>00336949 - Mochammad Al Farabi</v>
          </cell>
          <cell r="U4009" t="str">
            <v>"-"</v>
          </cell>
        </row>
        <row r="4010">
          <cell r="A4010">
            <v>46265</v>
          </cell>
          <cell r="B4010" t="str">
            <v xml:space="preserve">BANTU BISNIS UNTUNG                     </v>
          </cell>
          <cell r="C4010" t="str">
            <v>BJP5391</v>
          </cell>
          <cell r="D4010">
            <v>2901004289565</v>
          </cell>
          <cell r="F4010" t="str">
            <v>Tidak</v>
          </cell>
          <cell r="G4010" t="str">
            <v>Tidak</v>
          </cell>
          <cell r="H4010" t="str">
            <v>Tidak</v>
          </cell>
          <cell r="I4010" t="str">
            <v>Perpajakan</v>
          </cell>
          <cell r="J4010">
            <v>35</v>
          </cell>
          <cell r="K4010">
            <v>41</v>
          </cell>
          <cell r="L4010" t="str">
            <v>Perpajakan</v>
          </cell>
          <cell r="M4010" t="str">
            <v xml:space="preserve">KC Yogyakarta Cik Ditiro                </v>
          </cell>
          <cell r="N4010" t="str">
            <v xml:space="preserve">KC Yogyakarta Cik Ditiro                </v>
          </cell>
          <cell r="O4010" t="str">
            <v xml:space="preserve">Yogyakarta                              </v>
          </cell>
          <cell r="P4010" t="str">
            <v>Tidak</v>
          </cell>
          <cell r="Q4010" t="str">
            <v>Ya</v>
          </cell>
          <cell r="R4010" t="str">
            <v>Done</v>
          </cell>
          <cell r="S4010" t="str">
            <v>Approved</v>
          </cell>
          <cell r="T4010" t="str">
            <v>90186796 - Devito Arya Wiradila</v>
          </cell>
          <cell r="U4010" t="str">
            <v>"-"</v>
          </cell>
        </row>
        <row r="4011">
          <cell r="A4011">
            <v>46265</v>
          </cell>
          <cell r="B4011" t="str">
            <v xml:space="preserve">CANDRA MAULANA                          </v>
          </cell>
          <cell r="C4011" t="str">
            <v>CU72288</v>
          </cell>
          <cell r="D4011">
            <v>44501074915504</v>
          </cell>
          <cell r="F4011" t="str">
            <v>Tidak</v>
          </cell>
          <cell r="G4011" t="str">
            <v>Tidak</v>
          </cell>
          <cell r="H4011" t="str">
            <v>Tidak</v>
          </cell>
          <cell r="I4011" t="str">
            <v>Bandar Judol Withdrawal</v>
          </cell>
          <cell r="J4011">
            <v>35</v>
          </cell>
          <cell r="K4011" t="str">
            <v>86,88,87</v>
          </cell>
          <cell r="L4011" t="str">
            <v>Judi Online</v>
          </cell>
          <cell r="M4011" t="str">
            <v xml:space="preserve">Kas Kanpus                              </v>
          </cell>
          <cell r="N4011" t="str">
            <v xml:space="preserve">Kas Kanpus                              </v>
          </cell>
          <cell r="O4011" t="str">
            <v xml:space="preserve">KAS KANPUS                              </v>
          </cell>
          <cell r="P4011" t="str">
            <v>Ya</v>
          </cell>
          <cell r="Q4011" t="str">
            <v>Ya</v>
          </cell>
          <cell r="R4011" t="str">
            <v>Done</v>
          </cell>
          <cell r="S4011" t="str">
            <v>Approved</v>
          </cell>
          <cell r="T4011" t="str">
            <v>90171841 - Rifqi Aziz</v>
          </cell>
          <cell r="U4011" t="str">
            <v>"-"</v>
          </cell>
        </row>
        <row r="4012">
          <cell r="A4012">
            <v>46265</v>
          </cell>
          <cell r="B4012" t="str">
            <v xml:space="preserve">CHERISH HILTON                          </v>
          </cell>
          <cell r="C4012" t="str">
            <v>CT94040</v>
          </cell>
          <cell r="D4012">
            <v>213501013052506</v>
          </cell>
          <cell r="F4012" t="str">
            <v>Tidak</v>
          </cell>
          <cell r="G4012" t="str">
            <v>Tidak</v>
          </cell>
          <cell r="H4012" t="str">
            <v>Tidak</v>
          </cell>
          <cell r="I4012" t="str">
            <v>Bandar Judol Withdrawal</v>
          </cell>
          <cell r="J4012">
            <v>35</v>
          </cell>
          <cell r="K4012" t="str">
            <v>86,88,87</v>
          </cell>
          <cell r="L4012" t="str">
            <v>Judi Online</v>
          </cell>
          <cell r="M4012" t="str">
            <v xml:space="preserve">Kas Kanpus                              </v>
          </cell>
          <cell r="N4012" t="str">
            <v xml:space="preserve">Kas Kanpus                              </v>
          </cell>
          <cell r="O4012" t="str">
            <v xml:space="preserve">KAS KANPUS                              </v>
          </cell>
          <cell r="P4012" t="str">
            <v>Ya</v>
          </cell>
          <cell r="Q4012" t="str">
            <v>Ya</v>
          </cell>
          <cell r="R4012" t="str">
            <v>Done</v>
          </cell>
          <cell r="S4012" t="str">
            <v>Approved</v>
          </cell>
          <cell r="T4012" t="str">
            <v>90170665 - Mutiara Ayuningtyas</v>
          </cell>
          <cell r="U4012" t="str">
            <v>"-"</v>
          </cell>
        </row>
        <row r="4013">
          <cell r="A4013">
            <v>46265</v>
          </cell>
          <cell r="B4013" t="str">
            <v xml:space="preserve">CV LIEK RENT CAR                        </v>
          </cell>
          <cell r="C4013" t="str">
            <v>CU43584</v>
          </cell>
          <cell r="D4013">
            <v>5501088999305</v>
          </cell>
          <cell r="F4013" t="str">
            <v>Tidak</v>
          </cell>
          <cell r="G4013" t="str">
            <v>Tidak</v>
          </cell>
          <cell r="H4013" t="str">
            <v>Tidak</v>
          </cell>
          <cell r="I4013" t="str">
            <v>Perpajakan</v>
          </cell>
          <cell r="J4013">
            <v>33</v>
          </cell>
          <cell r="K4013">
            <v>41</v>
          </cell>
          <cell r="L4013" t="str">
            <v>Perpajakan</v>
          </cell>
          <cell r="M4013" t="str">
            <v xml:space="preserve">KC Mojokerto                            </v>
          </cell>
          <cell r="N4013" t="str">
            <v xml:space="preserve">KC Mojokerto                            </v>
          </cell>
          <cell r="O4013" t="str">
            <v xml:space="preserve">Surabaya                                </v>
          </cell>
          <cell r="P4013" t="str">
            <v>Tidak</v>
          </cell>
          <cell r="Q4013" t="str">
            <v>Tidak</v>
          </cell>
          <cell r="R4013" t="str">
            <v>Done</v>
          </cell>
          <cell r="S4013" t="str">
            <v>Approved</v>
          </cell>
          <cell r="T4013" t="str">
            <v>00336949 - Mochammad Al Farabi</v>
          </cell>
          <cell r="U4013" t="str">
            <v>"-"</v>
          </cell>
        </row>
        <row r="4014">
          <cell r="A4014">
            <v>46265</v>
          </cell>
          <cell r="B4014" t="str">
            <v xml:space="preserve">CHAIRUN NISAQ ZAIN                      </v>
          </cell>
          <cell r="C4014" t="str">
            <v>CS26987</v>
          </cell>
          <cell r="D4014">
            <v>531601018921501</v>
          </cell>
          <cell r="E4014" t="str">
            <v>SEDANG</v>
          </cell>
          <cell r="F4014" t="str">
            <v>Tidak</v>
          </cell>
          <cell r="G4014" t="str">
            <v>Tidak</v>
          </cell>
          <cell r="H4014" t="str">
            <v>Tidak</v>
          </cell>
          <cell r="I4014" t="str">
            <v>Bandar Judol Withdrawal</v>
          </cell>
          <cell r="J4014">
            <v>50</v>
          </cell>
          <cell r="K4014" t="str">
            <v>86,88,87</v>
          </cell>
          <cell r="L4014" t="str">
            <v>Judi Online</v>
          </cell>
          <cell r="M4014" t="str">
            <v xml:space="preserve">Kas Kanpus                              </v>
          </cell>
          <cell r="N4014" t="str">
            <v xml:space="preserve">Kas Kanpus                              </v>
          </cell>
          <cell r="O4014" t="str">
            <v xml:space="preserve">KAS KANPUS                              </v>
          </cell>
          <cell r="P4014" t="str">
            <v>Ya</v>
          </cell>
          <cell r="Q4014" t="str">
            <v>Ya</v>
          </cell>
          <cell r="R4014" t="str">
            <v>Done</v>
          </cell>
          <cell r="S4014" t="str">
            <v>Approved</v>
          </cell>
          <cell r="T4014" t="str">
            <v>00394520 - Frida Akbar Rani</v>
          </cell>
          <cell r="U4014" t="str">
            <v>"-"</v>
          </cell>
        </row>
        <row r="4015">
          <cell r="A4015">
            <v>46265</v>
          </cell>
          <cell r="B4015" t="str">
            <v xml:space="preserve">CAHYO WIBOWO                            </v>
          </cell>
          <cell r="C4015" t="str">
            <v>CR75920</v>
          </cell>
          <cell r="D4015">
            <v>32701001824566</v>
          </cell>
          <cell r="E4015" t="str">
            <v>SEDANG</v>
          </cell>
          <cell r="F4015" t="str">
            <v>Tidak</v>
          </cell>
          <cell r="G4015" t="str">
            <v>Tidak</v>
          </cell>
          <cell r="H4015" t="str">
            <v>Tidak</v>
          </cell>
          <cell r="I4015" t="str">
            <v>Bandar Judol Withdrawal</v>
          </cell>
          <cell r="J4015">
            <v>50</v>
          </cell>
          <cell r="K4015" t="str">
            <v>86,88,87</v>
          </cell>
          <cell r="L4015" t="str">
            <v>Judi Online</v>
          </cell>
          <cell r="M4015" t="str">
            <v xml:space="preserve">Kas Kanpus                              </v>
          </cell>
          <cell r="N4015" t="str">
            <v xml:space="preserve">Kas Kanpus                              </v>
          </cell>
          <cell r="O4015" t="str">
            <v xml:space="preserve">KAS KANPUS                              </v>
          </cell>
          <cell r="P4015" t="str">
            <v>Ya</v>
          </cell>
          <cell r="Q4015" t="str">
            <v>Ya</v>
          </cell>
          <cell r="R4015" t="str">
            <v>Done</v>
          </cell>
          <cell r="S4015" t="str">
            <v>Approved</v>
          </cell>
          <cell r="T4015" t="str">
            <v>00394521 - Muhammad Hibbanduta</v>
          </cell>
          <cell r="U4015" t="str">
            <v>"-"</v>
          </cell>
        </row>
        <row r="4016">
          <cell r="A4016">
            <v>46265</v>
          </cell>
          <cell r="B4016" t="str">
            <v xml:space="preserve">CATUR DWI PANGGA                        </v>
          </cell>
          <cell r="C4016" t="str">
            <v>CR89692</v>
          </cell>
          <cell r="D4016">
            <v>112501015460501</v>
          </cell>
          <cell r="E4016" t="str">
            <v>SEDANG</v>
          </cell>
          <cell r="F4016" t="str">
            <v>Tidak</v>
          </cell>
          <cell r="G4016" t="str">
            <v>Tidak</v>
          </cell>
          <cell r="H4016" t="str">
            <v>Tidak</v>
          </cell>
          <cell r="I4016" t="str">
            <v>Bandar Judol Withdrawal</v>
          </cell>
          <cell r="J4016">
            <v>50</v>
          </cell>
          <cell r="K4016" t="str">
            <v>86,88,87</v>
          </cell>
          <cell r="L4016" t="str">
            <v>Judi Online</v>
          </cell>
          <cell r="M4016" t="str">
            <v xml:space="preserve">Kas Kanpus                              </v>
          </cell>
          <cell r="N4016" t="str">
            <v xml:space="preserve">Kas Kanpus                              </v>
          </cell>
          <cell r="O4016" t="str">
            <v xml:space="preserve">KAS KANPUS                              </v>
          </cell>
          <cell r="P4016" t="str">
            <v>Ya</v>
          </cell>
          <cell r="Q4016" t="str">
            <v>Ya</v>
          </cell>
          <cell r="R4016" t="str">
            <v>Done</v>
          </cell>
          <cell r="S4016" t="str">
            <v>Approved</v>
          </cell>
          <cell r="T4016" t="str">
            <v>90186790 - Muhammad Alfin Farha</v>
          </cell>
          <cell r="U4016" t="str">
            <v>"-"</v>
          </cell>
        </row>
        <row r="4017">
          <cell r="A4017">
            <v>46265</v>
          </cell>
          <cell r="B4017" t="str">
            <v xml:space="preserve">CAHYADI                                 </v>
          </cell>
          <cell r="C4017" t="str">
            <v>CT59835</v>
          </cell>
          <cell r="D4017">
            <v>12001002260567</v>
          </cell>
          <cell r="F4017" t="str">
            <v>Tidak</v>
          </cell>
          <cell r="G4017" t="str">
            <v>Tidak</v>
          </cell>
          <cell r="H4017" t="str">
            <v>Tidak</v>
          </cell>
          <cell r="I4017" t="str">
            <v>Bandar Judol Withdrawal</v>
          </cell>
          <cell r="J4017">
            <v>35</v>
          </cell>
          <cell r="K4017" t="str">
            <v>86,88,87</v>
          </cell>
          <cell r="L4017" t="str">
            <v>Judi Online</v>
          </cell>
          <cell r="M4017" t="str">
            <v xml:space="preserve">Kas Kanpus                              </v>
          </cell>
          <cell r="N4017" t="str">
            <v xml:space="preserve">Kas Kanpus                              </v>
          </cell>
          <cell r="O4017" t="str">
            <v xml:space="preserve">KAS KANPUS                              </v>
          </cell>
          <cell r="P4017" t="str">
            <v>Ya</v>
          </cell>
          <cell r="Q4017" t="str">
            <v>Ya</v>
          </cell>
          <cell r="R4017" t="str">
            <v>Done</v>
          </cell>
          <cell r="S4017" t="str">
            <v>Approved</v>
          </cell>
          <cell r="T4017" t="str">
            <v>90171841 - Rifqi Aziz</v>
          </cell>
          <cell r="U4017" t="str">
            <v>"-"</v>
          </cell>
        </row>
        <row r="4018">
          <cell r="A4018">
            <v>46265</v>
          </cell>
          <cell r="B4018" t="str">
            <v xml:space="preserve">CALISTA NUR AZIZAH                      </v>
          </cell>
          <cell r="C4018" t="str">
            <v>CP98442</v>
          </cell>
          <cell r="D4018">
            <v>3501003573308</v>
          </cell>
          <cell r="E4018" t="str">
            <v>SEDANG</v>
          </cell>
          <cell r="F4018" t="str">
            <v>Tidak</v>
          </cell>
          <cell r="G4018" t="str">
            <v>Tidak</v>
          </cell>
          <cell r="H4018" t="str">
            <v>Tidak</v>
          </cell>
          <cell r="I4018" t="str">
            <v>Perpajakan</v>
          </cell>
          <cell r="J4018">
            <v>50</v>
          </cell>
          <cell r="K4018">
            <v>1.33</v>
          </cell>
          <cell r="L4018" t="str">
            <v>Perpajakan</v>
          </cell>
          <cell r="M4018" t="str">
            <v xml:space="preserve">KC Klaten                               </v>
          </cell>
          <cell r="N4018" t="str">
            <v xml:space="preserve">KC Klaten                               </v>
          </cell>
          <cell r="O4018" t="str">
            <v xml:space="preserve">Yogyakarta                              </v>
          </cell>
          <cell r="P4018" t="str">
            <v>Tidak</v>
          </cell>
          <cell r="Q4018" t="str">
            <v>Tidak</v>
          </cell>
          <cell r="R4018" t="str">
            <v>Done</v>
          </cell>
          <cell r="S4018" t="str">
            <v>Approved</v>
          </cell>
          <cell r="T4018" t="str">
            <v>90185538 - Muhammad Fahikal Auz</v>
          </cell>
          <cell r="U4018" t="str">
            <v>"-"</v>
          </cell>
        </row>
        <row r="4019">
          <cell r="A4019">
            <v>46265</v>
          </cell>
          <cell r="B4019" t="str">
            <v xml:space="preserve">CV PORSEA GRUP                          </v>
          </cell>
          <cell r="C4019" t="str">
            <v>CP61911</v>
          </cell>
          <cell r="D4019">
            <v>62001000802305</v>
          </cell>
          <cell r="E4019" t="str">
            <v>SEDANG</v>
          </cell>
          <cell r="F4019" t="str">
            <v>Tidak</v>
          </cell>
          <cell r="G4019" t="str">
            <v>Tidak</v>
          </cell>
          <cell r="H4019" t="str">
            <v>Tidak</v>
          </cell>
          <cell r="I4019" t="str">
            <v>Green Financial Crime (GFC)</v>
          </cell>
          <cell r="J4019">
            <v>50</v>
          </cell>
          <cell r="K4019">
            <v>45</v>
          </cell>
          <cell r="L4019" t="str">
            <v>Green Financial Crime</v>
          </cell>
          <cell r="M4019" t="str">
            <v xml:space="preserve">KC Ujung Batu                           </v>
          </cell>
          <cell r="N4019" t="str">
            <v xml:space="preserve">KC Ujung Batu                           </v>
          </cell>
          <cell r="O4019" t="str">
            <v xml:space="preserve">KANWIL PEKANBARU                        </v>
          </cell>
          <cell r="P4019" t="str">
            <v>Tidak</v>
          </cell>
          <cell r="Q4019" t="str">
            <v>Tidak</v>
          </cell>
          <cell r="R4019" t="str">
            <v>Done</v>
          </cell>
          <cell r="S4019" t="str">
            <v>Approved</v>
          </cell>
          <cell r="T4019" t="str">
            <v>00394520 - Frida Akbar Rani</v>
          </cell>
          <cell r="U4019" t="str">
            <v>PEP :-</v>
          </cell>
        </row>
        <row r="4020">
          <cell r="A4020">
            <v>46265</v>
          </cell>
          <cell r="B4020" t="str">
            <v xml:space="preserve">CV AKSA KARYA UTAMA                     </v>
          </cell>
          <cell r="C4020" t="str">
            <v>CP63393</v>
          </cell>
          <cell r="D4020">
            <v>11501004923304</v>
          </cell>
          <cell r="E4020" t="str">
            <v>SEDANG</v>
          </cell>
          <cell r="F4020" t="str">
            <v>Tidak</v>
          </cell>
          <cell r="G4020" t="str">
            <v>Tidak</v>
          </cell>
          <cell r="H4020" t="str">
            <v>Tidak</v>
          </cell>
          <cell r="I4020" t="str">
            <v>Perpajakan</v>
          </cell>
          <cell r="J4020">
            <v>48</v>
          </cell>
          <cell r="K4020">
            <v>41</v>
          </cell>
          <cell r="L4020" t="str">
            <v>Perpajakan</v>
          </cell>
          <cell r="M4020" t="str">
            <v xml:space="preserve">KC Bengkulu                             </v>
          </cell>
          <cell r="N4020" t="str">
            <v xml:space="preserve">KC Bengkulu                             </v>
          </cell>
          <cell r="O4020" t="str">
            <v xml:space="preserve">KANWIL BANDAR LAMPUNG                   </v>
          </cell>
          <cell r="P4020" t="str">
            <v>Tidak</v>
          </cell>
          <cell r="Q4020" t="str">
            <v>Tidak</v>
          </cell>
          <cell r="R4020" t="str">
            <v>Done</v>
          </cell>
          <cell r="S4020" t="str">
            <v>Approved</v>
          </cell>
          <cell r="T4020" t="str">
            <v>00394521 - Muhammad Hibbanduta</v>
          </cell>
          <cell r="U4020" t="str">
            <v>"-"</v>
          </cell>
        </row>
        <row r="4021">
          <cell r="A4021">
            <v>46265</v>
          </cell>
          <cell r="B4021" t="str">
            <v xml:space="preserve">CICI ASTRIATI                           </v>
          </cell>
          <cell r="C4021" t="str">
            <v>CR63593</v>
          </cell>
          <cell r="D4021">
            <v>34501052842507</v>
          </cell>
          <cell r="E4021" t="str">
            <v>SEDANG</v>
          </cell>
          <cell r="F4021" t="str">
            <v>Tidak</v>
          </cell>
          <cell r="G4021" t="str">
            <v>Tidak</v>
          </cell>
          <cell r="H4021" t="str">
            <v>Tidak</v>
          </cell>
          <cell r="I4021" t="str">
            <v>Bandar Judol Withdrawal</v>
          </cell>
          <cell r="J4021">
            <v>50</v>
          </cell>
          <cell r="K4021" t="str">
            <v>86,88,87</v>
          </cell>
          <cell r="L4021" t="str">
            <v>Judi Online</v>
          </cell>
          <cell r="M4021" t="str">
            <v xml:space="preserve">Kas Kanpus                              </v>
          </cell>
          <cell r="N4021" t="str">
            <v xml:space="preserve">Kas Kanpus                              </v>
          </cell>
          <cell r="O4021" t="str">
            <v xml:space="preserve">KAS KANPUS                              </v>
          </cell>
          <cell r="P4021" t="str">
            <v>Ya</v>
          </cell>
          <cell r="Q4021" t="str">
            <v>Tidak</v>
          </cell>
          <cell r="R4021" t="str">
            <v>Done</v>
          </cell>
          <cell r="S4021" t="str">
            <v>Approved</v>
          </cell>
          <cell r="T4021" t="str">
            <v>90185537 - Moh.Khoerul Fajar Ar</v>
          </cell>
          <cell r="U4021" t="str">
            <v>"-"</v>
          </cell>
        </row>
        <row r="4022">
          <cell r="A4022">
            <v>46265</v>
          </cell>
          <cell r="B4022" t="str">
            <v xml:space="preserve">CATUR INDRIYANIK                        </v>
          </cell>
          <cell r="C4022" t="str">
            <v>CQ44822</v>
          </cell>
          <cell r="D4022">
            <v>713001006272500</v>
          </cell>
          <cell r="E4022" t="str">
            <v>SEDANG</v>
          </cell>
          <cell r="F4022" t="str">
            <v>Tidak</v>
          </cell>
          <cell r="G4022" t="str">
            <v>Tidak</v>
          </cell>
          <cell r="H4022" t="str">
            <v>Ya</v>
          </cell>
          <cell r="I4022" t="str">
            <v>Bandar Judol Withdrawal</v>
          </cell>
          <cell r="J4022">
            <v>50</v>
          </cell>
          <cell r="K4022" t="str">
            <v>86,88,87</v>
          </cell>
          <cell r="L4022" t="str">
            <v>Judi Online</v>
          </cell>
          <cell r="M4022" t="str">
            <v xml:space="preserve">Kas Kanpus                              </v>
          </cell>
          <cell r="N4022" t="str">
            <v xml:space="preserve">Kas Kanpus                              </v>
          </cell>
          <cell r="O4022" t="str">
            <v xml:space="preserve">KAS KANPUS                              </v>
          </cell>
          <cell r="P4022" t="str">
            <v>Ya</v>
          </cell>
          <cell r="Q4022" t="str">
            <v>Ya</v>
          </cell>
          <cell r="R4022" t="str">
            <v>Done</v>
          </cell>
          <cell r="S4022" t="str">
            <v>Approved</v>
          </cell>
          <cell r="T4022" t="str">
            <v>00336949 - Mochammad Al Farabi</v>
          </cell>
          <cell r="U4022" t="str">
            <v>"-"</v>
          </cell>
        </row>
        <row r="4023">
          <cell r="A4023">
            <v>46265</v>
          </cell>
          <cell r="B4023" t="str">
            <v xml:space="preserve">CAHAYA PUTIH ENERGI ALAM                </v>
          </cell>
          <cell r="C4023" t="str">
            <v>CQ62122</v>
          </cell>
          <cell r="D4023">
            <v>42501001651303</v>
          </cell>
          <cell r="E4023" t="str">
            <v>TINGGI</v>
          </cell>
          <cell r="F4023" t="str">
            <v>Tidak</v>
          </cell>
          <cell r="G4023" t="str">
            <v>Tidak</v>
          </cell>
          <cell r="H4023" t="str">
            <v>Tidak</v>
          </cell>
          <cell r="I4023" t="str">
            <v>Perpajakan</v>
          </cell>
          <cell r="J4023">
            <v>65</v>
          </cell>
          <cell r="K4023">
            <v>41</v>
          </cell>
          <cell r="L4023" t="str">
            <v>Perpajakan</v>
          </cell>
          <cell r="M4023" t="str">
            <v xml:space="preserve">KC Ampera                               </v>
          </cell>
          <cell r="N4023" t="str">
            <v xml:space="preserve">KC Ampera                               </v>
          </cell>
          <cell r="O4023" t="str">
            <v xml:space="preserve">DKI2                                    </v>
          </cell>
          <cell r="P4023" t="str">
            <v>Tidak</v>
          </cell>
          <cell r="Q4023" t="str">
            <v>Tidak</v>
          </cell>
          <cell r="R4023" t="str">
            <v>Done</v>
          </cell>
          <cell r="S4023" t="str">
            <v>Approved</v>
          </cell>
          <cell r="T4023" t="str">
            <v>90185537 - Moh.Khoerul Fajar Ar</v>
          </cell>
          <cell r="U4023" t="str">
            <v>"-"</v>
          </cell>
        </row>
        <row r="4024">
          <cell r="A4024">
            <v>46265</v>
          </cell>
          <cell r="B4024" t="str">
            <v xml:space="preserve">CINDY ADINDA                            </v>
          </cell>
          <cell r="C4024" t="str">
            <v>CL78646</v>
          </cell>
          <cell r="D4024">
            <v>532901019406533</v>
          </cell>
          <cell r="E4024" t="str">
            <v>SEDANG</v>
          </cell>
          <cell r="F4024" t="str">
            <v>Tidak</v>
          </cell>
          <cell r="G4024" t="str">
            <v>Tidak</v>
          </cell>
          <cell r="H4024" t="str">
            <v>Tidak</v>
          </cell>
          <cell r="I4024" t="str">
            <v>Bandar Judol Depo</v>
          </cell>
          <cell r="J4024">
            <v>50</v>
          </cell>
          <cell r="K4024" t="str">
            <v>86,74,87</v>
          </cell>
          <cell r="L4024" t="str">
            <v>Judi Online</v>
          </cell>
          <cell r="M4024" t="str">
            <v xml:space="preserve">Kas Kanpus                              </v>
          </cell>
          <cell r="N4024" t="str">
            <v xml:space="preserve">Kas Kanpus                              </v>
          </cell>
          <cell r="O4024" t="str">
            <v xml:space="preserve">KAS KANPUS                              </v>
          </cell>
          <cell r="P4024" t="str">
            <v>Ya</v>
          </cell>
          <cell r="Q4024" t="str">
            <v>Ya</v>
          </cell>
          <cell r="R4024" t="str">
            <v>Done</v>
          </cell>
          <cell r="S4024" t="str">
            <v>Approved</v>
          </cell>
          <cell r="T4024" t="str">
            <v>90185537 - Moh.Khoerul Fajar Ar</v>
          </cell>
          <cell r="U4024" t="str">
            <v>"-"</v>
          </cell>
        </row>
        <row r="4025">
          <cell r="A4025">
            <v>46265</v>
          </cell>
          <cell r="B4025" t="str">
            <v xml:space="preserve">CV PUTRA AIRLANGGA SEJAHTERA            </v>
          </cell>
          <cell r="C4025" t="str">
            <v>CL38835</v>
          </cell>
          <cell r="D4025">
            <v>51801000497567</v>
          </cell>
          <cell r="E4025" t="str">
            <v>TINGGI</v>
          </cell>
          <cell r="F4025" t="str">
            <v>Tidak</v>
          </cell>
          <cell r="G4025" t="str">
            <v>Tidak</v>
          </cell>
          <cell r="H4025" t="str">
            <v>Tidak</v>
          </cell>
          <cell r="I4025" t="str">
            <v>Perpajakan</v>
          </cell>
          <cell r="J4025">
            <v>64</v>
          </cell>
          <cell r="K4025">
            <v>1.33</v>
          </cell>
          <cell r="L4025" t="str">
            <v>Perpajakan</v>
          </cell>
          <cell r="M4025" t="str">
            <v xml:space="preserve">KCP Pandaan                             </v>
          </cell>
          <cell r="N4025" t="str">
            <v xml:space="preserve">KC Pasuruan                             </v>
          </cell>
          <cell r="O4025" t="str">
            <v xml:space="preserve">KANWIL MALANG                           </v>
          </cell>
          <cell r="P4025" t="str">
            <v>Tidak</v>
          </cell>
          <cell r="Q4025" t="str">
            <v>Tidak</v>
          </cell>
          <cell r="R4025" t="str">
            <v>Done</v>
          </cell>
          <cell r="S4025" t="str">
            <v>Approved</v>
          </cell>
          <cell r="T4025" t="str">
            <v>90186796 - Devito Arya Wiradila</v>
          </cell>
          <cell r="U4025" t="str">
            <v>"-"</v>
          </cell>
        </row>
        <row r="4026">
          <cell r="A4026">
            <v>46265</v>
          </cell>
          <cell r="B4026" t="str">
            <v xml:space="preserve">CHAIRUL HANISAH                         </v>
          </cell>
          <cell r="C4026" t="str">
            <v>CO49620</v>
          </cell>
          <cell r="D4026">
            <v>525901045392533</v>
          </cell>
          <cell r="E4026" t="str">
            <v>SEDANG</v>
          </cell>
          <cell r="F4026" t="str">
            <v>Tidak</v>
          </cell>
          <cell r="G4026" t="str">
            <v>Tidak</v>
          </cell>
          <cell r="H4026" t="str">
            <v>Tidak</v>
          </cell>
          <cell r="I4026" t="str">
            <v>Bandar Judol Withdrawal</v>
          </cell>
          <cell r="J4026">
            <v>50</v>
          </cell>
          <cell r="K4026" t="str">
            <v>86,88,87</v>
          </cell>
          <cell r="L4026" t="str">
            <v>Judi Online</v>
          </cell>
          <cell r="M4026" t="str">
            <v xml:space="preserve">Kas Kanpus                              </v>
          </cell>
          <cell r="N4026" t="str">
            <v xml:space="preserve">Kas Kanpus                              </v>
          </cell>
          <cell r="O4026" t="str">
            <v xml:space="preserve">KAS KANPUS                              </v>
          </cell>
          <cell r="P4026" t="str">
            <v>Ya</v>
          </cell>
          <cell r="Q4026" t="str">
            <v>Ya</v>
          </cell>
          <cell r="R4026" t="str">
            <v>Done</v>
          </cell>
          <cell r="S4026" t="str">
            <v>Approved</v>
          </cell>
          <cell r="T4026" t="str">
            <v>00394521 - Muhammad Hibbanduta</v>
          </cell>
          <cell r="U4026" t="str">
            <v>"-"</v>
          </cell>
        </row>
        <row r="4027">
          <cell r="A4027">
            <v>46265</v>
          </cell>
          <cell r="B4027" t="str">
            <v xml:space="preserve">CV BINTAHER MAKMUR BERKAH               </v>
          </cell>
          <cell r="C4027" t="str">
            <v>CO62259</v>
          </cell>
          <cell r="D4027">
            <v>22601001819307</v>
          </cell>
          <cell r="E4027" t="str">
            <v>SEDANG</v>
          </cell>
          <cell r="F4027" t="str">
            <v>Tidak</v>
          </cell>
          <cell r="G4027" t="str">
            <v>Tidak</v>
          </cell>
          <cell r="H4027" t="str">
            <v>Tidak</v>
          </cell>
          <cell r="I4027" t="str">
            <v>Perpajakan</v>
          </cell>
          <cell r="J4027">
            <v>48</v>
          </cell>
          <cell r="K4027">
            <v>41</v>
          </cell>
          <cell r="L4027" t="str">
            <v>Perpajakan</v>
          </cell>
          <cell r="M4027" t="str">
            <v xml:space="preserve">KC Tahuna                               </v>
          </cell>
          <cell r="N4027" t="str">
            <v xml:space="preserve">KC Tahuna                               </v>
          </cell>
          <cell r="O4027" t="str">
            <v xml:space="preserve">Manado                                  </v>
          </cell>
          <cell r="P4027" t="str">
            <v>Tidak</v>
          </cell>
          <cell r="Q4027" t="str">
            <v>Tidak</v>
          </cell>
          <cell r="R4027" t="str">
            <v>Done</v>
          </cell>
          <cell r="S4027" t="str">
            <v>Approved</v>
          </cell>
          <cell r="T4027" t="str">
            <v>90186790 - Muhammad Alfin Farha</v>
          </cell>
          <cell r="U4027" t="str">
            <v>"-"</v>
          </cell>
        </row>
        <row r="4028">
          <cell r="A4028">
            <v>46265</v>
          </cell>
          <cell r="B4028" t="str">
            <v xml:space="preserve">COLOMBUS MOTE                           </v>
          </cell>
          <cell r="C4028" t="str">
            <v>C742310</v>
          </cell>
          <cell r="D4028">
            <v>717001012774534</v>
          </cell>
          <cell r="E4028" t="str">
            <v>TINGGI</v>
          </cell>
          <cell r="F4028" t="str">
            <v>Tidak</v>
          </cell>
          <cell r="G4028" t="str">
            <v>Tidak</v>
          </cell>
          <cell r="H4028" t="str">
            <v>Tidak</v>
          </cell>
          <cell r="I4028" t="str">
            <v>Terorisme - SIPENDAR</v>
          </cell>
          <cell r="J4028">
            <v>195</v>
          </cell>
          <cell r="K4028">
            <v>36</v>
          </cell>
          <cell r="L4028" t="str">
            <v>Terorisme</v>
          </cell>
          <cell r="M4028" t="str">
            <v xml:space="preserve">Kas Kanpus                              </v>
          </cell>
          <cell r="N4028" t="str">
            <v xml:space="preserve">Kas Kanpus                              </v>
          </cell>
          <cell r="O4028" t="str">
            <v xml:space="preserve">KAS KANPUS                              </v>
          </cell>
          <cell r="P4028" t="str">
            <v>Tidak</v>
          </cell>
          <cell r="Q4028" t="str">
            <v>Ya</v>
          </cell>
          <cell r="R4028" t="str">
            <v>Done</v>
          </cell>
          <cell r="S4028" t="str">
            <v>Approved</v>
          </cell>
          <cell r="T4028" t="str">
            <v>90150130 - Intan Aida Pratiwi</v>
          </cell>
          <cell r="U4028" t="str">
            <v>"-"</v>
          </cell>
        </row>
        <row r="4029">
          <cell r="A4029">
            <v>46265</v>
          </cell>
          <cell r="B4029" t="str">
            <v xml:space="preserve">CV AGRONUSA MANDIRI                     </v>
          </cell>
          <cell r="C4029" t="str">
            <v>CD76545</v>
          </cell>
          <cell r="D4029">
            <v>61201000852305</v>
          </cell>
          <cell r="E4029" t="str">
            <v>SEDANG</v>
          </cell>
          <cell r="F4029" t="str">
            <v>Tidak</v>
          </cell>
          <cell r="G4029" t="str">
            <v>Tidak</v>
          </cell>
          <cell r="H4029" t="str">
            <v>Tidak</v>
          </cell>
          <cell r="I4029" t="str">
            <v>Perpajakan</v>
          </cell>
          <cell r="J4029">
            <v>48</v>
          </cell>
          <cell r="K4029">
            <v>41</v>
          </cell>
          <cell r="L4029" t="str">
            <v>Perpajakan</v>
          </cell>
          <cell r="M4029" t="str">
            <v xml:space="preserve">KCP PEDAN                               </v>
          </cell>
          <cell r="N4029" t="str">
            <v xml:space="preserve">KC Klaten                               </v>
          </cell>
          <cell r="O4029" t="str">
            <v xml:space="preserve">Yogyakarta                              </v>
          </cell>
          <cell r="P4029" t="str">
            <v>Tidak</v>
          </cell>
          <cell r="Q4029" t="str">
            <v>Tidak</v>
          </cell>
          <cell r="R4029" t="str">
            <v>Done</v>
          </cell>
          <cell r="S4029" t="str">
            <v>Approved</v>
          </cell>
          <cell r="T4029" t="str">
            <v>90185537 - Moh.Khoerul Fajar Ar</v>
          </cell>
          <cell r="U4029" t="str">
            <v>"-"</v>
          </cell>
        </row>
        <row r="4030">
          <cell r="A4030">
            <v>46265</v>
          </cell>
          <cell r="B4030" t="str">
            <v xml:space="preserve">CITRA AYU YUNANDA SHINTA LESTARI        </v>
          </cell>
          <cell r="C4030" t="str">
            <v>CF61635</v>
          </cell>
          <cell r="D4030">
            <v>8601004017566</v>
          </cell>
          <cell r="E4030" t="str">
            <v>TINGGI</v>
          </cell>
          <cell r="F4030" t="str">
            <v>Tidak</v>
          </cell>
          <cell r="G4030" t="str">
            <v>Tidak</v>
          </cell>
          <cell r="H4030" t="str">
            <v>Tidak</v>
          </cell>
          <cell r="I4030" t="str">
            <v>Perpajakan</v>
          </cell>
          <cell r="J4030">
            <v>75</v>
          </cell>
          <cell r="K4030">
            <v>1.33</v>
          </cell>
          <cell r="L4030" t="str">
            <v>Perpajakan</v>
          </cell>
          <cell r="M4030" t="str">
            <v xml:space="preserve">KC Sidoarjo                             </v>
          </cell>
          <cell r="N4030" t="str">
            <v xml:space="preserve">KC Sidoarjo                             </v>
          </cell>
          <cell r="O4030" t="str">
            <v xml:space="preserve">Surabaya                                </v>
          </cell>
          <cell r="P4030" t="str">
            <v>Tidak</v>
          </cell>
          <cell r="Q4030" t="str">
            <v>Tidak</v>
          </cell>
          <cell r="R4030" t="str">
            <v>Done</v>
          </cell>
          <cell r="S4030" t="str">
            <v>Approved</v>
          </cell>
          <cell r="T4030" t="str">
            <v>00336949 - Mochammad Al Farabi</v>
          </cell>
          <cell r="U4030" t="str">
            <v>"-"</v>
          </cell>
        </row>
        <row r="4031">
          <cell r="A4031">
            <v>46265</v>
          </cell>
          <cell r="B4031" t="str">
            <v xml:space="preserve">CHRISTIAN ALEXANDER CHARLES TUMALUN     </v>
          </cell>
          <cell r="C4031" t="str">
            <v>CF62972</v>
          </cell>
          <cell r="D4031">
            <v>523401019259533</v>
          </cell>
          <cell r="E4031" t="str">
            <v>SEDANG</v>
          </cell>
          <cell r="F4031" t="str">
            <v>Tidak</v>
          </cell>
          <cell r="G4031" t="str">
            <v>Tidak</v>
          </cell>
          <cell r="H4031" t="str">
            <v>Tidak</v>
          </cell>
          <cell r="I4031" t="str">
            <v>Narkotika - Area Lapas</v>
          </cell>
          <cell r="J4031">
            <v>53</v>
          </cell>
          <cell r="K4031">
            <v>48</v>
          </cell>
          <cell r="L4031" t="str">
            <v>Narkotika</v>
          </cell>
          <cell r="M4031" t="str">
            <v>UNIT LANGOWAN TONDANO</v>
          </cell>
          <cell r="N4031" t="str">
            <v>KC Tondano</v>
          </cell>
          <cell r="O4031" t="str">
            <v>Manado</v>
          </cell>
          <cell r="P4031" t="str">
            <v>Tidak</v>
          </cell>
          <cell r="Q4031" t="str">
            <v>Tidak</v>
          </cell>
          <cell r="R4031" t="str">
            <v>Done</v>
          </cell>
          <cell r="S4031" t="str">
            <v>Approved</v>
          </cell>
          <cell r="T4031" t="str">
            <v>90170665 - Mutiara Ayuningtyas</v>
          </cell>
          <cell r="U4031" t="str">
            <v>"-"</v>
          </cell>
        </row>
        <row r="4032">
          <cell r="A4032">
            <v>46265</v>
          </cell>
          <cell r="B4032" t="str">
            <v xml:space="preserve">CV INDO PERKASA                         </v>
          </cell>
          <cell r="C4032" t="str">
            <v>CC22979</v>
          </cell>
          <cell r="D4032">
            <v>365301030937538</v>
          </cell>
          <cell r="E4032" t="str">
            <v>SEDANG</v>
          </cell>
          <cell r="F4032" t="str">
            <v>Tidak</v>
          </cell>
          <cell r="G4032" t="str">
            <v>Tidak</v>
          </cell>
          <cell r="H4032" t="str">
            <v>Tidak</v>
          </cell>
          <cell r="I4032" t="str">
            <v>Perpajakan</v>
          </cell>
          <cell r="J4032">
            <v>48</v>
          </cell>
          <cell r="K4032">
            <v>41</v>
          </cell>
          <cell r="L4032" t="str">
            <v>Perpajakan</v>
          </cell>
          <cell r="M4032" t="str">
            <v xml:space="preserve">UNIT P SUDIRMAN JOMBANG                 </v>
          </cell>
          <cell r="N4032" t="str">
            <v xml:space="preserve">KC Jombang                              </v>
          </cell>
          <cell r="O4032" t="str">
            <v xml:space="preserve">Surabaya                                </v>
          </cell>
          <cell r="P4032" t="str">
            <v>Tidak</v>
          </cell>
          <cell r="Q4032" t="str">
            <v>Tidak</v>
          </cell>
          <cell r="R4032" t="str">
            <v>Done</v>
          </cell>
          <cell r="S4032" t="str">
            <v>Approved</v>
          </cell>
          <cell r="T4032" t="str">
            <v>00394520 - Frida Akbar Rani</v>
          </cell>
          <cell r="U4032" t="str">
            <v>"-"</v>
          </cell>
        </row>
        <row r="4033">
          <cell r="A4033">
            <v>46265</v>
          </cell>
          <cell r="B4033" t="str">
            <v xml:space="preserve">CUT AYU ASRI                            </v>
          </cell>
          <cell r="C4033" t="str">
            <v>CH16126</v>
          </cell>
          <cell r="D4033">
            <v>40401021013535</v>
          </cell>
          <cell r="E4033" t="str">
            <v>SEDANG</v>
          </cell>
          <cell r="F4033" t="str">
            <v>Tidak</v>
          </cell>
          <cell r="G4033" t="str">
            <v>Tidak</v>
          </cell>
          <cell r="H4033" t="str">
            <v>Tidak</v>
          </cell>
          <cell r="I4033" t="str">
            <v>Bandar Judol Withdrawal</v>
          </cell>
          <cell r="J4033">
            <v>50</v>
          </cell>
          <cell r="K4033" t="str">
            <v>86,88,87</v>
          </cell>
          <cell r="L4033" t="str">
            <v>Judi Online</v>
          </cell>
          <cell r="M4033" t="str">
            <v xml:space="preserve">Kas Kanpus                              </v>
          </cell>
          <cell r="N4033" t="str">
            <v xml:space="preserve">Kas Kanpus                              </v>
          </cell>
          <cell r="O4033" t="str">
            <v xml:space="preserve">KAS KANPUS                              </v>
          </cell>
          <cell r="P4033" t="str">
            <v>Ya</v>
          </cell>
          <cell r="Q4033" t="str">
            <v>Ya</v>
          </cell>
          <cell r="R4033" t="str">
            <v>Done</v>
          </cell>
          <cell r="S4033" t="str">
            <v>Approved</v>
          </cell>
          <cell r="T4033" t="str">
            <v>90150130 - Intan Aida Pratiwi</v>
          </cell>
          <cell r="U4033" t="str">
            <v>"-"</v>
          </cell>
        </row>
        <row r="4034">
          <cell r="A4034">
            <v>46265</v>
          </cell>
          <cell r="B4034" t="str">
            <v xml:space="preserve">COMMERCE FINANCE                        </v>
          </cell>
          <cell r="C4034" t="str">
            <v>CH92604</v>
          </cell>
          <cell r="D4034">
            <v>112001000194301</v>
          </cell>
          <cell r="E4034" t="str">
            <v>SEDANG</v>
          </cell>
          <cell r="F4034" t="str">
            <v>Tidak</v>
          </cell>
          <cell r="G4034" t="str">
            <v>Tidak</v>
          </cell>
          <cell r="H4034" t="str">
            <v>Tidak</v>
          </cell>
          <cell r="I4034" t="str">
            <v>Narkotika - Area Lapas</v>
          </cell>
          <cell r="J4034">
            <v>50</v>
          </cell>
          <cell r="K4034">
            <v>46</v>
          </cell>
          <cell r="L4034" t="str">
            <v>Narkotika</v>
          </cell>
          <cell r="M4034" t="str">
            <v>KCP SLIPI</v>
          </cell>
          <cell r="N4034" t="str">
            <v>KC Jakarta S Parman</v>
          </cell>
          <cell r="O4034" t="str">
            <v>KANWIL JAKARTA 3</v>
          </cell>
          <cell r="P4034" t="str">
            <v>Ya</v>
          </cell>
          <cell r="Q4034" t="str">
            <v>Tidak</v>
          </cell>
          <cell r="R4034" t="str">
            <v>Done</v>
          </cell>
          <cell r="S4034" t="str">
            <v>Approved</v>
          </cell>
          <cell r="T4034" t="str">
            <v>90185538 - Muhammad Fahikal Auz</v>
          </cell>
          <cell r="U4034" t="str">
            <v>"-"</v>
          </cell>
        </row>
        <row r="4035">
          <cell r="A4035">
            <v>46265</v>
          </cell>
          <cell r="B4035" t="str">
            <v xml:space="preserve">DESI WAHYUNI                            </v>
          </cell>
          <cell r="C4035" t="str">
            <v>DGOC218</v>
          </cell>
          <cell r="D4035">
            <v>217101013064509</v>
          </cell>
          <cell r="F4035" t="str">
            <v>Tidak</v>
          </cell>
          <cell r="G4035" t="str">
            <v>Tidak</v>
          </cell>
          <cell r="H4035" t="str">
            <v>Tidak</v>
          </cell>
          <cell r="I4035" t="str">
            <v>Bandar Judol Withdrawal</v>
          </cell>
          <cell r="J4035">
            <v>35</v>
          </cell>
          <cell r="K4035" t="str">
            <v>86,88,87</v>
          </cell>
          <cell r="L4035" t="str">
            <v>Judi Online</v>
          </cell>
          <cell r="M4035" t="str">
            <v xml:space="preserve">Kas Kanpus                              </v>
          </cell>
          <cell r="N4035" t="str">
            <v xml:space="preserve">Kas Kanpus                              </v>
          </cell>
          <cell r="O4035" t="str">
            <v xml:space="preserve">KAS KANPUS                              </v>
          </cell>
          <cell r="P4035" t="str">
            <v>Ya</v>
          </cell>
          <cell r="Q4035" t="str">
            <v>Ya</v>
          </cell>
          <cell r="R4035" t="str">
            <v>Done</v>
          </cell>
          <cell r="S4035" t="str">
            <v>Approved</v>
          </cell>
          <cell r="T4035" t="str">
            <v>90186790 - Muhammad Alfin Farha</v>
          </cell>
          <cell r="U4035" t="str">
            <v>"-"</v>
          </cell>
        </row>
        <row r="4036">
          <cell r="A4036">
            <v>46265</v>
          </cell>
          <cell r="B4036" t="str">
            <v xml:space="preserve">DIAN SUKANANTO                          </v>
          </cell>
          <cell r="C4036" t="str">
            <v>DGE1901</v>
          </cell>
          <cell r="D4036">
            <v>625001011351508</v>
          </cell>
          <cell r="E4036" t="str">
            <v>SEDANG</v>
          </cell>
          <cell r="F4036" t="str">
            <v>Tidak</v>
          </cell>
          <cell r="G4036" t="str">
            <v>Tidak</v>
          </cell>
          <cell r="H4036" t="str">
            <v>Tidak</v>
          </cell>
          <cell r="I4036" t="str">
            <v>Bandar Judol Depo</v>
          </cell>
          <cell r="J4036">
            <v>60</v>
          </cell>
          <cell r="K4036" t="str">
            <v>86,74,87</v>
          </cell>
          <cell r="L4036" t="str">
            <v>Judi Online</v>
          </cell>
          <cell r="M4036" t="str">
            <v xml:space="preserve">Kas Kanpus                              </v>
          </cell>
          <cell r="N4036" t="str">
            <v xml:space="preserve">Kas Kanpus                              </v>
          </cell>
          <cell r="O4036" t="str">
            <v xml:space="preserve">KAS KANPUS                              </v>
          </cell>
          <cell r="P4036" t="str">
            <v>Tidak</v>
          </cell>
          <cell r="Q4036" t="str">
            <v>Ya</v>
          </cell>
          <cell r="R4036" t="str">
            <v>Done</v>
          </cell>
          <cell r="S4036" t="str">
            <v>Approved</v>
          </cell>
          <cell r="T4036" t="str">
            <v>00394521 - Muhammad Hibbanduta</v>
          </cell>
          <cell r="U4036" t="str">
            <v>"-"</v>
          </cell>
        </row>
        <row r="4037">
          <cell r="A4037">
            <v>46265</v>
          </cell>
          <cell r="B4037" t="str">
            <v xml:space="preserve">DINAH MARYANAH                          </v>
          </cell>
          <cell r="C4037" t="str">
            <v>DGHO577</v>
          </cell>
          <cell r="D4037">
            <v>82701048071506</v>
          </cell>
          <cell r="F4037" t="str">
            <v>Tidak</v>
          </cell>
          <cell r="G4037" t="str">
            <v>Tidak</v>
          </cell>
          <cell r="H4037" t="str">
            <v>Tidak</v>
          </cell>
          <cell r="I4037" t="str">
            <v>Bandar Judol Withdrawal</v>
          </cell>
          <cell r="J4037">
            <v>35</v>
          </cell>
          <cell r="K4037" t="str">
            <v>86,88,87</v>
          </cell>
          <cell r="L4037" t="str">
            <v>Judi Online</v>
          </cell>
          <cell r="M4037" t="str">
            <v xml:space="preserve">Kas Kanpus                              </v>
          </cell>
          <cell r="N4037" t="str">
            <v xml:space="preserve">Kas Kanpus                              </v>
          </cell>
          <cell r="O4037" t="str">
            <v xml:space="preserve">KAS KANPUS                              </v>
          </cell>
          <cell r="P4037" t="str">
            <v>Ya</v>
          </cell>
          <cell r="Q4037" t="str">
            <v>Ya</v>
          </cell>
          <cell r="R4037" t="str">
            <v>Done</v>
          </cell>
          <cell r="S4037" t="str">
            <v>Approved</v>
          </cell>
          <cell r="T4037" t="str">
            <v>90186790 - Muhammad Alfin Farha</v>
          </cell>
          <cell r="U4037" t="str">
            <v>"-"</v>
          </cell>
        </row>
        <row r="4038">
          <cell r="A4038">
            <v>46265</v>
          </cell>
          <cell r="B4038" t="str">
            <v xml:space="preserve">DICKY SYABAN                            </v>
          </cell>
          <cell r="C4038" t="str">
            <v>DGIV966</v>
          </cell>
          <cell r="D4038">
            <v>780701001971502</v>
          </cell>
          <cell r="F4038" t="str">
            <v>Tidak</v>
          </cell>
          <cell r="G4038" t="str">
            <v>Tidak</v>
          </cell>
          <cell r="H4038" t="str">
            <v>Tidak</v>
          </cell>
          <cell r="I4038" t="str">
            <v>Bandar Judol Withdrawal</v>
          </cell>
          <cell r="J4038">
            <v>35</v>
          </cell>
          <cell r="K4038" t="str">
            <v>86,88,87</v>
          </cell>
          <cell r="L4038" t="str">
            <v>Judi Online</v>
          </cell>
          <cell r="M4038" t="str">
            <v xml:space="preserve">Kas Kanpus                              </v>
          </cell>
          <cell r="N4038" t="str">
            <v xml:space="preserve">Kas Kanpus                              </v>
          </cell>
          <cell r="O4038" t="str">
            <v xml:space="preserve">KAS KANPUS                              </v>
          </cell>
          <cell r="P4038" t="str">
            <v>Ya</v>
          </cell>
          <cell r="Q4038" t="str">
            <v>Ya</v>
          </cell>
          <cell r="R4038" t="str">
            <v>Done</v>
          </cell>
          <cell r="S4038" t="str">
            <v>Approved</v>
          </cell>
          <cell r="T4038" t="str">
            <v>90170665 - Mutiara Ayuningtyas</v>
          </cell>
          <cell r="U4038" t="str">
            <v>"-"</v>
          </cell>
        </row>
        <row r="4039">
          <cell r="A4039">
            <v>46265</v>
          </cell>
          <cell r="B4039" t="str">
            <v xml:space="preserve">DINA MARIANA                            </v>
          </cell>
          <cell r="C4039" t="str">
            <v>DGD3781</v>
          </cell>
          <cell r="D4039">
            <v>713001006282505</v>
          </cell>
          <cell r="E4039" t="str">
            <v>SEDANG</v>
          </cell>
          <cell r="F4039" t="str">
            <v>Tidak</v>
          </cell>
          <cell r="G4039" t="str">
            <v>Tidak</v>
          </cell>
          <cell r="H4039" t="str">
            <v>Tidak</v>
          </cell>
          <cell r="I4039" t="str">
            <v>Bandar Judol Withdrawal</v>
          </cell>
          <cell r="J4039">
            <v>50</v>
          </cell>
          <cell r="K4039" t="str">
            <v>86,88,87</v>
          </cell>
          <cell r="L4039" t="str">
            <v>Judi Online</v>
          </cell>
          <cell r="M4039" t="str">
            <v xml:space="preserve">Kas Kanpus                              </v>
          </cell>
          <cell r="N4039" t="str">
            <v xml:space="preserve">Kas Kanpus                              </v>
          </cell>
          <cell r="O4039" t="str">
            <v xml:space="preserve">KAS KANPUS                              </v>
          </cell>
          <cell r="P4039" t="str">
            <v>Tidak</v>
          </cell>
          <cell r="Q4039" t="str">
            <v>Ya</v>
          </cell>
          <cell r="R4039" t="str">
            <v>Done</v>
          </cell>
          <cell r="S4039" t="str">
            <v>Approved</v>
          </cell>
          <cell r="T4039" t="str">
            <v>00394520 - Frida Akbar Rani</v>
          </cell>
          <cell r="U4039" t="str">
            <v>"-"</v>
          </cell>
        </row>
        <row r="4040">
          <cell r="A4040">
            <v>46265</v>
          </cell>
          <cell r="B4040" t="str">
            <v xml:space="preserve">DARUSSALAM                              </v>
          </cell>
          <cell r="C4040" t="str">
            <v>DGDU603</v>
          </cell>
          <cell r="D4040">
            <v>41501043648509</v>
          </cell>
          <cell r="F4040" t="str">
            <v>Tidak</v>
          </cell>
          <cell r="G4040" t="str">
            <v>Tidak</v>
          </cell>
          <cell r="H4040" t="str">
            <v>Tidak</v>
          </cell>
          <cell r="I4040" t="str">
            <v>Bandar Judol Depo</v>
          </cell>
          <cell r="J4040">
            <v>35</v>
          </cell>
          <cell r="K4040" t="str">
            <v>86,74,87</v>
          </cell>
          <cell r="L4040" t="str">
            <v>Judi Online</v>
          </cell>
          <cell r="M4040" t="str">
            <v xml:space="preserve">Kas Kanpus                              </v>
          </cell>
          <cell r="N4040" t="str">
            <v xml:space="preserve">Kas Kanpus                              </v>
          </cell>
          <cell r="O4040" t="str">
            <v xml:space="preserve">KAS KANPUS                              </v>
          </cell>
          <cell r="P4040" t="str">
            <v>Ya</v>
          </cell>
          <cell r="Q4040" t="str">
            <v>Ya</v>
          </cell>
          <cell r="R4040" t="str">
            <v>Done</v>
          </cell>
          <cell r="S4040" t="str">
            <v>Approved</v>
          </cell>
          <cell r="T4040" t="str">
            <v>00394521 - Muhammad Hibbanduta</v>
          </cell>
          <cell r="U4040" t="str">
            <v>"-"</v>
          </cell>
        </row>
        <row r="4041">
          <cell r="A4041">
            <v>46265</v>
          </cell>
          <cell r="B4041" t="str">
            <v xml:space="preserve">DANI PRASETYO                           </v>
          </cell>
          <cell r="C4041" t="str">
            <v>DGBF646</v>
          </cell>
          <cell r="D4041">
            <v>33201173703500</v>
          </cell>
          <cell r="F4041" t="str">
            <v>Tidak</v>
          </cell>
          <cell r="G4041" t="str">
            <v>Tidak</v>
          </cell>
          <cell r="H4041" t="str">
            <v>Tidak</v>
          </cell>
          <cell r="I4041" t="str">
            <v>Bandar Judol Withdrawal</v>
          </cell>
          <cell r="J4041">
            <v>35</v>
          </cell>
          <cell r="K4041" t="str">
            <v>86,88,87</v>
          </cell>
          <cell r="L4041" t="str">
            <v>Judi Online</v>
          </cell>
          <cell r="M4041" t="str">
            <v xml:space="preserve">Kas Kanpus                              </v>
          </cell>
          <cell r="N4041" t="str">
            <v xml:space="preserve">Kas Kanpus                              </v>
          </cell>
          <cell r="O4041" t="str">
            <v xml:space="preserve">KAS KANPUS                              </v>
          </cell>
          <cell r="P4041" t="str">
            <v>Ya</v>
          </cell>
          <cell r="Q4041" t="str">
            <v>Tidak</v>
          </cell>
          <cell r="R4041" t="str">
            <v>Done</v>
          </cell>
          <cell r="S4041" t="str">
            <v>Approved</v>
          </cell>
          <cell r="T4041" t="str">
            <v>90170665 - Mutiara Ayuningtyas</v>
          </cell>
          <cell r="U4041" t="str">
            <v>"-"</v>
          </cell>
        </row>
        <row r="4042">
          <cell r="A4042">
            <v>46265</v>
          </cell>
          <cell r="B4042" t="str">
            <v xml:space="preserve">DIKA                                    </v>
          </cell>
          <cell r="C4042" t="str">
            <v>DFXT435</v>
          </cell>
          <cell r="D4042">
            <v>1201003972562</v>
          </cell>
          <cell r="F4042" t="str">
            <v>Tidak</v>
          </cell>
          <cell r="G4042" t="str">
            <v>Tidak</v>
          </cell>
          <cell r="H4042" t="str">
            <v>Tidak</v>
          </cell>
          <cell r="I4042" t="str">
            <v>Judi Online</v>
          </cell>
          <cell r="J4042">
            <v>35</v>
          </cell>
          <cell r="K4042" t="str">
            <v>73,76,34,74,6</v>
          </cell>
          <cell r="L4042" t="str">
            <v>Judi Online</v>
          </cell>
          <cell r="M4042" t="str">
            <v xml:space="preserve">Kas Kanpus                              </v>
          </cell>
          <cell r="N4042" t="str">
            <v xml:space="preserve">Kas Kanpus                              </v>
          </cell>
          <cell r="O4042" t="str">
            <v xml:space="preserve">KAS KANPUS                              </v>
          </cell>
          <cell r="P4042" t="str">
            <v>Ya</v>
          </cell>
          <cell r="Q4042" t="str">
            <v>Tidak</v>
          </cell>
          <cell r="R4042" t="str">
            <v>Done</v>
          </cell>
          <cell r="S4042" t="str">
            <v>Approved</v>
          </cell>
          <cell r="T4042" t="str">
            <v>90186796 - Devito Arya Wiradila</v>
          </cell>
          <cell r="U4042" t="str">
            <v>"-"</v>
          </cell>
        </row>
        <row r="4043">
          <cell r="A4043">
            <v>46265</v>
          </cell>
          <cell r="B4043" t="str">
            <v xml:space="preserve">DIKA                                    </v>
          </cell>
          <cell r="C4043" t="str">
            <v>DFXT435</v>
          </cell>
          <cell r="D4043">
            <v>1201003972562</v>
          </cell>
          <cell r="F4043" t="str">
            <v>Tidak</v>
          </cell>
          <cell r="G4043" t="str">
            <v>Tidak</v>
          </cell>
          <cell r="H4043" t="str">
            <v>Tidak</v>
          </cell>
          <cell r="I4043" t="str">
            <v>Bandar Judol Depo</v>
          </cell>
          <cell r="J4043">
            <v>35</v>
          </cell>
          <cell r="K4043" t="str">
            <v>86,74,87</v>
          </cell>
          <cell r="L4043" t="str">
            <v>Judi Online</v>
          </cell>
          <cell r="M4043" t="str">
            <v xml:space="preserve">Kas Kanpus                              </v>
          </cell>
          <cell r="N4043" t="str">
            <v xml:space="preserve">Kas Kanpus                              </v>
          </cell>
          <cell r="O4043" t="str">
            <v xml:space="preserve">KAS KANPUS                              </v>
          </cell>
          <cell r="P4043" t="str">
            <v>Ya</v>
          </cell>
          <cell r="Q4043" t="str">
            <v>Tidak</v>
          </cell>
          <cell r="R4043" t="str">
            <v>Done</v>
          </cell>
          <cell r="S4043" t="str">
            <v>Approved</v>
          </cell>
          <cell r="T4043" t="str">
            <v>90171841 - Rifqi Aziz</v>
          </cell>
          <cell r="U4043" t="str">
            <v>"-"</v>
          </cell>
        </row>
        <row r="4044">
          <cell r="A4044">
            <v>46265</v>
          </cell>
          <cell r="B4044" t="str">
            <v xml:space="preserve">DWI TUNIKA AYUNIE                       </v>
          </cell>
          <cell r="C4044" t="str">
            <v>DFYP667</v>
          </cell>
          <cell r="D4044">
            <v>63501000985562</v>
          </cell>
          <cell r="F4044" t="str">
            <v>Tidak</v>
          </cell>
          <cell r="G4044" t="str">
            <v>Tidak</v>
          </cell>
          <cell r="H4044" t="str">
            <v>Tidak</v>
          </cell>
          <cell r="I4044" t="str">
            <v>Bandar Judol Depo</v>
          </cell>
          <cell r="J4044">
            <v>35</v>
          </cell>
          <cell r="K4044" t="str">
            <v>86,74,87</v>
          </cell>
          <cell r="L4044" t="str">
            <v>Judi Online</v>
          </cell>
          <cell r="M4044" t="str">
            <v xml:space="preserve">Kas Kanpus                              </v>
          </cell>
          <cell r="N4044" t="str">
            <v xml:space="preserve">Kas Kanpus                              </v>
          </cell>
          <cell r="O4044" t="str">
            <v xml:space="preserve">KAS KANPUS                              </v>
          </cell>
          <cell r="P4044" t="str">
            <v>Ya</v>
          </cell>
          <cell r="Q4044" t="str">
            <v>Ya</v>
          </cell>
          <cell r="R4044" t="str">
            <v>Done</v>
          </cell>
          <cell r="S4044" t="str">
            <v>Approved</v>
          </cell>
          <cell r="T4044" t="str">
            <v>90171841 - Rifqi Aziz</v>
          </cell>
          <cell r="U4044" t="str">
            <v>"-"</v>
          </cell>
        </row>
        <row r="4045">
          <cell r="A4045">
            <v>46265</v>
          </cell>
          <cell r="B4045" t="str">
            <v xml:space="preserve">DIANA RACHMAWATI                        </v>
          </cell>
          <cell r="C4045" t="str">
            <v>DK53802</v>
          </cell>
          <cell r="D4045">
            <v>5326599000003060</v>
          </cell>
          <cell r="E4045" t="str">
            <v>TINGGI</v>
          </cell>
          <cell r="F4045" t="str">
            <v>Tidak</v>
          </cell>
          <cell r="G4045" t="str">
            <v>Tidak</v>
          </cell>
          <cell r="H4045" t="str">
            <v>Tidak</v>
          </cell>
          <cell r="I4045" t="str">
            <v>Private or Priority Customer Investment</v>
          </cell>
          <cell r="J4045">
            <v>83</v>
          </cell>
          <cell r="K4045">
            <v>93</v>
          </cell>
          <cell r="L4045" t="str">
            <v>Pasar Modal</v>
          </cell>
          <cell r="M4045" t="str">
            <v xml:space="preserve">KCP PAKUWON                             </v>
          </cell>
          <cell r="N4045" t="str">
            <v xml:space="preserve">KC Surabaya HR Muhammad                 </v>
          </cell>
          <cell r="O4045" t="str">
            <v xml:space="preserve">Surabaya                                </v>
          </cell>
          <cell r="P4045" t="str">
            <v>Tidak</v>
          </cell>
          <cell r="Q4045" t="str">
            <v>Tidak</v>
          </cell>
          <cell r="R4045" t="str">
            <v>Done</v>
          </cell>
          <cell r="S4045" t="str">
            <v>Approved</v>
          </cell>
          <cell r="T4045" t="str">
            <v>90186796 - Devito Arya Wiradila</v>
          </cell>
          <cell r="U4045" t="str">
            <v>"-"</v>
          </cell>
        </row>
        <row r="4046">
          <cell r="A4046">
            <v>46265</v>
          </cell>
          <cell r="B4046" t="str">
            <v xml:space="preserve">DIDI YUDHA PRAWIRA                      </v>
          </cell>
          <cell r="C4046" t="str">
            <v>DMZ9531</v>
          </cell>
          <cell r="D4046">
            <v>40401051619505</v>
          </cell>
          <cell r="E4046" t="str">
            <v>SEDANG</v>
          </cell>
          <cell r="F4046" t="str">
            <v>Tidak</v>
          </cell>
          <cell r="G4046" t="str">
            <v>Tidak</v>
          </cell>
          <cell r="H4046" t="str">
            <v>Tidak</v>
          </cell>
          <cell r="I4046" t="str">
            <v>Bandar Judol Depo</v>
          </cell>
          <cell r="J4046">
            <v>50</v>
          </cell>
          <cell r="K4046" t="str">
            <v>86,74,87</v>
          </cell>
          <cell r="L4046" t="str">
            <v>Judi Online</v>
          </cell>
          <cell r="M4046" t="str">
            <v xml:space="preserve">Kas Kanpus                              </v>
          </cell>
          <cell r="N4046" t="str">
            <v xml:space="preserve">Kas Kanpus                              </v>
          </cell>
          <cell r="O4046" t="str">
            <v xml:space="preserve">KAS KANPUS                              </v>
          </cell>
          <cell r="P4046" t="str">
            <v>Ya</v>
          </cell>
          <cell r="Q4046" t="str">
            <v>Ya</v>
          </cell>
          <cell r="R4046" t="str">
            <v>Done</v>
          </cell>
          <cell r="S4046" t="str">
            <v>Approved</v>
          </cell>
          <cell r="T4046" t="str">
            <v>00394521 - Muhammad Hibbanduta</v>
          </cell>
          <cell r="U4046" t="str">
            <v>"-"</v>
          </cell>
        </row>
        <row r="4047">
          <cell r="A4047">
            <v>46265</v>
          </cell>
          <cell r="B4047" t="str">
            <v xml:space="preserve">DAMARIS INTAN                           </v>
          </cell>
          <cell r="C4047" t="str">
            <v>DN43451</v>
          </cell>
          <cell r="D4047">
            <v>497201006860534</v>
          </cell>
          <cell r="E4047" t="str">
            <v>SEDANG</v>
          </cell>
          <cell r="F4047" t="str">
            <v>Ya</v>
          </cell>
          <cell r="G4047" t="str">
            <v>Tidak</v>
          </cell>
          <cell r="H4047" t="str">
            <v>Tidak</v>
          </cell>
          <cell r="I4047" t="str">
            <v>Pencurian Rekening</v>
          </cell>
          <cell r="J4047">
            <v>49</v>
          </cell>
          <cell r="K4047">
            <v>59</v>
          </cell>
          <cell r="L4047" t="str">
            <v>Perbankan</v>
          </cell>
          <cell r="M4047" t="str">
            <v xml:space="preserve">UNIT BINAYA MASOHI                      </v>
          </cell>
          <cell r="N4047" t="str">
            <v xml:space="preserve">KC Masohi                               </v>
          </cell>
          <cell r="O4047" t="str">
            <v xml:space="preserve">Makassar                                </v>
          </cell>
          <cell r="P4047" t="str">
            <v>Tidak</v>
          </cell>
          <cell r="Q4047" t="str">
            <v>Tidak</v>
          </cell>
          <cell r="R4047" t="str">
            <v>Done</v>
          </cell>
          <cell r="S4047" t="str">
            <v>Approved</v>
          </cell>
          <cell r="T4047" t="str">
            <v>90171841 - Rifqi Aziz</v>
          </cell>
          <cell r="U4047" t="str">
            <v>"-"</v>
          </cell>
        </row>
        <row r="4048">
          <cell r="A4048">
            <v>46265</v>
          </cell>
          <cell r="B4048" t="str">
            <v xml:space="preserve">DIKI HIDAYAT                            </v>
          </cell>
          <cell r="C4048" t="str">
            <v>DON7636</v>
          </cell>
          <cell r="D4048">
            <v>212601000625565</v>
          </cell>
          <cell r="E4048" t="str">
            <v>SEDANG</v>
          </cell>
          <cell r="F4048" t="str">
            <v>Tidak</v>
          </cell>
          <cell r="G4048" t="str">
            <v>Tidak</v>
          </cell>
          <cell r="H4048" t="str">
            <v>Ya</v>
          </cell>
          <cell r="I4048" t="str">
            <v>Bandar Judol Depo</v>
          </cell>
          <cell r="J4048">
            <v>50</v>
          </cell>
          <cell r="K4048" t="str">
            <v>86,74,87</v>
          </cell>
          <cell r="L4048" t="str">
            <v>Judi Online</v>
          </cell>
          <cell r="M4048" t="str">
            <v xml:space="preserve">Kas Kanpus                              </v>
          </cell>
          <cell r="N4048" t="str">
            <v xml:space="preserve">Kas Kanpus                              </v>
          </cell>
          <cell r="O4048" t="str">
            <v xml:space="preserve">KAS KANPUS                              </v>
          </cell>
          <cell r="P4048" t="str">
            <v>Ya</v>
          </cell>
          <cell r="Q4048" t="str">
            <v>Ya</v>
          </cell>
          <cell r="R4048" t="str">
            <v>Done</v>
          </cell>
          <cell r="S4048" t="str">
            <v>Approved</v>
          </cell>
          <cell r="T4048" t="str">
            <v>90186790 - Muhammad Alfin Farha</v>
          </cell>
          <cell r="U4048" t="str">
            <v>"-"</v>
          </cell>
        </row>
        <row r="4049">
          <cell r="A4049">
            <v>46265</v>
          </cell>
          <cell r="B4049" t="str">
            <v xml:space="preserve">DELIA OKTAVIANI                         </v>
          </cell>
          <cell r="C4049" t="str">
            <v>DOO4200</v>
          </cell>
          <cell r="D4049">
            <v>37901057216502</v>
          </cell>
          <cell r="E4049" t="str">
            <v>SEDANG</v>
          </cell>
          <cell r="F4049" t="str">
            <v>Tidak</v>
          </cell>
          <cell r="G4049" t="str">
            <v>Tidak</v>
          </cell>
          <cell r="H4049" t="str">
            <v>Tidak</v>
          </cell>
          <cell r="I4049" t="str">
            <v>Bandar Judol Withdrawal</v>
          </cell>
          <cell r="J4049">
            <v>50</v>
          </cell>
          <cell r="K4049" t="str">
            <v>86,88,87</v>
          </cell>
          <cell r="L4049" t="str">
            <v>Judi Online</v>
          </cell>
          <cell r="M4049" t="str">
            <v xml:space="preserve">Kas Kanpus                              </v>
          </cell>
          <cell r="N4049" t="str">
            <v xml:space="preserve">Kas Kanpus                              </v>
          </cell>
          <cell r="O4049" t="str">
            <v xml:space="preserve">KAS KANPUS                              </v>
          </cell>
          <cell r="P4049" t="str">
            <v>Ya</v>
          </cell>
          <cell r="Q4049" t="str">
            <v>Ya</v>
          </cell>
          <cell r="R4049" t="str">
            <v>Done</v>
          </cell>
          <cell r="S4049" t="str">
            <v>Approved</v>
          </cell>
          <cell r="T4049" t="str">
            <v>90185537 - Moh.Khoerul Fajar Ar</v>
          </cell>
          <cell r="U4049" t="str">
            <v>"-"</v>
          </cell>
        </row>
        <row r="4050">
          <cell r="A4050">
            <v>46265</v>
          </cell>
          <cell r="B4050" t="str">
            <v xml:space="preserve">DIMAS HIDAYAHTULLOH                     </v>
          </cell>
          <cell r="C4050" t="str">
            <v>DLO9795</v>
          </cell>
          <cell r="D4050">
            <v>43801071831506</v>
          </cell>
          <cell r="E4050" t="str">
            <v>RENDAH</v>
          </cell>
          <cell r="F4050" t="str">
            <v>Tidak</v>
          </cell>
          <cell r="G4050" t="str">
            <v>Tidak</v>
          </cell>
          <cell r="H4050" t="str">
            <v>Tidak</v>
          </cell>
          <cell r="I4050" t="str">
            <v>Bandar Judol Withdrawal</v>
          </cell>
          <cell r="J4050">
            <v>35</v>
          </cell>
          <cell r="K4050" t="str">
            <v>86,88,87</v>
          </cell>
          <cell r="L4050" t="str">
            <v>Judi Online</v>
          </cell>
          <cell r="M4050" t="str">
            <v xml:space="preserve">Kas Kanpus                              </v>
          </cell>
          <cell r="N4050" t="str">
            <v xml:space="preserve">Kas Kanpus                              </v>
          </cell>
          <cell r="O4050" t="str">
            <v xml:space="preserve">KAS KANPUS                              </v>
          </cell>
          <cell r="P4050" t="str">
            <v>Ya</v>
          </cell>
          <cell r="Q4050" t="str">
            <v>Ya</v>
          </cell>
          <cell r="R4050" t="str">
            <v>Done</v>
          </cell>
          <cell r="S4050" t="str">
            <v>Approved</v>
          </cell>
          <cell r="T4050" t="str">
            <v>00394520 - Frida Akbar Rani</v>
          </cell>
          <cell r="U4050" t="str">
            <v>"-"</v>
          </cell>
        </row>
        <row r="4051">
          <cell r="A4051">
            <v>46265</v>
          </cell>
          <cell r="B4051" t="str">
            <v xml:space="preserve">DANU PRAYOGI                            </v>
          </cell>
          <cell r="C4051" t="str">
            <v>DHZ9947</v>
          </cell>
          <cell r="D4051">
            <v>114501001947567</v>
          </cell>
          <cell r="E4051" t="str">
            <v>SEDANG</v>
          </cell>
          <cell r="F4051" t="str">
            <v>Tidak</v>
          </cell>
          <cell r="G4051" t="str">
            <v>Tidak</v>
          </cell>
          <cell r="H4051" t="str">
            <v>Tidak</v>
          </cell>
          <cell r="I4051" t="str">
            <v>Bandar Judol Withdrawal</v>
          </cell>
          <cell r="J4051">
            <v>50</v>
          </cell>
          <cell r="K4051" t="str">
            <v>86,88,87</v>
          </cell>
          <cell r="L4051" t="str">
            <v>Judi Online</v>
          </cell>
          <cell r="M4051" t="str">
            <v xml:space="preserve">Kas Kanpus                              </v>
          </cell>
          <cell r="N4051" t="str">
            <v xml:space="preserve">Kas Kanpus                              </v>
          </cell>
          <cell r="O4051" t="str">
            <v xml:space="preserve">KAS KANPUS                              </v>
          </cell>
          <cell r="P4051" t="str">
            <v>Ya</v>
          </cell>
          <cell r="Q4051" t="str">
            <v>Ya</v>
          </cell>
          <cell r="R4051" t="str">
            <v>Done</v>
          </cell>
          <cell r="S4051" t="str">
            <v>Approved</v>
          </cell>
          <cell r="T4051" t="str">
            <v>90185537 - Moh.Khoerul Fajar Ar</v>
          </cell>
          <cell r="U4051" t="str">
            <v>"-"</v>
          </cell>
        </row>
        <row r="4052">
          <cell r="A4052">
            <v>46265</v>
          </cell>
          <cell r="B4052" t="str">
            <v xml:space="preserve">DWI APRIYANTO                           </v>
          </cell>
          <cell r="C4052" t="str">
            <v>DGRZ719</v>
          </cell>
          <cell r="D4052">
            <v>54101025469508</v>
          </cell>
          <cell r="F4052" t="str">
            <v>Tidak</v>
          </cell>
          <cell r="G4052" t="str">
            <v>Tidak</v>
          </cell>
          <cell r="H4052" t="str">
            <v>Tidak</v>
          </cell>
          <cell r="I4052" t="str">
            <v>Bandar Judol Withdrawal</v>
          </cell>
          <cell r="J4052">
            <v>35</v>
          </cell>
          <cell r="K4052" t="str">
            <v>86,88,87</v>
          </cell>
          <cell r="L4052" t="str">
            <v>Judi Online</v>
          </cell>
          <cell r="M4052" t="str">
            <v xml:space="preserve">Kas Kanpus                              </v>
          </cell>
          <cell r="N4052" t="str">
            <v xml:space="preserve">Kas Kanpus                              </v>
          </cell>
          <cell r="O4052" t="str">
            <v xml:space="preserve">KAS KANPUS                              </v>
          </cell>
          <cell r="P4052" t="str">
            <v>Ya</v>
          </cell>
          <cell r="Q4052" t="str">
            <v>Ya</v>
          </cell>
          <cell r="R4052" t="str">
            <v>Done</v>
          </cell>
          <cell r="S4052" t="str">
            <v>Approved</v>
          </cell>
          <cell r="T4052" t="str">
            <v>90185537 - Moh.Khoerul Fajar Ar</v>
          </cell>
          <cell r="U4052" t="str">
            <v>"-"</v>
          </cell>
        </row>
        <row r="4053">
          <cell r="A4053">
            <v>46265</v>
          </cell>
          <cell r="B4053" t="str">
            <v xml:space="preserve">DESI ANDAYANI                           </v>
          </cell>
          <cell r="C4053" t="str">
            <v>DGT5016</v>
          </cell>
          <cell r="D4053">
            <v>719401000028567</v>
          </cell>
          <cell r="E4053" t="str">
            <v>SEDANG</v>
          </cell>
          <cell r="F4053" t="str">
            <v>Tidak</v>
          </cell>
          <cell r="G4053" t="str">
            <v>Tidak</v>
          </cell>
          <cell r="H4053" t="str">
            <v>Tidak</v>
          </cell>
          <cell r="I4053" t="str">
            <v>Bandar Judol Withdrawal</v>
          </cell>
          <cell r="J4053">
            <v>50</v>
          </cell>
          <cell r="K4053" t="str">
            <v>86,88,87</v>
          </cell>
          <cell r="L4053" t="str">
            <v>Judi Online</v>
          </cell>
          <cell r="M4053" t="str">
            <v xml:space="preserve">Kas Kanpus                              </v>
          </cell>
          <cell r="N4053" t="str">
            <v xml:space="preserve">Kas Kanpus                              </v>
          </cell>
          <cell r="O4053" t="str">
            <v xml:space="preserve">KAS KANPUS                              </v>
          </cell>
          <cell r="P4053" t="str">
            <v>Tidak</v>
          </cell>
          <cell r="Q4053" t="str">
            <v>Ya</v>
          </cell>
          <cell r="R4053" t="str">
            <v>Done</v>
          </cell>
          <cell r="S4053" t="str">
            <v>Approved</v>
          </cell>
          <cell r="T4053" t="str">
            <v>90150130 - Intan Aida Pratiwi</v>
          </cell>
          <cell r="U4053" t="str">
            <v>"-"</v>
          </cell>
        </row>
        <row r="4054">
          <cell r="A4054">
            <v>46265</v>
          </cell>
          <cell r="B4054" t="str">
            <v xml:space="preserve">DANANG KURNIAWAN                        </v>
          </cell>
          <cell r="C4054" t="str">
            <v>DJB9660</v>
          </cell>
          <cell r="D4054">
            <v>694501011228538</v>
          </cell>
          <cell r="E4054" t="str">
            <v>SEDANG</v>
          </cell>
          <cell r="F4054" t="str">
            <v>Ya</v>
          </cell>
          <cell r="G4054" t="str">
            <v>Tidak</v>
          </cell>
          <cell r="H4054" t="str">
            <v>Tidak</v>
          </cell>
          <cell r="I4054" t="str">
            <v>Transaksi Agen BRILink terindikasi Judi Online</v>
          </cell>
          <cell r="J4054">
            <v>50</v>
          </cell>
          <cell r="K4054">
            <v>105</v>
          </cell>
          <cell r="L4054" t="str">
            <v>Agen BRILink</v>
          </cell>
          <cell r="M4054" t="str">
            <v xml:space="preserve">Kas Kanpus                              </v>
          </cell>
          <cell r="N4054" t="str">
            <v xml:space="preserve">Kas Kanpus                              </v>
          </cell>
          <cell r="O4054" t="str">
            <v xml:space="preserve">KAS KANPUS                              </v>
          </cell>
          <cell r="P4054" t="str">
            <v>Tidak</v>
          </cell>
          <cell r="Q4054" t="str">
            <v>Tidak</v>
          </cell>
          <cell r="R4054" t="str">
            <v>Done</v>
          </cell>
          <cell r="S4054" t="str">
            <v>Approved</v>
          </cell>
          <cell r="T4054" t="str">
            <v>90170665 - Mutiara Ayuningtyas</v>
          </cell>
          <cell r="U4054" t="str">
            <v>"-"</v>
          </cell>
        </row>
        <row r="4055">
          <cell r="A4055">
            <v>46265</v>
          </cell>
          <cell r="B4055" t="str">
            <v xml:space="preserve">DAVID WILIAM SENDA                      </v>
          </cell>
          <cell r="C4055" t="str">
            <v>DJI2946</v>
          </cell>
          <cell r="D4055">
            <v>742701008772505</v>
          </cell>
          <cell r="E4055" t="str">
            <v>SEDANG</v>
          </cell>
          <cell r="F4055" t="str">
            <v>Tidak</v>
          </cell>
          <cell r="G4055" t="str">
            <v>Tidak</v>
          </cell>
          <cell r="H4055" t="str">
            <v>Ya</v>
          </cell>
          <cell r="I4055" t="str">
            <v>Bandar Judol Depo</v>
          </cell>
          <cell r="J4055">
            <v>50</v>
          </cell>
          <cell r="K4055" t="str">
            <v>86,74,87</v>
          </cell>
          <cell r="L4055" t="str">
            <v>Judi Online</v>
          </cell>
          <cell r="M4055" t="str">
            <v xml:space="preserve">Kas Kanpus                              </v>
          </cell>
          <cell r="N4055" t="str">
            <v xml:space="preserve">Kas Kanpus                              </v>
          </cell>
          <cell r="O4055" t="str">
            <v xml:space="preserve">KAS KANPUS                              </v>
          </cell>
          <cell r="P4055" t="str">
            <v>Ya</v>
          </cell>
          <cell r="Q4055" t="str">
            <v>Ya</v>
          </cell>
          <cell r="R4055" t="str">
            <v>Done</v>
          </cell>
          <cell r="S4055" t="str">
            <v>Approved</v>
          </cell>
          <cell r="T4055" t="str">
            <v>00336949 - Mochammad Al Farabi</v>
          </cell>
          <cell r="U4055" t="str">
            <v>"-"</v>
          </cell>
        </row>
        <row r="4056">
          <cell r="A4056">
            <v>46265</v>
          </cell>
          <cell r="B4056" t="str">
            <v xml:space="preserve">DAFID KRISTIAN GULO                     </v>
          </cell>
          <cell r="C4056" t="str">
            <v>DFHH400</v>
          </cell>
          <cell r="D4056">
            <v>108801000720560</v>
          </cell>
          <cell r="F4056" t="str">
            <v>Tidak</v>
          </cell>
          <cell r="G4056" t="str">
            <v>Tidak</v>
          </cell>
          <cell r="H4056" t="str">
            <v>Tidak</v>
          </cell>
          <cell r="I4056" t="str">
            <v>Bandar Judol Withdrawal</v>
          </cell>
          <cell r="J4056">
            <v>35</v>
          </cell>
          <cell r="K4056" t="str">
            <v>86,88,87</v>
          </cell>
          <cell r="L4056" t="str">
            <v>Judi Online</v>
          </cell>
          <cell r="M4056" t="str">
            <v xml:space="preserve">Kas Kanpus                              </v>
          </cell>
          <cell r="N4056" t="str">
            <v xml:space="preserve">Kas Kanpus                              </v>
          </cell>
          <cell r="O4056" t="str">
            <v xml:space="preserve">KAS KANPUS                              </v>
          </cell>
          <cell r="P4056" t="str">
            <v>Ya</v>
          </cell>
          <cell r="Q4056" t="str">
            <v>Ya</v>
          </cell>
          <cell r="R4056" t="str">
            <v>Done</v>
          </cell>
          <cell r="S4056" t="str">
            <v>Approved</v>
          </cell>
          <cell r="T4056" t="str">
            <v>90185538 - Muhammad Fahikal Auz</v>
          </cell>
          <cell r="U4056" t="str">
            <v>"-"</v>
          </cell>
        </row>
        <row r="4057">
          <cell r="A4057">
            <v>46265</v>
          </cell>
          <cell r="B4057" t="str">
            <v xml:space="preserve">DEDE RUHIYAT                            </v>
          </cell>
          <cell r="C4057" t="str">
            <v>DEZZ551</v>
          </cell>
          <cell r="D4057">
            <v>59501057107505</v>
          </cell>
          <cell r="F4057" t="str">
            <v>Tidak</v>
          </cell>
          <cell r="G4057" t="str">
            <v>Tidak</v>
          </cell>
          <cell r="H4057" t="str">
            <v>Tidak</v>
          </cell>
          <cell r="I4057" t="str">
            <v>Bandar Judol Withdrawal</v>
          </cell>
          <cell r="J4057">
            <v>35</v>
          </cell>
          <cell r="K4057" t="str">
            <v>86,88,87</v>
          </cell>
          <cell r="L4057" t="str">
            <v>Judi Online</v>
          </cell>
          <cell r="M4057" t="str">
            <v xml:space="preserve">Kas Kanpus                              </v>
          </cell>
          <cell r="N4057" t="str">
            <v xml:space="preserve">Kas Kanpus                              </v>
          </cell>
          <cell r="O4057" t="str">
            <v xml:space="preserve">KAS KANPUS                              </v>
          </cell>
          <cell r="P4057" t="str">
            <v>Ya</v>
          </cell>
          <cell r="Q4057" t="str">
            <v>Ya</v>
          </cell>
          <cell r="R4057" t="str">
            <v>Done</v>
          </cell>
          <cell r="S4057" t="str">
            <v>Approved</v>
          </cell>
          <cell r="T4057" t="str">
            <v>00394521 - Muhammad Hibbanduta</v>
          </cell>
          <cell r="U4057" t="str">
            <v>"-"</v>
          </cell>
        </row>
        <row r="4058">
          <cell r="A4058">
            <v>46265</v>
          </cell>
          <cell r="B4058" t="str">
            <v xml:space="preserve">DEDEH MAESYAROH                         </v>
          </cell>
          <cell r="C4058" t="str">
            <v>DFEY743</v>
          </cell>
          <cell r="D4058">
            <v>81201009327507</v>
          </cell>
          <cell r="F4058" t="str">
            <v>Tidak</v>
          </cell>
          <cell r="G4058" t="str">
            <v>Tidak</v>
          </cell>
          <cell r="H4058" t="str">
            <v>Tidak</v>
          </cell>
          <cell r="I4058" t="str">
            <v>Bandar Judol Withdrawal</v>
          </cell>
          <cell r="J4058">
            <v>35</v>
          </cell>
          <cell r="K4058" t="str">
            <v>86,88,87</v>
          </cell>
          <cell r="L4058" t="str">
            <v>Judi Online</v>
          </cell>
          <cell r="M4058" t="str">
            <v xml:space="preserve">Kas Kanpus                              </v>
          </cell>
          <cell r="N4058" t="str">
            <v xml:space="preserve">Kas Kanpus                              </v>
          </cell>
          <cell r="O4058" t="str">
            <v xml:space="preserve">KAS KANPUS                              </v>
          </cell>
          <cell r="P4058" t="str">
            <v>Tidak</v>
          </cell>
          <cell r="Q4058" t="str">
            <v>Ya</v>
          </cell>
          <cell r="R4058" t="str">
            <v>Done</v>
          </cell>
          <cell r="S4058" t="str">
            <v>Approved</v>
          </cell>
          <cell r="T4058" t="str">
            <v>90185538 - Muhammad Fahikal Auz</v>
          </cell>
          <cell r="U4058" t="str">
            <v>"-"</v>
          </cell>
        </row>
        <row r="4059">
          <cell r="A4059">
            <v>46265</v>
          </cell>
          <cell r="B4059" t="str">
            <v xml:space="preserve">DENI ENDRAMAWAN                         </v>
          </cell>
          <cell r="C4059" t="str">
            <v>DFEY756</v>
          </cell>
          <cell r="D4059">
            <v>81201009328503</v>
          </cell>
          <cell r="F4059" t="str">
            <v>Tidak</v>
          </cell>
          <cell r="G4059" t="str">
            <v>Tidak</v>
          </cell>
          <cell r="H4059" t="str">
            <v>Tidak</v>
          </cell>
          <cell r="I4059" t="str">
            <v>Bandar Judol Depo</v>
          </cell>
          <cell r="J4059">
            <v>35</v>
          </cell>
          <cell r="K4059" t="str">
            <v>86,74,87</v>
          </cell>
          <cell r="L4059" t="str">
            <v>Judi Online</v>
          </cell>
          <cell r="M4059" t="str">
            <v xml:space="preserve">Kas Kanpus                              </v>
          </cell>
          <cell r="N4059" t="str">
            <v xml:space="preserve">Kas Kanpus                              </v>
          </cell>
          <cell r="O4059" t="str">
            <v xml:space="preserve">KAS KANPUS                              </v>
          </cell>
          <cell r="P4059" t="str">
            <v>Ya</v>
          </cell>
          <cell r="Q4059" t="str">
            <v>Ya</v>
          </cell>
          <cell r="R4059" t="str">
            <v>Done</v>
          </cell>
          <cell r="S4059" t="str">
            <v>Approved</v>
          </cell>
          <cell r="T4059" t="str">
            <v>00336949 - Mochammad Al Farabi</v>
          </cell>
          <cell r="U4059" t="str">
            <v>"-"</v>
          </cell>
        </row>
        <row r="4060">
          <cell r="A4060">
            <v>46265</v>
          </cell>
          <cell r="B4060" t="str">
            <v xml:space="preserve">DEWI FRANSISCA                          </v>
          </cell>
          <cell r="C4060" t="str">
            <v>DFGE254</v>
          </cell>
          <cell r="D4060">
            <v>39901050904508</v>
          </cell>
          <cell r="F4060" t="str">
            <v>Tidak</v>
          </cell>
          <cell r="G4060" t="str">
            <v>Tidak</v>
          </cell>
          <cell r="H4060" t="str">
            <v>Tidak</v>
          </cell>
          <cell r="I4060" t="str">
            <v>Bandar Judol Withdrawal</v>
          </cell>
          <cell r="J4060">
            <v>35</v>
          </cell>
          <cell r="K4060" t="str">
            <v>86,88,87</v>
          </cell>
          <cell r="L4060" t="str">
            <v>Judi Online</v>
          </cell>
          <cell r="M4060" t="str">
            <v xml:space="preserve">Kas Kanpus                              </v>
          </cell>
          <cell r="N4060" t="str">
            <v xml:space="preserve">Kas Kanpus                              </v>
          </cell>
          <cell r="O4060" t="str">
            <v xml:space="preserve">KAS KANPUS                              </v>
          </cell>
          <cell r="P4060" t="str">
            <v>Ya</v>
          </cell>
          <cell r="Q4060" t="str">
            <v>Ya</v>
          </cell>
          <cell r="R4060" t="str">
            <v>Done</v>
          </cell>
          <cell r="S4060" t="str">
            <v>Approved</v>
          </cell>
          <cell r="T4060" t="str">
            <v>90170665 - Mutiara Ayuningtyas</v>
          </cell>
          <cell r="U4060" t="str">
            <v>"-"</v>
          </cell>
        </row>
        <row r="4061">
          <cell r="A4061">
            <v>46265</v>
          </cell>
          <cell r="B4061" t="str">
            <v xml:space="preserve">DEPI SEPTIANA                           </v>
          </cell>
          <cell r="C4061" t="str">
            <v>DFGI611</v>
          </cell>
          <cell r="D4061">
            <v>601701040827534</v>
          </cell>
          <cell r="F4061" t="str">
            <v>Tidak</v>
          </cell>
          <cell r="G4061" t="str">
            <v>Tidak</v>
          </cell>
          <cell r="H4061" t="str">
            <v>Tidak</v>
          </cell>
          <cell r="I4061" t="str">
            <v>Bandar Judol Depo</v>
          </cell>
          <cell r="J4061">
            <v>35</v>
          </cell>
          <cell r="K4061" t="str">
            <v>86,74,87</v>
          </cell>
          <cell r="L4061" t="str">
            <v>Judi Online</v>
          </cell>
          <cell r="M4061" t="str">
            <v xml:space="preserve">Kas Kanpus                              </v>
          </cell>
          <cell r="N4061" t="str">
            <v xml:space="preserve">Kas Kanpus                              </v>
          </cell>
          <cell r="O4061" t="str">
            <v xml:space="preserve">KAS KANPUS                              </v>
          </cell>
          <cell r="P4061" t="str">
            <v>Tidak</v>
          </cell>
          <cell r="Q4061" t="str">
            <v>Tidak</v>
          </cell>
          <cell r="R4061" t="str">
            <v>Done</v>
          </cell>
          <cell r="S4061" t="str">
            <v>Approved</v>
          </cell>
          <cell r="T4061" t="str">
            <v>00394520 - Frida Akbar Rani</v>
          </cell>
          <cell r="U4061" t="str">
            <v>"-"</v>
          </cell>
        </row>
        <row r="4062">
          <cell r="A4062">
            <v>46265</v>
          </cell>
          <cell r="B4062" t="str">
            <v xml:space="preserve">DENI SOPIYAN                            </v>
          </cell>
          <cell r="C4062" t="str">
            <v>DFGJ670</v>
          </cell>
          <cell r="D4062">
            <v>118101053591504</v>
          </cell>
          <cell r="F4062" t="str">
            <v>Tidak</v>
          </cell>
          <cell r="G4062" t="str">
            <v>Tidak</v>
          </cell>
          <cell r="H4062" t="str">
            <v>Tidak</v>
          </cell>
          <cell r="I4062" t="str">
            <v>Bandar Judol Withdrawal</v>
          </cell>
          <cell r="J4062">
            <v>35</v>
          </cell>
          <cell r="K4062" t="str">
            <v>86,88,87</v>
          </cell>
          <cell r="L4062" t="str">
            <v>Judi Online</v>
          </cell>
          <cell r="M4062" t="str">
            <v xml:space="preserve">Kas Kanpus                              </v>
          </cell>
          <cell r="N4062" t="str">
            <v xml:space="preserve">Kas Kanpus                              </v>
          </cell>
          <cell r="O4062" t="str">
            <v xml:space="preserve">KAS KANPUS                              </v>
          </cell>
          <cell r="P4062" t="str">
            <v>Ya</v>
          </cell>
          <cell r="Q4062" t="str">
            <v>Ya</v>
          </cell>
          <cell r="R4062" t="str">
            <v>Done</v>
          </cell>
          <cell r="S4062" t="str">
            <v>Approved</v>
          </cell>
          <cell r="T4062" t="str">
            <v>90171841 - Rifqi Aziz</v>
          </cell>
          <cell r="U4062" t="str">
            <v>"-"</v>
          </cell>
        </row>
        <row r="4063">
          <cell r="A4063">
            <v>46265</v>
          </cell>
          <cell r="B4063" t="str">
            <v xml:space="preserve">DICKY FIRMANSYAH                        </v>
          </cell>
          <cell r="C4063" t="str">
            <v>DFGR416</v>
          </cell>
          <cell r="D4063">
            <v>8401289844502</v>
          </cell>
          <cell r="F4063" t="str">
            <v>Tidak</v>
          </cell>
          <cell r="G4063" t="str">
            <v>Tidak</v>
          </cell>
          <cell r="H4063" t="str">
            <v>Tidak</v>
          </cell>
          <cell r="I4063" t="str">
            <v>Bandar Judol Withdrawal</v>
          </cell>
          <cell r="J4063">
            <v>35</v>
          </cell>
          <cell r="K4063" t="str">
            <v>86,88,87</v>
          </cell>
          <cell r="L4063" t="str">
            <v>Judi Online</v>
          </cell>
          <cell r="M4063" t="str">
            <v xml:space="preserve">Kas Kanpus                              </v>
          </cell>
          <cell r="N4063" t="str">
            <v xml:space="preserve">Kas Kanpus                              </v>
          </cell>
          <cell r="O4063" t="str">
            <v xml:space="preserve">KAS KANPUS                              </v>
          </cell>
          <cell r="P4063" t="str">
            <v>Ya</v>
          </cell>
          <cell r="Q4063" t="str">
            <v>Ya</v>
          </cell>
          <cell r="R4063" t="str">
            <v>Done</v>
          </cell>
          <cell r="S4063" t="str">
            <v>Approved</v>
          </cell>
          <cell r="T4063" t="str">
            <v>00336949 - Mochammad Al Farabi</v>
          </cell>
          <cell r="U4063" t="str">
            <v>"-"</v>
          </cell>
        </row>
        <row r="4064">
          <cell r="A4064">
            <v>46265</v>
          </cell>
          <cell r="B4064" t="str">
            <v xml:space="preserve">DIPA MUSHAROPAH                         </v>
          </cell>
          <cell r="C4064" t="str">
            <v>DFGR854</v>
          </cell>
          <cell r="D4064">
            <v>8401289857505</v>
          </cell>
          <cell r="F4064" t="str">
            <v>Tidak</v>
          </cell>
          <cell r="G4064" t="str">
            <v>Tidak</v>
          </cell>
          <cell r="H4064" t="str">
            <v>Tidak</v>
          </cell>
          <cell r="I4064" t="str">
            <v>Bandar Judol Withdrawal</v>
          </cell>
          <cell r="J4064">
            <v>35</v>
          </cell>
          <cell r="K4064" t="str">
            <v>86,88,87</v>
          </cell>
          <cell r="L4064" t="str">
            <v>Judi Online</v>
          </cell>
          <cell r="M4064" t="str">
            <v xml:space="preserve">Kas Kanpus                              </v>
          </cell>
          <cell r="N4064" t="str">
            <v xml:space="preserve">Kas Kanpus                              </v>
          </cell>
          <cell r="O4064" t="str">
            <v xml:space="preserve">KAS KANPUS                              </v>
          </cell>
          <cell r="P4064" t="str">
            <v>Ya</v>
          </cell>
          <cell r="Q4064" t="str">
            <v>Ya</v>
          </cell>
          <cell r="R4064" t="str">
            <v>Done</v>
          </cell>
          <cell r="S4064" t="str">
            <v>Approved</v>
          </cell>
          <cell r="T4064" t="str">
            <v>90186796 - Devito Arya Wiradila</v>
          </cell>
          <cell r="U4064" t="str">
            <v>"-"</v>
          </cell>
        </row>
        <row r="4065">
          <cell r="A4065">
            <v>46265</v>
          </cell>
          <cell r="B4065" t="str">
            <v xml:space="preserve">DONI                                    </v>
          </cell>
          <cell r="C4065" t="str">
            <v>DEQO196</v>
          </cell>
          <cell r="D4065">
            <v>43701002530569</v>
          </cell>
          <cell r="E4065" t="str">
            <v>SEDANG</v>
          </cell>
          <cell r="F4065" t="str">
            <v>Tidak</v>
          </cell>
          <cell r="G4065" t="str">
            <v>Tidak</v>
          </cell>
          <cell r="H4065" t="str">
            <v>Tidak</v>
          </cell>
          <cell r="I4065" t="str">
            <v>Bandar Judol Withdrawal</v>
          </cell>
          <cell r="J4065">
            <v>50</v>
          </cell>
          <cell r="K4065" t="str">
            <v>86,88,87</v>
          </cell>
          <cell r="L4065" t="str">
            <v>Judi Online</v>
          </cell>
          <cell r="M4065" t="str">
            <v xml:space="preserve">Kas Kanpus                              </v>
          </cell>
          <cell r="N4065" t="str">
            <v xml:space="preserve">Kas Kanpus                              </v>
          </cell>
          <cell r="O4065" t="str">
            <v xml:space="preserve">KAS KANPUS                              </v>
          </cell>
          <cell r="P4065" t="str">
            <v>Ya</v>
          </cell>
          <cell r="Q4065" t="str">
            <v>Ya</v>
          </cell>
          <cell r="R4065" t="str">
            <v>Done</v>
          </cell>
          <cell r="S4065" t="str">
            <v>Approved</v>
          </cell>
          <cell r="T4065" t="str">
            <v>90185537 - Moh.Khoerul Fajar Ar</v>
          </cell>
          <cell r="U4065" t="str">
            <v>"-"</v>
          </cell>
        </row>
        <row r="4066">
          <cell r="A4066">
            <v>46265</v>
          </cell>
          <cell r="B4066" t="str">
            <v xml:space="preserve">DEDE SAHROZI                            </v>
          </cell>
          <cell r="C4066" t="str">
            <v>DETV099</v>
          </cell>
          <cell r="D4066">
            <v>50901005086566</v>
          </cell>
          <cell r="E4066" t="str">
            <v>SEDANG</v>
          </cell>
          <cell r="F4066" t="str">
            <v>Tidak</v>
          </cell>
          <cell r="G4066" t="str">
            <v>Tidak</v>
          </cell>
          <cell r="H4066" t="str">
            <v>Tidak</v>
          </cell>
          <cell r="I4066" t="str">
            <v>Bandar Judol Depo</v>
          </cell>
          <cell r="J4066">
            <v>50</v>
          </cell>
          <cell r="K4066" t="str">
            <v>86,74,87</v>
          </cell>
          <cell r="L4066" t="str">
            <v>Judi Online</v>
          </cell>
          <cell r="M4066" t="str">
            <v xml:space="preserve">Kas Kanpus                              </v>
          </cell>
          <cell r="N4066" t="str">
            <v xml:space="preserve">Kas Kanpus                              </v>
          </cell>
          <cell r="O4066" t="str">
            <v xml:space="preserve">KAS KANPUS                              </v>
          </cell>
          <cell r="P4066" t="str">
            <v>Ya</v>
          </cell>
          <cell r="Q4066" t="str">
            <v>Ya</v>
          </cell>
          <cell r="R4066" t="str">
            <v>Done</v>
          </cell>
          <cell r="S4066" t="str">
            <v>Approved</v>
          </cell>
          <cell r="T4066" t="str">
            <v>90185538 - Muhammad Fahikal Auz</v>
          </cell>
          <cell r="U4066" t="str">
            <v>"-"</v>
          </cell>
        </row>
        <row r="4067">
          <cell r="A4067">
            <v>46265</v>
          </cell>
          <cell r="B4067" t="str">
            <v xml:space="preserve">DENI SAPUTRA                            </v>
          </cell>
          <cell r="C4067" t="str">
            <v>DESJ053</v>
          </cell>
          <cell r="D4067">
            <v>32901002322565</v>
          </cell>
          <cell r="E4067" t="str">
            <v>SEDANG</v>
          </cell>
          <cell r="F4067" t="str">
            <v>Tidak</v>
          </cell>
          <cell r="G4067" t="str">
            <v>Tidak</v>
          </cell>
          <cell r="H4067" t="str">
            <v>Tidak</v>
          </cell>
          <cell r="I4067" t="str">
            <v>Bandar Judol Withdrawal</v>
          </cell>
          <cell r="J4067">
            <v>50</v>
          </cell>
          <cell r="K4067" t="str">
            <v>86,88,87</v>
          </cell>
          <cell r="L4067" t="str">
            <v>Judi Online</v>
          </cell>
          <cell r="M4067" t="str">
            <v xml:space="preserve">Kas Kanpus                              </v>
          </cell>
          <cell r="N4067" t="str">
            <v xml:space="preserve">Kas Kanpus                              </v>
          </cell>
          <cell r="O4067" t="str">
            <v xml:space="preserve">KAS KANPUS                              </v>
          </cell>
          <cell r="P4067" t="str">
            <v>Ya</v>
          </cell>
          <cell r="Q4067" t="str">
            <v>Ya</v>
          </cell>
          <cell r="R4067" t="str">
            <v>Done</v>
          </cell>
          <cell r="S4067" t="str">
            <v>Approved</v>
          </cell>
          <cell r="T4067" t="str">
            <v>00336949 - Mochammad Al Farabi</v>
          </cell>
          <cell r="U4067" t="str">
            <v>"-"</v>
          </cell>
        </row>
        <row r="4068">
          <cell r="A4068">
            <v>46265</v>
          </cell>
          <cell r="B4068" t="str">
            <v xml:space="preserve">DARTI                                   </v>
          </cell>
          <cell r="C4068" t="str">
            <v>DEZG939</v>
          </cell>
          <cell r="D4068">
            <v>618201004111500</v>
          </cell>
          <cell r="F4068" t="str">
            <v>Tidak</v>
          </cell>
          <cell r="G4068" t="str">
            <v>Tidak</v>
          </cell>
          <cell r="H4068" t="str">
            <v>Tidak</v>
          </cell>
          <cell r="I4068" t="str">
            <v>Bandar Judol Withdrawal</v>
          </cell>
          <cell r="J4068">
            <v>35</v>
          </cell>
          <cell r="K4068" t="str">
            <v>86,88,87</v>
          </cell>
          <cell r="L4068" t="str">
            <v>Judi Online</v>
          </cell>
          <cell r="M4068" t="str">
            <v xml:space="preserve">Kas Kanpus                              </v>
          </cell>
          <cell r="N4068" t="str">
            <v xml:space="preserve">Kas Kanpus                              </v>
          </cell>
          <cell r="O4068" t="str">
            <v xml:space="preserve">KAS KANPUS                              </v>
          </cell>
          <cell r="P4068" t="str">
            <v>Ya</v>
          </cell>
          <cell r="Q4068" t="str">
            <v>Ya</v>
          </cell>
          <cell r="R4068" t="str">
            <v>Done</v>
          </cell>
          <cell r="S4068" t="str">
            <v>Approved</v>
          </cell>
          <cell r="T4068" t="str">
            <v>00394520 - Frida Akbar Rani</v>
          </cell>
          <cell r="U4068" t="str">
            <v>"-"</v>
          </cell>
        </row>
        <row r="4069">
          <cell r="A4069">
            <v>46265</v>
          </cell>
          <cell r="B4069" t="str">
            <v xml:space="preserve">DEDEN PRASETYA                          </v>
          </cell>
          <cell r="C4069" t="str">
            <v>DEYV187</v>
          </cell>
          <cell r="D4069">
            <v>28601106698507</v>
          </cell>
          <cell r="F4069" t="str">
            <v>Tidak</v>
          </cell>
          <cell r="G4069" t="str">
            <v>Tidak</v>
          </cell>
          <cell r="H4069" t="str">
            <v>Tidak</v>
          </cell>
          <cell r="I4069" t="str">
            <v>Bandar Judol Withdrawal</v>
          </cell>
          <cell r="J4069">
            <v>35</v>
          </cell>
          <cell r="K4069" t="str">
            <v>86,88,87</v>
          </cell>
          <cell r="L4069" t="str">
            <v>Judi Online</v>
          </cell>
          <cell r="M4069" t="str">
            <v xml:space="preserve">Kas Kanpus                              </v>
          </cell>
          <cell r="N4069" t="str">
            <v xml:space="preserve">Kas Kanpus                              </v>
          </cell>
          <cell r="O4069" t="str">
            <v xml:space="preserve">KAS KANPUS                              </v>
          </cell>
          <cell r="P4069" t="str">
            <v>Ya</v>
          </cell>
          <cell r="Q4069" t="str">
            <v>Ya</v>
          </cell>
          <cell r="R4069" t="str">
            <v>Done</v>
          </cell>
          <cell r="S4069" t="str">
            <v>Approved</v>
          </cell>
          <cell r="T4069" t="str">
            <v>00394521 - Muhammad Hibbanduta</v>
          </cell>
          <cell r="U4069" t="str">
            <v>"-"</v>
          </cell>
        </row>
        <row r="4070">
          <cell r="A4070">
            <v>46265</v>
          </cell>
          <cell r="B4070" t="str">
            <v xml:space="preserve">DWI YULI SUGIANI                        </v>
          </cell>
          <cell r="C4070" t="str">
            <v>DETZ869</v>
          </cell>
          <cell r="D4070">
            <v>32901002350568</v>
          </cell>
          <cell r="E4070" t="str">
            <v>SEDANG</v>
          </cell>
          <cell r="F4070" t="str">
            <v>Tidak</v>
          </cell>
          <cell r="G4070" t="str">
            <v>Tidak</v>
          </cell>
          <cell r="H4070" t="str">
            <v>Tidak</v>
          </cell>
          <cell r="I4070" t="str">
            <v>Bandar Judol Withdrawal</v>
          </cell>
          <cell r="J4070">
            <v>50</v>
          </cell>
          <cell r="K4070" t="str">
            <v>86,88,87</v>
          </cell>
          <cell r="L4070" t="str">
            <v>Judi Online</v>
          </cell>
          <cell r="M4070" t="str">
            <v xml:space="preserve">Kas Kanpus                              </v>
          </cell>
          <cell r="N4070" t="str">
            <v xml:space="preserve">Kas Kanpus                              </v>
          </cell>
          <cell r="O4070" t="str">
            <v xml:space="preserve">KAS KANPUS                              </v>
          </cell>
          <cell r="P4070" t="str">
            <v>Ya</v>
          </cell>
          <cell r="Q4070" t="str">
            <v>Ya</v>
          </cell>
          <cell r="R4070" t="str">
            <v>Done</v>
          </cell>
          <cell r="S4070" t="str">
            <v>Approved</v>
          </cell>
          <cell r="T4070" t="str">
            <v>90185537 - Moh.Khoerul Fajar Ar</v>
          </cell>
          <cell r="U4070" t="str">
            <v>"-"</v>
          </cell>
        </row>
        <row r="4071">
          <cell r="A4071">
            <v>46265</v>
          </cell>
          <cell r="B4071" t="str">
            <v xml:space="preserve">BRI DANAREKSA SEKURITAS                 </v>
          </cell>
          <cell r="C4071" t="str">
            <v>DEW1499</v>
          </cell>
          <cell r="D4071">
            <v>67101000562302</v>
          </cell>
          <cell r="E4071" t="str">
            <v>SEDANG</v>
          </cell>
          <cell r="F4071" t="str">
            <v>Tidak</v>
          </cell>
          <cell r="G4071" t="str">
            <v>Tidak</v>
          </cell>
          <cell r="H4071" t="str">
            <v>Tidak</v>
          </cell>
          <cell r="I4071" t="str">
            <v>High Transaction Custodian</v>
          </cell>
          <cell r="J4071">
            <v>47</v>
          </cell>
          <cell r="K4071">
            <v>32</v>
          </cell>
          <cell r="L4071" t="str">
            <v>Kustodian</v>
          </cell>
          <cell r="M4071" t="str">
            <v>Kas Kanpus</v>
          </cell>
          <cell r="N4071" t="str">
            <v>Kas Kanpus</v>
          </cell>
          <cell r="O4071" t="str">
            <v>KAS KANPUS</v>
          </cell>
          <cell r="P4071" t="str">
            <v>Tidak</v>
          </cell>
          <cell r="Q4071" t="str">
            <v>Tidak</v>
          </cell>
          <cell r="R4071" t="str">
            <v>Done</v>
          </cell>
          <cell r="S4071" t="str">
            <v>Approved</v>
          </cell>
          <cell r="T4071" t="str">
            <v>90185537 - Moh.Khoerul Fajar Ar</v>
          </cell>
          <cell r="U4071" t="str">
            <v>"-"</v>
          </cell>
        </row>
        <row r="4072">
          <cell r="A4072">
            <v>46265</v>
          </cell>
          <cell r="B4072" t="str">
            <v xml:space="preserve">DANIEL DWI PUTRA                        </v>
          </cell>
          <cell r="C4072" t="str">
            <v>DEYH592</v>
          </cell>
          <cell r="D4072">
            <v>92701010723501</v>
          </cell>
          <cell r="F4072" t="str">
            <v>Tidak</v>
          </cell>
          <cell r="G4072" t="str">
            <v>Tidak</v>
          </cell>
          <cell r="H4072" t="str">
            <v>Tidak</v>
          </cell>
          <cell r="I4072" t="str">
            <v>Bandar Judol Depo</v>
          </cell>
          <cell r="J4072">
            <v>35</v>
          </cell>
          <cell r="K4072" t="str">
            <v>86,74,87</v>
          </cell>
          <cell r="L4072" t="str">
            <v>Judi Online</v>
          </cell>
          <cell r="M4072" t="str">
            <v xml:space="preserve">Kas Kanpus                              </v>
          </cell>
          <cell r="N4072" t="str">
            <v xml:space="preserve">Kas Kanpus                              </v>
          </cell>
          <cell r="O4072" t="str">
            <v xml:space="preserve">KAS KANPUS                              </v>
          </cell>
          <cell r="P4072" t="str">
            <v>Ya</v>
          </cell>
          <cell r="Q4072" t="str">
            <v>Ya</v>
          </cell>
          <cell r="R4072" t="str">
            <v>Done</v>
          </cell>
          <cell r="S4072" t="str">
            <v>Approved</v>
          </cell>
          <cell r="T4072" t="str">
            <v>90171841 - Rifqi Aziz</v>
          </cell>
          <cell r="U4072" t="str">
            <v>"-"</v>
          </cell>
        </row>
        <row r="4073">
          <cell r="A4073">
            <v>46265</v>
          </cell>
          <cell r="B4073" t="str">
            <v xml:space="preserve">DELA TRIANA                             </v>
          </cell>
          <cell r="C4073" t="str">
            <v>DFTK651</v>
          </cell>
          <cell r="D4073">
            <v>530401011072504</v>
          </cell>
          <cell r="F4073" t="str">
            <v>Tidak</v>
          </cell>
          <cell r="G4073" t="str">
            <v>Tidak</v>
          </cell>
          <cell r="H4073" t="str">
            <v>Tidak</v>
          </cell>
          <cell r="I4073" t="str">
            <v>Bandar Judol Withdrawal</v>
          </cell>
          <cell r="J4073">
            <v>35</v>
          </cell>
          <cell r="K4073" t="str">
            <v>86,88,87</v>
          </cell>
          <cell r="L4073" t="str">
            <v>Judi Online</v>
          </cell>
          <cell r="M4073" t="str">
            <v xml:space="preserve">Kas Kanpus                              </v>
          </cell>
          <cell r="N4073" t="str">
            <v xml:space="preserve">Kas Kanpus                              </v>
          </cell>
          <cell r="O4073" t="str">
            <v xml:space="preserve">KAS KANPUS                              </v>
          </cell>
          <cell r="P4073" t="str">
            <v>Ya</v>
          </cell>
          <cell r="Q4073" t="str">
            <v>Ya</v>
          </cell>
          <cell r="R4073" t="str">
            <v>Done</v>
          </cell>
          <cell r="S4073" t="str">
            <v>Approved</v>
          </cell>
          <cell r="T4073" t="str">
            <v>90185537 - Moh.Khoerul Fajar Ar</v>
          </cell>
          <cell r="U4073" t="str">
            <v>"-"</v>
          </cell>
        </row>
        <row r="4074">
          <cell r="A4074">
            <v>46265</v>
          </cell>
          <cell r="B4074" t="str">
            <v xml:space="preserve">DANIAL FARIZI                           </v>
          </cell>
          <cell r="C4074" t="str">
            <v>DFSE365</v>
          </cell>
          <cell r="D4074">
            <v>530401011011508</v>
          </cell>
          <cell r="F4074" t="str">
            <v>Tidak</v>
          </cell>
          <cell r="G4074" t="str">
            <v>Tidak</v>
          </cell>
          <cell r="H4074" t="str">
            <v>Tidak</v>
          </cell>
          <cell r="I4074" t="str">
            <v>Bandar Judol Withdrawal</v>
          </cell>
          <cell r="J4074">
            <v>35</v>
          </cell>
          <cell r="K4074" t="str">
            <v>86,88,87</v>
          </cell>
          <cell r="L4074" t="str">
            <v>Judi Online</v>
          </cell>
          <cell r="M4074" t="str">
            <v xml:space="preserve">Kas Kanpus                              </v>
          </cell>
          <cell r="N4074" t="str">
            <v xml:space="preserve">Kas Kanpus                              </v>
          </cell>
          <cell r="O4074" t="str">
            <v xml:space="preserve">KAS KANPUS                              </v>
          </cell>
          <cell r="P4074" t="str">
            <v>Ya</v>
          </cell>
          <cell r="Q4074" t="str">
            <v>Ya</v>
          </cell>
          <cell r="R4074" t="str">
            <v>Done</v>
          </cell>
          <cell r="S4074" t="str">
            <v>Approved</v>
          </cell>
          <cell r="T4074" t="str">
            <v>90185538 - Muhammad Fahikal Auz</v>
          </cell>
          <cell r="U4074" t="str">
            <v>"-"</v>
          </cell>
        </row>
        <row r="4075">
          <cell r="A4075">
            <v>46265</v>
          </cell>
          <cell r="B4075" t="str">
            <v xml:space="preserve">DWI SAMRUDIN                            </v>
          </cell>
          <cell r="C4075" t="str">
            <v>DFSE503</v>
          </cell>
          <cell r="D4075">
            <v>33601159084506</v>
          </cell>
          <cell r="F4075" t="str">
            <v>Tidak</v>
          </cell>
          <cell r="G4075" t="str">
            <v>Tidak</v>
          </cell>
          <cell r="H4075" t="str">
            <v>Tidak</v>
          </cell>
          <cell r="I4075" t="str">
            <v>Bandar Judol Withdrawal</v>
          </cell>
          <cell r="J4075">
            <v>35</v>
          </cell>
          <cell r="K4075" t="str">
            <v>86,88,87</v>
          </cell>
          <cell r="L4075" t="str">
            <v>Judi Online</v>
          </cell>
          <cell r="M4075" t="str">
            <v xml:space="preserve">Kas Kanpus                              </v>
          </cell>
          <cell r="N4075" t="str">
            <v xml:space="preserve">Kas Kanpus                              </v>
          </cell>
          <cell r="O4075" t="str">
            <v xml:space="preserve">KAS KANPUS                              </v>
          </cell>
          <cell r="P4075" t="str">
            <v>Ya</v>
          </cell>
          <cell r="Q4075" t="str">
            <v>Ya</v>
          </cell>
          <cell r="R4075" t="str">
            <v>Done</v>
          </cell>
          <cell r="S4075" t="str">
            <v>Approved</v>
          </cell>
          <cell r="T4075" t="str">
            <v>90185538 - Muhammad Fahikal Auz</v>
          </cell>
          <cell r="U4075" t="str">
            <v>"-"</v>
          </cell>
        </row>
        <row r="4076">
          <cell r="A4076">
            <v>46265</v>
          </cell>
          <cell r="B4076" t="str">
            <v xml:space="preserve">DEVA PUTRA BIANTO                       </v>
          </cell>
          <cell r="C4076" t="str">
            <v>DFSG874</v>
          </cell>
          <cell r="D4076">
            <v>385001017025500</v>
          </cell>
          <cell r="F4076" t="str">
            <v>Tidak</v>
          </cell>
          <cell r="G4076" t="str">
            <v>Tidak</v>
          </cell>
          <cell r="H4076" t="str">
            <v>Tidak</v>
          </cell>
          <cell r="I4076" t="str">
            <v>Bandar Judol Withdrawal</v>
          </cell>
          <cell r="J4076">
            <v>35</v>
          </cell>
          <cell r="K4076" t="str">
            <v>86,88,87</v>
          </cell>
          <cell r="L4076" t="str">
            <v>Judi Online</v>
          </cell>
          <cell r="M4076" t="str">
            <v xml:space="preserve">Kas Kanpus                              </v>
          </cell>
          <cell r="N4076" t="str">
            <v xml:space="preserve">Kas Kanpus                              </v>
          </cell>
          <cell r="O4076" t="str">
            <v xml:space="preserve">KAS KANPUS                              </v>
          </cell>
          <cell r="P4076" t="str">
            <v>Ya</v>
          </cell>
          <cell r="Q4076" t="str">
            <v>Ya</v>
          </cell>
          <cell r="R4076" t="str">
            <v>Done</v>
          </cell>
          <cell r="S4076" t="str">
            <v>Approved</v>
          </cell>
          <cell r="T4076" t="str">
            <v>90186790 - Muhammad Alfin Farha</v>
          </cell>
          <cell r="U4076" t="str">
            <v>"-"</v>
          </cell>
        </row>
        <row r="4077">
          <cell r="A4077">
            <v>46265</v>
          </cell>
          <cell r="B4077" t="str">
            <v xml:space="preserve">DEDEN                                   </v>
          </cell>
          <cell r="C4077" t="str">
            <v>DFSJ348</v>
          </cell>
          <cell r="D4077">
            <v>781201015342502</v>
          </cell>
          <cell r="F4077" t="str">
            <v>Tidak</v>
          </cell>
          <cell r="G4077" t="str">
            <v>Tidak</v>
          </cell>
          <cell r="H4077" t="str">
            <v>Tidak</v>
          </cell>
          <cell r="I4077" t="str">
            <v>Bandar Judol Withdrawal</v>
          </cell>
          <cell r="J4077">
            <v>35</v>
          </cell>
          <cell r="K4077" t="str">
            <v>86,88,87</v>
          </cell>
          <cell r="L4077" t="str">
            <v>Judi Online</v>
          </cell>
          <cell r="M4077" t="str">
            <v xml:space="preserve">Kas Kanpus                              </v>
          </cell>
          <cell r="N4077" t="str">
            <v xml:space="preserve">Kas Kanpus                              </v>
          </cell>
          <cell r="O4077" t="str">
            <v xml:space="preserve">KAS KANPUS                              </v>
          </cell>
          <cell r="P4077" t="str">
            <v>Ya</v>
          </cell>
          <cell r="Q4077" t="str">
            <v>Tidak</v>
          </cell>
          <cell r="R4077" t="str">
            <v>Done</v>
          </cell>
          <cell r="S4077" t="str">
            <v>Approved</v>
          </cell>
          <cell r="T4077" t="str">
            <v>90185537 - Moh.Khoerul Fajar Ar</v>
          </cell>
          <cell r="U4077" t="str">
            <v>"-"</v>
          </cell>
        </row>
        <row r="4078">
          <cell r="A4078">
            <v>46265</v>
          </cell>
          <cell r="B4078" t="str">
            <v xml:space="preserve">DONNY PUTRASYAH HERMAWAN                </v>
          </cell>
          <cell r="C4078" t="str">
            <v>DFSW925</v>
          </cell>
          <cell r="D4078">
            <v>300401000041562</v>
          </cell>
          <cell r="F4078" t="str">
            <v>Tidak</v>
          </cell>
          <cell r="G4078" t="str">
            <v>Tidak</v>
          </cell>
          <cell r="H4078" t="str">
            <v>Tidak</v>
          </cell>
          <cell r="I4078" t="str">
            <v>Bandar Judol Withdrawal</v>
          </cell>
          <cell r="J4078">
            <v>35</v>
          </cell>
          <cell r="K4078" t="str">
            <v>86,88,87</v>
          </cell>
          <cell r="L4078" t="str">
            <v>Judi Online</v>
          </cell>
          <cell r="M4078" t="str">
            <v xml:space="preserve">Kas Kanpus                              </v>
          </cell>
          <cell r="N4078" t="str">
            <v xml:space="preserve">Kas Kanpus                              </v>
          </cell>
          <cell r="O4078" t="str">
            <v xml:space="preserve">KAS KANPUS                              </v>
          </cell>
          <cell r="P4078" t="str">
            <v>Tidak</v>
          </cell>
          <cell r="Q4078" t="str">
            <v>Ya</v>
          </cell>
          <cell r="R4078" t="str">
            <v>Done</v>
          </cell>
          <cell r="S4078" t="str">
            <v>Approved</v>
          </cell>
          <cell r="T4078" t="str">
            <v>90170665 - Mutiara Ayuningtyas</v>
          </cell>
          <cell r="U4078" t="str">
            <v>"-"</v>
          </cell>
        </row>
        <row r="4079">
          <cell r="A4079">
            <v>46265</v>
          </cell>
          <cell r="B4079" t="str">
            <v xml:space="preserve">DWI SURYA KUSUMA                        </v>
          </cell>
          <cell r="C4079" t="str">
            <v>DFTD118</v>
          </cell>
          <cell r="D4079">
            <v>748701001843507</v>
          </cell>
          <cell r="F4079" t="str">
            <v>Tidak</v>
          </cell>
          <cell r="G4079" t="str">
            <v>Tidak</v>
          </cell>
          <cell r="H4079" t="str">
            <v>Tidak</v>
          </cell>
          <cell r="I4079" t="str">
            <v>Bandar Judol Withdrawal</v>
          </cell>
          <cell r="J4079">
            <v>35</v>
          </cell>
          <cell r="K4079" t="str">
            <v>86,88,87</v>
          </cell>
          <cell r="L4079" t="str">
            <v>Judi Online</v>
          </cell>
          <cell r="M4079" t="str">
            <v xml:space="preserve">Kas Kanpus                              </v>
          </cell>
          <cell r="N4079" t="str">
            <v xml:space="preserve">Kas Kanpus                              </v>
          </cell>
          <cell r="O4079" t="str">
            <v xml:space="preserve">KAS KANPUS                              </v>
          </cell>
          <cell r="P4079" t="str">
            <v>Ya</v>
          </cell>
          <cell r="Q4079" t="str">
            <v>Tidak</v>
          </cell>
          <cell r="R4079" t="str">
            <v>Done</v>
          </cell>
          <cell r="S4079" t="str">
            <v>Approved</v>
          </cell>
          <cell r="T4079" t="str">
            <v>00394520 - Frida Akbar Rani</v>
          </cell>
          <cell r="U4079" t="str">
            <v>"-"</v>
          </cell>
        </row>
        <row r="4080">
          <cell r="A4080">
            <v>46265</v>
          </cell>
          <cell r="B4080" t="str">
            <v xml:space="preserve">DESI SANIA                              </v>
          </cell>
          <cell r="C4080" t="str">
            <v>DFHY513</v>
          </cell>
          <cell r="D4080">
            <v>763401017157503</v>
          </cell>
          <cell r="F4080" t="str">
            <v>Tidak</v>
          </cell>
          <cell r="G4080" t="str">
            <v>Tidak</v>
          </cell>
          <cell r="H4080" t="str">
            <v>Tidak</v>
          </cell>
          <cell r="I4080" t="str">
            <v>Bandar Judol Withdrawal</v>
          </cell>
          <cell r="J4080">
            <v>35</v>
          </cell>
          <cell r="K4080" t="str">
            <v>86,88,87</v>
          </cell>
          <cell r="L4080" t="str">
            <v>Judi Online</v>
          </cell>
          <cell r="M4080" t="str">
            <v xml:space="preserve">Kas Kanpus                              </v>
          </cell>
          <cell r="N4080" t="str">
            <v xml:space="preserve">Kas Kanpus                              </v>
          </cell>
          <cell r="O4080" t="str">
            <v xml:space="preserve">KAS KANPUS                              </v>
          </cell>
          <cell r="P4080" t="str">
            <v>Ya</v>
          </cell>
          <cell r="Q4080" t="str">
            <v>Ya</v>
          </cell>
          <cell r="R4080" t="str">
            <v>Done</v>
          </cell>
          <cell r="S4080" t="str">
            <v>Approved</v>
          </cell>
          <cell r="T4080" t="str">
            <v>00394521 - Muhammad Hibbanduta</v>
          </cell>
          <cell r="U4080" t="str">
            <v>"-"</v>
          </cell>
        </row>
        <row r="4081">
          <cell r="A4081">
            <v>46265</v>
          </cell>
          <cell r="B4081" t="str">
            <v xml:space="preserve">DWI ZULIAWATI                           </v>
          </cell>
          <cell r="C4081" t="str">
            <v>DFJS885</v>
          </cell>
          <cell r="D4081">
            <v>332101000038567</v>
          </cell>
          <cell r="F4081" t="str">
            <v>Tidak</v>
          </cell>
          <cell r="G4081" t="str">
            <v>Tidak</v>
          </cell>
          <cell r="H4081" t="str">
            <v>Tidak</v>
          </cell>
          <cell r="I4081" t="str">
            <v>Bandar Judol Withdrawal</v>
          </cell>
          <cell r="J4081">
            <v>35</v>
          </cell>
          <cell r="K4081" t="str">
            <v>86,88,87</v>
          </cell>
          <cell r="L4081" t="str">
            <v>Judi Online</v>
          </cell>
          <cell r="M4081" t="str">
            <v xml:space="preserve">Kas Kanpus                              </v>
          </cell>
          <cell r="N4081" t="str">
            <v xml:space="preserve">Kas Kanpus                              </v>
          </cell>
          <cell r="O4081" t="str">
            <v xml:space="preserve">KAS KANPUS                              </v>
          </cell>
          <cell r="P4081" t="str">
            <v>Ya</v>
          </cell>
          <cell r="Q4081" t="str">
            <v>Ya</v>
          </cell>
          <cell r="R4081" t="str">
            <v>Done</v>
          </cell>
          <cell r="S4081" t="str">
            <v>Approved</v>
          </cell>
          <cell r="T4081" t="str">
            <v>00394521 - Muhammad Hibbanduta</v>
          </cell>
          <cell r="U4081" t="str">
            <v>"-"</v>
          </cell>
        </row>
        <row r="4082">
          <cell r="A4082">
            <v>46265</v>
          </cell>
          <cell r="B4082" t="str">
            <v xml:space="preserve">DARUSSALAM                              </v>
          </cell>
          <cell r="C4082" t="str">
            <v>DFLC237</v>
          </cell>
          <cell r="D4082">
            <v>44501002308569</v>
          </cell>
          <cell r="F4082" t="str">
            <v>Tidak</v>
          </cell>
          <cell r="G4082" t="str">
            <v>Tidak</v>
          </cell>
          <cell r="H4082" t="str">
            <v>Tidak</v>
          </cell>
          <cell r="I4082" t="str">
            <v>Bandar Judol Depo</v>
          </cell>
          <cell r="J4082">
            <v>35</v>
          </cell>
          <cell r="K4082" t="str">
            <v>86,74,87</v>
          </cell>
          <cell r="L4082" t="str">
            <v>Judi Online</v>
          </cell>
          <cell r="M4082" t="str">
            <v xml:space="preserve">Kas Kanpus                              </v>
          </cell>
          <cell r="N4082" t="str">
            <v xml:space="preserve">Kas Kanpus                              </v>
          </cell>
          <cell r="O4082" t="str">
            <v xml:space="preserve">KAS KANPUS                              </v>
          </cell>
          <cell r="P4082" t="str">
            <v>Ya</v>
          </cell>
          <cell r="Q4082" t="str">
            <v>Ya</v>
          </cell>
          <cell r="R4082" t="str">
            <v>Done</v>
          </cell>
          <cell r="S4082" t="str">
            <v>Approved</v>
          </cell>
          <cell r="T4082" t="str">
            <v>00336949 - Mochammad Al Farabi</v>
          </cell>
          <cell r="U4082" t="str">
            <v>"-"</v>
          </cell>
        </row>
        <row r="4083">
          <cell r="A4083">
            <v>46265</v>
          </cell>
          <cell r="B4083" t="str">
            <v xml:space="preserve">DEDE ANDRIAN                            </v>
          </cell>
          <cell r="C4083" t="str">
            <v>DFQM912</v>
          </cell>
          <cell r="D4083">
            <v>50901005600564</v>
          </cell>
          <cell r="F4083" t="str">
            <v>Tidak</v>
          </cell>
          <cell r="G4083" t="str">
            <v>Tidak</v>
          </cell>
          <cell r="H4083" t="str">
            <v>Tidak</v>
          </cell>
          <cell r="I4083" t="str">
            <v>Bandar Judol Withdrawal</v>
          </cell>
          <cell r="J4083">
            <v>35</v>
          </cell>
          <cell r="K4083" t="str">
            <v>86,88,87</v>
          </cell>
          <cell r="L4083" t="str">
            <v>Judi Online</v>
          </cell>
          <cell r="M4083" t="str">
            <v xml:space="preserve">Kas Kanpus                              </v>
          </cell>
          <cell r="N4083" t="str">
            <v xml:space="preserve">Kas Kanpus                              </v>
          </cell>
          <cell r="O4083" t="str">
            <v xml:space="preserve">KAS KANPUS                              </v>
          </cell>
          <cell r="P4083" t="str">
            <v>Ya</v>
          </cell>
          <cell r="Q4083" t="str">
            <v>Ya</v>
          </cell>
          <cell r="R4083" t="str">
            <v>Done</v>
          </cell>
          <cell r="S4083" t="str">
            <v>Approved</v>
          </cell>
          <cell r="T4083" t="str">
            <v>90171841 - Rifqi Aziz</v>
          </cell>
          <cell r="U4083" t="str">
            <v>"-"</v>
          </cell>
        </row>
        <row r="4084">
          <cell r="A4084">
            <v>46265</v>
          </cell>
          <cell r="B4084" t="str">
            <v xml:space="preserve">DAVA APRIANSYAH MARSHAL                 </v>
          </cell>
          <cell r="C4084" t="str">
            <v>DFRE658</v>
          </cell>
          <cell r="D4084">
            <v>173101008611506</v>
          </cell>
          <cell r="F4084" t="str">
            <v>Tidak</v>
          </cell>
          <cell r="G4084" t="str">
            <v>Tidak</v>
          </cell>
          <cell r="H4084" t="str">
            <v>Tidak</v>
          </cell>
          <cell r="I4084" t="str">
            <v>Bandar Judol Withdrawal</v>
          </cell>
          <cell r="J4084">
            <v>35</v>
          </cell>
          <cell r="K4084" t="str">
            <v>86,88,87</v>
          </cell>
          <cell r="L4084" t="str">
            <v>Judi Online</v>
          </cell>
          <cell r="M4084" t="str">
            <v xml:space="preserve">Kas Kanpus                              </v>
          </cell>
          <cell r="N4084" t="str">
            <v xml:space="preserve">Kas Kanpus                              </v>
          </cell>
          <cell r="O4084" t="str">
            <v xml:space="preserve">KAS KANPUS                              </v>
          </cell>
          <cell r="P4084" t="str">
            <v>Ya</v>
          </cell>
          <cell r="Q4084" t="str">
            <v>Ya</v>
          </cell>
          <cell r="R4084" t="str">
            <v>Done</v>
          </cell>
          <cell r="S4084" t="str">
            <v>Approved</v>
          </cell>
          <cell r="T4084" t="str">
            <v>90186796 - Devito Arya Wiradila</v>
          </cell>
          <cell r="U4084" t="str">
            <v>"-"</v>
          </cell>
        </row>
        <row r="4085">
          <cell r="A4085">
            <v>46265</v>
          </cell>
          <cell r="B4085" t="str">
            <v xml:space="preserve">DIVA ARIYANTO SAPUTRA                   </v>
          </cell>
          <cell r="C4085" t="str">
            <v>DFRQ136</v>
          </cell>
          <cell r="D4085">
            <v>42101005265564</v>
          </cell>
          <cell r="F4085" t="str">
            <v>Tidak</v>
          </cell>
          <cell r="G4085" t="str">
            <v>Tidak</v>
          </cell>
          <cell r="H4085" t="str">
            <v>Tidak</v>
          </cell>
          <cell r="I4085" t="str">
            <v>Bandar Judol Withdrawal</v>
          </cell>
          <cell r="J4085">
            <v>35</v>
          </cell>
          <cell r="K4085" t="str">
            <v>86,88,87</v>
          </cell>
          <cell r="L4085" t="str">
            <v>Judi Online</v>
          </cell>
          <cell r="M4085" t="str">
            <v xml:space="preserve">Kas Kanpus                              </v>
          </cell>
          <cell r="N4085" t="str">
            <v xml:space="preserve">Kas Kanpus                              </v>
          </cell>
          <cell r="O4085" t="str">
            <v xml:space="preserve">KAS KANPUS                              </v>
          </cell>
          <cell r="P4085" t="str">
            <v>Ya</v>
          </cell>
          <cell r="Q4085" t="str">
            <v>Ya</v>
          </cell>
          <cell r="R4085" t="str">
            <v>Done</v>
          </cell>
          <cell r="S4085" t="str">
            <v>Approved</v>
          </cell>
          <cell r="T4085" t="str">
            <v>00336949 - Mochammad Al Farabi</v>
          </cell>
          <cell r="U4085" t="str">
            <v>"-"</v>
          </cell>
        </row>
        <row r="4086">
          <cell r="A4086">
            <v>46265</v>
          </cell>
          <cell r="B4086" t="str">
            <v xml:space="preserve">DEVINA AULIA PUTRI                      </v>
          </cell>
          <cell r="C4086" t="str">
            <v>DFWA525</v>
          </cell>
          <cell r="D4086">
            <v>385401006317504</v>
          </cell>
          <cell r="F4086" t="str">
            <v>Tidak</v>
          </cell>
          <cell r="G4086" t="str">
            <v>Tidak</v>
          </cell>
          <cell r="H4086" t="str">
            <v>Tidak</v>
          </cell>
          <cell r="I4086" t="str">
            <v>Bandar Judol Withdrawal</v>
          </cell>
          <cell r="J4086">
            <v>35</v>
          </cell>
          <cell r="K4086" t="str">
            <v>86,88,87</v>
          </cell>
          <cell r="L4086" t="str">
            <v>Judi Online</v>
          </cell>
          <cell r="M4086" t="str">
            <v xml:space="preserve">Kas Kanpus                              </v>
          </cell>
          <cell r="N4086" t="str">
            <v xml:space="preserve">Kas Kanpus                              </v>
          </cell>
          <cell r="O4086" t="str">
            <v xml:space="preserve">KAS KANPUS                              </v>
          </cell>
          <cell r="P4086" t="str">
            <v>Ya</v>
          </cell>
          <cell r="Q4086" t="str">
            <v>Tidak</v>
          </cell>
          <cell r="R4086" t="str">
            <v>Done</v>
          </cell>
          <cell r="S4086" t="str">
            <v>Approved</v>
          </cell>
          <cell r="T4086" t="str">
            <v>90185537 - Moh.Khoerul Fajar Ar</v>
          </cell>
          <cell r="U4086" t="str">
            <v>"-"</v>
          </cell>
        </row>
        <row r="4087">
          <cell r="A4087">
            <v>46265</v>
          </cell>
          <cell r="B4087" t="str">
            <v xml:space="preserve">DEDE SEPTI GUNAWAN                      </v>
          </cell>
          <cell r="C4087" t="str">
            <v>DFUE652</v>
          </cell>
          <cell r="D4087">
            <v>1901122661509</v>
          </cell>
          <cell r="F4087" t="str">
            <v>Tidak</v>
          </cell>
          <cell r="G4087" t="str">
            <v>Tidak</v>
          </cell>
          <cell r="H4087" t="str">
            <v>Tidak</v>
          </cell>
          <cell r="I4087" t="str">
            <v>Bandar Judol Depo</v>
          </cell>
          <cell r="J4087">
            <v>35</v>
          </cell>
          <cell r="K4087" t="str">
            <v>86,74,87</v>
          </cell>
          <cell r="L4087" t="str">
            <v>Judi Online</v>
          </cell>
          <cell r="M4087" t="str">
            <v xml:space="preserve">Kas Kanpus                              </v>
          </cell>
          <cell r="N4087" t="str">
            <v xml:space="preserve">Kas Kanpus                              </v>
          </cell>
          <cell r="O4087" t="str">
            <v xml:space="preserve">KAS KANPUS                              </v>
          </cell>
          <cell r="P4087" t="str">
            <v>Ya</v>
          </cell>
          <cell r="Q4087" t="str">
            <v>Ya</v>
          </cell>
          <cell r="R4087" t="str">
            <v>Done</v>
          </cell>
          <cell r="S4087" t="str">
            <v>Approved</v>
          </cell>
          <cell r="T4087" t="str">
            <v>90170665 - Mutiara Ayuningtyas</v>
          </cell>
          <cell r="U4087" t="str">
            <v>"-"</v>
          </cell>
        </row>
        <row r="4088">
          <cell r="A4088">
            <v>46265</v>
          </cell>
          <cell r="B4088" t="str">
            <v xml:space="preserve">DWI NUGROHO                             </v>
          </cell>
          <cell r="C4088" t="str">
            <v>DFUE905</v>
          </cell>
          <cell r="D4088">
            <v>808101002234508</v>
          </cell>
          <cell r="F4088" t="str">
            <v>Tidak</v>
          </cell>
          <cell r="G4088" t="str">
            <v>Tidak</v>
          </cell>
          <cell r="H4088" t="str">
            <v>Tidak</v>
          </cell>
          <cell r="I4088" t="str">
            <v>Bandar Judol Withdrawal</v>
          </cell>
          <cell r="J4088">
            <v>35</v>
          </cell>
          <cell r="K4088" t="str">
            <v>86,88,87</v>
          </cell>
          <cell r="L4088" t="str">
            <v>Judi Online</v>
          </cell>
          <cell r="M4088" t="str">
            <v xml:space="preserve">Kas Kanpus                              </v>
          </cell>
          <cell r="N4088" t="str">
            <v xml:space="preserve">Kas Kanpus                              </v>
          </cell>
          <cell r="O4088" t="str">
            <v xml:space="preserve">KAS KANPUS                              </v>
          </cell>
          <cell r="P4088" t="str">
            <v>Ya</v>
          </cell>
          <cell r="Q4088" t="str">
            <v>Ya</v>
          </cell>
          <cell r="R4088" t="str">
            <v>Done</v>
          </cell>
          <cell r="S4088" t="str">
            <v>Approved</v>
          </cell>
          <cell r="T4088" t="str">
            <v>00394521 - Muhammad Hibbanduta</v>
          </cell>
          <cell r="U4088" t="str">
            <v>"-"</v>
          </cell>
        </row>
        <row r="4089">
          <cell r="A4089">
            <v>46265</v>
          </cell>
          <cell r="B4089" t="str">
            <v xml:space="preserve">DIMAS WAHYUNI                           </v>
          </cell>
          <cell r="C4089" t="str">
            <v>DFUF586</v>
          </cell>
          <cell r="D4089">
            <v>331201004131504</v>
          </cell>
          <cell r="F4089" t="str">
            <v>Tidak</v>
          </cell>
          <cell r="G4089" t="str">
            <v>Tidak</v>
          </cell>
          <cell r="H4089" t="str">
            <v>Tidak</v>
          </cell>
          <cell r="I4089" t="str">
            <v>Bandar Judol Withdrawal</v>
          </cell>
          <cell r="J4089">
            <v>35</v>
          </cell>
          <cell r="K4089" t="str">
            <v>86,88,87</v>
          </cell>
          <cell r="L4089" t="str">
            <v>Judi Online</v>
          </cell>
          <cell r="M4089" t="str">
            <v xml:space="preserve">Kas Kanpus                              </v>
          </cell>
          <cell r="N4089" t="str">
            <v xml:space="preserve">Kas Kanpus                              </v>
          </cell>
          <cell r="O4089" t="str">
            <v xml:space="preserve">KAS KANPUS                              </v>
          </cell>
          <cell r="P4089" t="str">
            <v>Ya</v>
          </cell>
          <cell r="Q4089" t="str">
            <v>Ya</v>
          </cell>
          <cell r="R4089" t="str">
            <v>Done</v>
          </cell>
          <cell r="S4089" t="str">
            <v>Approved</v>
          </cell>
          <cell r="T4089" t="str">
            <v>00336949 - Mochammad Al Farabi</v>
          </cell>
          <cell r="U4089" t="str">
            <v>"-"</v>
          </cell>
        </row>
        <row r="4090">
          <cell r="A4090">
            <v>46265</v>
          </cell>
          <cell r="B4090" t="str">
            <v xml:space="preserve">DEWI OKTAVIA                            </v>
          </cell>
          <cell r="C4090" t="str">
            <v>DFUG373</v>
          </cell>
          <cell r="D4090">
            <v>731101003656505</v>
          </cell>
          <cell r="F4090" t="str">
            <v>Tidak</v>
          </cell>
          <cell r="G4090" t="str">
            <v>Tidak</v>
          </cell>
          <cell r="H4090" t="str">
            <v>Tidak</v>
          </cell>
          <cell r="I4090" t="str">
            <v>Bandar Judol Withdrawal</v>
          </cell>
          <cell r="J4090">
            <v>35</v>
          </cell>
          <cell r="K4090" t="str">
            <v>86,88,87</v>
          </cell>
          <cell r="L4090" t="str">
            <v>Judi Online</v>
          </cell>
          <cell r="M4090" t="str">
            <v xml:space="preserve">Kas Kanpus                              </v>
          </cell>
          <cell r="N4090" t="str">
            <v xml:space="preserve">Kas Kanpus                              </v>
          </cell>
          <cell r="O4090" t="str">
            <v xml:space="preserve">KAS KANPUS                              </v>
          </cell>
          <cell r="P4090" t="str">
            <v>Ya</v>
          </cell>
          <cell r="Q4090" t="str">
            <v>Ya</v>
          </cell>
          <cell r="R4090" t="str">
            <v>Done</v>
          </cell>
          <cell r="S4090" t="str">
            <v>Approved</v>
          </cell>
          <cell r="T4090" t="str">
            <v>00336949 - Mochammad Al Farabi</v>
          </cell>
          <cell r="U4090" t="str">
            <v>"-"</v>
          </cell>
        </row>
        <row r="4091">
          <cell r="A4091">
            <v>46265</v>
          </cell>
          <cell r="B4091" t="str">
            <v xml:space="preserve">DEKI ANDRIAN                            </v>
          </cell>
          <cell r="C4091" t="str">
            <v>DFUJ059</v>
          </cell>
          <cell r="D4091">
            <v>385401006256504</v>
          </cell>
          <cell r="F4091" t="str">
            <v>Tidak</v>
          </cell>
          <cell r="G4091" t="str">
            <v>Tidak</v>
          </cell>
          <cell r="H4091" t="str">
            <v>Tidak</v>
          </cell>
          <cell r="I4091" t="str">
            <v>Bandar Judol Withdrawal</v>
          </cell>
          <cell r="J4091">
            <v>35</v>
          </cell>
          <cell r="K4091" t="str">
            <v>86,88,87</v>
          </cell>
          <cell r="L4091" t="str">
            <v>Judi Online</v>
          </cell>
          <cell r="M4091" t="str">
            <v xml:space="preserve">Kas Kanpus                              </v>
          </cell>
          <cell r="N4091" t="str">
            <v xml:space="preserve">Kas Kanpus                              </v>
          </cell>
          <cell r="O4091" t="str">
            <v xml:space="preserve">KAS KANPUS                              </v>
          </cell>
          <cell r="P4091" t="str">
            <v>Ya</v>
          </cell>
          <cell r="Q4091" t="str">
            <v>Ya</v>
          </cell>
          <cell r="R4091" t="str">
            <v>Done</v>
          </cell>
          <cell r="S4091" t="str">
            <v>Approved</v>
          </cell>
          <cell r="T4091" t="str">
            <v>90186796 - Devito Arya Wiradila</v>
          </cell>
          <cell r="U4091" t="str">
            <v>"-"</v>
          </cell>
        </row>
        <row r="4092">
          <cell r="A4092">
            <v>46265</v>
          </cell>
          <cell r="B4092" t="str">
            <v xml:space="preserve">DOMINGGUS TMEUBAN                       </v>
          </cell>
          <cell r="C4092" t="str">
            <v>DFVG155</v>
          </cell>
          <cell r="D4092">
            <v>157001004703507</v>
          </cell>
          <cell r="F4092" t="str">
            <v>Tidak</v>
          </cell>
          <cell r="G4092" t="str">
            <v>Tidak</v>
          </cell>
          <cell r="H4092" t="str">
            <v>Tidak</v>
          </cell>
          <cell r="I4092" t="str">
            <v>Bandar Judol Depo</v>
          </cell>
          <cell r="J4092">
            <v>35</v>
          </cell>
          <cell r="K4092" t="str">
            <v>86,74,87</v>
          </cell>
          <cell r="L4092" t="str">
            <v>Judi Online</v>
          </cell>
          <cell r="M4092" t="str">
            <v xml:space="preserve">Kas Kanpus                              </v>
          </cell>
          <cell r="N4092" t="str">
            <v xml:space="preserve">Kas Kanpus                              </v>
          </cell>
          <cell r="O4092" t="str">
            <v xml:space="preserve">KAS KANPUS                              </v>
          </cell>
          <cell r="P4092" t="str">
            <v>Tidak</v>
          </cell>
          <cell r="Q4092" t="str">
            <v>Tidak</v>
          </cell>
          <cell r="R4092" t="str">
            <v>Done</v>
          </cell>
          <cell r="S4092" t="str">
            <v>Approved</v>
          </cell>
          <cell r="T4092" t="str">
            <v>90186790 - Muhammad Alfin Farha</v>
          </cell>
          <cell r="U4092" t="str">
            <v>"-"</v>
          </cell>
        </row>
        <row r="4093">
          <cell r="A4093">
            <v>46265</v>
          </cell>
          <cell r="B4093" t="str">
            <v xml:space="preserve">DAVID SETIAWAN                          </v>
          </cell>
          <cell r="C4093" t="str">
            <v>DFVG804</v>
          </cell>
          <cell r="D4093">
            <v>354701009013502</v>
          </cell>
          <cell r="F4093" t="str">
            <v>Tidak</v>
          </cell>
          <cell r="G4093" t="str">
            <v>Tidak</v>
          </cell>
          <cell r="H4093" t="str">
            <v>Tidak</v>
          </cell>
          <cell r="I4093" t="str">
            <v>Bandar Judol Withdrawal</v>
          </cell>
          <cell r="J4093">
            <v>35</v>
          </cell>
          <cell r="K4093" t="str">
            <v>86,88,87</v>
          </cell>
          <cell r="L4093" t="str">
            <v>Judi Online</v>
          </cell>
          <cell r="M4093" t="str">
            <v xml:space="preserve">Kas Kanpus                              </v>
          </cell>
          <cell r="N4093" t="str">
            <v xml:space="preserve">Kas Kanpus                              </v>
          </cell>
          <cell r="O4093" t="str">
            <v xml:space="preserve">KAS KANPUS                              </v>
          </cell>
          <cell r="P4093" t="str">
            <v>Ya</v>
          </cell>
          <cell r="Q4093" t="str">
            <v>Ya</v>
          </cell>
          <cell r="R4093" t="str">
            <v>Done</v>
          </cell>
          <cell r="S4093" t="str">
            <v>Approved</v>
          </cell>
          <cell r="T4093" t="str">
            <v>90171841 - Rifqi Aziz</v>
          </cell>
          <cell r="U4093" t="str">
            <v>"-"</v>
          </cell>
        </row>
        <row r="4094">
          <cell r="A4094">
            <v>46265</v>
          </cell>
          <cell r="B4094" t="str">
            <v xml:space="preserve">DHENI SULISTYONO                        </v>
          </cell>
          <cell r="C4094" t="str">
            <v>DFVQ444</v>
          </cell>
          <cell r="D4094">
            <v>153101000047561</v>
          </cell>
          <cell r="F4094" t="str">
            <v>Tidak</v>
          </cell>
          <cell r="G4094" t="str">
            <v>Tidak</v>
          </cell>
          <cell r="H4094" t="str">
            <v>Tidak</v>
          </cell>
          <cell r="I4094" t="str">
            <v>Bandar Judol Depo</v>
          </cell>
          <cell r="J4094">
            <v>35</v>
          </cell>
          <cell r="K4094" t="str">
            <v>86,74,87</v>
          </cell>
          <cell r="L4094" t="str">
            <v>Judi Online</v>
          </cell>
          <cell r="M4094" t="str">
            <v xml:space="preserve">Kas Kanpus                              </v>
          </cell>
          <cell r="N4094" t="str">
            <v xml:space="preserve">Kas Kanpus                              </v>
          </cell>
          <cell r="O4094" t="str">
            <v xml:space="preserve">KAS KANPUS                              </v>
          </cell>
          <cell r="P4094" t="str">
            <v>Ya</v>
          </cell>
          <cell r="Q4094" t="str">
            <v>Ya</v>
          </cell>
          <cell r="R4094" t="str">
            <v>Done</v>
          </cell>
          <cell r="S4094" t="str">
            <v>Approved</v>
          </cell>
          <cell r="T4094" t="str">
            <v>00394520 - Frida Akbar Rani</v>
          </cell>
          <cell r="U4094" t="str">
            <v>"-"</v>
          </cell>
        </row>
        <row r="4095">
          <cell r="A4095">
            <v>46265</v>
          </cell>
          <cell r="B4095" t="str">
            <v xml:space="preserve">CUT MAYA                                </v>
          </cell>
          <cell r="C4095" t="str">
            <v>CU92985</v>
          </cell>
          <cell r="D4095">
            <v>23801001925565</v>
          </cell>
          <cell r="F4095" t="str">
            <v>Tidak</v>
          </cell>
          <cell r="G4095" t="str">
            <v>Tidak</v>
          </cell>
          <cell r="H4095" t="str">
            <v>Tidak</v>
          </cell>
          <cell r="I4095" t="str">
            <v>Bandar Judol Withdrawal</v>
          </cell>
          <cell r="J4095">
            <v>35</v>
          </cell>
          <cell r="K4095" t="str">
            <v>86,88,87</v>
          </cell>
          <cell r="L4095" t="str">
            <v>Judi Online</v>
          </cell>
          <cell r="M4095" t="str">
            <v xml:space="preserve">Kas Kanpus                              </v>
          </cell>
          <cell r="N4095" t="str">
            <v xml:space="preserve">Kas Kanpus                              </v>
          </cell>
          <cell r="O4095" t="str">
            <v xml:space="preserve">KAS KANPUS                              </v>
          </cell>
          <cell r="P4095" t="str">
            <v>Ya</v>
          </cell>
          <cell r="Q4095" t="str">
            <v>Ya</v>
          </cell>
          <cell r="R4095" t="str">
            <v>Done</v>
          </cell>
          <cell r="S4095" t="str">
            <v>Approved</v>
          </cell>
          <cell r="T4095" t="str">
            <v>00336949 - Mochammad Al Farabi</v>
          </cell>
          <cell r="U4095" t="str">
            <v>"-"</v>
          </cell>
        </row>
        <row r="4096">
          <cell r="A4096">
            <v>46265</v>
          </cell>
          <cell r="B4096" t="str">
            <v xml:space="preserve">CANDRA NARA ISWARAMDANA                 </v>
          </cell>
          <cell r="C4096" t="str">
            <v>CU94111</v>
          </cell>
          <cell r="D4096">
            <v>204001009269506</v>
          </cell>
          <cell r="F4096" t="str">
            <v>Tidak</v>
          </cell>
          <cell r="G4096" t="str">
            <v>Tidak</v>
          </cell>
          <cell r="H4096" t="str">
            <v>Tidak</v>
          </cell>
          <cell r="I4096" t="str">
            <v>Bandar Judol Withdrawal</v>
          </cell>
          <cell r="J4096">
            <v>35</v>
          </cell>
          <cell r="K4096" t="str">
            <v>86,88,87</v>
          </cell>
          <cell r="L4096" t="str">
            <v>Judi Online</v>
          </cell>
          <cell r="M4096" t="str">
            <v xml:space="preserve">Kas Kanpus                              </v>
          </cell>
          <cell r="N4096" t="str">
            <v xml:space="preserve">Kas Kanpus                              </v>
          </cell>
          <cell r="O4096" t="str">
            <v xml:space="preserve">KAS KANPUS                              </v>
          </cell>
          <cell r="P4096" t="str">
            <v>Ya</v>
          </cell>
          <cell r="Q4096" t="str">
            <v>Ya</v>
          </cell>
          <cell r="R4096" t="str">
            <v>Done</v>
          </cell>
          <cell r="S4096" t="str">
            <v>Approved</v>
          </cell>
          <cell r="T4096" t="str">
            <v>90171841 - Rifqi Aziz</v>
          </cell>
          <cell r="U4096" t="str">
            <v>"-"</v>
          </cell>
        </row>
        <row r="4097">
          <cell r="A4097">
            <v>46265</v>
          </cell>
          <cell r="B4097" t="str">
            <v xml:space="preserve">CV VIBRASI JUARA MUDA CORP              </v>
          </cell>
          <cell r="C4097" t="str">
            <v>CX42651</v>
          </cell>
          <cell r="D4097">
            <v>2301003601566</v>
          </cell>
          <cell r="F4097" t="str">
            <v>Tidak</v>
          </cell>
          <cell r="G4097" t="str">
            <v>Tidak</v>
          </cell>
          <cell r="H4097" t="str">
            <v>Tidak</v>
          </cell>
          <cell r="I4097" t="str">
            <v>Business Email Compromise (BEC)</v>
          </cell>
          <cell r="J4097">
            <v>30</v>
          </cell>
          <cell r="K4097">
            <v>13</v>
          </cell>
          <cell r="L4097" t="str">
            <v>Penipuan</v>
          </cell>
          <cell r="M4097" t="str">
            <v xml:space="preserve">KC Jombang                              </v>
          </cell>
          <cell r="N4097" t="str">
            <v xml:space="preserve">KC Jombang                              </v>
          </cell>
          <cell r="O4097" t="str">
            <v xml:space="preserve">Surabaya                                </v>
          </cell>
          <cell r="P4097" t="str">
            <v>Tidak</v>
          </cell>
          <cell r="Q4097" t="str">
            <v>Tidak</v>
          </cell>
          <cell r="R4097" t="str">
            <v>Done</v>
          </cell>
          <cell r="S4097" t="str">
            <v>Approved</v>
          </cell>
          <cell r="T4097" t="str">
            <v>90185537 - Moh.Khoerul Fajar Ar</v>
          </cell>
          <cell r="U4097" t="str">
            <v>"-"</v>
          </cell>
        </row>
        <row r="4098">
          <cell r="A4098">
            <v>46265</v>
          </cell>
          <cell r="B4098" t="str">
            <v xml:space="preserve">CHIKA AMALIA                            </v>
          </cell>
          <cell r="C4098" t="str">
            <v>CV98735</v>
          </cell>
          <cell r="D4098">
            <v>332201004824508</v>
          </cell>
          <cell r="F4098" t="str">
            <v>Tidak</v>
          </cell>
          <cell r="G4098" t="str">
            <v>Tidak</v>
          </cell>
          <cell r="H4098" t="str">
            <v>Tidak</v>
          </cell>
          <cell r="I4098" t="str">
            <v>Bandar Judol Withdrawal</v>
          </cell>
          <cell r="J4098">
            <v>35</v>
          </cell>
          <cell r="K4098" t="str">
            <v>86,88,87</v>
          </cell>
          <cell r="L4098" t="str">
            <v>Judi Online</v>
          </cell>
          <cell r="M4098" t="str">
            <v xml:space="preserve">Kas Kanpus                              </v>
          </cell>
          <cell r="N4098" t="str">
            <v xml:space="preserve">Kas Kanpus                              </v>
          </cell>
          <cell r="O4098" t="str">
            <v xml:space="preserve">KAS KANPUS                              </v>
          </cell>
          <cell r="P4098" t="str">
            <v>Ya</v>
          </cell>
          <cell r="Q4098" t="str">
            <v>Ya</v>
          </cell>
          <cell r="R4098" t="str">
            <v>Done</v>
          </cell>
          <cell r="S4098" t="str">
            <v>Approved</v>
          </cell>
          <cell r="T4098" t="str">
            <v>00394521 - Muhammad Hibbanduta</v>
          </cell>
          <cell r="U4098" t="str">
            <v>"-"</v>
          </cell>
        </row>
        <row r="4099">
          <cell r="A4099">
            <v>46265</v>
          </cell>
          <cell r="B4099" t="str">
            <v xml:space="preserve">CHAIRIZAL                               </v>
          </cell>
          <cell r="C4099" t="str">
            <v>CW05568</v>
          </cell>
          <cell r="D4099">
            <v>335301013397509</v>
          </cell>
          <cell r="F4099" t="str">
            <v>Tidak</v>
          </cell>
          <cell r="G4099" t="str">
            <v>Tidak</v>
          </cell>
          <cell r="H4099" t="str">
            <v>Tidak</v>
          </cell>
          <cell r="I4099" t="str">
            <v>Bandar Judol Withdrawal</v>
          </cell>
          <cell r="J4099">
            <v>35</v>
          </cell>
          <cell r="K4099" t="str">
            <v>86,88,87</v>
          </cell>
          <cell r="L4099" t="str">
            <v>Judi Online</v>
          </cell>
          <cell r="M4099" t="str">
            <v xml:space="preserve">Kas Kanpus                              </v>
          </cell>
          <cell r="N4099" t="str">
            <v xml:space="preserve">Kas Kanpus                              </v>
          </cell>
          <cell r="O4099" t="str">
            <v xml:space="preserve">KAS KANPUS                              </v>
          </cell>
          <cell r="P4099" t="str">
            <v>Ya</v>
          </cell>
          <cell r="Q4099" t="str">
            <v>Ya</v>
          </cell>
          <cell r="R4099" t="str">
            <v>Done</v>
          </cell>
          <cell r="S4099" t="str">
            <v>Approved</v>
          </cell>
          <cell r="T4099" t="str">
            <v>90171841 - Rifqi Aziz</v>
          </cell>
          <cell r="U4099" t="str">
            <v>"-"</v>
          </cell>
        </row>
        <row r="4100">
          <cell r="A4100">
            <v>46265</v>
          </cell>
          <cell r="B4100" t="str">
            <v xml:space="preserve">CHARLIE RYNALDO NALLE                   </v>
          </cell>
          <cell r="C4100" t="str">
            <v>CW13217</v>
          </cell>
          <cell r="D4100">
            <v>359801041457533</v>
          </cell>
          <cell r="F4100" t="str">
            <v>Ya</v>
          </cell>
          <cell r="G4100" t="str">
            <v>Tidak</v>
          </cell>
          <cell r="H4100" t="str">
            <v>Tidak</v>
          </cell>
          <cell r="I4100" t="str">
            <v>Narkotika - Area Lapas</v>
          </cell>
          <cell r="J4100">
            <v>35</v>
          </cell>
          <cell r="K4100">
            <v>48</v>
          </cell>
          <cell r="L4100" t="str">
            <v>Narkotika</v>
          </cell>
          <cell r="M4100" t="str">
            <v>UNIT SARTIKA KALABAHI</v>
          </cell>
          <cell r="N4100" t="str">
            <v>KC Kalabahi</v>
          </cell>
          <cell r="O4100" t="str">
            <v>Denpasar</v>
          </cell>
          <cell r="P4100" t="str">
            <v>Tidak</v>
          </cell>
          <cell r="Q4100" t="str">
            <v>Tidak</v>
          </cell>
          <cell r="R4100" t="str">
            <v>Done</v>
          </cell>
          <cell r="S4100" t="str">
            <v>Approved</v>
          </cell>
          <cell r="T4100" t="str">
            <v>90171841 - Rifqi Aziz</v>
          </cell>
          <cell r="U4100" t="str">
            <v>"-"</v>
          </cell>
        </row>
        <row r="4101">
          <cell r="A4101">
            <v>46265</v>
          </cell>
          <cell r="B4101" t="str">
            <v xml:space="preserve">CICIH JUARSIH                           </v>
          </cell>
          <cell r="C4101" t="str">
            <v>CW17834</v>
          </cell>
          <cell r="D4101">
            <v>1201284387506</v>
          </cell>
          <cell r="F4101" t="str">
            <v>Tidak</v>
          </cell>
          <cell r="G4101" t="str">
            <v>Tidak</v>
          </cell>
          <cell r="H4101" t="str">
            <v>Tidak</v>
          </cell>
          <cell r="I4101" t="str">
            <v>Bandar Judol Withdrawal</v>
          </cell>
          <cell r="J4101">
            <v>35</v>
          </cell>
          <cell r="K4101" t="str">
            <v>86,88,87</v>
          </cell>
          <cell r="L4101" t="str">
            <v>Judi Online</v>
          </cell>
          <cell r="M4101" t="str">
            <v xml:space="preserve">Kas Kanpus                              </v>
          </cell>
          <cell r="N4101" t="str">
            <v xml:space="preserve">Kas Kanpus                              </v>
          </cell>
          <cell r="O4101" t="str">
            <v xml:space="preserve">KAS KANPUS                              </v>
          </cell>
          <cell r="P4101" t="str">
            <v>Ya</v>
          </cell>
          <cell r="Q4101" t="str">
            <v>Ya</v>
          </cell>
          <cell r="R4101" t="str">
            <v>Done</v>
          </cell>
          <cell r="S4101" t="str">
            <v>Approved</v>
          </cell>
          <cell r="T4101" t="str">
            <v>90150130 - Intan Aida Pratiwi</v>
          </cell>
          <cell r="U4101" t="str">
            <v>"-"</v>
          </cell>
        </row>
        <row r="4102">
          <cell r="A4102">
            <v>46265</v>
          </cell>
          <cell r="B4102" t="str">
            <v xml:space="preserve">CV GRAND CENTRAL UTAMA                  </v>
          </cell>
          <cell r="C4102" t="str">
            <v>CX53811</v>
          </cell>
          <cell r="D4102">
            <v>5301889899302</v>
          </cell>
          <cell r="F4102" t="str">
            <v>Tidak</v>
          </cell>
          <cell r="G4102" t="str">
            <v>Tidak</v>
          </cell>
          <cell r="H4102" t="str">
            <v>Tidak</v>
          </cell>
          <cell r="I4102" t="str">
            <v>Perpajakan</v>
          </cell>
          <cell r="J4102">
            <v>33</v>
          </cell>
          <cell r="K4102">
            <v>41</v>
          </cell>
          <cell r="L4102" t="str">
            <v>Perpajakan</v>
          </cell>
          <cell r="M4102" t="str">
            <v xml:space="preserve">KC Medan Putri Hijau                    </v>
          </cell>
          <cell r="N4102" t="str">
            <v xml:space="preserve">KC Medan Putri Hijau                    </v>
          </cell>
          <cell r="O4102" t="str">
            <v xml:space="preserve">Medan                                   </v>
          </cell>
          <cell r="P4102" t="str">
            <v>Ya</v>
          </cell>
          <cell r="Q4102" t="str">
            <v>Tidak</v>
          </cell>
          <cell r="R4102" t="str">
            <v>Done</v>
          </cell>
          <cell r="S4102" t="str">
            <v>Approved</v>
          </cell>
          <cell r="T4102" t="str">
            <v>90186790 - Muhammad Alfin Farha</v>
          </cell>
          <cell r="U4102" t="str">
            <v>"-"</v>
          </cell>
        </row>
        <row r="4103">
          <cell r="A4103">
            <v>46265</v>
          </cell>
          <cell r="B4103" t="str">
            <v xml:space="preserve">CV MAU CORP                             </v>
          </cell>
          <cell r="C4103" t="str">
            <v>CX68871</v>
          </cell>
          <cell r="D4103">
            <v>583301000028567</v>
          </cell>
          <cell r="F4103" t="str">
            <v>Tidak</v>
          </cell>
          <cell r="G4103" t="str">
            <v>Tidak</v>
          </cell>
          <cell r="H4103" t="str">
            <v>Tidak</v>
          </cell>
          <cell r="I4103" t="str">
            <v>Business Email Compromise (BEC)</v>
          </cell>
          <cell r="J4103">
            <v>30</v>
          </cell>
          <cell r="K4103">
            <v>13</v>
          </cell>
          <cell r="L4103" t="str">
            <v>Penipuan</v>
          </cell>
          <cell r="M4103" t="str">
            <v xml:space="preserve">UNIT JETIS BLORA                        </v>
          </cell>
          <cell r="N4103" t="str">
            <v xml:space="preserve">KC Blora                                </v>
          </cell>
          <cell r="O4103" t="str">
            <v xml:space="preserve">Semarang                                </v>
          </cell>
          <cell r="P4103" t="str">
            <v>Tidak</v>
          </cell>
          <cell r="Q4103" t="str">
            <v>Tidak</v>
          </cell>
          <cell r="R4103" t="str">
            <v>Done</v>
          </cell>
          <cell r="S4103" t="str">
            <v>Approved</v>
          </cell>
          <cell r="T4103" t="str">
            <v>90185538 - Muhammad Fahikal Auz</v>
          </cell>
          <cell r="U4103" t="str">
            <v>"-"</v>
          </cell>
        </row>
        <row r="4104">
          <cell r="A4104">
            <v>46265</v>
          </cell>
          <cell r="B4104" t="str">
            <v xml:space="preserve">CV ACE PRIMA RESOURCES SDN              </v>
          </cell>
          <cell r="C4104" t="str">
            <v>CY09262</v>
          </cell>
          <cell r="D4104">
            <v>531601000087567</v>
          </cell>
          <cell r="F4104" t="str">
            <v>Tidak</v>
          </cell>
          <cell r="G4104" t="str">
            <v>Tidak</v>
          </cell>
          <cell r="H4104" t="str">
            <v>Tidak</v>
          </cell>
          <cell r="I4104" t="str">
            <v>Business Email Compromise (BEC)</v>
          </cell>
          <cell r="J4104">
            <v>30</v>
          </cell>
          <cell r="K4104">
            <v>13</v>
          </cell>
          <cell r="L4104" t="str">
            <v>Penipuan</v>
          </cell>
          <cell r="M4104" t="str">
            <v xml:space="preserve">UNIT HELVETIA                           </v>
          </cell>
          <cell r="N4104" t="str">
            <v xml:space="preserve">KC Medan Gatot Subroto                  </v>
          </cell>
          <cell r="O4104" t="str">
            <v xml:space="preserve">Medan                                   </v>
          </cell>
          <cell r="P4104" t="str">
            <v>Tidak</v>
          </cell>
          <cell r="Q4104" t="str">
            <v>Tidak</v>
          </cell>
          <cell r="R4104" t="str">
            <v>Done</v>
          </cell>
          <cell r="S4104" t="str">
            <v>Approved</v>
          </cell>
          <cell r="T4104" t="str">
            <v>90171841 - Rifqi Aziz</v>
          </cell>
          <cell r="U4104" t="str">
            <v>"-"</v>
          </cell>
        </row>
        <row r="4105">
          <cell r="A4105">
            <v>46265</v>
          </cell>
          <cell r="B4105" t="str">
            <v xml:space="preserve">CV OVINTIV INC                          </v>
          </cell>
          <cell r="C4105" t="str">
            <v>CY15231</v>
          </cell>
          <cell r="D4105">
            <v>722001000042562</v>
          </cell>
          <cell r="F4105" t="str">
            <v>Tidak</v>
          </cell>
          <cell r="G4105" t="str">
            <v>Tidak</v>
          </cell>
          <cell r="H4105" t="str">
            <v>Tidak</v>
          </cell>
          <cell r="I4105" t="str">
            <v>Business Email Compromise (BEC)</v>
          </cell>
          <cell r="J4105">
            <v>30</v>
          </cell>
          <cell r="K4105">
            <v>13</v>
          </cell>
          <cell r="L4105" t="str">
            <v>Penipuan</v>
          </cell>
          <cell r="M4105" t="str">
            <v xml:space="preserve">UNIT SUDIRMAN DENPASAR GM               </v>
          </cell>
          <cell r="N4105" t="str">
            <v xml:space="preserve">KC Denpasar Gajah Mada                  </v>
          </cell>
          <cell r="O4105" t="str">
            <v xml:space="preserve">Denpasar                                </v>
          </cell>
          <cell r="P4105" t="str">
            <v>Tidak</v>
          </cell>
          <cell r="Q4105" t="str">
            <v>Tidak</v>
          </cell>
          <cell r="R4105" t="str">
            <v>Done</v>
          </cell>
          <cell r="S4105" t="str">
            <v>Approved</v>
          </cell>
          <cell r="T4105" t="str">
            <v>90170665 - Mutiara Ayuningtyas</v>
          </cell>
          <cell r="U4105" t="str">
            <v>"-"</v>
          </cell>
        </row>
        <row r="4106">
          <cell r="A4106">
            <v>46265</v>
          </cell>
          <cell r="B4106" t="str">
            <v xml:space="preserve">CV TAMAKI TRANSPORT                     </v>
          </cell>
          <cell r="C4106" t="str">
            <v>CY22492</v>
          </cell>
          <cell r="D4106">
            <v>522601010395507</v>
          </cell>
          <cell r="F4106" t="str">
            <v>Tidak</v>
          </cell>
          <cell r="G4106" t="str">
            <v>Tidak</v>
          </cell>
          <cell r="H4106" t="str">
            <v>Tidak</v>
          </cell>
          <cell r="I4106" t="str">
            <v>Perpajakan</v>
          </cell>
          <cell r="J4106">
            <v>33</v>
          </cell>
          <cell r="K4106">
            <v>41</v>
          </cell>
          <cell r="L4106" t="str">
            <v>Perpajakan</v>
          </cell>
          <cell r="M4106" t="str">
            <v xml:space="preserve">UNIT BANGKIR TOLI TOLI                  </v>
          </cell>
          <cell r="N4106" t="str">
            <v xml:space="preserve">KC Toli-Toli                            </v>
          </cell>
          <cell r="O4106" t="str">
            <v xml:space="preserve">Manado                                  </v>
          </cell>
          <cell r="P4106" t="str">
            <v>Tidak</v>
          </cell>
          <cell r="Q4106" t="str">
            <v>Tidak</v>
          </cell>
          <cell r="R4106" t="str">
            <v>Done</v>
          </cell>
          <cell r="S4106" t="str">
            <v>Approved</v>
          </cell>
          <cell r="T4106" t="str">
            <v>90186790 - Muhammad Alfin Farha</v>
          </cell>
          <cell r="U4106" t="str">
            <v>"-"</v>
          </cell>
        </row>
        <row r="4107">
          <cell r="A4107">
            <v>46265</v>
          </cell>
          <cell r="B4107" t="str">
            <v xml:space="preserve">DINA APRIANI                            </v>
          </cell>
          <cell r="C4107" t="str">
            <v>DBRD947</v>
          </cell>
          <cell r="D4107">
            <v>86301024355534</v>
          </cell>
          <cell r="E4107" t="str">
            <v>SEDANG</v>
          </cell>
          <cell r="F4107" t="str">
            <v>Tidak</v>
          </cell>
          <cell r="G4107" t="str">
            <v>Tidak</v>
          </cell>
          <cell r="H4107" t="str">
            <v>Tidak</v>
          </cell>
          <cell r="I4107" t="str">
            <v>Bandar Judol Withdrawal</v>
          </cell>
          <cell r="J4107">
            <v>50</v>
          </cell>
          <cell r="K4107" t="str">
            <v>86,88,87</v>
          </cell>
          <cell r="L4107" t="str">
            <v>Judi Online</v>
          </cell>
          <cell r="M4107" t="str">
            <v xml:space="preserve">Kas Kanpus                              </v>
          </cell>
          <cell r="N4107" t="str">
            <v xml:space="preserve">Kas Kanpus                              </v>
          </cell>
          <cell r="O4107" t="str">
            <v xml:space="preserve">KAS KANPUS                              </v>
          </cell>
          <cell r="P4107" t="str">
            <v>Ya</v>
          </cell>
          <cell r="Q4107" t="str">
            <v>Ya</v>
          </cell>
          <cell r="R4107" t="str">
            <v>Done</v>
          </cell>
          <cell r="S4107" t="str">
            <v>Approved</v>
          </cell>
          <cell r="T4107" t="str">
            <v>00336949 - Mochammad Al Farabi</v>
          </cell>
          <cell r="U4107" t="str">
            <v>"-"</v>
          </cell>
        </row>
        <row r="4108">
          <cell r="A4108">
            <v>46265</v>
          </cell>
          <cell r="B4108" t="str">
            <v xml:space="preserve">DELIMA ARUAN                            </v>
          </cell>
          <cell r="C4108" t="str">
            <v>DBCF165</v>
          </cell>
          <cell r="D4108">
            <v>63501039530504</v>
          </cell>
          <cell r="E4108" t="str">
            <v>SEDANG</v>
          </cell>
          <cell r="F4108" t="str">
            <v>Tidak</v>
          </cell>
          <cell r="G4108" t="str">
            <v>Tidak</v>
          </cell>
          <cell r="H4108" t="str">
            <v>Tidak</v>
          </cell>
          <cell r="I4108" t="str">
            <v>Bandar Judol Withdrawal</v>
          </cell>
          <cell r="J4108">
            <v>50</v>
          </cell>
          <cell r="K4108" t="str">
            <v>86,88,87</v>
          </cell>
          <cell r="L4108" t="str">
            <v>Judi Online</v>
          </cell>
          <cell r="M4108" t="str">
            <v xml:space="preserve">Kas Kanpus                              </v>
          </cell>
          <cell r="N4108" t="str">
            <v xml:space="preserve">Kas Kanpus                              </v>
          </cell>
          <cell r="O4108" t="str">
            <v xml:space="preserve">KAS KANPUS                              </v>
          </cell>
          <cell r="P4108" t="str">
            <v>Ya</v>
          </cell>
          <cell r="Q4108" t="str">
            <v>Ya</v>
          </cell>
          <cell r="R4108" t="str">
            <v>Done</v>
          </cell>
          <cell r="S4108" t="str">
            <v>Approved</v>
          </cell>
          <cell r="T4108" t="str">
            <v>00394521 - Muhammad Hibbanduta</v>
          </cell>
          <cell r="U4108" t="str">
            <v>"-"</v>
          </cell>
        </row>
        <row r="4109">
          <cell r="A4109">
            <v>46265</v>
          </cell>
          <cell r="B4109" t="str">
            <v xml:space="preserve">DURROTUN NAFIAH                         </v>
          </cell>
          <cell r="C4109" t="str">
            <v>DBL2205</v>
          </cell>
          <cell r="D4109">
            <v>2201000190562</v>
          </cell>
          <cell r="E4109" t="str">
            <v>TINGGI</v>
          </cell>
          <cell r="F4109" t="str">
            <v>Tidak</v>
          </cell>
          <cell r="G4109" t="str">
            <v>Tidak</v>
          </cell>
          <cell r="H4109" t="str">
            <v>Tidak</v>
          </cell>
          <cell r="I4109" t="str">
            <v>Terorisme - SIPENDAR</v>
          </cell>
          <cell r="J4109">
            <v>194</v>
          </cell>
          <cell r="K4109">
            <v>36</v>
          </cell>
          <cell r="L4109" t="str">
            <v>Terorisme</v>
          </cell>
          <cell r="M4109" t="str">
            <v xml:space="preserve">Kas Kanpus                              </v>
          </cell>
          <cell r="N4109" t="str">
            <v xml:space="preserve">Kas Kanpus                              </v>
          </cell>
          <cell r="O4109" t="str">
            <v xml:space="preserve">KAS KANPUS                              </v>
          </cell>
          <cell r="P4109" t="str">
            <v>Tidak</v>
          </cell>
          <cell r="Q4109" t="str">
            <v>Tidak</v>
          </cell>
          <cell r="R4109" t="str">
            <v>Done</v>
          </cell>
          <cell r="S4109" t="str">
            <v>Approved</v>
          </cell>
          <cell r="T4109" t="str">
            <v>90150130 - Intan Aida Pratiwi</v>
          </cell>
          <cell r="U4109" t="str">
            <v>"-"</v>
          </cell>
        </row>
        <row r="4110">
          <cell r="A4110">
            <v>46265</v>
          </cell>
          <cell r="B4110" t="str">
            <v xml:space="preserve">DIAN NITA                               </v>
          </cell>
          <cell r="C4110" t="str">
            <v>DBXB943</v>
          </cell>
          <cell r="D4110">
            <v>13901234930505</v>
          </cell>
          <cell r="E4110" t="str">
            <v>SEDANG</v>
          </cell>
          <cell r="F4110" t="str">
            <v>Tidak</v>
          </cell>
          <cell r="G4110" t="str">
            <v>Tidak</v>
          </cell>
          <cell r="H4110" t="str">
            <v>Tidak</v>
          </cell>
          <cell r="I4110" t="str">
            <v>Bandar Judol Withdrawal</v>
          </cell>
          <cell r="J4110">
            <v>50</v>
          </cell>
          <cell r="K4110" t="str">
            <v>86,88,87</v>
          </cell>
          <cell r="L4110" t="str">
            <v>Judi Online</v>
          </cell>
          <cell r="M4110" t="str">
            <v xml:space="preserve">Kas Kanpus                              </v>
          </cell>
          <cell r="N4110" t="str">
            <v xml:space="preserve">Kas Kanpus                              </v>
          </cell>
          <cell r="O4110" t="str">
            <v xml:space="preserve">KAS KANPUS                              </v>
          </cell>
          <cell r="P4110" t="str">
            <v>Ya</v>
          </cell>
          <cell r="Q4110" t="str">
            <v>Ya</v>
          </cell>
          <cell r="R4110" t="str">
            <v>Done</v>
          </cell>
          <cell r="S4110" t="str">
            <v>Approved</v>
          </cell>
          <cell r="T4110" t="str">
            <v>90186796 - Devito Arya Wiradila</v>
          </cell>
          <cell r="U4110" t="str">
            <v>"-"</v>
          </cell>
        </row>
        <row r="4111">
          <cell r="A4111">
            <v>46265</v>
          </cell>
          <cell r="B4111" t="str">
            <v xml:space="preserve">DEWI RATNA SARI BR TARIGAN              </v>
          </cell>
          <cell r="C4111" t="str">
            <v>DCCG018</v>
          </cell>
          <cell r="D4111">
            <v>782801015491536</v>
          </cell>
          <cell r="E4111" t="str">
            <v>SEDANG</v>
          </cell>
          <cell r="F4111" t="str">
            <v>Tidak</v>
          </cell>
          <cell r="G4111" t="str">
            <v>Tidak</v>
          </cell>
          <cell r="H4111" t="str">
            <v>Tidak</v>
          </cell>
          <cell r="I4111" t="str">
            <v>Bandar Judol Withdrawal</v>
          </cell>
          <cell r="J4111">
            <v>50</v>
          </cell>
          <cell r="K4111" t="str">
            <v>86,88,87</v>
          </cell>
          <cell r="L4111" t="str">
            <v>Judi Online</v>
          </cell>
          <cell r="M4111" t="str">
            <v xml:space="preserve">Kas Kanpus                              </v>
          </cell>
          <cell r="N4111" t="str">
            <v xml:space="preserve">Kas Kanpus                              </v>
          </cell>
          <cell r="O4111" t="str">
            <v xml:space="preserve">KAS KANPUS                              </v>
          </cell>
          <cell r="P4111" t="str">
            <v>Ya</v>
          </cell>
          <cell r="Q4111" t="str">
            <v>Ya</v>
          </cell>
          <cell r="R4111" t="str">
            <v>Done</v>
          </cell>
          <cell r="S4111" t="str">
            <v>Approved</v>
          </cell>
          <cell r="T4111" t="str">
            <v>90186796 - Devito Arya Wiradila</v>
          </cell>
          <cell r="U4111" t="str">
            <v>"-"</v>
          </cell>
        </row>
        <row r="4112">
          <cell r="A4112">
            <v>46265</v>
          </cell>
          <cell r="B4112" t="str">
            <v xml:space="preserve">DIAN JAELANI                            </v>
          </cell>
          <cell r="C4112" t="str">
            <v>DCLG918</v>
          </cell>
          <cell r="D4112">
            <v>735001019824534</v>
          </cell>
          <cell r="E4112" t="str">
            <v>SEDANG</v>
          </cell>
          <cell r="F4112" t="str">
            <v>Tidak</v>
          </cell>
          <cell r="G4112" t="str">
            <v>Tidak</v>
          </cell>
          <cell r="H4112" t="str">
            <v>Tidak</v>
          </cell>
          <cell r="I4112" t="str">
            <v>Bandar Judol Depo</v>
          </cell>
          <cell r="J4112">
            <v>50</v>
          </cell>
          <cell r="K4112" t="str">
            <v>86,74,87</v>
          </cell>
          <cell r="L4112" t="str">
            <v>Judi Online</v>
          </cell>
          <cell r="M4112" t="str">
            <v xml:space="preserve">Kas Kanpus                              </v>
          </cell>
          <cell r="N4112" t="str">
            <v xml:space="preserve">Kas Kanpus                              </v>
          </cell>
          <cell r="O4112" t="str">
            <v xml:space="preserve">KAS KANPUS                              </v>
          </cell>
          <cell r="P4112" t="str">
            <v>Tidak</v>
          </cell>
          <cell r="Q4112" t="str">
            <v>Ya</v>
          </cell>
          <cell r="R4112" t="str">
            <v>Done</v>
          </cell>
          <cell r="S4112" t="str">
            <v>Approved</v>
          </cell>
          <cell r="T4112" t="str">
            <v>90171841 - Rifqi Aziz</v>
          </cell>
          <cell r="U4112" t="str">
            <v>"-"</v>
          </cell>
        </row>
        <row r="4113">
          <cell r="A4113">
            <v>46265</v>
          </cell>
          <cell r="B4113" t="str">
            <v xml:space="preserve">ELISABET DYAH ADIASTUTI                 </v>
          </cell>
          <cell r="C4113" t="str">
            <v>DA71599</v>
          </cell>
          <cell r="D4113">
            <v>685401017519530</v>
          </cell>
          <cell r="E4113" t="str">
            <v>TINGGI</v>
          </cell>
          <cell r="F4113" t="str">
            <v>Tidak</v>
          </cell>
          <cell r="G4113" t="str">
            <v>Ya</v>
          </cell>
          <cell r="H4113" t="str">
            <v>Tidak</v>
          </cell>
          <cell r="I4113" t="str">
            <v>Private or Priority Customer Investment</v>
          </cell>
          <cell r="J4113">
            <v>85</v>
          </cell>
          <cell r="K4113">
            <v>93</v>
          </cell>
          <cell r="L4113" t="str">
            <v>Pasar Modal</v>
          </cell>
          <cell r="M4113" t="str">
            <v xml:space="preserve">KC Yogyakarta Cik Ditiro                </v>
          </cell>
          <cell r="N4113" t="str">
            <v xml:space="preserve">KC Yogyakarta Cik Ditiro                </v>
          </cell>
          <cell r="O4113" t="str">
            <v xml:space="preserve">Yogyakarta                              </v>
          </cell>
          <cell r="P4113" t="str">
            <v>Tidak</v>
          </cell>
          <cell r="Q4113" t="str">
            <v>Tidak</v>
          </cell>
          <cell r="R4113" t="str">
            <v>Done</v>
          </cell>
          <cell r="S4113" t="str">
            <v>Approved</v>
          </cell>
          <cell r="T4113" t="str">
            <v>90150130 - Intan Aida Pratiwi</v>
          </cell>
          <cell r="U4113" t="str">
            <v>"-"</v>
          </cell>
        </row>
        <row r="4114">
          <cell r="A4114">
            <v>46265</v>
          </cell>
          <cell r="B4114" t="str">
            <v xml:space="preserve">DEFANKA SABRA GAGASTARA                 </v>
          </cell>
          <cell r="C4114" t="str">
            <v>DAAP710</v>
          </cell>
          <cell r="D4114">
            <v>208301003971531</v>
          </cell>
          <cell r="E4114" t="str">
            <v>SEDANG</v>
          </cell>
          <cell r="F4114" t="str">
            <v>Tidak</v>
          </cell>
          <cell r="G4114" t="str">
            <v>Tidak</v>
          </cell>
          <cell r="H4114" t="str">
            <v>Tidak</v>
          </cell>
          <cell r="I4114" t="str">
            <v>Bandar Judol Withdrawal</v>
          </cell>
          <cell r="J4114">
            <v>50</v>
          </cell>
          <cell r="K4114" t="str">
            <v>86,88,87</v>
          </cell>
          <cell r="L4114" t="str">
            <v>Judi Online</v>
          </cell>
          <cell r="M4114" t="str">
            <v xml:space="preserve">Kas Kanpus                              </v>
          </cell>
          <cell r="N4114" t="str">
            <v xml:space="preserve">Kas Kanpus                              </v>
          </cell>
          <cell r="O4114" t="str">
            <v xml:space="preserve">KAS KANPUS                              </v>
          </cell>
          <cell r="P4114" t="str">
            <v>Tidak</v>
          </cell>
          <cell r="Q4114" t="str">
            <v>Ya</v>
          </cell>
          <cell r="R4114" t="str">
            <v>Done</v>
          </cell>
          <cell r="S4114" t="str">
            <v>Approved</v>
          </cell>
          <cell r="T4114" t="str">
            <v>00394520 - Frida Akbar Rani</v>
          </cell>
          <cell r="U4114" t="str">
            <v>"-"</v>
          </cell>
        </row>
        <row r="4115">
          <cell r="A4115">
            <v>46265</v>
          </cell>
          <cell r="B4115" t="str">
            <v xml:space="preserve">DWI FAHRUL WAHYUDI                      </v>
          </cell>
          <cell r="C4115" t="str">
            <v>DANW055</v>
          </cell>
          <cell r="D4115">
            <v>15401070022508</v>
          </cell>
          <cell r="E4115" t="str">
            <v>TINGGI</v>
          </cell>
          <cell r="F4115" t="str">
            <v>Tidak</v>
          </cell>
          <cell r="G4115" t="str">
            <v>Tidak</v>
          </cell>
          <cell r="H4115" t="str">
            <v>Tidak</v>
          </cell>
          <cell r="I4115" t="str">
            <v>Bandar Judol Depo</v>
          </cell>
          <cell r="J4115">
            <v>65</v>
          </cell>
          <cell r="K4115" t="str">
            <v>86,74,87</v>
          </cell>
          <cell r="L4115" t="str">
            <v>Judi Online</v>
          </cell>
          <cell r="M4115" t="str">
            <v xml:space="preserve">Kas Kanpus                              </v>
          </cell>
          <cell r="N4115" t="str">
            <v xml:space="preserve">Kas Kanpus                              </v>
          </cell>
          <cell r="O4115" t="str">
            <v xml:space="preserve">KAS KANPUS                              </v>
          </cell>
          <cell r="P4115" t="str">
            <v>Tidak</v>
          </cell>
          <cell r="Q4115" t="str">
            <v>Ya</v>
          </cell>
          <cell r="R4115" t="str">
            <v>Done</v>
          </cell>
          <cell r="S4115" t="str">
            <v>Approved</v>
          </cell>
          <cell r="T4115" t="str">
            <v>00336949 - Mochammad Al Farabi</v>
          </cell>
          <cell r="U4115" t="str">
            <v>"-"</v>
          </cell>
        </row>
        <row r="4116">
          <cell r="A4116">
            <v>46265</v>
          </cell>
          <cell r="B4116" t="str">
            <v xml:space="preserve">DELY NAINGGOLAN                         </v>
          </cell>
          <cell r="C4116" t="str">
            <v>D448119</v>
          </cell>
          <cell r="D4116">
            <v>0</v>
          </cell>
          <cell r="E4116" t="str">
            <v>TINGGI</v>
          </cell>
          <cell r="F4116" t="str">
            <v>Tidak</v>
          </cell>
          <cell r="G4116" t="str">
            <v>Tidak</v>
          </cell>
          <cell r="H4116" t="str">
            <v>Tidak</v>
          </cell>
          <cell r="I4116" t="str">
            <v>Private or Priority Customer Investment</v>
          </cell>
          <cell r="J4116">
            <v>78</v>
          </cell>
          <cell r="K4116">
            <v>93</v>
          </cell>
          <cell r="L4116" t="str">
            <v>Pasar Modal</v>
          </cell>
          <cell r="M4116" t="str">
            <v xml:space="preserve">KC Jayapura                             </v>
          </cell>
          <cell r="N4116" t="str">
            <v xml:space="preserve">KC Jayapura                             </v>
          </cell>
          <cell r="O4116" t="str">
            <v xml:space="preserve">KANWIL JAYAPURA                         </v>
          </cell>
          <cell r="P4116" t="str">
            <v>Tidak</v>
          </cell>
          <cell r="Q4116" t="str">
            <v>Tidak</v>
          </cell>
          <cell r="R4116" t="str">
            <v>Done</v>
          </cell>
          <cell r="S4116" t="str">
            <v>Approved</v>
          </cell>
          <cell r="T4116" t="str">
            <v>00394521 - Muhammad Hibbanduta</v>
          </cell>
          <cell r="U4116" t="str">
            <v>"-"</v>
          </cell>
        </row>
        <row r="4117">
          <cell r="A4117">
            <v>46265</v>
          </cell>
          <cell r="B4117" t="str">
            <v xml:space="preserve">DANI                                    </v>
          </cell>
          <cell r="C4117" t="str">
            <v>DAM6537</v>
          </cell>
          <cell r="D4117">
            <v>169701000391562</v>
          </cell>
          <cell r="E4117" t="str">
            <v>SEDANG</v>
          </cell>
          <cell r="F4117" t="str">
            <v>Tidak</v>
          </cell>
          <cell r="G4117" t="str">
            <v>Tidak</v>
          </cell>
          <cell r="H4117" t="str">
            <v>Tidak</v>
          </cell>
          <cell r="I4117" t="str">
            <v>Bandar Judol Withdrawal</v>
          </cell>
          <cell r="J4117">
            <v>50</v>
          </cell>
          <cell r="K4117" t="str">
            <v>86,88,87</v>
          </cell>
          <cell r="L4117" t="str">
            <v>Judi Online</v>
          </cell>
          <cell r="M4117" t="str">
            <v xml:space="preserve">Kas Kanpus                              </v>
          </cell>
          <cell r="N4117" t="str">
            <v xml:space="preserve">Kas Kanpus                              </v>
          </cell>
          <cell r="O4117" t="str">
            <v xml:space="preserve">KAS KANPUS                              </v>
          </cell>
          <cell r="P4117" t="str">
            <v>Ya</v>
          </cell>
          <cell r="Q4117" t="str">
            <v>Ya</v>
          </cell>
          <cell r="R4117" t="str">
            <v>Done</v>
          </cell>
          <cell r="S4117" t="str">
            <v>Approved</v>
          </cell>
          <cell r="T4117" t="str">
            <v>90186790 - Muhammad Alfin Farha</v>
          </cell>
          <cell r="U4117" t="str">
            <v>"-"</v>
          </cell>
        </row>
        <row r="4118">
          <cell r="A4118">
            <v>46265</v>
          </cell>
          <cell r="B4118" t="str">
            <v xml:space="preserve">DITA ANNISA TAURISKA                    </v>
          </cell>
          <cell r="C4118" t="str">
            <v>DDZI897</v>
          </cell>
          <cell r="D4118">
            <v>58801000574564</v>
          </cell>
          <cell r="E4118" t="str">
            <v>SEDANG</v>
          </cell>
          <cell r="F4118" t="str">
            <v>Tidak</v>
          </cell>
          <cell r="G4118" t="str">
            <v>Tidak</v>
          </cell>
          <cell r="H4118" t="str">
            <v>Tidak</v>
          </cell>
          <cell r="I4118" t="str">
            <v>Bandar Judol Withdrawal</v>
          </cell>
          <cell r="J4118">
            <v>50</v>
          </cell>
          <cell r="K4118" t="str">
            <v>86,88,87</v>
          </cell>
          <cell r="L4118" t="str">
            <v>Judi Online</v>
          </cell>
          <cell r="M4118" t="str">
            <v xml:space="preserve">Kas Kanpus                              </v>
          </cell>
          <cell r="N4118" t="str">
            <v xml:space="preserve">Kas Kanpus                              </v>
          </cell>
          <cell r="O4118" t="str">
            <v xml:space="preserve">KAS KANPUS                              </v>
          </cell>
          <cell r="P4118" t="str">
            <v>Ya</v>
          </cell>
          <cell r="Q4118" t="str">
            <v>Ya</v>
          </cell>
          <cell r="R4118" t="str">
            <v>Done</v>
          </cell>
          <cell r="S4118" t="str">
            <v>Approved</v>
          </cell>
          <cell r="T4118" t="str">
            <v>90186796 - Devito Arya Wiradila</v>
          </cell>
          <cell r="U4118" t="str">
            <v>"-"</v>
          </cell>
        </row>
        <row r="4119">
          <cell r="A4119">
            <v>46265</v>
          </cell>
          <cell r="B4119" t="str">
            <v xml:space="preserve">D A N I                                 </v>
          </cell>
          <cell r="C4119" t="str">
            <v>DDZX235</v>
          </cell>
          <cell r="D4119">
            <v>86901052407537</v>
          </cell>
          <cell r="E4119" t="str">
            <v>SEDANG</v>
          </cell>
          <cell r="F4119" t="str">
            <v>Tidak</v>
          </cell>
          <cell r="G4119" t="str">
            <v>Tidak</v>
          </cell>
          <cell r="H4119" t="str">
            <v>Tidak</v>
          </cell>
          <cell r="I4119" t="str">
            <v>Bandar Judol Withdrawal</v>
          </cell>
          <cell r="J4119">
            <v>50</v>
          </cell>
          <cell r="K4119" t="str">
            <v>86,88,87</v>
          </cell>
          <cell r="L4119" t="str">
            <v>Judi Online</v>
          </cell>
          <cell r="M4119" t="str">
            <v xml:space="preserve">Kas Kanpus                              </v>
          </cell>
          <cell r="N4119" t="str">
            <v xml:space="preserve">Kas Kanpus                              </v>
          </cell>
          <cell r="O4119" t="str">
            <v xml:space="preserve">KAS KANPUS                              </v>
          </cell>
          <cell r="P4119" t="str">
            <v>Tidak</v>
          </cell>
          <cell r="Q4119" t="str">
            <v>Ya</v>
          </cell>
          <cell r="R4119" t="str">
            <v>Done</v>
          </cell>
          <cell r="S4119" t="str">
            <v>Approved</v>
          </cell>
          <cell r="T4119" t="str">
            <v>90150130 - Intan Aida Pratiwi</v>
          </cell>
          <cell r="U4119" t="str">
            <v>"-"</v>
          </cell>
        </row>
        <row r="4120">
          <cell r="A4120">
            <v>46265</v>
          </cell>
          <cell r="B4120" t="str">
            <v xml:space="preserve">DASAR                                   </v>
          </cell>
          <cell r="C4120" t="str">
            <v>DE68909</v>
          </cell>
          <cell r="D4120">
            <v>371801016084537</v>
          </cell>
          <cell r="E4120" t="str">
            <v>SEDANG</v>
          </cell>
          <cell r="F4120" t="str">
            <v>Ya</v>
          </cell>
          <cell r="G4120" t="str">
            <v>Tidak</v>
          </cell>
          <cell r="H4120" t="str">
            <v>Tidak</v>
          </cell>
          <cell r="I4120" t="str">
            <v>Bandar Judol Depo</v>
          </cell>
          <cell r="J4120">
            <v>60</v>
          </cell>
          <cell r="K4120" t="str">
            <v>86,74,87</v>
          </cell>
          <cell r="L4120" t="str">
            <v>Judi Online</v>
          </cell>
          <cell r="M4120" t="str">
            <v xml:space="preserve">Kas Kanpus                              </v>
          </cell>
          <cell r="N4120" t="str">
            <v xml:space="preserve">Kas Kanpus                              </v>
          </cell>
          <cell r="O4120" t="str">
            <v xml:space="preserve">KAS KANPUS                              </v>
          </cell>
          <cell r="P4120" t="str">
            <v>Tidak</v>
          </cell>
          <cell r="Q4120" t="str">
            <v>Tidak</v>
          </cell>
          <cell r="R4120" t="str">
            <v>Done</v>
          </cell>
          <cell r="S4120" t="str">
            <v>Approved</v>
          </cell>
          <cell r="T4120" t="str">
            <v>00394520 - Frida Akbar Rani</v>
          </cell>
          <cell r="U4120" t="str">
            <v>"-"</v>
          </cell>
        </row>
        <row r="4121">
          <cell r="A4121">
            <v>46265</v>
          </cell>
          <cell r="B4121" t="str">
            <v xml:space="preserve">DINA TRIYANI                            </v>
          </cell>
          <cell r="C4121" t="str">
            <v>DDVA829</v>
          </cell>
          <cell r="D4121">
            <v>112901001097566</v>
          </cell>
          <cell r="E4121" t="str">
            <v>SEDANG</v>
          </cell>
          <cell r="F4121" t="str">
            <v>Tidak</v>
          </cell>
          <cell r="G4121" t="str">
            <v>Tidak</v>
          </cell>
          <cell r="H4121" t="str">
            <v>Tidak</v>
          </cell>
          <cell r="I4121" t="str">
            <v>Bandar Judol Withdrawal</v>
          </cell>
          <cell r="J4121">
            <v>50</v>
          </cell>
          <cell r="K4121" t="str">
            <v>86,88,87</v>
          </cell>
          <cell r="L4121" t="str">
            <v>Judi Online</v>
          </cell>
          <cell r="M4121" t="str">
            <v xml:space="preserve">Kas Kanpus                              </v>
          </cell>
          <cell r="N4121" t="str">
            <v xml:space="preserve">Kas Kanpus                              </v>
          </cell>
          <cell r="O4121" t="str">
            <v xml:space="preserve">KAS KANPUS                              </v>
          </cell>
          <cell r="P4121" t="str">
            <v>Ya</v>
          </cell>
          <cell r="Q4121" t="str">
            <v>Ya</v>
          </cell>
          <cell r="R4121" t="str">
            <v>Done</v>
          </cell>
          <cell r="S4121" t="str">
            <v>Approved</v>
          </cell>
          <cell r="T4121" t="str">
            <v>90186796 - Devito Arya Wiradila</v>
          </cell>
          <cell r="U4121" t="str">
            <v>"-"</v>
          </cell>
        </row>
        <row r="4122">
          <cell r="A4122">
            <v>46265</v>
          </cell>
          <cell r="B4122" t="str">
            <v xml:space="preserve">DINDA YUNI ANITA                        </v>
          </cell>
          <cell r="C4122" t="str">
            <v>DEBP832</v>
          </cell>
          <cell r="D4122">
            <v>112901038826504</v>
          </cell>
          <cell r="E4122" t="str">
            <v>SEDANG</v>
          </cell>
          <cell r="F4122" t="str">
            <v>Tidak</v>
          </cell>
          <cell r="G4122" t="str">
            <v>Tidak</v>
          </cell>
          <cell r="H4122" t="str">
            <v>Tidak</v>
          </cell>
          <cell r="I4122" t="str">
            <v>Bandar Judol Withdrawal</v>
          </cell>
          <cell r="J4122">
            <v>50</v>
          </cell>
          <cell r="K4122" t="str">
            <v>86,88,87</v>
          </cell>
          <cell r="L4122" t="str">
            <v>Judi Online</v>
          </cell>
          <cell r="M4122" t="str">
            <v xml:space="preserve">Kas Kanpus                              </v>
          </cell>
          <cell r="N4122" t="str">
            <v xml:space="preserve">Kas Kanpus                              </v>
          </cell>
          <cell r="O4122" t="str">
            <v xml:space="preserve">KAS KANPUS                              </v>
          </cell>
          <cell r="P4122" t="str">
            <v>Ya</v>
          </cell>
          <cell r="Q4122" t="str">
            <v>Ya</v>
          </cell>
          <cell r="R4122" t="str">
            <v>Done</v>
          </cell>
          <cell r="S4122" t="str">
            <v>Approved</v>
          </cell>
          <cell r="T4122" t="str">
            <v>90185538 - Muhammad Fahikal Auz</v>
          </cell>
          <cell r="U4122" t="str">
            <v>"-"</v>
          </cell>
        </row>
        <row r="4123">
          <cell r="A4123">
            <v>46265</v>
          </cell>
          <cell r="B4123" t="str">
            <v xml:space="preserve">DIKY PUTRA SIWI                         </v>
          </cell>
          <cell r="C4123" t="str">
            <v>DEI4060</v>
          </cell>
          <cell r="D4123">
            <v>12201171303509</v>
          </cell>
          <cell r="E4123" t="str">
            <v>SEDANG</v>
          </cell>
          <cell r="F4123" t="str">
            <v>Tidak</v>
          </cell>
          <cell r="G4123" t="str">
            <v>Tidak</v>
          </cell>
          <cell r="H4123" t="str">
            <v>Tidak</v>
          </cell>
          <cell r="I4123" t="str">
            <v>Terorisme - SIPENDAR</v>
          </cell>
          <cell r="J4123">
            <v>169</v>
          </cell>
          <cell r="K4123">
            <v>36</v>
          </cell>
          <cell r="L4123" t="str">
            <v>Terorisme</v>
          </cell>
          <cell r="M4123" t="str">
            <v xml:space="preserve">Kas Kanpus                              </v>
          </cell>
          <cell r="N4123" t="str">
            <v xml:space="preserve">Kas Kanpus                              </v>
          </cell>
          <cell r="O4123" t="str">
            <v xml:space="preserve">KAS KANPUS                              </v>
          </cell>
          <cell r="P4123" t="str">
            <v>Ya</v>
          </cell>
          <cell r="Q4123" t="str">
            <v>Ya</v>
          </cell>
          <cell r="R4123" t="str">
            <v>Done</v>
          </cell>
          <cell r="S4123" t="str">
            <v>Approved</v>
          </cell>
          <cell r="T4123" t="str">
            <v>90185538 - Muhammad Fahikal Auz</v>
          </cell>
          <cell r="U4123" t="str">
            <v>"-"</v>
          </cell>
        </row>
        <row r="4124">
          <cell r="A4124">
            <v>46265</v>
          </cell>
          <cell r="B4124" t="str">
            <v xml:space="preserve">DEDY VALENTINO SIANIPAR                 </v>
          </cell>
          <cell r="C4124" t="str">
            <v>DEIJ126</v>
          </cell>
          <cell r="D4124">
            <v>33601150616500</v>
          </cell>
          <cell r="E4124" t="str">
            <v>SEDANG</v>
          </cell>
          <cell r="F4124" t="str">
            <v>Tidak</v>
          </cell>
          <cell r="G4124" t="str">
            <v>Tidak</v>
          </cell>
          <cell r="H4124" t="str">
            <v>Tidak</v>
          </cell>
          <cell r="I4124" t="str">
            <v>Bandar Judol Withdrawal</v>
          </cell>
          <cell r="J4124">
            <v>50</v>
          </cell>
          <cell r="K4124" t="str">
            <v>86,88,87</v>
          </cell>
          <cell r="L4124" t="str">
            <v>Judi Online</v>
          </cell>
          <cell r="M4124" t="str">
            <v xml:space="preserve">Kas Kanpus                              </v>
          </cell>
          <cell r="N4124" t="str">
            <v xml:space="preserve">Kas Kanpus                              </v>
          </cell>
          <cell r="O4124" t="str">
            <v xml:space="preserve">KAS KANPUS                              </v>
          </cell>
          <cell r="P4124" t="str">
            <v>Ya</v>
          </cell>
          <cell r="Q4124" t="str">
            <v>Ya</v>
          </cell>
          <cell r="R4124" t="str">
            <v>Done</v>
          </cell>
          <cell r="S4124" t="str">
            <v>Approved</v>
          </cell>
          <cell r="T4124" t="str">
            <v>90150130 - Intan Aida Pratiwi</v>
          </cell>
          <cell r="U4124" t="str">
            <v>"-"</v>
          </cell>
        </row>
        <row r="4125">
          <cell r="A4125">
            <v>46265</v>
          </cell>
          <cell r="B4125" t="str">
            <v xml:space="preserve">DODI RIANSYAH                           </v>
          </cell>
          <cell r="C4125">
            <v>2156728</v>
          </cell>
          <cell r="D4125">
            <v>52001000025565</v>
          </cell>
          <cell r="E4125" t="str">
            <v>SEDANG</v>
          </cell>
          <cell r="F4125" t="str">
            <v>Tidak</v>
          </cell>
          <cell r="G4125" t="str">
            <v>Tidak</v>
          </cell>
          <cell r="H4125" t="str">
            <v>Tidak</v>
          </cell>
          <cell r="I4125" t="str">
            <v>Bandar Judol Withdrawal</v>
          </cell>
          <cell r="J4125">
            <v>50</v>
          </cell>
          <cell r="K4125" t="str">
            <v>86,88,87</v>
          </cell>
          <cell r="L4125" t="str">
            <v>Judi Online</v>
          </cell>
          <cell r="M4125" t="str">
            <v xml:space="preserve">Kas Kanpus                              </v>
          </cell>
          <cell r="N4125" t="str">
            <v xml:space="preserve">Kas Kanpus                              </v>
          </cell>
          <cell r="O4125" t="str">
            <v xml:space="preserve">KAS KANPUS                              </v>
          </cell>
          <cell r="P4125" t="str">
            <v>Ya</v>
          </cell>
          <cell r="Q4125" t="str">
            <v>Ya</v>
          </cell>
          <cell r="R4125" t="str">
            <v>Done</v>
          </cell>
          <cell r="S4125" t="str">
            <v>Approved</v>
          </cell>
          <cell r="T4125" t="str">
            <v>00394520 - Frida Akbar Rani</v>
          </cell>
          <cell r="U4125" t="str">
            <v>"-"</v>
          </cell>
        </row>
        <row r="4126">
          <cell r="A4126">
            <v>46265</v>
          </cell>
          <cell r="B4126" t="str">
            <v xml:space="preserve">DASIKA                                  </v>
          </cell>
          <cell r="C4126" t="str">
            <v>DEJH208</v>
          </cell>
          <cell r="D4126">
            <v>120401007089505</v>
          </cell>
          <cell r="E4126" t="str">
            <v>SEDANG</v>
          </cell>
          <cell r="F4126" t="str">
            <v>Tidak</v>
          </cell>
          <cell r="G4126" t="str">
            <v>Tidak</v>
          </cell>
          <cell r="H4126" t="str">
            <v>Tidak</v>
          </cell>
          <cell r="I4126" t="str">
            <v>Bandar Judol Depo</v>
          </cell>
          <cell r="J4126">
            <v>50</v>
          </cell>
          <cell r="K4126" t="str">
            <v>86,74,87</v>
          </cell>
          <cell r="L4126" t="str">
            <v>Judi Online</v>
          </cell>
          <cell r="M4126" t="str">
            <v xml:space="preserve">Kas Kanpus                              </v>
          </cell>
          <cell r="N4126" t="str">
            <v xml:space="preserve">Kas Kanpus                              </v>
          </cell>
          <cell r="O4126" t="str">
            <v xml:space="preserve">KAS KANPUS                              </v>
          </cell>
          <cell r="P4126" t="str">
            <v>Ya</v>
          </cell>
          <cell r="Q4126" t="str">
            <v>Ya</v>
          </cell>
          <cell r="R4126" t="str">
            <v>Done</v>
          </cell>
          <cell r="S4126" t="str">
            <v>Approved</v>
          </cell>
          <cell r="T4126" t="str">
            <v>00394521 - Muhammad Hibbanduta</v>
          </cell>
          <cell r="U4126" t="str">
            <v>"-"</v>
          </cell>
        </row>
        <row r="4127">
          <cell r="A4127">
            <v>46265</v>
          </cell>
          <cell r="B4127" t="str">
            <v xml:space="preserve">DENDY ANDHIKA RIANSYAH                  </v>
          </cell>
          <cell r="C4127" t="str">
            <v>DEKF012</v>
          </cell>
          <cell r="D4127">
            <v>204601000680563</v>
          </cell>
          <cell r="E4127" t="str">
            <v>SEDANG</v>
          </cell>
          <cell r="F4127" t="str">
            <v>Tidak</v>
          </cell>
          <cell r="G4127" t="str">
            <v>Tidak</v>
          </cell>
          <cell r="H4127" t="str">
            <v>Tidak</v>
          </cell>
          <cell r="I4127" t="str">
            <v>Bandar Judol Withdrawal</v>
          </cell>
          <cell r="J4127">
            <v>50</v>
          </cell>
          <cell r="K4127" t="str">
            <v>86,88,87</v>
          </cell>
          <cell r="L4127" t="str">
            <v>Judi Online</v>
          </cell>
          <cell r="M4127" t="str">
            <v xml:space="preserve">Kas Kanpus                              </v>
          </cell>
          <cell r="N4127" t="str">
            <v xml:space="preserve">Kas Kanpus                              </v>
          </cell>
          <cell r="O4127" t="str">
            <v xml:space="preserve">KAS KANPUS                              </v>
          </cell>
          <cell r="P4127" t="str">
            <v>Ya</v>
          </cell>
          <cell r="Q4127" t="str">
            <v>Ya</v>
          </cell>
          <cell r="R4127" t="str">
            <v>Done</v>
          </cell>
          <cell r="S4127" t="str">
            <v>Approved</v>
          </cell>
          <cell r="T4127" t="str">
            <v>90185537 - Moh.Khoerul Fajar Ar</v>
          </cell>
          <cell r="U4127" t="str">
            <v>"-"</v>
          </cell>
        </row>
        <row r="4128">
          <cell r="A4128">
            <v>46265</v>
          </cell>
          <cell r="B4128" t="str">
            <v xml:space="preserve">DEWI INDASARI                           </v>
          </cell>
          <cell r="C4128" t="str">
            <v>DDDR781</v>
          </cell>
          <cell r="D4128">
            <v>65801000796563</v>
          </cell>
          <cell r="E4128" t="str">
            <v>SEDANG</v>
          </cell>
          <cell r="F4128" t="str">
            <v>Tidak</v>
          </cell>
          <cell r="G4128" t="str">
            <v>Tidak</v>
          </cell>
          <cell r="H4128" t="str">
            <v>Tidak</v>
          </cell>
          <cell r="I4128" t="str">
            <v>Bandar Judol Withdrawal</v>
          </cell>
          <cell r="J4128">
            <v>50</v>
          </cell>
          <cell r="K4128" t="str">
            <v>86,88,87</v>
          </cell>
          <cell r="L4128" t="str">
            <v>Judi Online</v>
          </cell>
          <cell r="M4128" t="str">
            <v xml:space="preserve">Kas Kanpus                              </v>
          </cell>
          <cell r="N4128" t="str">
            <v xml:space="preserve">Kas Kanpus                              </v>
          </cell>
          <cell r="O4128" t="str">
            <v xml:space="preserve">KAS KANPUS                              </v>
          </cell>
          <cell r="P4128" t="str">
            <v>Ya</v>
          </cell>
          <cell r="Q4128" t="str">
            <v>Ya</v>
          </cell>
          <cell r="R4128" t="str">
            <v>Done</v>
          </cell>
          <cell r="S4128" t="str">
            <v>Approved</v>
          </cell>
          <cell r="T4128" t="str">
            <v>90150130 - Intan Aida Pratiwi</v>
          </cell>
          <cell r="U4128" t="str">
            <v>"-"</v>
          </cell>
        </row>
        <row r="4129">
          <cell r="A4129">
            <v>46265</v>
          </cell>
          <cell r="B4129" t="str">
            <v xml:space="preserve">DEA MAULIDINA AZHARI                    </v>
          </cell>
          <cell r="C4129" t="str">
            <v>DDOZ578</v>
          </cell>
          <cell r="D4129">
            <v>37901058045506</v>
          </cell>
          <cell r="E4129" t="str">
            <v>SEDANG</v>
          </cell>
          <cell r="F4129" t="str">
            <v>Tidak</v>
          </cell>
          <cell r="G4129" t="str">
            <v>Tidak</v>
          </cell>
          <cell r="H4129" t="str">
            <v>Tidak</v>
          </cell>
          <cell r="I4129" t="str">
            <v>Bandar Judol Withdrawal</v>
          </cell>
          <cell r="J4129">
            <v>50</v>
          </cell>
          <cell r="K4129" t="str">
            <v>86,88,87</v>
          </cell>
          <cell r="L4129" t="str">
            <v>Judi Online</v>
          </cell>
          <cell r="M4129" t="str">
            <v xml:space="preserve">Kas Kanpus                              </v>
          </cell>
          <cell r="N4129" t="str">
            <v xml:space="preserve">Kas Kanpus                              </v>
          </cell>
          <cell r="O4129" t="str">
            <v xml:space="preserve">KAS KANPUS                              </v>
          </cell>
          <cell r="P4129" t="str">
            <v>Ya</v>
          </cell>
          <cell r="Q4129" t="str">
            <v>Ya</v>
          </cell>
          <cell r="R4129" t="str">
            <v>Done</v>
          </cell>
          <cell r="S4129" t="str">
            <v>Approved</v>
          </cell>
          <cell r="T4129" t="str">
            <v>90171841 - Rifqi Aziz</v>
          </cell>
          <cell r="U4129" t="str">
            <v>"-"</v>
          </cell>
        </row>
        <row r="4130">
          <cell r="A4130">
            <v>46265</v>
          </cell>
          <cell r="B4130" t="str">
            <v xml:space="preserve">DILA MURSILA HASANAH                    </v>
          </cell>
          <cell r="C4130" t="str">
            <v>DDAI844</v>
          </cell>
          <cell r="D4130">
            <v>12001002565569</v>
          </cell>
          <cell r="E4130" t="str">
            <v>SEDANG</v>
          </cell>
          <cell r="F4130" t="str">
            <v>Tidak</v>
          </cell>
          <cell r="G4130" t="str">
            <v>Tidak</v>
          </cell>
          <cell r="H4130" t="str">
            <v>Tidak</v>
          </cell>
          <cell r="I4130" t="str">
            <v>Bandar Judol Withdrawal</v>
          </cell>
          <cell r="J4130">
            <v>50</v>
          </cell>
          <cell r="K4130" t="str">
            <v>86,88,87</v>
          </cell>
          <cell r="L4130" t="str">
            <v>Judi Online</v>
          </cell>
          <cell r="M4130" t="str">
            <v xml:space="preserve">Kas Kanpus                              </v>
          </cell>
          <cell r="N4130" t="str">
            <v xml:space="preserve">Kas Kanpus                              </v>
          </cell>
          <cell r="O4130" t="str">
            <v xml:space="preserve">KAS KANPUS                              </v>
          </cell>
          <cell r="P4130" t="str">
            <v>Ya</v>
          </cell>
          <cell r="Q4130" t="str">
            <v>Ya</v>
          </cell>
          <cell r="R4130" t="str">
            <v>Done</v>
          </cell>
          <cell r="S4130" t="str">
            <v>Approved</v>
          </cell>
          <cell r="T4130" t="str">
            <v>00394521 - Muhammad Hibbanduta</v>
          </cell>
          <cell r="U4130" t="str">
            <v>"-"</v>
          </cell>
        </row>
        <row r="4131">
          <cell r="A4131">
            <v>46265</v>
          </cell>
          <cell r="B4131" t="str">
            <v xml:space="preserve">DENI IRAWAN                             </v>
          </cell>
          <cell r="C4131" t="str">
            <v>DCST044</v>
          </cell>
          <cell r="D4131">
            <v>223901008713501</v>
          </cell>
          <cell r="E4131" t="str">
            <v>SEDANG</v>
          </cell>
          <cell r="F4131" t="str">
            <v>Tidak</v>
          </cell>
          <cell r="G4131" t="str">
            <v>Tidak</v>
          </cell>
          <cell r="H4131" t="str">
            <v>Ya</v>
          </cell>
          <cell r="I4131" t="str">
            <v>Narkotika - Area Lapas</v>
          </cell>
          <cell r="J4131">
            <v>49</v>
          </cell>
          <cell r="K4131">
            <v>46</v>
          </cell>
          <cell r="L4131" t="str">
            <v>Narkotika</v>
          </cell>
          <cell r="M4131" t="str">
            <v>KCP SUNGAI BAHAR</v>
          </cell>
          <cell r="N4131" t="str">
            <v>KC Muara Bulian</v>
          </cell>
          <cell r="O4131" t="str">
            <v>Palembang</v>
          </cell>
          <cell r="P4131" t="str">
            <v>Tidak</v>
          </cell>
          <cell r="Q4131" t="str">
            <v>Tidak</v>
          </cell>
          <cell r="R4131" t="str">
            <v>Done</v>
          </cell>
          <cell r="S4131" t="str">
            <v>Approved</v>
          </cell>
          <cell r="T4131" t="str">
            <v>00394521 - Muhammad Hibbanduta</v>
          </cell>
          <cell r="U4131" t="str">
            <v>"-"</v>
          </cell>
        </row>
        <row r="4132">
          <cell r="A4132">
            <v>46265</v>
          </cell>
          <cell r="B4132" t="str">
            <v xml:space="preserve">DWI KUMOROWATI                          </v>
          </cell>
          <cell r="C4132" t="str">
            <v>DCU3075</v>
          </cell>
          <cell r="D4132">
            <v>5326599000003200</v>
          </cell>
          <cell r="E4132" t="str">
            <v>SEDANG</v>
          </cell>
          <cell r="F4132" t="str">
            <v>Tidak</v>
          </cell>
          <cell r="G4132" t="str">
            <v>Tidak</v>
          </cell>
          <cell r="H4132" t="str">
            <v>Tidak</v>
          </cell>
          <cell r="I4132" t="str">
            <v>Private or Priority Customer Investment</v>
          </cell>
          <cell r="J4132">
            <v>68</v>
          </cell>
          <cell r="K4132">
            <v>93</v>
          </cell>
          <cell r="L4132" t="str">
            <v>Pasar Modal</v>
          </cell>
          <cell r="M4132" t="str">
            <v xml:space="preserve">KC Yogyakarta Cik Ditiro                </v>
          </cell>
          <cell r="N4132" t="str">
            <v xml:space="preserve">KC Yogyakarta Cik Ditiro                </v>
          </cell>
          <cell r="O4132" t="str">
            <v xml:space="preserve">Yogyakarta                              </v>
          </cell>
          <cell r="P4132" t="str">
            <v>Tidak</v>
          </cell>
          <cell r="Q4132" t="str">
            <v>Tidak</v>
          </cell>
          <cell r="R4132" t="str">
            <v>Done</v>
          </cell>
          <cell r="S4132" t="str">
            <v>Approved</v>
          </cell>
          <cell r="T4132" t="str">
            <v>00336949 - Mochammad Al Farabi</v>
          </cell>
          <cell r="U4132" t="str">
            <v>"-"</v>
          </cell>
        </row>
        <row r="4133">
          <cell r="A4133">
            <v>46265</v>
          </cell>
          <cell r="B4133" t="str">
            <v xml:space="preserve">DWI ATMAJA MAHARDIKA                    </v>
          </cell>
          <cell r="C4133" t="str">
            <v>DCVN025</v>
          </cell>
          <cell r="D4133">
            <v>777201000014562</v>
          </cell>
          <cell r="E4133" t="str">
            <v>SEDANG</v>
          </cell>
          <cell r="F4133" t="str">
            <v>Tidak</v>
          </cell>
          <cell r="G4133" t="str">
            <v>Tidak</v>
          </cell>
          <cell r="H4133" t="str">
            <v>Tidak</v>
          </cell>
          <cell r="I4133" t="str">
            <v>Bandar Judol Withdrawal</v>
          </cell>
          <cell r="J4133">
            <v>50</v>
          </cell>
          <cell r="K4133" t="str">
            <v>86,88,87</v>
          </cell>
          <cell r="L4133" t="str">
            <v>Judi Online</v>
          </cell>
          <cell r="M4133" t="str">
            <v xml:space="preserve">Kas Kanpus                              </v>
          </cell>
          <cell r="N4133" t="str">
            <v xml:space="preserve">Kas Kanpus                              </v>
          </cell>
          <cell r="O4133" t="str">
            <v xml:space="preserve">KAS KANPUS                              </v>
          </cell>
          <cell r="P4133" t="str">
            <v>Tidak</v>
          </cell>
          <cell r="Q4133" t="str">
            <v>Ya</v>
          </cell>
          <cell r="R4133" t="str">
            <v>Done</v>
          </cell>
          <cell r="S4133" t="str">
            <v>Approved</v>
          </cell>
          <cell r="T4133" t="str">
            <v>90186790 - Muhammad Alfin Farha</v>
          </cell>
          <cell r="U4133" t="str">
            <v>"-"</v>
          </cell>
        </row>
        <row r="4134">
          <cell r="A4134">
            <v>46265</v>
          </cell>
          <cell r="B4134" t="str">
            <v xml:space="preserve">DIAN PERMATASARI                        </v>
          </cell>
          <cell r="C4134" t="str">
            <v>DCXD910</v>
          </cell>
          <cell r="D4134">
            <v>109201037100502</v>
          </cell>
          <cell r="E4134" t="str">
            <v>SEDANG</v>
          </cell>
          <cell r="F4134" t="str">
            <v>Tidak</v>
          </cell>
          <cell r="G4134" t="str">
            <v>Tidak</v>
          </cell>
          <cell r="H4134" t="str">
            <v>Ya</v>
          </cell>
          <cell r="I4134" t="str">
            <v>Bandar Judol Depo</v>
          </cell>
          <cell r="J4134">
            <v>50</v>
          </cell>
          <cell r="K4134" t="str">
            <v>86,74,87</v>
          </cell>
          <cell r="L4134" t="str">
            <v>Judi Online</v>
          </cell>
          <cell r="M4134" t="str">
            <v xml:space="preserve">Kas Kanpus                              </v>
          </cell>
          <cell r="N4134" t="str">
            <v xml:space="preserve">Kas Kanpus                              </v>
          </cell>
          <cell r="O4134" t="str">
            <v xml:space="preserve">KAS KANPUS                              </v>
          </cell>
          <cell r="P4134" t="str">
            <v>Ya</v>
          </cell>
          <cell r="Q4134" t="str">
            <v>Ya</v>
          </cell>
          <cell r="R4134" t="str">
            <v>Done</v>
          </cell>
          <cell r="S4134" t="str">
            <v>Approved</v>
          </cell>
          <cell r="T4134" t="str">
            <v>90150130 - Intan Aida Pratiwi</v>
          </cell>
          <cell r="U4134" t="str">
            <v>"-"</v>
          </cell>
        </row>
        <row r="4135">
          <cell r="A4135">
            <v>46265</v>
          </cell>
          <cell r="B4135" t="str">
            <v xml:space="preserve">YUSUF SAFTIAN                           </v>
          </cell>
          <cell r="C4135" t="str">
            <v>YPH3678</v>
          </cell>
          <cell r="D4135">
            <v>113401000800561</v>
          </cell>
          <cell r="E4135" t="str">
            <v>SEDANG</v>
          </cell>
          <cell r="F4135" t="str">
            <v>Tidak</v>
          </cell>
          <cell r="G4135" t="str">
            <v>Tidak</v>
          </cell>
          <cell r="H4135" t="str">
            <v>Tidak</v>
          </cell>
          <cell r="I4135" t="str">
            <v>Bandar Judol Withdrawal</v>
          </cell>
          <cell r="J4135">
            <v>50</v>
          </cell>
          <cell r="K4135" t="str">
            <v>86,88,87</v>
          </cell>
          <cell r="L4135" t="str">
            <v>Judi Online</v>
          </cell>
          <cell r="M4135" t="str">
            <v xml:space="preserve">Kas Kanpus                              </v>
          </cell>
          <cell r="N4135" t="str">
            <v xml:space="preserve">Kas Kanpus                              </v>
          </cell>
          <cell r="O4135" t="str">
            <v xml:space="preserve">KAS KANPUS                              </v>
          </cell>
          <cell r="P4135" t="str">
            <v>Ya</v>
          </cell>
          <cell r="Q4135" t="str">
            <v>Ya</v>
          </cell>
          <cell r="R4135" t="str">
            <v>Done</v>
          </cell>
          <cell r="S4135" t="str">
            <v>Approved</v>
          </cell>
          <cell r="T4135" t="str">
            <v>90171841 - Rifqi Aziz</v>
          </cell>
          <cell r="U4135" t="str">
            <v>"-"</v>
          </cell>
        </row>
        <row r="4136">
          <cell r="A4136">
            <v>46265</v>
          </cell>
          <cell r="B4136" t="str">
            <v xml:space="preserve">YAHYA EFENDI TARIGAN                    </v>
          </cell>
          <cell r="C4136" t="str">
            <v>YNO0338</v>
          </cell>
          <cell r="D4136">
            <v>26601104365500</v>
          </cell>
          <cell r="E4136" t="str">
            <v>SEDANG</v>
          </cell>
          <cell r="F4136" t="str">
            <v>Tidak</v>
          </cell>
          <cell r="G4136" t="str">
            <v>Tidak</v>
          </cell>
          <cell r="H4136" t="str">
            <v>Tidak</v>
          </cell>
          <cell r="I4136" t="str">
            <v>Bandar Judol Withdrawal</v>
          </cell>
          <cell r="J4136">
            <v>50</v>
          </cell>
          <cell r="K4136" t="str">
            <v>86,88,87</v>
          </cell>
          <cell r="L4136" t="str">
            <v>Judi Online</v>
          </cell>
          <cell r="M4136" t="str">
            <v xml:space="preserve">Kas Kanpus                              </v>
          </cell>
          <cell r="N4136" t="str">
            <v xml:space="preserve">Kas Kanpus                              </v>
          </cell>
          <cell r="O4136" t="str">
            <v xml:space="preserve">KAS KANPUS                              </v>
          </cell>
          <cell r="P4136" t="str">
            <v>Ya</v>
          </cell>
          <cell r="Q4136" t="str">
            <v>Tidak</v>
          </cell>
          <cell r="R4136" t="str">
            <v>Done</v>
          </cell>
          <cell r="S4136" t="str">
            <v>Approved</v>
          </cell>
          <cell r="T4136" t="str">
            <v>90170665 - Mutiara Ayuningtyas</v>
          </cell>
          <cell r="U4136" t="str">
            <v>"-"</v>
          </cell>
        </row>
        <row r="4137">
          <cell r="A4137">
            <v>46265</v>
          </cell>
          <cell r="B4137" t="str">
            <v xml:space="preserve">YONG SUI LING                           </v>
          </cell>
          <cell r="C4137" t="str">
            <v>YNC9180</v>
          </cell>
          <cell r="D4137">
            <v>63301002317563</v>
          </cell>
          <cell r="E4137" t="str">
            <v>TINGGI</v>
          </cell>
          <cell r="F4137" t="str">
            <v>Tidak</v>
          </cell>
          <cell r="G4137" t="str">
            <v>Tidak</v>
          </cell>
          <cell r="H4137" t="str">
            <v>Tidak</v>
          </cell>
          <cell r="I4137" t="str">
            <v>Bandar Judol Withdrawal</v>
          </cell>
          <cell r="J4137">
            <v>65</v>
          </cell>
          <cell r="K4137" t="str">
            <v>86,88,87</v>
          </cell>
          <cell r="L4137" t="str">
            <v>Judi Online</v>
          </cell>
          <cell r="M4137" t="str">
            <v xml:space="preserve">Kas Kanpus                              </v>
          </cell>
          <cell r="N4137" t="str">
            <v xml:space="preserve">Kas Kanpus                              </v>
          </cell>
          <cell r="O4137" t="str">
            <v xml:space="preserve">KAS KANPUS                              </v>
          </cell>
          <cell r="P4137" t="str">
            <v>Ya</v>
          </cell>
          <cell r="Q4137" t="str">
            <v>Ya</v>
          </cell>
          <cell r="R4137" t="str">
            <v>Done</v>
          </cell>
          <cell r="S4137" t="str">
            <v>Approved</v>
          </cell>
          <cell r="T4137" t="str">
            <v>90185538 - Muhammad Fahikal Auz</v>
          </cell>
          <cell r="U4137" t="str">
            <v>"-"</v>
          </cell>
        </row>
        <row r="4138">
          <cell r="A4138">
            <v>46265</v>
          </cell>
          <cell r="B4138" t="str">
            <v xml:space="preserve">YAHDI FIRDAUS                           </v>
          </cell>
          <cell r="C4138" t="str">
            <v>YPJ2172</v>
          </cell>
          <cell r="D4138">
            <v>1201256253505</v>
          </cell>
          <cell r="E4138" t="str">
            <v>SEDANG</v>
          </cell>
          <cell r="F4138" t="str">
            <v>Tidak</v>
          </cell>
          <cell r="G4138" t="str">
            <v>Tidak</v>
          </cell>
          <cell r="H4138" t="str">
            <v>Tidak</v>
          </cell>
          <cell r="I4138" t="str">
            <v>Bandar Judol Withdrawal</v>
          </cell>
          <cell r="J4138">
            <v>50</v>
          </cell>
          <cell r="K4138" t="str">
            <v>86,88,87</v>
          </cell>
          <cell r="L4138" t="str">
            <v>Judi Online</v>
          </cell>
          <cell r="M4138" t="str">
            <v xml:space="preserve">Kas Kanpus                              </v>
          </cell>
          <cell r="N4138" t="str">
            <v xml:space="preserve">Kas Kanpus                              </v>
          </cell>
          <cell r="O4138" t="str">
            <v xml:space="preserve">KAS KANPUS                              </v>
          </cell>
          <cell r="P4138" t="str">
            <v>Ya</v>
          </cell>
          <cell r="Q4138" t="str">
            <v>Ya</v>
          </cell>
          <cell r="R4138" t="str">
            <v>Done</v>
          </cell>
          <cell r="S4138" t="str">
            <v>Approved</v>
          </cell>
          <cell r="T4138" t="str">
            <v>90150130 - Intan Aida Pratiwi</v>
          </cell>
          <cell r="U4138" t="str">
            <v>"-"</v>
          </cell>
        </row>
        <row r="4139">
          <cell r="A4139">
            <v>46265</v>
          </cell>
          <cell r="B4139" t="str">
            <v xml:space="preserve">YUSNI                                   </v>
          </cell>
          <cell r="C4139" t="str">
            <v>YPM7523</v>
          </cell>
          <cell r="D4139">
            <v>34501047373505</v>
          </cell>
          <cell r="E4139" t="str">
            <v>SEDANG</v>
          </cell>
          <cell r="F4139" t="str">
            <v>Tidak</v>
          </cell>
          <cell r="G4139" t="str">
            <v>Tidak</v>
          </cell>
          <cell r="H4139" t="str">
            <v>Tidak</v>
          </cell>
          <cell r="I4139" t="str">
            <v>Bandar Judol Depo</v>
          </cell>
          <cell r="J4139">
            <v>50</v>
          </cell>
          <cell r="K4139" t="str">
            <v>86,74,87</v>
          </cell>
          <cell r="L4139" t="str">
            <v>Judi Online</v>
          </cell>
          <cell r="M4139" t="str">
            <v xml:space="preserve">Kas Kanpus                              </v>
          </cell>
          <cell r="N4139" t="str">
            <v xml:space="preserve">Kas Kanpus                              </v>
          </cell>
          <cell r="O4139" t="str">
            <v xml:space="preserve">KAS KANPUS                              </v>
          </cell>
          <cell r="P4139" t="str">
            <v>Ya</v>
          </cell>
          <cell r="Q4139" t="str">
            <v>Ya</v>
          </cell>
          <cell r="R4139" t="str">
            <v>Done</v>
          </cell>
          <cell r="S4139" t="str">
            <v>Approved</v>
          </cell>
          <cell r="T4139" t="str">
            <v>00336949 - Mochammad Al Farabi</v>
          </cell>
          <cell r="U4139" t="str">
            <v>"-"</v>
          </cell>
        </row>
        <row r="4140">
          <cell r="A4140">
            <v>46265</v>
          </cell>
          <cell r="B4140" t="str">
            <v xml:space="preserve">YOGI FIRMANSYAH                         </v>
          </cell>
          <cell r="C4140" t="str">
            <v>YPX6268</v>
          </cell>
          <cell r="D4140">
            <v>134201000103562</v>
          </cell>
          <cell r="F4140" t="str">
            <v>Tidak</v>
          </cell>
          <cell r="G4140" t="str">
            <v>Tidak</v>
          </cell>
          <cell r="H4140" t="str">
            <v>Tidak</v>
          </cell>
          <cell r="I4140" t="str">
            <v>Bandar Judol Withdrawal</v>
          </cell>
          <cell r="J4140">
            <v>35</v>
          </cell>
          <cell r="K4140" t="str">
            <v>86,88,87</v>
          </cell>
          <cell r="L4140" t="str">
            <v>Judi Online</v>
          </cell>
          <cell r="M4140" t="str">
            <v xml:space="preserve">Kas Kanpus                              </v>
          </cell>
          <cell r="N4140" t="str">
            <v xml:space="preserve">Kas Kanpus                              </v>
          </cell>
          <cell r="O4140" t="str">
            <v xml:space="preserve">KAS KANPUS                              </v>
          </cell>
          <cell r="P4140" t="str">
            <v>Ya</v>
          </cell>
          <cell r="Q4140" t="str">
            <v>Ya</v>
          </cell>
          <cell r="R4140" t="str">
            <v>Done</v>
          </cell>
          <cell r="S4140" t="str">
            <v>Approved</v>
          </cell>
          <cell r="T4140" t="str">
            <v>90185538 - Muhammad Fahikal Auz</v>
          </cell>
          <cell r="U4140" t="str">
            <v>"-"</v>
          </cell>
        </row>
        <row r="4141">
          <cell r="A4141">
            <v>46265</v>
          </cell>
          <cell r="B4141" t="str">
            <v xml:space="preserve">YOGI YOGASWARA                          </v>
          </cell>
          <cell r="C4141" t="str">
            <v>YQC6048</v>
          </cell>
          <cell r="D4141">
            <v>714401011544501</v>
          </cell>
          <cell r="F4141" t="str">
            <v>Tidak</v>
          </cell>
          <cell r="G4141" t="str">
            <v>Tidak</v>
          </cell>
          <cell r="H4141" t="str">
            <v>Tidak</v>
          </cell>
          <cell r="I4141" t="str">
            <v>Bandar Judol Withdrawal</v>
          </cell>
          <cell r="J4141">
            <v>35</v>
          </cell>
          <cell r="K4141" t="str">
            <v>86,88,87</v>
          </cell>
          <cell r="L4141" t="str">
            <v>Judi Online</v>
          </cell>
          <cell r="M4141" t="str">
            <v xml:space="preserve">Kas Kanpus                              </v>
          </cell>
          <cell r="N4141" t="str">
            <v xml:space="preserve">Kas Kanpus                              </v>
          </cell>
          <cell r="O4141" t="str">
            <v xml:space="preserve">KAS KANPUS                              </v>
          </cell>
          <cell r="P4141" t="str">
            <v>Ya</v>
          </cell>
          <cell r="Q4141" t="str">
            <v>Ya</v>
          </cell>
          <cell r="R4141" t="str">
            <v>Done</v>
          </cell>
          <cell r="S4141" t="str">
            <v>Approved</v>
          </cell>
          <cell r="T4141" t="str">
            <v>90171841 - Rifqi Aziz</v>
          </cell>
          <cell r="U4141" t="str">
            <v>"-"</v>
          </cell>
        </row>
        <row r="4142">
          <cell r="A4142">
            <v>46265</v>
          </cell>
          <cell r="B4142" t="str">
            <v xml:space="preserve">YADI KUSMAYADI                          </v>
          </cell>
          <cell r="C4142" t="str">
            <v>YQD7548</v>
          </cell>
          <cell r="D4142">
            <v>442901053004530</v>
          </cell>
          <cell r="F4142" t="str">
            <v>Tidak</v>
          </cell>
          <cell r="G4142" t="str">
            <v>Tidak</v>
          </cell>
          <cell r="H4142" t="str">
            <v>Tidak</v>
          </cell>
          <cell r="I4142" t="str">
            <v>Bandar Judol Depo</v>
          </cell>
          <cell r="J4142">
            <v>35</v>
          </cell>
          <cell r="K4142" t="str">
            <v>86,74,87</v>
          </cell>
          <cell r="L4142" t="str">
            <v>Judi Online</v>
          </cell>
          <cell r="M4142" t="str">
            <v xml:space="preserve">Kas Kanpus                              </v>
          </cell>
          <cell r="N4142" t="str">
            <v xml:space="preserve">Kas Kanpus                              </v>
          </cell>
          <cell r="O4142" t="str">
            <v xml:space="preserve">KAS KANPUS                              </v>
          </cell>
          <cell r="P4142" t="str">
            <v>Tidak</v>
          </cell>
          <cell r="Q4142" t="str">
            <v>Ya</v>
          </cell>
          <cell r="R4142" t="str">
            <v>Done</v>
          </cell>
          <cell r="S4142" t="str">
            <v>Approved</v>
          </cell>
          <cell r="T4142" t="str">
            <v>90171841 - Rifqi Aziz</v>
          </cell>
          <cell r="U4142" t="str">
            <v>"-"</v>
          </cell>
        </row>
        <row r="4143">
          <cell r="A4143">
            <v>46265</v>
          </cell>
          <cell r="B4143" t="str">
            <v xml:space="preserve">YEYEN YULAENI                           </v>
          </cell>
          <cell r="C4143" t="str">
            <v>YQE0205</v>
          </cell>
          <cell r="D4143">
            <v>742501000016567</v>
          </cell>
          <cell r="F4143" t="str">
            <v>Tidak</v>
          </cell>
          <cell r="G4143" t="str">
            <v>Tidak</v>
          </cell>
          <cell r="H4143" t="str">
            <v>Tidak</v>
          </cell>
          <cell r="I4143" t="str">
            <v>Bandar Judol Withdrawal</v>
          </cell>
          <cell r="J4143">
            <v>35</v>
          </cell>
          <cell r="K4143" t="str">
            <v>86,88,87</v>
          </cell>
          <cell r="L4143" t="str">
            <v>Judi Online</v>
          </cell>
          <cell r="M4143" t="str">
            <v xml:space="preserve">Kas Kanpus                              </v>
          </cell>
          <cell r="N4143" t="str">
            <v xml:space="preserve">Kas Kanpus                              </v>
          </cell>
          <cell r="O4143" t="str">
            <v xml:space="preserve">KAS KANPUS                              </v>
          </cell>
          <cell r="P4143" t="str">
            <v>Ya</v>
          </cell>
          <cell r="Q4143" t="str">
            <v>Ya</v>
          </cell>
          <cell r="R4143" t="str">
            <v>Done</v>
          </cell>
          <cell r="S4143" t="str">
            <v>Approved</v>
          </cell>
          <cell r="T4143" t="str">
            <v>90185538 - Muhammad Fahikal Auz</v>
          </cell>
          <cell r="U4143" t="str">
            <v>"-"</v>
          </cell>
        </row>
        <row r="4144">
          <cell r="A4144">
            <v>46265</v>
          </cell>
          <cell r="B4144" t="str">
            <v xml:space="preserve">YOSUA                                   </v>
          </cell>
          <cell r="C4144" t="str">
            <v>YQB0390</v>
          </cell>
          <cell r="D4144">
            <v>33801064487504</v>
          </cell>
          <cell r="F4144" t="str">
            <v>Tidak</v>
          </cell>
          <cell r="G4144" t="str">
            <v>Tidak</v>
          </cell>
          <cell r="H4144" t="str">
            <v>Tidak</v>
          </cell>
          <cell r="I4144" t="str">
            <v>Bandar Judol Withdrawal</v>
          </cell>
          <cell r="J4144">
            <v>35</v>
          </cell>
          <cell r="K4144" t="str">
            <v>86,88,87</v>
          </cell>
          <cell r="L4144" t="str">
            <v>Judi Online</v>
          </cell>
          <cell r="M4144" t="str">
            <v xml:space="preserve">Kas Kanpus                              </v>
          </cell>
          <cell r="N4144" t="str">
            <v xml:space="preserve">Kas Kanpus                              </v>
          </cell>
          <cell r="O4144" t="str">
            <v xml:space="preserve">KAS KANPUS                              </v>
          </cell>
          <cell r="P4144" t="str">
            <v>Ya</v>
          </cell>
          <cell r="Q4144" t="str">
            <v>Ya</v>
          </cell>
          <cell r="R4144" t="str">
            <v>Done</v>
          </cell>
          <cell r="S4144" t="str">
            <v>Approved</v>
          </cell>
          <cell r="T4144" t="str">
            <v>90185537 - Moh.Khoerul Fajar Ar</v>
          </cell>
          <cell r="U4144" t="str">
            <v>"-"</v>
          </cell>
        </row>
        <row r="4145">
          <cell r="A4145">
            <v>46265</v>
          </cell>
          <cell r="B4145" t="str">
            <v xml:space="preserve">YULIANTI SSASIANG                       </v>
          </cell>
          <cell r="C4145" t="str">
            <v>YQB7322</v>
          </cell>
          <cell r="D4145">
            <v>511801022695534</v>
          </cell>
          <cell r="F4145" t="str">
            <v>Tidak</v>
          </cell>
          <cell r="G4145" t="str">
            <v>Tidak</v>
          </cell>
          <cell r="H4145" t="str">
            <v>Tidak</v>
          </cell>
          <cell r="I4145" t="str">
            <v>Bandar Judol Depo</v>
          </cell>
          <cell r="J4145">
            <v>35</v>
          </cell>
          <cell r="K4145" t="str">
            <v>86,74,87</v>
          </cell>
          <cell r="L4145" t="str">
            <v>Judi Online</v>
          </cell>
          <cell r="M4145" t="str">
            <v xml:space="preserve">Kas Kanpus                              </v>
          </cell>
          <cell r="N4145" t="str">
            <v xml:space="preserve">Kas Kanpus                              </v>
          </cell>
          <cell r="O4145" t="str">
            <v xml:space="preserve">KAS KANPUS                              </v>
          </cell>
          <cell r="P4145" t="str">
            <v>Ya</v>
          </cell>
          <cell r="Q4145" t="str">
            <v>Tidak</v>
          </cell>
          <cell r="R4145" t="str">
            <v>Done</v>
          </cell>
          <cell r="S4145" t="str">
            <v>Approved</v>
          </cell>
          <cell r="T4145" t="str">
            <v>90186790 - Muhammad Alfin Farha</v>
          </cell>
          <cell r="U4145" t="str">
            <v>"-"</v>
          </cell>
        </row>
        <row r="4146">
          <cell r="A4146">
            <v>46265</v>
          </cell>
          <cell r="B4146" t="str">
            <v xml:space="preserve">YUSNIZAR LISNAWATI HARAHAP              </v>
          </cell>
          <cell r="C4146" t="str">
            <v>YGV9137</v>
          </cell>
          <cell r="D4146">
            <v>531201031433531</v>
          </cell>
          <cell r="E4146" t="str">
            <v>SEDANG</v>
          </cell>
          <cell r="F4146" t="str">
            <v>Tidak</v>
          </cell>
          <cell r="G4146" t="str">
            <v>Tidak</v>
          </cell>
          <cell r="H4146" t="str">
            <v>Tidak</v>
          </cell>
          <cell r="I4146" t="str">
            <v>Bandar Judol Depo</v>
          </cell>
          <cell r="J4146">
            <v>50</v>
          </cell>
          <cell r="K4146" t="str">
            <v>86,74,87</v>
          </cell>
          <cell r="L4146" t="str">
            <v>Judi Online</v>
          </cell>
          <cell r="M4146" t="str">
            <v xml:space="preserve">Kas Kanpus                              </v>
          </cell>
          <cell r="N4146" t="str">
            <v xml:space="preserve">Kas Kanpus                              </v>
          </cell>
          <cell r="O4146" t="str">
            <v xml:space="preserve">KAS KANPUS                              </v>
          </cell>
          <cell r="P4146" t="str">
            <v>Ya</v>
          </cell>
          <cell r="Q4146" t="str">
            <v>Ya</v>
          </cell>
          <cell r="R4146" t="str">
            <v>Done</v>
          </cell>
          <cell r="S4146" t="str">
            <v>Approved</v>
          </cell>
          <cell r="T4146" t="str">
            <v>90171841 - Rifqi Aziz</v>
          </cell>
          <cell r="U4146" t="str">
            <v>"-"</v>
          </cell>
        </row>
        <row r="4147">
          <cell r="A4147">
            <v>46265</v>
          </cell>
          <cell r="B4147" t="str">
            <v xml:space="preserve">YANTI SURYANI                           </v>
          </cell>
          <cell r="C4147" t="str">
            <v>YEV1124</v>
          </cell>
          <cell r="D4147">
            <v>65901000279565</v>
          </cell>
          <cell r="E4147" t="str">
            <v>SEDANG</v>
          </cell>
          <cell r="F4147" t="str">
            <v>Tidak</v>
          </cell>
          <cell r="G4147" t="str">
            <v>Tidak</v>
          </cell>
          <cell r="H4147" t="str">
            <v>Tidak</v>
          </cell>
          <cell r="I4147" t="str">
            <v>Bandar Judol Withdrawal</v>
          </cell>
          <cell r="J4147">
            <v>50</v>
          </cell>
          <cell r="K4147" t="str">
            <v>86,88,87</v>
          </cell>
          <cell r="L4147" t="str">
            <v>Judi Online</v>
          </cell>
          <cell r="M4147" t="str">
            <v xml:space="preserve">Kas Kanpus                              </v>
          </cell>
          <cell r="N4147" t="str">
            <v xml:space="preserve">Kas Kanpus                              </v>
          </cell>
          <cell r="O4147" t="str">
            <v xml:space="preserve">KAS KANPUS                              </v>
          </cell>
          <cell r="P4147" t="str">
            <v>Ya</v>
          </cell>
          <cell r="Q4147" t="str">
            <v>Tidak</v>
          </cell>
          <cell r="R4147" t="str">
            <v>Done</v>
          </cell>
          <cell r="S4147" t="str">
            <v>Approved</v>
          </cell>
          <cell r="T4147" t="str">
            <v>00336949 - Mochammad Al Farabi</v>
          </cell>
          <cell r="U4147" t="str">
            <v>"-"</v>
          </cell>
        </row>
        <row r="4148">
          <cell r="A4148">
            <v>46265</v>
          </cell>
          <cell r="B4148" t="str">
            <v xml:space="preserve">YULI YULIANTI                           </v>
          </cell>
          <cell r="C4148" t="str">
            <v>YJN1330</v>
          </cell>
          <cell r="D4148">
            <v>77201022486500</v>
          </cell>
          <cell r="E4148" t="str">
            <v>SEDANG</v>
          </cell>
          <cell r="F4148" t="str">
            <v>Tidak</v>
          </cell>
          <cell r="G4148" t="str">
            <v>Tidak</v>
          </cell>
          <cell r="H4148" t="str">
            <v>Tidak</v>
          </cell>
          <cell r="I4148" t="str">
            <v>Bandar Judol Depo</v>
          </cell>
          <cell r="J4148">
            <v>50</v>
          </cell>
          <cell r="K4148" t="str">
            <v>86,74,87</v>
          </cell>
          <cell r="L4148" t="str">
            <v>Judi Online</v>
          </cell>
          <cell r="M4148" t="str">
            <v xml:space="preserve">Kas Kanpus                              </v>
          </cell>
          <cell r="N4148" t="str">
            <v xml:space="preserve">Kas Kanpus                              </v>
          </cell>
          <cell r="O4148" t="str">
            <v xml:space="preserve">KAS KANPUS                              </v>
          </cell>
          <cell r="P4148" t="str">
            <v>Ya</v>
          </cell>
          <cell r="Q4148" t="str">
            <v>Ya</v>
          </cell>
          <cell r="R4148" t="str">
            <v>Done</v>
          </cell>
          <cell r="S4148" t="str">
            <v>Approved</v>
          </cell>
          <cell r="T4148" t="str">
            <v>90186790 - Muhammad Alfin Farha</v>
          </cell>
          <cell r="U4148" t="str">
            <v>"-"</v>
          </cell>
        </row>
        <row r="4149">
          <cell r="A4149">
            <v>46265</v>
          </cell>
          <cell r="B4149" t="str">
            <v xml:space="preserve">YOHANA UTHAMI SIHOTANG                  </v>
          </cell>
          <cell r="C4149" t="str">
            <v>YIJ5062</v>
          </cell>
          <cell r="D4149">
            <v>530601039124537</v>
          </cell>
          <cell r="E4149" t="str">
            <v>SEDANG</v>
          </cell>
          <cell r="F4149" t="str">
            <v>Tidak</v>
          </cell>
          <cell r="G4149" t="str">
            <v>Tidak</v>
          </cell>
          <cell r="H4149" t="str">
            <v>Tidak</v>
          </cell>
          <cell r="I4149" t="str">
            <v>Bandar Judol Withdrawal</v>
          </cell>
          <cell r="J4149">
            <v>50</v>
          </cell>
          <cell r="K4149" t="str">
            <v>86,88,87</v>
          </cell>
          <cell r="L4149" t="str">
            <v>Judi Online</v>
          </cell>
          <cell r="M4149" t="str">
            <v xml:space="preserve">Kas Kanpus                              </v>
          </cell>
          <cell r="N4149" t="str">
            <v xml:space="preserve">Kas Kanpus                              </v>
          </cell>
          <cell r="O4149" t="str">
            <v xml:space="preserve">KAS KANPUS                              </v>
          </cell>
          <cell r="P4149" t="str">
            <v>Ya</v>
          </cell>
          <cell r="Q4149" t="str">
            <v>Ya</v>
          </cell>
          <cell r="R4149" t="str">
            <v>Done</v>
          </cell>
          <cell r="S4149" t="str">
            <v>Approved</v>
          </cell>
          <cell r="T4149" t="str">
            <v>00394521 - Muhammad Hibbanduta</v>
          </cell>
          <cell r="U4149" t="str">
            <v>"-"</v>
          </cell>
        </row>
        <row r="4150">
          <cell r="A4150">
            <v>46265</v>
          </cell>
          <cell r="B4150" t="str">
            <v xml:space="preserve">YUNI CITRA LESTARI                      </v>
          </cell>
          <cell r="C4150" t="str">
            <v>YM97644</v>
          </cell>
          <cell r="D4150">
            <v>479601024242538</v>
          </cell>
          <cell r="E4150" t="str">
            <v>SEDANG</v>
          </cell>
          <cell r="F4150" t="str">
            <v>Ya</v>
          </cell>
          <cell r="G4150" t="str">
            <v>Tidak</v>
          </cell>
          <cell r="H4150" t="str">
            <v>Tidak</v>
          </cell>
          <cell r="I4150" t="str">
            <v>Narkotika - Area Lapas</v>
          </cell>
          <cell r="J4150">
            <v>50</v>
          </cell>
          <cell r="K4150">
            <v>46</v>
          </cell>
          <cell r="L4150" t="str">
            <v>Narkotika</v>
          </cell>
          <cell r="M4150" t="str">
            <v>UNIT CIBUNG BULANGÂ BOGOR</v>
          </cell>
          <cell r="N4150" t="str">
            <v>KC Bogor</v>
          </cell>
          <cell r="O4150" t="str">
            <v>DKI2</v>
          </cell>
          <cell r="P4150" t="str">
            <v>Tidak</v>
          </cell>
          <cell r="Q4150" t="str">
            <v>Tidak</v>
          </cell>
          <cell r="R4150" t="str">
            <v>Done</v>
          </cell>
          <cell r="S4150" t="str">
            <v>Approved</v>
          </cell>
          <cell r="T4150" t="str">
            <v>90171841 - Rifqi Aziz</v>
          </cell>
          <cell r="U4150" t="str">
            <v>"-"</v>
          </cell>
        </row>
        <row r="4151">
          <cell r="A4151">
            <v>46265</v>
          </cell>
          <cell r="B4151" t="str">
            <v xml:space="preserve">YESI ANGGITAMI                          </v>
          </cell>
          <cell r="C4151" t="str">
            <v>YMS6644</v>
          </cell>
          <cell r="D4151">
            <v>15401018111531</v>
          </cell>
          <cell r="E4151" t="str">
            <v>SEDANG</v>
          </cell>
          <cell r="F4151" t="str">
            <v>Tidak</v>
          </cell>
          <cell r="G4151" t="str">
            <v>Tidak</v>
          </cell>
          <cell r="H4151" t="str">
            <v>Tidak</v>
          </cell>
          <cell r="I4151" t="str">
            <v>Bandar Judol Withdrawal</v>
          </cell>
          <cell r="J4151">
            <v>50</v>
          </cell>
          <cell r="K4151" t="str">
            <v>86,88,87</v>
          </cell>
          <cell r="L4151" t="str">
            <v>Judi Online</v>
          </cell>
          <cell r="M4151" t="str">
            <v xml:space="preserve">Kas Kanpus                              </v>
          </cell>
          <cell r="N4151" t="str">
            <v xml:space="preserve">Kas Kanpus                              </v>
          </cell>
          <cell r="O4151" t="str">
            <v xml:space="preserve">KAS KANPUS                              </v>
          </cell>
          <cell r="P4151" t="str">
            <v>Tidak</v>
          </cell>
          <cell r="Q4151" t="str">
            <v>Ya</v>
          </cell>
          <cell r="R4151" t="str">
            <v>Done</v>
          </cell>
          <cell r="S4151" t="str">
            <v>Approved</v>
          </cell>
          <cell r="T4151" t="str">
            <v>90171841 - Rifqi Aziz</v>
          </cell>
          <cell r="U4151" t="str">
            <v>"-"</v>
          </cell>
        </row>
        <row r="4152">
          <cell r="A4152">
            <v>46265</v>
          </cell>
          <cell r="B4152" t="str">
            <v xml:space="preserve">YUYUN HAPSARI                           </v>
          </cell>
          <cell r="C4152" t="str">
            <v>YMZ0938</v>
          </cell>
          <cell r="D4152">
            <v>453301036720534</v>
          </cell>
          <cell r="E4152" t="str">
            <v>SEDANG</v>
          </cell>
          <cell r="F4152" t="str">
            <v>Tidak</v>
          </cell>
          <cell r="G4152" t="str">
            <v>Tidak</v>
          </cell>
          <cell r="H4152" t="str">
            <v>Tidak</v>
          </cell>
          <cell r="I4152" t="str">
            <v>Narkotika - Area Lapas</v>
          </cell>
          <cell r="J4152">
            <v>49</v>
          </cell>
          <cell r="K4152">
            <v>47</v>
          </cell>
          <cell r="L4152" t="str">
            <v>Narkotika</v>
          </cell>
          <cell r="M4152" t="str">
            <v>UNIT ASTAMBUL MARTAPURA</v>
          </cell>
          <cell r="N4152" t="str">
            <v>KC Martapura</v>
          </cell>
          <cell r="O4152" t="str">
            <v>Banjarmasin</v>
          </cell>
          <cell r="P4152" t="str">
            <v>Tidak</v>
          </cell>
          <cell r="Q4152" t="str">
            <v>Tidak</v>
          </cell>
          <cell r="R4152" t="str">
            <v>Done</v>
          </cell>
          <cell r="S4152" t="str">
            <v>Approved</v>
          </cell>
          <cell r="T4152" t="str">
            <v>90150130 - Intan Aida Pratiwi</v>
          </cell>
          <cell r="U4152" t="str">
            <v>"-"</v>
          </cell>
        </row>
        <row r="4153">
          <cell r="A4153">
            <v>46265</v>
          </cell>
          <cell r="B4153" t="str">
            <v xml:space="preserve">YUSLIANI                                </v>
          </cell>
          <cell r="C4153" t="str">
            <v>YN13638</v>
          </cell>
          <cell r="D4153">
            <v>786301012407530</v>
          </cell>
          <cell r="E4153" t="str">
            <v>SEDANG</v>
          </cell>
          <cell r="F4153" t="str">
            <v>Ya</v>
          </cell>
          <cell r="G4153" t="str">
            <v>Tidak</v>
          </cell>
          <cell r="H4153" t="str">
            <v>Tidak</v>
          </cell>
          <cell r="I4153" t="str">
            <v>Pencurian Rekening</v>
          </cell>
          <cell r="J4153">
            <v>49</v>
          </cell>
          <cell r="K4153">
            <v>59</v>
          </cell>
          <cell r="L4153" t="str">
            <v>Perbankan</v>
          </cell>
          <cell r="M4153" t="str">
            <v xml:space="preserve">UNIT AG RENUAT TUAL                     </v>
          </cell>
          <cell r="N4153" t="str">
            <v xml:space="preserve">KC LANGGUR                              </v>
          </cell>
          <cell r="O4153" t="str">
            <v xml:space="preserve">Makassar                                </v>
          </cell>
          <cell r="P4153" t="str">
            <v>Tidak</v>
          </cell>
          <cell r="Q4153" t="str">
            <v>Tidak</v>
          </cell>
          <cell r="R4153" t="str">
            <v>Done</v>
          </cell>
          <cell r="S4153" t="str">
            <v>Approved</v>
          </cell>
          <cell r="T4153" t="str">
            <v>00394521 - Muhammad Hibbanduta</v>
          </cell>
          <cell r="U4153" t="str">
            <v>"-"</v>
          </cell>
        </row>
        <row r="4154">
          <cell r="A4154">
            <v>46265</v>
          </cell>
          <cell r="B4154" t="str">
            <v xml:space="preserve">YULI ARTIKA                             </v>
          </cell>
          <cell r="C4154" t="str">
            <v>YMI4353</v>
          </cell>
          <cell r="D4154">
            <v>116501040611501</v>
          </cell>
          <cell r="E4154" t="str">
            <v>SEDANG</v>
          </cell>
          <cell r="F4154" t="str">
            <v>Ya</v>
          </cell>
          <cell r="G4154" t="str">
            <v>Tidak</v>
          </cell>
          <cell r="H4154" t="str">
            <v>Tidak</v>
          </cell>
          <cell r="I4154" t="str">
            <v>Bandar Judol Depo</v>
          </cell>
          <cell r="J4154">
            <v>50</v>
          </cell>
          <cell r="K4154" t="str">
            <v>86,74,87</v>
          </cell>
          <cell r="L4154" t="str">
            <v>Judi Online</v>
          </cell>
          <cell r="M4154" t="str">
            <v xml:space="preserve">Kas Kanpus                              </v>
          </cell>
          <cell r="N4154" t="str">
            <v xml:space="preserve">Kas Kanpus                              </v>
          </cell>
          <cell r="O4154" t="str">
            <v xml:space="preserve">KAS KANPUS                              </v>
          </cell>
          <cell r="P4154" t="str">
            <v>Tidak</v>
          </cell>
          <cell r="Q4154" t="str">
            <v>Tidak</v>
          </cell>
          <cell r="R4154" t="str">
            <v>Done</v>
          </cell>
          <cell r="S4154" t="str">
            <v>Approved</v>
          </cell>
          <cell r="T4154" t="str">
            <v>90170665 - Mutiara Ayuningtyas</v>
          </cell>
          <cell r="U4154" t="str">
            <v>"-"</v>
          </cell>
        </row>
        <row r="4155">
          <cell r="A4155">
            <v>46265</v>
          </cell>
          <cell r="B4155" t="str">
            <v xml:space="preserve">YUNI FRANINGSIH                         </v>
          </cell>
          <cell r="C4155" t="str">
            <v>YMI7757</v>
          </cell>
          <cell r="D4155">
            <v>28301001083562</v>
          </cell>
          <cell r="E4155" t="str">
            <v>TINGGI</v>
          </cell>
          <cell r="F4155" t="str">
            <v>Tidak</v>
          </cell>
          <cell r="G4155" t="str">
            <v>Tidak</v>
          </cell>
          <cell r="H4155" t="str">
            <v>Tidak</v>
          </cell>
          <cell r="I4155" t="str">
            <v>Bandar Judol Withdrawal</v>
          </cell>
          <cell r="J4155">
            <v>65</v>
          </cell>
          <cell r="K4155" t="str">
            <v>86,88,87</v>
          </cell>
          <cell r="L4155" t="str">
            <v>Judi Online</v>
          </cell>
          <cell r="M4155" t="str">
            <v xml:space="preserve">Kas Kanpus                              </v>
          </cell>
          <cell r="N4155" t="str">
            <v xml:space="preserve">Kas Kanpus                              </v>
          </cell>
          <cell r="O4155" t="str">
            <v xml:space="preserve">KAS KANPUS                              </v>
          </cell>
          <cell r="P4155" t="str">
            <v>Ya</v>
          </cell>
          <cell r="Q4155" t="str">
            <v>Ya</v>
          </cell>
          <cell r="R4155" t="str">
            <v>Done</v>
          </cell>
          <cell r="S4155" t="str">
            <v>Approved</v>
          </cell>
          <cell r="T4155" t="str">
            <v>90186790 - Muhammad Alfin Farha</v>
          </cell>
          <cell r="U4155" t="str">
            <v>"-"</v>
          </cell>
        </row>
        <row r="4156">
          <cell r="A4156">
            <v>46265</v>
          </cell>
          <cell r="B4156" t="str">
            <v xml:space="preserve">YUNUS WIJAYA                            </v>
          </cell>
          <cell r="C4156" t="str">
            <v>YKT7115</v>
          </cell>
          <cell r="D4156">
            <v>325801023413533</v>
          </cell>
          <cell r="E4156" t="str">
            <v>SEDANG</v>
          </cell>
          <cell r="F4156" t="str">
            <v>Tidak</v>
          </cell>
          <cell r="G4156" t="str">
            <v>Tidak</v>
          </cell>
          <cell r="H4156" t="str">
            <v>Tidak</v>
          </cell>
          <cell r="I4156" t="str">
            <v>Bandar Judol Withdrawal</v>
          </cell>
          <cell r="J4156">
            <v>50</v>
          </cell>
          <cell r="K4156" t="str">
            <v>86,88,87</v>
          </cell>
          <cell r="L4156" t="str">
            <v>Judi Online</v>
          </cell>
          <cell r="M4156" t="str">
            <v xml:space="preserve">Kas Kanpus                              </v>
          </cell>
          <cell r="N4156" t="str">
            <v xml:space="preserve">Kas Kanpus                              </v>
          </cell>
          <cell r="O4156" t="str">
            <v xml:space="preserve">KAS KANPUS                              </v>
          </cell>
          <cell r="P4156" t="str">
            <v>Ya</v>
          </cell>
          <cell r="Q4156" t="str">
            <v>Ya</v>
          </cell>
          <cell r="R4156" t="str">
            <v>Done</v>
          </cell>
          <cell r="S4156" t="str">
            <v>Approved</v>
          </cell>
          <cell r="T4156" t="str">
            <v>90186796 - Devito Arya Wiradila</v>
          </cell>
          <cell r="U4156" t="str">
            <v>"-"</v>
          </cell>
        </row>
        <row r="4157">
          <cell r="A4157">
            <v>46265</v>
          </cell>
          <cell r="B4157" t="str">
            <v xml:space="preserve">YASHINTA HANDAYANI                      </v>
          </cell>
          <cell r="C4157" t="str">
            <v>YRH2094</v>
          </cell>
          <cell r="D4157">
            <v>431001036301530</v>
          </cell>
          <cell r="F4157" t="str">
            <v>Tidak</v>
          </cell>
          <cell r="G4157" t="str">
            <v>Tidak</v>
          </cell>
          <cell r="H4157" t="str">
            <v>Tidak</v>
          </cell>
          <cell r="I4157" t="str">
            <v>Bandar Judol Withdrawal</v>
          </cell>
          <cell r="J4157">
            <v>35</v>
          </cell>
          <cell r="K4157" t="str">
            <v>86,88,87</v>
          </cell>
          <cell r="L4157" t="str">
            <v>Judi Online</v>
          </cell>
          <cell r="M4157" t="str">
            <v xml:space="preserve">Kas Kanpus                              </v>
          </cell>
          <cell r="N4157" t="str">
            <v xml:space="preserve">Kas Kanpus                              </v>
          </cell>
          <cell r="O4157" t="str">
            <v xml:space="preserve">KAS KANPUS                              </v>
          </cell>
          <cell r="P4157" t="str">
            <v>Tidak</v>
          </cell>
          <cell r="Q4157" t="str">
            <v>Ya</v>
          </cell>
          <cell r="R4157" t="str">
            <v>Done</v>
          </cell>
          <cell r="S4157" t="str">
            <v>Approved</v>
          </cell>
          <cell r="T4157" t="str">
            <v>90150130 - Intan Aida Pratiwi</v>
          </cell>
          <cell r="U4157" t="str">
            <v>"-"</v>
          </cell>
        </row>
        <row r="4158">
          <cell r="A4158">
            <v>46265</v>
          </cell>
          <cell r="B4158" t="str">
            <v xml:space="preserve">YADI                                    </v>
          </cell>
          <cell r="C4158" t="str">
            <v>YRE9081</v>
          </cell>
          <cell r="D4158">
            <v>50901098963507</v>
          </cell>
          <cell r="F4158" t="str">
            <v>Tidak</v>
          </cell>
          <cell r="G4158" t="str">
            <v>Tidak</v>
          </cell>
          <cell r="H4158" t="str">
            <v>Tidak</v>
          </cell>
          <cell r="I4158" t="str">
            <v>Bandar Judol Withdrawal</v>
          </cell>
          <cell r="J4158">
            <v>35</v>
          </cell>
          <cell r="K4158" t="str">
            <v>86,88,87</v>
          </cell>
          <cell r="L4158" t="str">
            <v>Judi Online</v>
          </cell>
          <cell r="M4158" t="str">
            <v xml:space="preserve">Kas Kanpus                              </v>
          </cell>
          <cell r="N4158" t="str">
            <v xml:space="preserve">Kas Kanpus                              </v>
          </cell>
          <cell r="O4158" t="str">
            <v xml:space="preserve">KAS KANPUS                              </v>
          </cell>
          <cell r="P4158" t="str">
            <v>Ya</v>
          </cell>
          <cell r="Q4158" t="str">
            <v>Ya</v>
          </cell>
          <cell r="R4158" t="str">
            <v>Done</v>
          </cell>
          <cell r="S4158" t="str">
            <v>Approved</v>
          </cell>
          <cell r="T4158" t="str">
            <v>90170665 - Mutiara Ayuningtyas</v>
          </cell>
          <cell r="U4158" t="str">
            <v>"-"</v>
          </cell>
        </row>
        <row r="4159">
          <cell r="A4159">
            <v>46265</v>
          </cell>
          <cell r="B4159" t="str">
            <v xml:space="preserve">YUSUF RC PANGARIBUAN                    </v>
          </cell>
          <cell r="C4159" t="str">
            <v>YRF4471</v>
          </cell>
          <cell r="D4159">
            <v>338201005309509</v>
          </cell>
          <cell r="F4159" t="str">
            <v>Tidak</v>
          </cell>
          <cell r="G4159" t="str">
            <v>Tidak</v>
          </cell>
          <cell r="H4159" t="str">
            <v>Tidak</v>
          </cell>
          <cell r="I4159" t="str">
            <v>Bandar Judol Withdrawal</v>
          </cell>
          <cell r="J4159">
            <v>35</v>
          </cell>
          <cell r="K4159" t="str">
            <v>86,88,87</v>
          </cell>
          <cell r="L4159" t="str">
            <v>Judi Online</v>
          </cell>
          <cell r="M4159" t="str">
            <v xml:space="preserve">Kas Kanpus                              </v>
          </cell>
          <cell r="N4159" t="str">
            <v xml:space="preserve">Kas Kanpus                              </v>
          </cell>
          <cell r="O4159" t="str">
            <v xml:space="preserve">KAS KANPUS                              </v>
          </cell>
          <cell r="P4159" t="str">
            <v>Ya</v>
          </cell>
          <cell r="Q4159" t="str">
            <v>Ya</v>
          </cell>
          <cell r="R4159" t="str">
            <v>Done</v>
          </cell>
          <cell r="S4159" t="str">
            <v>Approved</v>
          </cell>
          <cell r="T4159" t="str">
            <v>00336949 - Mochammad Al Farabi</v>
          </cell>
          <cell r="U4159" t="str">
            <v>"-"</v>
          </cell>
        </row>
        <row r="4160">
          <cell r="A4160">
            <v>46265</v>
          </cell>
          <cell r="B4160" t="str">
            <v xml:space="preserve">YAYAN SUGIANTO                          </v>
          </cell>
          <cell r="C4160" t="str">
            <v>YRF6537</v>
          </cell>
          <cell r="D4160">
            <v>215501013368505</v>
          </cell>
          <cell r="F4160" t="str">
            <v>Tidak</v>
          </cell>
          <cell r="G4160" t="str">
            <v>Tidak</v>
          </cell>
          <cell r="H4160" t="str">
            <v>Tidak</v>
          </cell>
          <cell r="I4160" t="str">
            <v>Bandar Judol Withdrawal</v>
          </cell>
          <cell r="J4160">
            <v>35</v>
          </cell>
          <cell r="K4160" t="str">
            <v>86,88,87</v>
          </cell>
          <cell r="L4160" t="str">
            <v>Judi Online</v>
          </cell>
          <cell r="M4160" t="str">
            <v xml:space="preserve">Kas Kanpus                              </v>
          </cell>
          <cell r="N4160" t="str">
            <v xml:space="preserve">Kas Kanpus                              </v>
          </cell>
          <cell r="O4160" t="str">
            <v xml:space="preserve">KAS KANPUS                              </v>
          </cell>
          <cell r="P4160" t="str">
            <v>Ya</v>
          </cell>
          <cell r="Q4160" t="str">
            <v>Ya</v>
          </cell>
          <cell r="R4160" t="str">
            <v>Done</v>
          </cell>
          <cell r="S4160" t="str">
            <v>Approved</v>
          </cell>
          <cell r="T4160" t="str">
            <v>90186796 - Devito Arya Wiradila</v>
          </cell>
          <cell r="U4160" t="str">
            <v>"-"</v>
          </cell>
        </row>
        <row r="4161">
          <cell r="A4161">
            <v>46265</v>
          </cell>
          <cell r="B4161" t="str">
            <v xml:space="preserve">YESSI AIRIN SAHLAN                      </v>
          </cell>
          <cell r="C4161" t="str">
            <v>YRG1881</v>
          </cell>
          <cell r="D4161">
            <v>12201180635503</v>
          </cell>
          <cell r="F4161" t="str">
            <v>Tidak</v>
          </cell>
          <cell r="G4161" t="str">
            <v>Tidak</v>
          </cell>
          <cell r="H4161" t="str">
            <v>Tidak</v>
          </cell>
          <cell r="I4161" t="str">
            <v>Bandar Judol Withdrawal</v>
          </cell>
          <cell r="J4161">
            <v>35</v>
          </cell>
          <cell r="K4161" t="str">
            <v>86,88,87</v>
          </cell>
          <cell r="L4161" t="str">
            <v>Judi Online</v>
          </cell>
          <cell r="M4161" t="str">
            <v xml:space="preserve">Kas Kanpus                              </v>
          </cell>
          <cell r="N4161" t="str">
            <v xml:space="preserve">Kas Kanpus                              </v>
          </cell>
          <cell r="O4161" t="str">
            <v xml:space="preserve">KAS KANPUS                              </v>
          </cell>
          <cell r="P4161" t="str">
            <v>Ya</v>
          </cell>
          <cell r="Q4161" t="str">
            <v>Ya</v>
          </cell>
          <cell r="R4161" t="str">
            <v>Done</v>
          </cell>
          <cell r="S4161" t="str">
            <v>Approved</v>
          </cell>
          <cell r="T4161" t="str">
            <v>90150130 - Intan Aida Pratiwi</v>
          </cell>
          <cell r="U4161" t="str">
            <v>"-"</v>
          </cell>
        </row>
        <row r="4162">
          <cell r="A4162">
            <v>46265</v>
          </cell>
          <cell r="B4162" t="str">
            <v xml:space="preserve">YUNNITA SAFITRI                         </v>
          </cell>
          <cell r="C4162" t="str">
            <v>YRM3698</v>
          </cell>
          <cell r="D4162">
            <v>91401047933504</v>
          </cell>
          <cell r="F4162" t="str">
            <v>Tidak</v>
          </cell>
          <cell r="G4162" t="str">
            <v>Tidak</v>
          </cell>
          <cell r="H4162" t="str">
            <v>Tidak</v>
          </cell>
          <cell r="I4162" t="str">
            <v>Bandar Judol Withdrawal</v>
          </cell>
          <cell r="J4162">
            <v>35</v>
          </cell>
          <cell r="K4162" t="str">
            <v>86,88,87</v>
          </cell>
          <cell r="L4162" t="str">
            <v>Judi Online</v>
          </cell>
          <cell r="M4162" t="str">
            <v xml:space="preserve">Kas Kanpus                              </v>
          </cell>
          <cell r="N4162" t="str">
            <v xml:space="preserve">Kas Kanpus                              </v>
          </cell>
          <cell r="O4162" t="str">
            <v xml:space="preserve">KAS KANPUS                              </v>
          </cell>
          <cell r="P4162" t="str">
            <v>Ya</v>
          </cell>
          <cell r="Q4162" t="str">
            <v>Ya</v>
          </cell>
          <cell r="R4162" t="str">
            <v>Done</v>
          </cell>
          <cell r="S4162" t="str">
            <v>Approved</v>
          </cell>
          <cell r="T4162" t="str">
            <v>90186796 - Devito Arya Wiradila</v>
          </cell>
          <cell r="U4162" t="str">
            <v>"-"</v>
          </cell>
        </row>
        <row r="4163">
          <cell r="A4163">
            <v>46265</v>
          </cell>
          <cell r="B4163" t="str">
            <v xml:space="preserve">YATI                                    </v>
          </cell>
          <cell r="C4163" t="str">
            <v>YRM9381</v>
          </cell>
          <cell r="D4163">
            <v>80801000080565</v>
          </cell>
          <cell r="F4163" t="str">
            <v>Tidak</v>
          </cell>
          <cell r="G4163" t="str">
            <v>Tidak</v>
          </cell>
          <cell r="H4163" t="str">
            <v>Tidak</v>
          </cell>
          <cell r="I4163" t="str">
            <v>Bandar Judol Withdrawal</v>
          </cell>
          <cell r="J4163">
            <v>35</v>
          </cell>
          <cell r="K4163" t="str">
            <v>86,88,87</v>
          </cell>
          <cell r="L4163" t="str">
            <v>Judi Online</v>
          </cell>
          <cell r="M4163" t="str">
            <v xml:space="preserve">Kas Kanpus                              </v>
          </cell>
          <cell r="N4163" t="str">
            <v xml:space="preserve">Kas Kanpus                              </v>
          </cell>
          <cell r="O4163" t="str">
            <v xml:space="preserve">KAS KANPUS                              </v>
          </cell>
          <cell r="P4163" t="str">
            <v>Ya</v>
          </cell>
          <cell r="Q4163" t="str">
            <v>Ya</v>
          </cell>
          <cell r="R4163" t="str">
            <v>Done</v>
          </cell>
          <cell r="S4163" t="str">
            <v>Approved</v>
          </cell>
          <cell r="T4163" t="str">
            <v>00336949 - Mochammad Al Farabi</v>
          </cell>
          <cell r="U4163" t="str">
            <v>"-"</v>
          </cell>
        </row>
        <row r="4164">
          <cell r="A4164">
            <v>46265</v>
          </cell>
          <cell r="B4164" t="str">
            <v xml:space="preserve">YENI SETIANI                            </v>
          </cell>
          <cell r="C4164" t="str">
            <v>YRP1942</v>
          </cell>
          <cell r="D4164">
            <v>748701002001506</v>
          </cell>
          <cell r="F4164" t="str">
            <v>Tidak</v>
          </cell>
          <cell r="G4164" t="str">
            <v>Tidak</v>
          </cell>
          <cell r="H4164" t="str">
            <v>Tidak</v>
          </cell>
          <cell r="I4164" t="str">
            <v>Bandar Judol Withdrawal</v>
          </cell>
          <cell r="J4164">
            <v>35</v>
          </cell>
          <cell r="K4164" t="str">
            <v>86,88,87</v>
          </cell>
          <cell r="L4164" t="str">
            <v>Judi Online</v>
          </cell>
          <cell r="M4164" t="str">
            <v xml:space="preserve">Kas Kanpus                              </v>
          </cell>
          <cell r="N4164" t="str">
            <v xml:space="preserve">Kas Kanpus                              </v>
          </cell>
          <cell r="O4164" t="str">
            <v xml:space="preserve">KAS KANPUS                              </v>
          </cell>
          <cell r="P4164" t="str">
            <v>Ya</v>
          </cell>
          <cell r="Q4164" t="str">
            <v>Ya</v>
          </cell>
          <cell r="R4164" t="str">
            <v>Done</v>
          </cell>
          <cell r="S4164" t="str">
            <v>Approved</v>
          </cell>
          <cell r="T4164" t="str">
            <v>00394520 - Frida Akbar Rani</v>
          </cell>
          <cell r="U4164" t="str">
            <v>"-"</v>
          </cell>
        </row>
        <row r="4165">
          <cell r="A4165">
            <v>46265</v>
          </cell>
          <cell r="B4165" t="str">
            <v xml:space="preserve">YOGI WIDIYANTO                          </v>
          </cell>
          <cell r="C4165" t="str">
            <v>YRP3501</v>
          </cell>
          <cell r="D4165">
            <v>91401000121560</v>
          </cell>
          <cell r="F4165" t="str">
            <v>Tidak</v>
          </cell>
          <cell r="G4165" t="str">
            <v>Tidak</v>
          </cell>
          <cell r="H4165" t="str">
            <v>Tidak</v>
          </cell>
          <cell r="I4165" t="str">
            <v>Bandar Judol Depo</v>
          </cell>
          <cell r="J4165">
            <v>35</v>
          </cell>
          <cell r="K4165" t="str">
            <v>86,74,87</v>
          </cell>
          <cell r="L4165" t="str">
            <v>Judi Online</v>
          </cell>
          <cell r="M4165" t="str">
            <v xml:space="preserve">Kas Kanpus                              </v>
          </cell>
          <cell r="N4165" t="str">
            <v xml:space="preserve">Kas Kanpus                              </v>
          </cell>
          <cell r="O4165" t="str">
            <v xml:space="preserve">KAS KANPUS                              </v>
          </cell>
          <cell r="P4165" t="str">
            <v>Ya</v>
          </cell>
          <cell r="Q4165" t="str">
            <v>Ya</v>
          </cell>
          <cell r="R4165" t="str">
            <v>Done</v>
          </cell>
          <cell r="S4165" t="str">
            <v>Approved</v>
          </cell>
          <cell r="T4165" t="str">
            <v>00394521 - Muhammad Hibbanduta</v>
          </cell>
          <cell r="U4165" t="str">
            <v>"-"</v>
          </cell>
        </row>
        <row r="4166">
          <cell r="A4166">
            <v>46265</v>
          </cell>
          <cell r="B4166" t="str">
            <v xml:space="preserve">YOGA PRATAMA PUTRA Z                    </v>
          </cell>
          <cell r="C4166" t="str">
            <v>YRQ7819</v>
          </cell>
          <cell r="D4166">
            <v>43401048483508</v>
          </cell>
          <cell r="F4166" t="str">
            <v>Tidak</v>
          </cell>
          <cell r="G4166" t="str">
            <v>Tidak</v>
          </cell>
          <cell r="H4166" t="str">
            <v>Tidak</v>
          </cell>
          <cell r="I4166" t="str">
            <v>Bandar Judol Withdrawal</v>
          </cell>
          <cell r="J4166">
            <v>35</v>
          </cell>
          <cell r="K4166" t="str">
            <v>86,88,87</v>
          </cell>
          <cell r="L4166" t="str">
            <v>Judi Online</v>
          </cell>
          <cell r="M4166" t="str">
            <v xml:space="preserve">Kas Kanpus                              </v>
          </cell>
          <cell r="N4166" t="str">
            <v xml:space="preserve">Kas Kanpus                              </v>
          </cell>
          <cell r="O4166" t="str">
            <v xml:space="preserve">KAS KANPUS                              </v>
          </cell>
          <cell r="P4166" t="str">
            <v>Ya</v>
          </cell>
          <cell r="Q4166" t="str">
            <v>Ya</v>
          </cell>
          <cell r="R4166" t="str">
            <v>Done</v>
          </cell>
          <cell r="S4166" t="str">
            <v>Approved</v>
          </cell>
          <cell r="T4166" t="str">
            <v>00394521 - Muhammad Hibbanduta</v>
          </cell>
          <cell r="U4166" t="str">
            <v>"-"</v>
          </cell>
        </row>
        <row r="4167">
          <cell r="A4167">
            <v>46265</v>
          </cell>
          <cell r="B4167" t="str">
            <v xml:space="preserve">YESCHI AFRIAN HUT ABARAT                </v>
          </cell>
          <cell r="C4167" t="str">
            <v>YQW9369</v>
          </cell>
          <cell r="D4167">
            <v>108801018471503</v>
          </cell>
          <cell r="F4167" t="str">
            <v>Tidak</v>
          </cell>
          <cell r="G4167" t="str">
            <v>Tidak</v>
          </cell>
          <cell r="H4167" t="str">
            <v>Tidak</v>
          </cell>
          <cell r="I4167" t="str">
            <v>Bandar Judol Withdrawal</v>
          </cell>
          <cell r="J4167">
            <v>35</v>
          </cell>
          <cell r="K4167" t="str">
            <v>86,88,87</v>
          </cell>
          <cell r="L4167" t="str">
            <v>Judi Online</v>
          </cell>
          <cell r="M4167" t="str">
            <v xml:space="preserve">Kas Kanpus                              </v>
          </cell>
          <cell r="N4167" t="str">
            <v xml:space="preserve">Kas Kanpus                              </v>
          </cell>
          <cell r="O4167" t="str">
            <v xml:space="preserve">KAS KANPUS                              </v>
          </cell>
          <cell r="P4167" t="str">
            <v>Ya</v>
          </cell>
          <cell r="Q4167" t="str">
            <v>Ya</v>
          </cell>
          <cell r="R4167" t="str">
            <v>Done</v>
          </cell>
          <cell r="S4167" t="str">
            <v>Approved</v>
          </cell>
          <cell r="T4167" t="str">
            <v>00394520 - Frida Akbar Rani</v>
          </cell>
          <cell r="U4167" t="str">
            <v>"-"</v>
          </cell>
        </row>
        <row r="4168">
          <cell r="A4168">
            <v>46265</v>
          </cell>
          <cell r="B4168" t="str">
            <v xml:space="preserve">YOGGY ARVIANDI RAMADHAN                 </v>
          </cell>
          <cell r="C4168" t="str">
            <v>YQY0116</v>
          </cell>
          <cell r="D4168">
            <v>203001022424506</v>
          </cell>
          <cell r="F4168" t="str">
            <v>Tidak</v>
          </cell>
          <cell r="G4168" t="str">
            <v>Tidak</v>
          </cell>
          <cell r="H4168" t="str">
            <v>Tidak</v>
          </cell>
          <cell r="I4168" t="str">
            <v>Bandar Judol Withdrawal</v>
          </cell>
          <cell r="J4168">
            <v>35</v>
          </cell>
          <cell r="K4168" t="str">
            <v>86,88,87</v>
          </cell>
          <cell r="L4168" t="str">
            <v>Judi Online</v>
          </cell>
          <cell r="M4168" t="str">
            <v xml:space="preserve">Kas Kanpus                              </v>
          </cell>
          <cell r="N4168" t="str">
            <v xml:space="preserve">Kas Kanpus                              </v>
          </cell>
          <cell r="O4168" t="str">
            <v xml:space="preserve">KAS KANPUS                              </v>
          </cell>
          <cell r="P4168" t="str">
            <v>Ya</v>
          </cell>
          <cell r="Q4168" t="str">
            <v>Ya</v>
          </cell>
          <cell r="R4168" t="str">
            <v>Done</v>
          </cell>
          <cell r="S4168" t="str">
            <v>Approved</v>
          </cell>
          <cell r="T4168" t="str">
            <v>00394521 - Muhammad Hibbanduta</v>
          </cell>
          <cell r="U4168" t="str">
            <v>"-"</v>
          </cell>
        </row>
        <row r="4169">
          <cell r="A4169">
            <v>46265</v>
          </cell>
          <cell r="B4169" t="str">
            <v xml:space="preserve">YAYASAN PELOPOR PENGEMBAN AMANAH BANGSA </v>
          </cell>
          <cell r="C4169" t="str">
            <v>YQY7798</v>
          </cell>
          <cell r="D4169">
            <v>112701001751560</v>
          </cell>
          <cell r="F4169" t="str">
            <v>Tidak</v>
          </cell>
          <cell r="G4169" t="str">
            <v>Tidak</v>
          </cell>
          <cell r="H4169" t="str">
            <v>Tidak</v>
          </cell>
          <cell r="I4169" t="str">
            <v>Terorisme - SIPENDAR</v>
          </cell>
          <cell r="J4169">
            <v>159</v>
          </cell>
          <cell r="K4169">
            <v>36</v>
          </cell>
          <cell r="L4169" t="str">
            <v>Terorisme</v>
          </cell>
          <cell r="M4169" t="str">
            <v xml:space="preserve">Kas Kanpus                              </v>
          </cell>
          <cell r="N4169" t="str">
            <v xml:space="preserve">Kas Kanpus                              </v>
          </cell>
          <cell r="O4169" t="str">
            <v xml:space="preserve">KAS KANPUS                              </v>
          </cell>
          <cell r="P4169" t="str">
            <v>Ya</v>
          </cell>
          <cell r="Q4169" t="str">
            <v>Tidak</v>
          </cell>
          <cell r="R4169" t="str">
            <v>Done</v>
          </cell>
          <cell r="S4169" t="str">
            <v>Approved</v>
          </cell>
          <cell r="T4169" t="str">
            <v>90185537 - Moh.Khoerul Fajar Ar</v>
          </cell>
          <cell r="U4169" t="str">
            <v>"-"</v>
          </cell>
        </row>
        <row r="4170">
          <cell r="A4170">
            <v>46265</v>
          </cell>
          <cell r="B4170" t="str">
            <v xml:space="preserve">YUNI PRIYANTI                           </v>
          </cell>
          <cell r="C4170" t="str">
            <v>YQZ1318</v>
          </cell>
          <cell r="D4170">
            <v>114501028429508</v>
          </cell>
          <cell r="F4170" t="str">
            <v>Tidak</v>
          </cell>
          <cell r="G4170" t="str">
            <v>Tidak</v>
          </cell>
          <cell r="H4170" t="str">
            <v>Tidak</v>
          </cell>
          <cell r="I4170" t="str">
            <v>Bandar Judol Withdrawal</v>
          </cell>
          <cell r="J4170">
            <v>35</v>
          </cell>
          <cell r="K4170" t="str">
            <v>86,88,87</v>
          </cell>
          <cell r="L4170" t="str">
            <v>Judi Online</v>
          </cell>
          <cell r="M4170" t="str">
            <v xml:space="preserve">Kas Kanpus                              </v>
          </cell>
          <cell r="N4170" t="str">
            <v xml:space="preserve">Kas Kanpus                              </v>
          </cell>
          <cell r="O4170" t="str">
            <v xml:space="preserve">KAS KANPUS                              </v>
          </cell>
          <cell r="P4170" t="str">
            <v>Ya</v>
          </cell>
          <cell r="Q4170" t="str">
            <v>Ya</v>
          </cell>
          <cell r="R4170" t="str">
            <v>Done</v>
          </cell>
          <cell r="S4170" t="str">
            <v>Approved</v>
          </cell>
          <cell r="T4170" t="str">
            <v>90150130 - Intan Aida Pratiwi</v>
          </cell>
          <cell r="U4170" t="str">
            <v>"-"</v>
          </cell>
        </row>
        <row r="4171">
          <cell r="A4171">
            <v>46265</v>
          </cell>
          <cell r="B4171" t="str">
            <v xml:space="preserve">YUYU YUNINGSIH                          </v>
          </cell>
          <cell r="C4171" t="str">
            <v>YPR5733</v>
          </cell>
          <cell r="D4171">
            <v>418401026082503</v>
          </cell>
          <cell r="E4171" t="str">
            <v>SEDANG</v>
          </cell>
          <cell r="F4171" t="str">
            <v>Tidak</v>
          </cell>
          <cell r="G4171" t="str">
            <v>Tidak</v>
          </cell>
          <cell r="H4171" t="str">
            <v>Tidak</v>
          </cell>
          <cell r="I4171" t="str">
            <v>Bandar Judol Withdrawal</v>
          </cell>
          <cell r="J4171">
            <v>50</v>
          </cell>
          <cell r="K4171" t="str">
            <v>86,88,87</v>
          </cell>
          <cell r="L4171" t="str">
            <v>Judi Online</v>
          </cell>
          <cell r="M4171" t="str">
            <v xml:space="preserve">Kas Kanpus                              </v>
          </cell>
          <cell r="N4171" t="str">
            <v xml:space="preserve">Kas Kanpus                              </v>
          </cell>
          <cell r="O4171" t="str">
            <v xml:space="preserve">KAS KANPUS                              </v>
          </cell>
          <cell r="P4171" t="str">
            <v>Ya</v>
          </cell>
          <cell r="Q4171" t="str">
            <v>Ya</v>
          </cell>
          <cell r="R4171" t="str">
            <v>Done</v>
          </cell>
          <cell r="S4171" t="str">
            <v>Approved</v>
          </cell>
          <cell r="T4171" t="str">
            <v>90150130 - Intan Aida Pratiwi</v>
          </cell>
          <cell r="U4171" t="str">
            <v>"-"</v>
          </cell>
        </row>
        <row r="4172">
          <cell r="A4172">
            <v>46265</v>
          </cell>
          <cell r="B4172" t="str">
            <v xml:space="preserve">YAYU RAHAYU                             </v>
          </cell>
          <cell r="C4172" t="str">
            <v>YQG5517</v>
          </cell>
          <cell r="D4172">
            <v>368301016059501</v>
          </cell>
          <cell r="F4172" t="str">
            <v>Tidak</v>
          </cell>
          <cell r="G4172" t="str">
            <v>Tidak</v>
          </cell>
          <cell r="H4172" t="str">
            <v>Tidak</v>
          </cell>
          <cell r="I4172" t="str">
            <v>Bandar Judol Withdrawal</v>
          </cell>
          <cell r="J4172">
            <v>35</v>
          </cell>
          <cell r="K4172" t="str">
            <v>86,88,87</v>
          </cell>
          <cell r="L4172" t="str">
            <v>Judi Online</v>
          </cell>
          <cell r="M4172" t="str">
            <v xml:space="preserve">Kas Kanpus                              </v>
          </cell>
          <cell r="N4172" t="str">
            <v xml:space="preserve">Kas Kanpus                              </v>
          </cell>
          <cell r="O4172" t="str">
            <v xml:space="preserve">KAS KANPUS                              </v>
          </cell>
          <cell r="P4172" t="str">
            <v>Tidak</v>
          </cell>
          <cell r="Q4172" t="str">
            <v>Tidak</v>
          </cell>
          <cell r="R4172" t="str">
            <v>Done</v>
          </cell>
          <cell r="S4172" t="str">
            <v>Approved</v>
          </cell>
          <cell r="T4172" t="str">
            <v>00394521 - Muhammad Hibbanduta</v>
          </cell>
          <cell r="U4172" t="str">
            <v>"-"</v>
          </cell>
        </row>
        <row r="4173">
          <cell r="A4173">
            <v>46265</v>
          </cell>
          <cell r="B4173" t="str">
            <v xml:space="preserve">YANI ANDRIANI                           </v>
          </cell>
          <cell r="C4173" t="str">
            <v>YQK3969</v>
          </cell>
          <cell r="D4173">
            <v>96701000026563</v>
          </cell>
          <cell r="F4173" t="str">
            <v>Tidak</v>
          </cell>
          <cell r="G4173" t="str">
            <v>Tidak</v>
          </cell>
          <cell r="H4173" t="str">
            <v>Tidak</v>
          </cell>
          <cell r="I4173" t="str">
            <v>Bandar Judol Withdrawal</v>
          </cell>
          <cell r="J4173">
            <v>35</v>
          </cell>
          <cell r="K4173" t="str">
            <v>86,88,87</v>
          </cell>
          <cell r="L4173" t="str">
            <v>Judi Online</v>
          </cell>
          <cell r="M4173" t="str">
            <v xml:space="preserve">Kas Kanpus                              </v>
          </cell>
          <cell r="N4173" t="str">
            <v xml:space="preserve">Kas Kanpus                              </v>
          </cell>
          <cell r="O4173" t="str">
            <v xml:space="preserve">KAS KANPUS                              </v>
          </cell>
          <cell r="P4173" t="str">
            <v>Tidak</v>
          </cell>
          <cell r="Q4173" t="str">
            <v>Ya</v>
          </cell>
          <cell r="R4173" t="str">
            <v>Done</v>
          </cell>
          <cell r="S4173" t="str">
            <v>Approved</v>
          </cell>
          <cell r="T4173" t="str">
            <v>00394521 - Muhammad Hibbanduta</v>
          </cell>
          <cell r="U4173" t="str">
            <v>"-"</v>
          </cell>
        </row>
        <row r="4174">
          <cell r="A4174">
            <v>46265</v>
          </cell>
          <cell r="B4174" t="str">
            <v xml:space="preserve">YAKOBUS EKA SAPUTRA                     </v>
          </cell>
          <cell r="C4174" t="str">
            <v>YQO0639</v>
          </cell>
          <cell r="D4174">
            <v>39901002213563</v>
          </cell>
          <cell r="F4174" t="str">
            <v>Tidak</v>
          </cell>
          <cell r="G4174" t="str">
            <v>Tidak</v>
          </cell>
          <cell r="H4174" t="str">
            <v>Tidak</v>
          </cell>
          <cell r="I4174" t="str">
            <v>Bandar Judol Withdrawal</v>
          </cell>
          <cell r="J4174">
            <v>35</v>
          </cell>
          <cell r="K4174" t="str">
            <v>86,88,87</v>
          </cell>
          <cell r="L4174" t="str">
            <v>Judi Online</v>
          </cell>
          <cell r="M4174" t="str">
            <v xml:space="preserve">Kas Kanpus                              </v>
          </cell>
          <cell r="N4174" t="str">
            <v xml:space="preserve">Kas Kanpus                              </v>
          </cell>
          <cell r="O4174" t="str">
            <v xml:space="preserve">KAS KANPUS                              </v>
          </cell>
          <cell r="P4174" t="str">
            <v>Ya</v>
          </cell>
          <cell r="Q4174" t="str">
            <v>Ya</v>
          </cell>
          <cell r="R4174" t="str">
            <v>Done</v>
          </cell>
          <cell r="S4174" t="str">
            <v>Approved</v>
          </cell>
          <cell r="T4174" t="str">
            <v>90150130 - Intan Aida Pratiwi</v>
          </cell>
          <cell r="U4174" t="str">
            <v>"-"</v>
          </cell>
        </row>
        <row r="4175">
          <cell r="A4175">
            <v>46265</v>
          </cell>
          <cell r="B4175" t="str">
            <v xml:space="preserve">YULFAN SATYA WICAKSANA                  </v>
          </cell>
          <cell r="C4175" t="str">
            <v>YQS9732</v>
          </cell>
          <cell r="D4175">
            <v>119101022115508</v>
          </cell>
          <cell r="F4175" t="str">
            <v>Tidak</v>
          </cell>
          <cell r="G4175" t="str">
            <v>Tidak</v>
          </cell>
          <cell r="H4175" t="str">
            <v>Tidak</v>
          </cell>
          <cell r="I4175" t="str">
            <v>Bandar Judol Withdrawal</v>
          </cell>
          <cell r="J4175">
            <v>35</v>
          </cell>
          <cell r="K4175" t="str">
            <v>86,88,87</v>
          </cell>
          <cell r="L4175" t="str">
            <v>Judi Online</v>
          </cell>
          <cell r="M4175" t="str">
            <v xml:space="preserve">Kas Kanpus                              </v>
          </cell>
          <cell r="N4175" t="str">
            <v xml:space="preserve">Kas Kanpus                              </v>
          </cell>
          <cell r="O4175" t="str">
            <v xml:space="preserve">KAS KANPUS                              </v>
          </cell>
          <cell r="P4175" t="str">
            <v>Ya</v>
          </cell>
          <cell r="Q4175" t="str">
            <v>Ya</v>
          </cell>
          <cell r="R4175" t="str">
            <v>Done</v>
          </cell>
          <cell r="S4175" t="str">
            <v>Approved</v>
          </cell>
          <cell r="T4175" t="str">
            <v>90150130 - Intan Aida Pratiwi</v>
          </cell>
          <cell r="U4175" t="str">
            <v>"-"</v>
          </cell>
        </row>
        <row r="4176">
          <cell r="A4176">
            <v>46265</v>
          </cell>
          <cell r="B4176" t="str">
            <v xml:space="preserve">PERANTARA IA AGING - DEBET              </v>
          </cell>
          <cell r="C4176" t="str">
            <v>Z001331</v>
          </cell>
          <cell r="D4176">
            <v>110101000043998</v>
          </cell>
          <cell r="E4176" t="str">
            <v>SEDANG</v>
          </cell>
          <cell r="F4176" t="str">
            <v>Tidak</v>
          </cell>
          <cell r="G4176" t="str">
            <v>Tidak</v>
          </cell>
          <cell r="H4176" t="str">
            <v>Tidak</v>
          </cell>
          <cell r="I4176" t="str">
            <v>Narkotika/Psikotropika- Remark</v>
          </cell>
          <cell r="J4176">
            <v>48</v>
          </cell>
          <cell r="K4176">
            <v>9</v>
          </cell>
          <cell r="L4176" t="str">
            <v>Narkotika/Psikotropika</v>
          </cell>
          <cell r="M4176" t="str">
            <v xml:space="preserve">KC Muko Muko                            </v>
          </cell>
          <cell r="N4176" t="str">
            <v xml:space="preserve">KC Muko Muko                            </v>
          </cell>
          <cell r="O4176" t="str">
            <v xml:space="preserve">KANWIL BANDAR LAMPUNG                   </v>
          </cell>
          <cell r="P4176" t="str">
            <v>Tidak</v>
          </cell>
          <cell r="Q4176" t="str">
            <v>Tidak</v>
          </cell>
          <cell r="R4176" t="str">
            <v>Done</v>
          </cell>
          <cell r="S4176" t="str">
            <v>Approved</v>
          </cell>
          <cell r="T4176" t="str">
            <v>00394521 - Muhammad Hibbanduta</v>
          </cell>
          <cell r="U4176" t="str">
            <v>"-"</v>
          </cell>
        </row>
        <row r="4177">
          <cell r="A4177">
            <v>46265</v>
          </cell>
          <cell r="B4177" t="str">
            <v xml:space="preserve">PERANTARA IA AGING - DEBET              </v>
          </cell>
          <cell r="C4177" t="str">
            <v>Z001331</v>
          </cell>
          <cell r="D4177">
            <v>15001000921996</v>
          </cell>
          <cell r="E4177" t="str">
            <v>SEDANG</v>
          </cell>
          <cell r="F4177" t="str">
            <v>Tidak</v>
          </cell>
          <cell r="G4177" t="str">
            <v>Tidak</v>
          </cell>
          <cell r="H4177" t="str">
            <v>Tidak</v>
          </cell>
          <cell r="I4177" t="str">
            <v>Narkotika/Psikotropika- Remark</v>
          </cell>
          <cell r="J4177">
            <v>50</v>
          </cell>
          <cell r="K4177">
            <v>9</v>
          </cell>
          <cell r="L4177" t="str">
            <v>Narkotika/Psikotropika</v>
          </cell>
          <cell r="M4177" t="str">
            <v xml:space="preserve">KC Manna                                </v>
          </cell>
          <cell r="N4177" t="str">
            <v xml:space="preserve">KC Manna                                </v>
          </cell>
          <cell r="O4177" t="str">
            <v xml:space="preserve">KANWIL BANDAR LAMPUNG                   </v>
          </cell>
          <cell r="P4177" t="str">
            <v>Tidak</v>
          </cell>
          <cell r="Q4177" t="str">
            <v>Tidak</v>
          </cell>
          <cell r="R4177" t="str">
            <v>Done</v>
          </cell>
          <cell r="S4177" t="str">
            <v>Approved</v>
          </cell>
          <cell r="T4177" t="str">
            <v>00394520 - Frida Akbar Rani</v>
          </cell>
          <cell r="U4177" t="str">
            <v>"-"</v>
          </cell>
        </row>
        <row r="4178">
          <cell r="A4178">
            <v>46265</v>
          </cell>
          <cell r="B4178" t="str">
            <v xml:space="preserve">PERANTARA IA AGING - DEBET              </v>
          </cell>
          <cell r="C4178" t="str">
            <v>Z001331</v>
          </cell>
          <cell r="D4178">
            <v>28501000914996</v>
          </cell>
          <cell r="E4178" t="str">
            <v>SEDANG</v>
          </cell>
          <cell r="F4178" t="str">
            <v>Tidak</v>
          </cell>
          <cell r="G4178" t="str">
            <v>Tidak</v>
          </cell>
          <cell r="H4178" t="str">
            <v>Tidak</v>
          </cell>
          <cell r="I4178" t="str">
            <v>Narkotika/Psikotropika- Remark</v>
          </cell>
          <cell r="J4178">
            <v>50</v>
          </cell>
          <cell r="K4178">
            <v>9</v>
          </cell>
          <cell r="L4178" t="str">
            <v>Narkotika/Psikotropika</v>
          </cell>
          <cell r="M4178" t="str">
            <v xml:space="preserve">KC Teluk Betung                         </v>
          </cell>
          <cell r="N4178" t="str">
            <v xml:space="preserve">KC Teluk Betung                         </v>
          </cell>
          <cell r="O4178" t="str">
            <v xml:space="preserve">KANWIL BANDAR LAMPUNG                   </v>
          </cell>
          <cell r="P4178" t="str">
            <v>Tidak</v>
          </cell>
          <cell r="Q4178" t="str">
            <v>Tidak</v>
          </cell>
          <cell r="R4178" t="str">
            <v>Done</v>
          </cell>
          <cell r="S4178" t="str">
            <v>Approved</v>
          </cell>
          <cell r="T4178" t="str">
            <v>90150130 - Intan Aida Pratiwi</v>
          </cell>
          <cell r="U4178" t="str">
            <v>"-"</v>
          </cell>
        </row>
        <row r="4179">
          <cell r="A4179">
            <v>46265</v>
          </cell>
          <cell r="B4179" t="str">
            <v xml:space="preserve">YOPI MELANI                             </v>
          </cell>
          <cell r="C4179" t="str">
            <v>YW78745</v>
          </cell>
          <cell r="D4179">
            <v>550401008321538</v>
          </cell>
          <cell r="E4179" t="str">
            <v>SEDANG</v>
          </cell>
          <cell r="F4179" t="str">
            <v>Ya</v>
          </cell>
          <cell r="G4179" t="str">
            <v>Tidak</v>
          </cell>
          <cell r="H4179" t="str">
            <v>Tidak</v>
          </cell>
          <cell r="I4179" t="str">
            <v>Pencurian Rekening</v>
          </cell>
          <cell r="J4179">
            <v>49</v>
          </cell>
          <cell r="K4179">
            <v>59</v>
          </cell>
          <cell r="L4179" t="str">
            <v>Perbankan</v>
          </cell>
          <cell r="M4179" t="str">
            <v xml:space="preserve">UNIT PANGKALAN PAYAKUMBUH               </v>
          </cell>
          <cell r="N4179" t="str">
            <v xml:space="preserve">KC Payakumbuh                           </v>
          </cell>
          <cell r="O4179" t="str">
            <v xml:space="preserve">Padang                                  </v>
          </cell>
          <cell r="P4179" t="str">
            <v>Tidak</v>
          </cell>
          <cell r="Q4179" t="str">
            <v>Tidak</v>
          </cell>
          <cell r="R4179" t="str">
            <v>Done</v>
          </cell>
          <cell r="S4179" t="str">
            <v>Approved</v>
          </cell>
          <cell r="T4179" t="str">
            <v>90150130 - Intan Aida Pratiwi</v>
          </cell>
          <cell r="U4179" t="str">
            <v>"-"</v>
          </cell>
        </row>
        <row r="4180">
          <cell r="A4180">
            <v>46265</v>
          </cell>
          <cell r="B4180" t="str">
            <v xml:space="preserve">PERANTARA IA AGING - DEBET              </v>
          </cell>
          <cell r="C4180" t="str">
            <v>Z001331</v>
          </cell>
          <cell r="D4180">
            <v>557901000051994</v>
          </cell>
          <cell r="E4180" t="str">
            <v>SEDANG</v>
          </cell>
          <cell r="F4180" t="str">
            <v>Tidak</v>
          </cell>
          <cell r="G4180" t="str">
            <v>Tidak</v>
          </cell>
          <cell r="H4180" t="str">
            <v>Tidak</v>
          </cell>
          <cell r="I4180" t="str">
            <v>Narkotika/Psikotropika- Remark</v>
          </cell>
          <cell r="J4180">
            <v>48</v>
          </cell>
          <cell r="K4180">
            <v>9</v>
          </cell>
          <cell r="L4180" t="str">
            <v>Narkotika/Psikotropika</v>
          </cell>
          <cell r="M4180" t="str">
            <v xml:space="preserve">UNIT IPUH MUKO MUKO                     </v>
          </cell>
          <cell r="N4180" t="str">
            <v xml:space="preserve">KC Muko Muko                            </v>
          </cell>
          <cell r="O4180" t="str">
            <v xml:space="preserve">KANWIL BANDAR LAMPUNG                   </v>
          </cell>
          <cell r="P4180" t="str">
            <v>Tidak</v>
          </cell>
          <cell r="Q4180" t="str">
            <v>Tidak</v>
          </cell>
          <cell r="R4180" t="str">
            <v>Done</v>
          </cell>
          <cell r="S4180" t="str">
            <v>Approved</v>
          </cell>
          <cell r="T4180" t="str">
            <v>90185537 - Moh.Khoerul Fajar Ar</v>
          </cell>
          <cell r="U4180" t="str">
            <v>"-"</v>
          </cell>
        </row>
        <row r="4181">
          <cell r="A4181">
            <v>46265</v>
          </cell>
          <cell r="B4181" t="str">
            <v xml:space="preserve">ZUBAIR                                  </v>
          </cell>
          <cell r="C4181" t="str">
            <v>Z906594</v>
          </cell>
          <cell r="D4181">
            <v>652901008648535</v>
          </cell>
          <cell r="E4181" t="str">
            <v>SEDANG</v>
          </cell>
          <cell r="F4181" t="str">
            <v>Ya</v>
          </cell>
          <cell r="G4181" t="str">
            <v>Tidak</v>
          </cell>
          <cell r="H4181" t="str">
            <v>Tidak</v>
          </cell>
          <cell r="I4181" t="str">
            <v>Bandar Judol Depo</v>
          </cell>
          <cell r="J4181">
            <v>50</v>
          </cell>
          <cell r="K4181" t="str">
            <v>86,74,87</v>
          </cell>
          <cell r="L4181" t="str">
            <v>Judi Online</v>
          </cell>
          <cell r="M4181" t="str">
            <v xml:space="preserve">Kas Kanpus                              </v>
          </cell>
          <cell r="N4181" t="str">
            <v xml:space="preserve">Kas Kanpus                              </v>
          </cell>
          <cell r="O4181" t="str">
            <v xml:space="preserve">KAS KANPUS                              </v>
          </cell>
          <cell r="P4181" t="str">
            <v>Tidak</v>
          </cell>
          <cell r="Q4181" t="str">
            <v>Ya</v>
          </cell>
          <cell r="R4181" t="str">
            <v>Done</v>
          </cell>
          <cell r="S4181" t="str">
            <v>Approved</v>
          </cell>
          <cell r="T4181" t="str">
            <v>90170665 - Mutiara Ayuningtyas</v>
          </cell>
          <cell r="U4181" t="str">
            <v>"-"</v>
          </cell>
        </row>
        <row r="4182">
          <cell r="A4182">
            <v>46265</v>
          </cell>
          <cell r="B4182" t="str">
            <v xml:space="preserve">ZAKI NURHUDA                            </v>
          </cell>
          <cell r="C4182" t="str">
            <v>ZQ10389</v>
          </cell>
          <cell r="D4182">
            <v>10701146751503</v>
          </cell>
          <cell r="F4182" t="str">
            <v>Tidak</v>
          </cell>
          <cell r="G4182" t="str">
            <v>Tidak</v>
          </cell>
          <cell r="H4182" t="str">
            <v>Tidak</v>
          </cell>
          <cell r="I4182" t="str">
            <v>Bandar Judol Withdrawal</v>
          </cell>
          <cell r="J4182">
            <v>35</v>
          </cell>
          <cell r="K4182" t="str">
            <v>86,88,87</v>
          </cell>
          <cell r="L4182" t="str">
            <v>Judi Online</v>
          </cell>
          <cell r="M4182" t="str">
            <v xml:space="preserve">Kas Kanpus                              </v>
          </cell>
          <cell r="N4182" t="str">
            <v xml:space="preserve">Kas Kanpus                              </v>
          </cell>
          <cell r="O4182" t="str">
            <v xml:space="preserve">KAS KANPUS                              </v>
          </cell>
          <cell r="P4182" t="str">
            <v>Ya</v>
          </cell>
          <cell r="Q4182" t="str">
            <v>Ya</v>
          </cell>
          <cell r="R4182" t="str">
            <v>Done</v>
          </cell>
          <cell r="S4182" t="str">
            <v>Approved</v>
          </cell>
          <cell r="T4182" t="str">
            <v>90185538 - Muhammad Fahikal Auz</v>
          </cell>
          <cell r="U4182" t="str">
            <v>"-"</v>
          </cell>
        </row>
        <row r="4183">
          <cell r="A4183">
            <v>46265</v>
          </cell>
          <cell r="B4183" t="str">
            <v xml:space="preserve">ZUHARI                                  </v>
          </cell>
          <cell r="C4183" t="str">
            <v>ZQ26622</v>
          </cell>
          <cell r="D4183">
            <v>736701000039567</v>
          </cell>
          <cell r="F4183" t="str">
            <v>Tidak</v>
          </cell>
          <cell r="G4183" t="str">
            <v>Tidak</v>
          </cell>
          <cell r="H4183" t="str">
            <v>Tidak</v>
          </cell>
          <cell r="I4183" t="str">
            <v>Bandar Judol Withdrawal</v>
          </cell>
          <cell r="J4183">
            <v>35</v>
          </cell>
          <cell r="K4183" t="str">
            <v>86,88,87</v>
          </cell>
          <cell r="L4183" t="str">
            <v>Judi Online</v>
          </cell>
          <cell r="M4183" t="str">
            <v xml:space="preserve">Kas Kanpus                              </v>
          </cell>
          <cell r="N4183" t="str">
            <v xml:space="preserve">Kas Kanpus                              </v>
          </cell>
          <cell r="O4183" t="str">
            <v xml:space="preserve">KAS KANPUS                              </v>
          </cell>
          <cell r="P4183" t="str">
            <v>Ya</v>
          </cell>
          <cell r="Q4183" t="str">
            <v>Ya</v>
          </cell>
          <cell r="R4183" t="str">
            <v>Done</v>
          </cell>
          <cell r="S4183" t="str">
            <v>Approved</v>
          </cell>
          <cell r="T4183" t="str">
            <v>00336949 - Mochammad Al Farabi</v>
          </cell>
          <cell r="U4183" t="str">
            <v>"-"</v>
          </cell>
        </row>
        <row r="4184">
          <cell r="A4184">
            <v>46265</v>
          </cell>
          <cell r="B4184" t="str">
            <v xml:space="preserve">ZAHARA LUBIS                            </v>
          </cell>
          <cell r="C4184" t="str">
            <v>ZQ53861</v>
          </cell>
          <cell r="D4184">
            <v>338101006669500</v>
          </cell>
          <cell r="F4184" t="str">
            <v>Tidak</v>
          </cell>
          <cell r="G4184" t="str">
            <v>Tidak</v>
          </cell>
          <cell r="H4184" t="str">
            <v>Tidak</v>
          </cell>
          <cell r="I4184" t="str">
            <v>Bandar Judol Withdrawal</v>
          </cell>
          <cell r="J4184">
            <v>35</v>
          </cell>
          <cell r="K4184" t="str">
            <v>86,88,87</v>
          </cell>
          <cell r="L4184" t="str">
            <v>Judi Online</v>
          </cell>
          <cell r="M4184" t="str">
            <v xml:space="preserve">Kas Kanpus                              </v>
          </cell>
          <cell r="N4184" t="str">
            <v xml:space="preserve">Kas Kanpus                              </v>
          </cell>
          <cell r="O4184" t="str">
            <v xml:space="preserve">KAS KANPUS                              </v>
          </cell>
          <cell r="P4184" t="str">
            <v>Ya</v>
          </cell>
          <cell r="Q4184" t="str">
            <v>Ya</v>
          </cell>
          <cell r="R4184" t="str">
            <v>Done</v>
          </cell>
          <cell r="S4184" t="str">
            <v>Approved</v>
          </cell>
          <cell r="T4184" t="str">
            <v>90171841 - Rifqi Aziz</v>
          </cell>
          <cell r="U4184" t="str">
            <v>"-"</v>
          </cell>
        </row>
        <row r="4185">
          <cell r="A4185">
            <v>46265</v>
          </cell>
          <cell r="B4185" t="str">
            <v xml:space="preserve">PERANTARA IA AGING - DEBET              </v>
          </cell>
          <cell r="C4185" t="str">
            <v>Z001331</v>
          </cell>
          <cell r="D4185">
            <v>569601000029999</v>
          </cell>
          <cell r="E4185" t="str">
            <v>SEDANG</v>
          </cell>
          <cell r="F4185" t="str">
            <v>Tidak</v>
          </cell>
          <cell r="G4185" t="str">
            <v>Tidak</v>
          </cell>
          <cell r="H4185" t="str">
            <v>Tidak</v>
          </cell>
          <cell r="I4185" t="str">
            <v>Narkotika/Psikotropika- Remark</v>
          </cell>
          <cell r="J4185">
            <v>48</v>
          </cell>
          <cell r="K4185">
            <v>9</v>
          </cell>
          <cell r="L4185" t="str">
            <v>Narkotika/Psikotropika</v>
          </cell>
          <cell r="M4185" t="str">
            <v xml:space="preserve">UNIT TEDUNAN MANNA                      </v>
          </cell>
          <cell r="N4185" t="str">
            <v xml:space="preserve">KC Manna                                </v>
          </cell>
          <cell r="O4185" t="str">
            <v xml:space="preserve">KANWIL BANDAR LAMPUNG                   </v>
          </cell>
          <cell r="P4185" t="str">
            <v>Tidak</v>
          </cell>
          <cell r="Q4185" t="str">
            <v>Tidak</v>
          </cell>
          <cell r="R4185" t="str">
            <v>Done</v>
          </cell>
          <cell r="S4185" t="str">
            <v>Approved</v>
          </cell>
          <cell r="T4185" t="str">
            <v>00394521 - Muhammad Hibbanduta</v>
          </cell>
          <cell r="U4185" t="str">
            <v>"-"</v>
          </cell>
        </row>
        <row r="4186">
          <cell r="A4186">
            <v>46265</v>
          </cell>
          <cell r="B4186" t="str">
            <v xml:space="preserve">ZAINAB                                  </v>
          </cell>
          <cell r="C4186" t="str">
            <v>ZC62656</v>
          </cell>
          <cell r="D4186">
            <v>53801002555561</v>
          </cell>
          <cell r="E4186" t="str">
            <v>SEDANG</v>
          </cell>
          <cell r="F4186" t="str">
            <v>Tidak</v>
          </cell>
          <cell r="G4186" t="str">
            <v>Tidak</v>
          </cell>
          <cell r="H4186" t="str">
            <v>Tidak</v>
          </cell>
          <cell r="I4186" t="str">
            <v>Bandar Judol Withdrawal</v>
          </cell>
          <cell r="J4186">
            <v>50</v>
          </cell>
          <cell r="K4186" t="str">
            <v>86,88,87</v>
          </cell>
          <cell r="L4186" t="str">
            <v>Judi Online</v>
          </cell>
          <cell r="M4186" t="str">
            <v xml:space="preserve">Kas Kanpus                              </v>
          </cell>
          <cell r="N4186" t="str">
            <v xml:space="preserve">Kas Kanpus                              </v>
          </cell>
          <cell r="O4186" t="str">
            <v xml:space="preserve">KAS KANPUS                              </v>
          </cell>
          <cell r="P4186" t="str">
            <v>Ya</v>
          </cell>
          <cell r="Q4186" t="str">
            <v>Ya</v>
          </cell>
          <cell r="R4186" t="str">
            <v>Done</v>
          </cell>
          <cell r="S4186" t="str">
            <v>Approved</v>
          </cell>
          <cell r="T4186" t="str">
            <v>90171841 - Rifqi Aziz</v>
          </cell>
          <cell r="U4186" t="str">
            <v>"-"</v>
          </cell>
        </row>
        <row r="4187">
          <cell r="A4187">
            <v>46265</v>
          </cell>
          <cell r="B4187" t="str">
            <v xml:space="preserve">ZULIAN BUDI SURANTO                     </v>
          </cell>
          <cell r="C4187" t="str">
            <v>ZC75744</v>
          </cell>
          <cell r="D4187">
            <v>7801108605509</v>
          </cell>
          <cell r="E4187" t="str">
            <v>SEDANG</v>
          </cell>
          <cell r="F4187" t="str">
            <v>Tidak</v>
          </cell>
          <cell r="G4187" t="str">
            <v>Tidak</v>
          </cell>
          <cell r="H4187" t="str">
            <v>Tidak</v>
          </cell>
          <cell r="I4187" t="str">
            <v>Bandar Judol Withdrawal</v>
          </cell>
          <cell r="J4187">
            <v>50</v>
          </cell>
          <cell r="K4187" t="str">
            <v>86,88,87</v>
          </cell>
          <cell r="L4187" t="str">
            <v>Judi Online</v>
          </cell>
          <cell r="M4187" t="str">
            <v xml:space="preserve">Kas Kanpus                              </v>
          </cell>
          <cell r="N4187" t="str">
            <v xml:space="preserve">Kas Kanpus                              </v>
          </cell>
          <cell r="O4187" t="str">
            <v xml:space="preserve">KAS KANPUS                              </v>
          </cell>
          <cell r="P4187" t="str">
            <v>Ya</v>
          </cell>
          <cell r="Q4187" t="str">
            <v>Ya</v>
          </cell>
          <cell r="R4187" t="str">
            <v>Done</v>
          </cell>
          <cell r="S4187" t="str">
            <v>Approved</v>
          </cell>
          <cell r="T4187" t="str">
            <v>90150130 - Intan Aida Pratiwi</v>
          </cell>
          <cell r="U4187" t="str">
            <v>"-"</v>
          </cell>
        </row>
        <row r="4188">
          <cell r="A4188">
            <v>46265</v>
          </cell>
          <cell r="B4188" t="str">
            <v xml:space="preserve">ZULKARNAEN                              </v>
          </cell>
          <cell r="C4188" t="str">
            <v>ZD21011</v>
          </cell>
          <cell r="D4188">
            <v>69301001543567</v>
          </cell>
          <cell r="E4188" t="str">
            <v>SEDANG</v>
          </cell>
          <cell r="F4188" t="str">
            <v>Tidak</v>
          </cell>
          <cell r="G4188" t="str">
            <v>Tidak</v>
          </cell>
          <cell r="H4188" t="str">
            <v>Tidak</v>
          </cell>
          <cell r="I4188" t="str">
            <v>Bandar Judol Withdrawal</v>
          </cell>
          <cell r="J4188">
            <v>50</v>
          </cell>
          <cell r="K4188" t="str">
            <v>86,88,87</v>
          </cell>
          <cell r="L4188" t="str">
            <v>Judi Online</v>
          </cell>
          <cell r="M4188" t="str">
            <v xml:space="preserve">Kas Kanpus                              </v>
          </cell>
          <cell r="N4188" t="str">
            <v xml:space="preserve">Kas Kanpus                              </v>
          </cell>
          <cell r="O4188" t="str">
            <v xml:space="preserve">KAS KANPUS                              </v>
          </cell>
          <cell r="P4188" t="str">
            <v>Ya</v>
          </cell>
          <cell r="Q4188" t="str">
            <v>Ya</v>
          </cell>
          <cell r="R4188" t="str">
            <v>Done</v>
          </cell>
          <cell r="S4188" t="str">
            <v>Approved</v>
          </cell>
          <cell r="T4188" t="str">
            <v>90171841 - Rifqi Aziz</v>
          </cell>
          <cell r="U4188" t="str">
            <v>"-"</v>
          </cell>
        </row>
        <row r="4189">
          <cell r="A4189">
            <v>46265</v>
          </cell>
          <cell r="B4189" t="str">
            <v xml:space="preserve">ZULHAMRI                                </v>
          </cell>
          <cell r="C4189" t="str">
            <v>ZE11852</v>
          </cell>
          <cell r="D4189">
            <v>536101031402531</v>
          </cell>
          <cell r="E4189" t="str">
            <v>SEDANG</v>
          </cell>
          <cell r="F4189" t="str">
            <v>Tidak</v>
          </cell>
          <cell r="G4189" t="str">
            <v>Tidak</v>
          </cell>
          <cell r="H4189" t="str">
            <v>Tidak</v>
          </cell>
          <cell r="I4189" t="str">
            <v>Bandar Judol Depo</v>
          </cell>
          <cell r="J4189">
            <v>50</v>
          </cell>
          <cell r="K4189" t="str">
            <v>86,74,87</v>
          </cell>
          <cell r="L4189" t="str">
            <v>Judi Online</v>
          </cell>
          <cell r="M4189" t="str">
            <v xml:space="preserve">Kas Kanpus                              </v>
          </cell>
          <cell r="N4189" t="str">
            <v xml:space="preserve">Kas Kanpus                              </v>
          </cell>
          <cell r="O4189" t="str">
            <v xml:space="preserve">KAS KANPUS                              </v>
          </cell>
          <cell r="P4189" t="str">
            <v>Ya</v>
          </cell>
          <cell r="Q4189" t="str">
            <v>Ya</v>
          </cell>
          <cell r="R4189" t="str">
            <v>Done</v>
          </cell>
          <cell r="S4189" t="str">
            <v>Approved</v>
          </cell>
          <cell r="T4189" t="str">
            <v>90170665 - Mutiara Ayuningtyas</v>
          </cell>
          <cell r="U4189" t="str">
            <v>"-"</v>
          </cell>
        </row>
        <row r="4190">
          <cell r="A4190">
            <v>46265</v>
          </cell>
          <cell r="B4190" t="str">
            <v xml:space="preserve">ZINEDINE YAZID FAUZAN                   </v>
          </cell>
          <cell r="C4190" t="str">
            <v>ZM37244</v>
          </cell>
          <cell r="D4190">
            <v>117101021870507</v>
          </cell>
          <cell r="E4190" t="str">
            <v>SEDANG</v>
          </cell>
          <cell r="F4190" t="str">
            <v>Tidak</v>
          </cell>
          <cell r="G4190" t="str">
            <v>Tidak</v>
          </cell>
          <cell r="H4190" t="str">
            <v>Tidak</v>
          </cell>
          <cell r="I4190" t="str">
            <v>Bandar Judol Withdrawal</v>
          </cell>
          <cell r="J4190">
            <v>50</v>
          </cell>
          <cell r="K4190" t="str">
            <v>86,88,87</v>
          </cell>
          <cell r="L4190" t="str">
            <v>Judi Online</v>
          </cell>
          <cell r="M4190" t="str">
            <v xml:space="preserve">Kas Kanpus                              </v>
          </cell>
          <cell r="N4190" t="str">
            <v xml:space="preserve">Kas Kanpus                              </v>
          </cell>
          <cell r="O4190" t="str">
            <v xml:space="preserve">KAS KANPUS                              </v>
          </cell>
          <cell r="P4190" t="str">
            <v>Ya</v>
          </cell>
          <cell r="Q4190" t="str">
            <v>Ya</v>
          </cell>
          <cell r="R4190" t="str">
            <v>Done</v>
          </cell>
          <cell r="S4190" t="str">
            <v>Approved</v>
          </cell>
          <cell r="T4190" t="str">
            <v>90171841 - Rifqi Aziz</v>
          </cell>
          <cell r="U4190" t="str">
            <v>"-"</v>
          </cell>
        </row>
        <row r="4191">
          <cell r="A4191">
            <v>46265</v>
          </cell>
          <cell r="B4191" t="str">
            <v xml:space="preserve">ZEE BEAUTY SKINCARE                     </v>
          </cell>
          <cell r="C4191" t="str">
            <v>ZK78058</v>
          </cell>
          <cell r="D4191">
            <v>60501002408567</v>
          </cell>
          <cell r="E4191" t="str">
            <v>SEDANG</v>
          </cell>
          <cell r="F4191" t="str">
            <v>Tidak</v>
          </cell>
          <cell r="G4191" t="str">
            <v>Tidak</v>
          </cell>
          <cell r="H4191" t="str">
            <v>Tidak</v>
          </cell>
          <cell r="I4191" t="str">
            <v>Perpajakan</v>
          </cell>
          <cell r="J4191">
            <v>48</v>
          </cell>
          <cell r="K4191">
            <v>41</v>
          </cell>
          <cell r="L4191" t="str">
            <v>Perpajakan</v>
          </cell>
          <cell r="M4191" t="str">
            <v xml:space="preserve">KC Tulang Bawang                        </v>
          </cell>
          <cell r="N4191" t="str">
            <v xml:space="preserve">KC Tulang Bawang                        </v>
          </cell>
          <cell r="O4191" t="str">
            <v xml:space="preserve">KANWIL BANDAR LAMPUNG                   </v>
          </cell>
          <cell r="P4191" t="str">
            <v>Tidak</v>
          </cell>
          <cell r="Q4191" t="str">
            <v>Ya</v>
          </cell>
          <cell r="R4191" t="str">
            <v>Done</v>
          </cell>
          <cell r="S4191" t="str">
            <v>Approved</v>
          </cell>
          <cell r="T4191" t="str">
            <v>00336949 - Mochammad Al Farabi</v>
          </cell>
          <cell r="U4191" t="str">
            <v>"-"</v>
          </cell>
        </row>
        <row r="4192">
          <cell r="A4192">
            <v>46265</v>
          </cell>
          <cell r="B4192" t="str">
            <v xml:space="preserve">ZUKHAIRIYAH FUAD                        </v>
          </cell>
          <cell r="C4192" t="str">
            <v>ZE23103</v>
          </cell>
          <cell r="D4192">
            <v>28301034161533</v>
          </cell>
          <cell r="E4192" t="str">
            <v>SEDANG</v>
          </cell>
          <cell r="F4192" t="str">
            <v>Tidak</v>
          </cell>
          <cell r="G4192" t="str">
            <v>Tidak</v>
          </cell>
          <cell r="H4192" t="str">
            <v>Tidak</v>
          </cell>
          <cell r="I4192" t="str">
            <v>Bandar Judol Withdrawal</v>
          </cell>
          <cell r="J4192">
            <v>50</v>
          </cell>
          <cell r="K4192" t="str">
            <v>86,88,87</v>
          </cell>
          <cell r="L4192" t="str">
            <v>Judi Online</v>
          </cell>
          <cell r="M4192" t="str">
            <v xml:space="preserve">Kas Kanpus                              </v>
          </cell>
          <cell r="N4192" t="str">
            <v xml:space="preserve">Kas Kanpus                              </v>
          </cell>
          <cell r="O4192" t="str">
            <v xml:space="preserve">KAS KANPUS                              </v>
          </cell>
          <cell r="P4192" t="str">
            <v>Ya</v>
          </cell>
          <cell r="Q4192" t="str">
            <v>Ya</v>
          </cell>
          <cell r="R4192" t="str">
            <v>Done</v>
          </cell>
          <cell r="S4192" t="str">
            <v>Approved</v>
          </cell>
          <cell r="T4192" t="str">
            <v>90171841 - Rifqi Aziz</v>
          </cell>
          <cell r="U4192" t="str">
            <v>"-"</v>
          </cell>
        </row>
        <row r="4193">
          <cell r="A4193">
            <v>46265</v>
          </cell>
          <cell r="B4193" t="str">
            <v xml:space="preserve">PERANTARA IA AGING - DEBET              </v>
          </cell>
          <cell r="C4193" t="str">
            <v>Z001331</v>
          </cell>
          <cell r="D4193">
            <v>805101000001992</v>
          </cell>
          <cell r="E4193" t="str">
            <v>SEDANG</v>
          </cell>
          <cell r="F4193" t="str">
            <v>Tidak</v>
          </cell>
          <cell r="G4193" t="str">
            <v>Tidak</v>
          </cell>
          <cell r="H4193" t="str">
            <v>Tidak</v>
          </cell>
          <cell r="I4193" t="str">
            <v>Narkotika/Psikotropika- Remark</v>
          </cell>
          <cell r="J4193">
            <v>48</v>
          </cell>
          <cell r="K4193">
            <v>9</v>
          </cell>
          <cell r="L4193" t="str">
            <v>Narkotika/Psikotropika</v>
          </cell>
          <cell r="M4193" t="str">
            <v xml:space="preserve">UNIT PONDOK SUGUH MUKO MUKO             </v>
          </cell>
          <cell r="N4193" t="str">
            <v xml:space="preserve">KC Muko Muko                            </v>
          </cell>
          <cell r="O4193" t="str">
            <v xml:space="preserve">KANWIL BANDAR LAMPUNG                   </v>
          </cell>
          <cell r="P4193" t="str">
            <v>Tidak</v>
          </cell>
          <cell r="Q4193" t="str">
            <v>Tidak</v>
          </cell>
          <cell r="R4193" t="str">
            <v>Done</v>
          </cell>
          <cell r="S4193" t="str">
            <v>Approved</v>
          </cell>
          <cell r="T4193" t="str">
            <v>90185538 - Muhammad Fahikal Auz</v>
          </cell>
          <cell r="U4193" t="str">
            <v>"-"</v>
          </cell>
        </row>
        <row r="4194">
          <cell r="A4194">
            <v>46265</v>
          </cell>
          <cell r="B4194" t="str">
            <v xml:space="preserve">TIARA BR SINAGA                         </v>
          </cell>
          <cell r="C4194" t="str">
            <v>TSB6346</v>
          </cell>
          <cell r="D4194">
            <v>40401018002537</v>
          </cell>
          <cell r="E4194" t="str">
            <v>SEDANG</v>
          </cell>
          <cell r="F4194" t="str">
            <v>Tidak</v>
          </cell>
          <cell r="G4194" t="str">
            <v>Tidak</v>
          </cell>
          <cell r="H4194" t="str">
            <v>Tidak</v>
          </cell>
          <cell r="I4194" t="str">
            <v>Bandar Judol Depo</v>
          </cell>
          <cell r="J4194">
            <v>50</v>
          </cell>
          <cell r="K4194" t="str">
            <v>86,74,87</v>
          </cell>
          <cell r="L4194" t="str">
            <v>Judi Online</v>
          </cell>
          <cell r="M4194" t="str">
            <v xml:space="preserve">Kas Kanpus                              </v>
          </cell>
          <cell r="N4194" t="str">
            <v xml:space="preserve">Kas Kanpus                              </v>
          </cell>
          <cell r="O4194" t="str">
            <v xml:space="preserve">KAS KANPUS                              </v>
          </cell>
          <cell r="P4194" t="str">
            <v>Ya</v>
          </cell>
          <cell r="Q4194" t="str">
            <v>Ya</v>
          </cell>
          <cell r="R4194" t="str">
            <v>Done</v>
          </cell>
          <cell r="S4194" t="str">
            <v>Approved</v>
          </cell>
          <cell r="T4194" t="str">
            <v>90171841 - Rifqi Aziz</v>
          </cell>
          <cell r="U4194" t="str">
            <v>"-"</v>
          </cell>
        </row>
        <row r="4195">
          <cell r="A4195">
            <v>46265</v>
          </cell>
          <cell r="B4195" t="str">
            <v xml:space="preserve">TEGUH EKA PRATAMA                       </v>
          </cell>
          <cell r="C4195" t="str">
            <v>TSN9511</v>
          </cell>
          <cell r="D4195">
            <v>110901014305504</v>
          </cell>
          <cell r="F4195" t="str">
            <v>Tidak</v>
          </cell>
          <cell r="G4195" t="str">
            <v>Tidak</v>
          </cell>
          <cell r="H4195" t="str">
            <v>Tidak</v>
          </cell>
          <cell r="I4195" t="str">
            <v>Bandar Judol Depo</v>
          </cell>
          <cell r="J4195">
            <v>35</v>
          </cell>
          <cell r="K4195" t="str">
            <v>86,74,87</v>
          </cell>
          <cell r="L4195" t="str">
            <v>Judi Online</v>
          </cell>
          <cell r="M4195" t="str">
            <v xml:space="preserve">Kas Kanpus                              </v>
          </cell>
          <cell r="N4195" t="str">
            <v xml:space="preserve">Kas Kanpus                              </v>
          </cell>
          <cell r="O4195" t="str">
            <v xml:space="preserve">KAS KANPUS                              </v>
          </cell>
          <cell r="P4195" t="str">
            <v>Ya</v>
          </cell>
          <cell r="Q4195" t="str">
            <v>Ya</v>
          </cell>
          <cell r="R4195" t="str">
            <v>Done</v>
          </cell>
          <cell r="S4195" t="str">
            <v>Approved</v>
          </cell>
          <cell r="T4195" t="str">
            <v>00394520 - Frida Akbar Rani</v>
          </cell>
          <cell r="U4195" t="str">
            <v>"-"</v>
          </cell>
        </row>
        <row r="4196">
          <cell r="A4196">
            <v>46265</v>
          </cell>
          <cell r="B4196" t="str">
            <v xml:space="preserve">TOYIB ABDUL AZIS                        </v>
          </cell>
          <cell r="C4196" t="str">
            <v>TRT1212</v>
          </cell>
          <cell r="D4196">
            <v>212601000676566</v>
          </cell>
          <cell r="E4196" t="str">
            <v>SEDANG</v>
          </cell>
          <cell r="F4196" t="str">
            <v>Tidak</v>
          </cell>
          <cell r="G4196" t="str">
            <v>Tidak</v>
          </cell>
          <cell r="H4196" t="str">
            <v>Tidak</v>
          </cell>
          <cell r="I4196" t="str">
            <v>Bandar Judol Withdrawal</v>
          </cell>
          <cell r="J4196">
            <v>50</v>
          </cell>
          <cell r="K4196" t="str">
            <v>86,88,87</v>
          </cell>
          <cell r="L4196" t="str">
            <v>Judi Online</v>
          </cell>
          <cell r="M4196" t="str">
            <v xml:space="preserve">Kas Kanpus                              </v>
          </cell>
          <cell r="N4196" t="str">
            <v xml:space="preserve">Kas Kanpus                              </v>
          </cell>
          <cell r="O4196" t="str">
            <v xml:space="preserve">KAS KANPUS                              </v>
          </cell>
          <cell r="P4196" t="str">
            <v>Ya</v>
          </cell>
          <cell r="Q4196" t="str">
            <v>Ya</v>
          </cell>
          <cell r="R4196" t="str">
            <v>Done</v>
          </cell>
          <cell r="S4196" t="str">
            <v>Approved</v>
          </cell>
          <cell r="T4196" t="str">
            <v>90170665 - Mutiara Ayuningtyas</v>
          </cell>
          <cell r="U4196" t="str">
            <v>"-"</v>
          </cell>
        </row>
        <row r="4197">
          <cell r="A4197">
            <v>46265</v>
          </cell>
          <cell r="B4197" t="str">
            <v xml:space="preserve">TAJUDIN                                 </v>
          </cell>
          <cell r="C4197" t="str">
            <v>TRV2161</v>
          </cell>
          <cell r="D4197">
            <v>112901009032536</v>
          </cell>
          <cell r="E4197" t="str">
            <v>SEDANG</v>
          </cell>
          <cell r="F4197" t="str">
            <v>Tidak</v>
          </cell>
          <cell r="G4197" t="str">
            <v>Tidak</v>
          </cell>
          <cell r="H4197" t="str">
            <v>Tidak</v>
          </cell>
          <cell r="I4197" t="str">
            <v>Bandar Judol Depo</v>
          </cell>
          <cell r="J4197">
            <v>50</v>
          </cell>
          <cell r="K4197" t="str">
            <v>86,74,87</v>
          </cell>
          <cell r="L4197" t="str">
            <v>Judi Online</v>
          </cell>
          <cell r="M4197" t="str">
            <v xml:space="preserve">Kas Kanpus                              </v>
          </cell>
          <cell r="N4197" t="str">
            <v xml:space="preserve">Kas Kanpus                              </v>
          </cell>
          <cell r="O4197" t="str">
            <v xml:space="preserve">KAS KANPUS                              </v>
          </cell>
          <cell r="P4197" t="str">
            <v>Ya</v>
          </cell>
          <cell r="Q4197" t="str">
            <v>Ya</v>
          </cell>
          <cell r="R4197" t="str">
            <v>Done</v>
          </cell>
          <cell r="S4197" t="str">
            <v>Approved</v>
          </cell>
          <cell r="T4197" t="str">
            <v>90171841 - Rifqi Aziz</v>
          </cell>
          <cell r="U4197" t="str">
            <v>"-"</v>
          </cell>
        </row>
        <row r="4198">
          <cell r="A4198">
            <v>46265</v>
          </cell>
          <cell r="B4198" t="str">
            <v xml:space="preserve">THERESIA AUREL                          </v>
          </cell>
          <cell r="C4198" t="str">
            <v>TTE1927</v>
          </cell>
          <cell r="D4198">
            <v>121401000161561</v>
          </cell>
          <cell r="F4198" t="str">
            <v>Tidak</v>
          </cell>
          <cell r="G4198" t="str">
            <v>Tidak</v>
          </cell>
          <cell r="H4198" t="str">
            <v>Tidak</v>
          </cell>
          <cell r="I4198" t="str">
            <v>Bandar Judol Withdrawal</v>
          </cell>
          <cell r="J4198">
            <v>35</v>
          </cell>
          <cell r="K4198" t="str">
            <v>86,88,87</v>
          </cell>
          <cell r="L4198" t="str">
            <v>Judi Online</v>
          </cell>
          <cell r="M4198" t="str">
            <v xml:space="preserve">Kas Kanpus                              </v>
          </cell>
          <cell r="N4198" t="str">
            <v xml:space="preserve">Kas Kanpus                              </v>
          </cell>
          <cell r="O4198" t="str">
            <v xml:space="preserve">KAS KANPUS                              </v>
          </cell>
          <cell r="P4198" t="str">
            <v>Ya</v>
          </cell>
          <cell r="Q4198" t="str">
            <v>Ya</v>
          </cell>
          <cell r="R4198" t="str">
            <v>Done</v>
          </cell>
          <cell r="S4198" t="str">
            <v>Approved</v>
          </cell>
          <cell r="T4198" t="str">
            <v>90185538 - Muhammad Fahikal Auz</v>
          </cell>
          <cell r="U4198" t="str">
            <v>"-"</v>
          </cell>
        </row>
        <row r="4199">
          <cell r="A4199">
            <v>46265</v>
          </cell>
          <cell r="B4199" t="str">
            <v xml:space="preserve">TUBAGUS FARHAN ABDILLAH                 </v>
          </cell>
          <cell r="C4199" t="str">
            <v>TTE8745</v>
          </cell>
          <cell r="D4199">
            <v>50901005510565</v>
          </cell>
          <cell r="F4199" t="str">
            <v>Tidak</v>
          </cell>
          <cell r="G4199" t="str">
            <v>Tidak</v>
          </cell>
          <cell r="H4199" t="str">
            <v>Tidak</v>
          </cell>
          <cell r="I4199" t="str">
            <v>Bandar Judol Depo</v>
          </cell>
          <cell r="J4199">
            <v>35</v>
          </cell>
          <cell r="K4199" t="str">
            <v>86,74,87</v>
          </cell>
          <cell r="L4199" t="str">
            <v>Judi Online</v>
          </cell>
          <cell r="M4199" t="str">
            <v xml:space="preserve">Kas Kanpus                              </v>
          </cell>
          <cell r="N4199" t="str">
            <v xml:space="preserve">Kas Kanpus                              </v>
          </cell>
          <cell r="O4199" t="str">
            <v xml:space="preserve">KAS KANPUS                              </v>
          </cell>
          <cell r="P4199" t="str">
            <v>Ya</v>
          </cell>
          <cell r="Q4199" t="str">
            <v>Ya</v>
          </cell>
          <cell r="R4199" t="str">
            <v>Done</v>
          </cell>
          <cell r="S4199" t="str">
            <v>Approved</v>
          </cell>
          <cell r="T4199" t="str">
            <v>90186796 - Devito Arya Wiradila</v>
          </cell>
          <cell r="U4199" t="str">
            <v>"-"</v>
          </cell>
        </row>
        <row r="4200">
          <cell r="A4200">
            <v>46265</v>
          </cell>
          <cell r="B4200" t="str">
            <v xml:space="preserve">TAUPIK HIDAYAT                          </v>
          </cell>
          <cell r="C4200" t="str">
            <v>TSY7269</v>
          </cell>
          <cell r="D4200">
            <v>23801001840561</v>
          </cell>
          <cell r="F4200" t="str">
            <v>Tidak</v>
          </cell>
          <cell r="G4200" t="str">
            <v>Tidak</v>
          </cell>
          <cell r="H4200" t="str">
            <v>Tidak</v>
          </cell>
          <cell r="I4200" t="str">
            <v>Bandar Judol Withdrawal</v>
          </cell>
          <cell r="J4200">
            <v>35</v>
          </cell>
          <cell r="K4200" t="str">
            <v>86,88,87</v>
          </cell>
          <cell r="L4200" t="str">
            <v>Judi Online</v>
          </cell>
          <cell r="M4200" t="str">
            <v xml:space="preserve">Kas Kanpus                              </v>
          </cell>
          <cell r="N4200" t="str">
            <v xml:space="preserve">Kas Kanpus                              </v>
          </cell>
          <cell r="O4200" t="str">
            <v xml:space="preserve">KAS KANPUS                              </v>
          </cell>
          <cell r="P4200" t="str">
            <v>Ya</v>
          </cell>
          <cell r="Q4200" t="str">
            <v>Ya</v>
          </cell>
          <cell r="R4200" t="str">
            <v>Done</v>
          </cell>
          <cell r="S4200" t="str">
            <v>Approved</v>
          </cell>
          <cell r="T4200" t="str">
            <v>90171841 - Rifqi Aziz</v>
          </cell>
          <cell r="U4200" t="str">
            <v>"-"</v>
          </cell>
        </row>
        <row r="4201">
          <cell r="A4201">
            <v>46265</v>
          </cell>
          <cell r="B4201" t="str">
            <v xml:space="preserve">TRY SUHENDRA                            </v>
          </cell>
          <cell r="C4201" t="str">
            <v>TTA0690</v>
          </cell>
          <cell r="D4201">
            <v>763401039734535</v>
          </cell>
          <cell r="F4201" t="str">
            <v>Tidak</v>
          </cell>
          <cell r="G4201" t="str">
            <v>Tidak</v>
          </cell>
          <cell r="H4201" t="str">
            <v>Tidak</v>
          </cell>
          <cell r="I4201" t="str">
            <v>Bandar Judol Withdrawal</v>
          </cell>
          <cell r="J4201">
            <v>35</v>
          </cell>
          <cell r="K4201" t="str">
            <v>86,88,87</v>
          </cell>
          <cell r="L4201" t="str">
            <v>Judi Online</v>
          </cell>
          <cell r="M4201" t="str">
            <v xml:space="preserve">Kas Kanpus                              </v>
          </cell>
          <cell r="N4201" t="str">
            <v xml:space="preserve">Kas Kanpus                              </v>
          </cell>
          <cell r="O4201" t="str">
            <v xml:space="preserve">KAS KANPUS                              </v>
          </cell>
          <cell r="P4201" t="str">
            <v>Ya</v>
          </cell>
          <cell r="Q4201" t="str">
            <v>Ya</v>
          </cell>
          <cell r="R4201" t="str">
            <v>Done</v>
          </cell>
          <cell r="S4201" t="str">
            <v>Approved</v>
          </cell>
          <cell r="T4201" t="str">
            <v>90186796 - Devito Arya Wiradila</v>
          </cell>
          <cell r="U4201" t="str">
            <v>"-"</v>
          </cell>
        </row>
        <row r="4202">
          <cell r="A4202">
            <v>46265</v>
          </cell>
          <cell r="B4202" t="str">
            <v xml:space="preserve">TRIO SYAIFUL FIKRI                      </v>
          </cell>
          <cell r="C4202" t="str">
            <v>TTA7799</v>
          </cell>
          <cell r="D4202">
            <v>44401050267501</v>
          </cell>
          <cell r="F4202" t="str">
            <v>Tidak</v>
          </cell>
          <cell r="G4202" t="str">
            <v>Tidak</v>
          </cell>
          <cell r="H4202" t="str">
            <v>Tidak</v>
          </cell>
          <cell r="I4202" t="str">
            <v>Bandar Judol Withdrawal</v>
          </cell>
          <cell r="J4202">
            <v>35</v>
          </cell>
          <cell r="K4202" t="str">
            <v>86,88,87</v>
          </cell>
          <cell r="L4202" t="str">
            <v>Judi Online</v>
          </cell>
          <cell r="M4202" t="str">
            <v xml:space="preserve">Kas Kanpus                              </v>
          </cell>
          <cell r="N4202" t="str">
            <v xml:space="preserve">Kas Kanpus                              </v>
          </cell>
          <cell r="O4202" t="str">
            <v xml:space="preserve">KAS KANPUS                              </v>
          </cell>
          <cell r="P4202" t="str">
            <v>Ya</v>
          </cell>
          <cell r="Q4202" t="str">
            <v>Ya</v>
          </cell>
          <cell r="R4202" t="str">
            <v>Done</v>
          </cell>
          <cell r="S4202" t="str">
            <v>Approved</v>
          </cell>
          <cell r="T4202" t="str">
            <v>90186796 - Devito Arya Wiradila</v>
          </cell>
          <cell r="U4202" t="str">
            <v>"-"</v>
          </cell>
        </row>
        <row r="4203">
          <cell r="A4203">
            <v>46265</v>
          </cell>
          <cell r="B4203" t="str">
            <v xml:space="preserve">TSAA HADID                              </v>
          </cell>
          <cell r="C4203" t="str">
            <v>TTO7229</v>
          </cell>
          <cell r="D4203">
            <v>525901012880509</v>
          </cell>
          <cell r="F4203" t="str">
            <v>Tidak</v>
          </cell>
          <cell r="G4203" t="str">
            <v>Tidak</v>
          </cell>
          <cell r="H4203" t="str">
            <v>Tidak</v>
          </cell>
          <cell r="I4203" t="str">
            <v>Bandar Judol Withdrawal</v>
          </cell>
          <cell r="J4203">
            <v>35</v>
          </cell>
          <cell r="K4203" t="str">
            <v>86,88,87</v>
          </cell>
          <cell r="L4203" t="str">
            <v>Judi Online</v>
          </cell>
          <cell r="M4203" t="str">
            <v xml:space="preserve">Kas Kanpus                              </v>
          </cell>
          <cell r="N4203" t="str">
            <v xml:space="preserve">Kas Kanpus                              </v>
          </cell>
          <cell r="O4203" t="str">
            <v xml:space="preserve">KAS KANPUS                              </v>
          </cell>
          <cell r="P4203" t="str">
            <v>Ya</v>
          </cell>
          <cell r="Q4203" t="str">
            <v>Ya</v>
          </cell>
          <cell r="R4203" t="str">
            <v>Done</v>
          </cell>
          <cell r="S4203" t="str">
            <v>Approved</v>
          </cell>
          <cell r="T4203" t="str">
            <v>90186796 - Devito Arya Wiradila</v>
          </cell>
          <cell r="U4203" t="str">
            <v>"-"</v>
          </cell>
        </row>
        <row r="4204">
          <cell r="A4204">
            <v>46265</v>
          </cell>
          <cell r="B4204" t="str">
            <v xml:space="preserve">TRI NANDA SOCE SIANIPAR                 </v>
          </cell>
          <cell r="C4204" t="str">
            <v>TTO8032</v>
          </cell>
          <cell r="D4204">
            <v>732501003060509</v>
          </cell>
          <cell r="F4204" t="str">
            <v>Tidak</v>
          </cell>
          <cell r="G4204" t="str">
            <v>Tidak</v>
          </cell>
          <cell r="H4204" t="str">
            <v>Tidak</v>
          </cell>
          <cell r="I4204" t="str">
            <v>Bandar Judol Withdrawal</v>
          </cell>
          <cell r="J4204">
            <v>35</v>
          </cell>
          <cell r="K4204" t="str">
            <v>86,88,87</v>
          </cell>
          <cell r="L4204" t="str">
            <v>Judi Online</v>
          </cell>
          <cell r="M4204" t="str">
            <v xml:space="preserve">Kas Kanpus                              </v>
          </cell>
          <cell r="N4204" t="str">
            <v xml:space="preserve">Kas Kanpus                              </v>
          </cell>
          <cell r="O4204" t="str">
            <v xml:space="preserve">KAS KANPUS                              </v>
          </cell>
          <cell r="P4204" t="str">
            <v>Ya</v>
          </cell>
          <cell r="Q4204" t="str">
            <v>Ya</v>
          </cell>
          <cell r="R4204" t="str">
            <v>Done</v>
          </cell>
          <cell r="S4204" t="str">
            <v>Approved</v>
          </cell>
          <cell r="T4204" t="str">
            <v>90185538 - Muhammad Fahikal Auz</v>
          </cell>
          <cell r="U4204" t="str">
            <v>"-"</v>
          </cell>
        </row>
        <row r="4205">
          <cell r="A4205">
            <v>46265</v>
          </cell>
          <cell r="B4205" t="str">
            <v xml:space="preserve">TIMAN                                   </v>
          </cell>
          <cell r="C4205" t="str">
            <v>TTQ5761</v>
          </cell>
          <cell r="D4205">
            <v>91501005845503</v>
          </cell>
          <cell r="F4205" t="str">
            <v>Tidak</v>
          </cell>
          <cell r="G4205" t="str">
            <v>Tidak</v>
          </cell>
          <cell r="H4205" t="str">
            <v>Tidak</v>
          </cell>
          <cell r="I4205" t="str">
            <v>Bandar Judol Withdrawal</v>
          </cell>
          <cell r="J4205">
            <v>35</v>
          </cell>
          <cell r="K4205" t="str">
            <v>86,88,87</v>
          </cell>
          <cell r="L4205" t="str">
            <v>Judi Online</v>
          </cell>
          <cell r="M4205" t="str">
            <v xml:space="preserve">Kas Kanpus                              </v>
          </cell>
          <cell r="N4205" t="str">
            <v xml:space="preserve">Kas Kanpus                              </v>
          </cell>
          <cell r="O4205" t="str">
            <v xml:space="preserve">KAS KANPUS                              </v>
          </cell>
          <cell r="P4205" t="str">
            <v>Ya</v>
          </cell>
          <cell r="Q4205" t="str">
            <v>Ya</v>
          </cell>
          <cell r="R4205" t="str">
            <v>Done</v>
          </cell>
          <cell r="S4205" t="str">
            <v>Approved</v>
          </cell>
          <cell r="T4205" t="str">
            <v>00394520 - Frida Akbar Rani</v>
          </cell>
          <cell r="U4205" t="str">
            <v>"-"</v>
          </cell>
        </row>
        <row r="4206">
          <cell r="A4206">
            <v>46265</v>
          </cell>
          <cell r="B4206" t="str">
            <v xml:space="preserve">TUBAGUS ANGGA DHIPURA                   </v>
          </cell>
          <cell r="C4206" t="str">
            <v>TTR6875</v>
          </cell>
          <cell r="D4206">
            <v>385401006305507</v>
          </cell>
          <cell r="F4206" t="str">
            <v>Tidak</v>
          </cell>
          <cell r="G4206" t="str">
            <v>Tidak</v>
          </cell>
          <cell r="H4206" t="str">
            <v>Tidak</v>
          </cell>
          <cell r="I4206" t="str">
            <v>Bandar Judol Withdrawal</v>
          </cell>
          <cell r="J4206">
            <v>35</v>
          </cell>
          <cell r="K4206" t="str">
            <v>86,88,87</v>
          </cell>
          <cell r="L4206" t="str">
            <v>Judi Online</v>
          </cell>
          <cell r="M4206" t="str">
            <v xml:space="preserve">Kas Kanpus                              </v>
          </cell>
          <cell r="N4206" t="str">
            <v xml:space="preserve">Kas Kanpus                              </v>
          </cell>
          <cell r="O4206" t="str">
            <v xml:space="preserve">KAS KANPUS                              </v>
          </cell>
          <cell r="P4206" t="str">
            <v>Ya</v>
          </cell>
          <cell r="Q4206" t="str">
            <v>Ya</v>
          </cell>
          <cell r="R4206" t="str">
            <v>Done</v>
          </cell>
          <cell r="S4206" t="str">
            <v>Approved</v>
          </cell>
          <cell r="T4206" t="str">
            <v>90170665 - Mutiara Ayuningtyas</v>
          </cell>
          <cell r="U4206" t="str">
            <v>"-"</v>
          </cell>
        </row>
        <row r="4207">
          <cell r="A4207">
            <v>46265</v>
          </cell>
          <cell r="B4207" t="str">
            <v xml:space="preserve">TIO HANDIKA                             </v>
          </cell>
          <cell r="C4207" t="str">
            <v>TTS3241</v>
          </cell>
          <cell r="D4207">
            <v>719501013301500</v>
          </cell>
          <cell r="F4207" t="str">
            <v>Tidak</v>
          </cell>
          <cell r="G4207" t="str">
            <v>Tidak</v>
          </cell>
          <cell r="H4207" t="str">
            <v>Tidak</v>
          </cell>
          <cell r="I4207" t="str">
            <v>Bandar Judol Withdrawal</v>
          </cell>
          <cell r="J4207">
            <v>35</v>
          </cell>
          <cell r="K4207" t="str">
            <v>86,88,87</v>
          </cell>
          <cell r="L4207" t="str">
            <v>Judi Online</v>
          </cell>
          <cell r="M4207" t="str">
            <v xml:space="preserve">Kas Kanpus                              </v>
          </cell>
          <cell r="N4207" t="str">
            <v xml:space="preserve">Kas Kanpus                              </v>
          </cell>
          <cell r="O4207" t="str">
            <v xml:space="preserve">KAS KANPUS                              </v>
          </cell>
          <cell r="P4207" t="str">
            <v>Ya</v>
          </cell>
          <cell r="Q4207" t="str">
            <v>Tidak</v>
          </cell>
          <cell r="R4207" t="str">
            <v>Done</v>
          </cell>
          <cell r="S4207" t="str">
            <v>Approved</v>
          </cell>
          <cell r="T4207" t="str">
            <v>90171841 - Rifqi Aziz</v>
          </cell>
          <cell r="U4207" t="str">
            <v>"-"</v>
          </cell>
        </row>
        <row r="4208">
          <cell r="A4208">
            <v>46265</v>
          </cell>
          <cell r="B4208" t="str">
            <v xml:space="preserve">TOPAN HANDAYANI                         </v>
          </cell>
          <cell r="C4208" t="str">
            <v>TUA9377</v>
          </cell>
          <cell r="D4208">
            <v>43801004186564</v>
          </cell>
          <cell r="F4208" t="str">
            <v>Tidak</v>
          </cell>
          <cell r="G4208" t="str">
            <v>Tidak</v>
          </cell>
          <cell r="H4208" t="str">
            <v>Tidak</v>
          </cell>
          <cell r="I4208" t="str">
            <v>Bandar Judol Withdrawal</v>
          </cell>
          <cell r="J4208">
            <v>35</v>
          </cell>
          <cell r="K4208" t="str">
            <v>86,88,87</v>
          </cell>
          <cell r="L4208" t="str">
            <v>Judi Online</v>
          </cell>
          <cell r="M4208" t="str">
            <v xml:space="preserve">Kas Kanpus                              </v>
          </cell>
          <cell r="N4208" t="str">
            <v xml:space="preserve">Kas Kanpus                              </v>
          </cell>
          <cell r="O4208" t="str">
            <v xml:space="preserve">KAS KANPUS                              </v>
          </cell>
          <cell r="P4208" t="str">
            <v>Ya</v>
          </cell>
          <cell r="Q4208" t="str">
            <v>Ya</v>
          </cell>
          <cell r="R4208" t="str">
            <v>Done</v>
          </cell>
          <cell r="S4208" t="str">
            <v>Approved</v>
          </cell>
          <cell r="T4208" t="str">
            <v>90171841 - Rifqi Aziz</v>
          </cell>
          <cell r="U4208" t="str">
            <v>"-"</v>
          </cell>
        </row>
        <row r="4209">
          <cell r="A4209">
            <v>46265</v>
          </cell>
          <cell r="B4209" t="str">
            <v xml:space="preserve">UJANG RIDWAN WAHID                      </v>
          </cell>
          <cell r="C4209" t="str">
            <v>UP87546</v>
          </cell>
          <cell r="D4209">
            <v>408001000006567</v>
          </cell>
          <cell r="E4209" t="str">
            <v>SEDANG</v>
          </cell>
          <cell r="F4209" t="str">
            <v>Tidak</v>
          </cell>
          <cell r="G4209" t="str">
            <v>Tidak</v>
          </cell>
          <cell r="H4209" t="str">
            <v>Tidak</v>
          </cell>
          <cell r="I4209" t="str">
            <v>Bandar Judol Withdrawal</v>
          </cell>
          <cell r="J4209">
            <v>50</v>
          </cell>
          <cell r="K4209" t="str">
            <v>86,88,87</v>
          </cell>
          <cell r="L4209" t="str">
            <v>Judi Online</v>
          </cell>
          <cell r="M4209" t="str">
            <v xml:space="preserve">Kas Kanpus                              </v>
          </cell>
          <cell r="N4209" t="str">
            <v xml:space="preserve">Kas Kanpus                              </v>
          </cell>
          <cell r="O4209" t="str">
            <v xml:space="preserve">KAS KANPUS                              </v>
          </cell>
          <cell r="P4209" t="str">
            <v>Ya</v>
          </cell>
          <cell r="Q4209" t="str">
            <v>Ya</v>
          </cell>
          <cell r="R4209" t="str">
            <v>Done</v>
          </cell>
          <cell r="S4209" t="str">
            <v>Approved</v>
          </cell>
          <cell r="T4209" t="str">
            <v>00394520 - Frida Akbar Rani</v>
          </cell>
          <cell r="U4209" t="str">
            <v>"-"</v>
          </cell>
        </row>
        <row r="4210">
          <cell r="A4210">
            <v>46265</v>
          </cell>
          <cell r="B4210" t="str">
            <v xml:space="preserve">UMAR                                    </v>
          </cell>
          <cell r="C4210" t="str">
            <v>UG03322</v>
          </cell>
          <cell r="D4210">
            <v>24201001798569</v>
          </cell>
          <cell r="E4210" t="str">
            <v>SEDANG</v>
          </cell>
          <cell r="F4210" t="str">
            <v>Tidak</v>
          </cell>
          <cell r="G4210" t="str">
            <v>Tidak</v>
          </cell>
          <cell r="H4210" t="str">
            <v>Tidak</v>
          </cell>
          <cell r="I4210" t="str">
            <v>Bandar Judol Depo</v>
          </cell>
          <cell r="J4210">
            <v>50</v>
          </cell>
          <cell r="K4210" t="str">
            <v>86,74,87</v>
          </cell>
          <cell r="L4210" t="str">
            <v>Judi Online</v>
          </cell>
          <cell r="M4210" t="str">
            <v xml:space="preserve">Kas Kanpus                              </v>
          </cell>
          <cell r="N4210" t="str">
            <v xml:space="preserve">Kas Kanpus                              </v>
          </cell>
          <cell r="O4210" t="str">
            <v xml:space="preserve">KAS KANPUS                              </v>
          </cell>
          <cell r="P4210" t="str">
            <v>Ya</v>
          </cell>
          <cell r="Q4210" t="str">
            <v>Ya</v>
          </cell>
          <cell r="R4210" t="str">
            <v>Done</v>
          </cell>
          <cell r="S4210" t="str">
            <v>Approved</v>
          </cell>
          <cell r="T4210" t="str">
            <v>90186796 - Devito Arya Wiradila</v>
          </cell>
          <cell r="U4210" t="str">
            <v>"-"</v>
          </cell>
        </row>
        <row r="4211">
          <cell r="A4211">
            <v>46265</v>
          </cell>
          <cell r="B4211" t="str">
            <v xml:space="preserve">UPI SUPRIATI                            </v>
          </cell>
          <cell r="C4211" t="str">
            <v>UH77166</v>
          </cell>
          <cell r="D4211">
            <v>34501052821501</v>
          </cell>
          <cell r="E4211" t="str">
            <v>SEDANG</v>
          </cell>
          <cell r="F4211" t="str">
            <v>Tidak</v>
          </cell>
          <cell r="G4211" t="str">
            <v>Tidak</v>
          </cell>
          <cell r="H4211" t="str">
            <v>Tidak</v>
          </cell>
          <cell r="I4211" t="str">
            <v>Bandar Judol Withdrawal</v>
          </cell>
          <cell r="J4211">
            <v>50</v>
          </cell>
          <cell r="K4211" t="str">
            <v>86,88,87</v>
          </cell>
          <cell r="L4211" t="str">
            <v>Judi Online</v>
          </cell>
          <cell r="M4211" t="str">
            <v xml:space="preserve">Kas Kanpus                              </v>
          </cell>
          <cell r="N4211" t="str">
            <v xml:space="preserve">Kas Kanpus                              </v>
          </cell>
          <cell r="O4211" t="str">
            <v xml:space="preserve">KAS KANPUS                              </v>
          </cell>
          <cell r="P4211" t="str">
            <v>Ya</v>
          </cell>
          <cell r="Q4211" t="str">
            <v>Ya</v>
          </cell>
          <cell r="R4211" t="str">
            <v>Done</v>
          </cell>
          <cell r="S4211" t="str">
            <v>Approved</v>
          </cell>
          <cell r="T4211" t="str">
            <v>90171841 - Rifqi Aziz</v>
          </cell>
          <cell r="U4211" t="str">
            <v>"-"</v>
          </cell>
        </row>
        <row r="4212">
          <cell r="A4212">
            <v>46265</v>
          </cell>
          <cell r="B4212" t="str">
            <v xml:space="preserve">USMAN                                   </v>
          </cell>
          <cell r="C4212" t="str">
            <v>UQ97969</v>
          </cell>
          <cell r="D4212">
            <v>782801003311504</v>
          </cell>
          <cell r="F4212" t="str">
            <v>Tidak</v>
          </cell>
          <cell r="G4212" t="str">
            <v>Tidak</v>
          </cell>
          <cell r="H4212" t="str">
            <v>Tidak</v>
          </cell>
          <cell r="I4212" t="str">
            <v>Bandar Judol Withdrawal</v>
          </cell>
          <cell r="J4212">
            <v>35</v>
          </cell>
          <cell r="K4212" t="str">
            <v>86,88,87</v>
          </cell>
          <cell r="L4212" t="str">
            <v>Judi Online</v>
          </cell>
          <cell r="M4212" t="str">
            <v xml:space="preserve">Kas Kanpus                              </v>
          </cell>
          <cell r="N4212" t="str">
            <v xml:space="preserve">Kas Kanpus                              </v>
          </cell>
          <cell r="O4212" t="str">
            <v xml:space="preserve">KAS KANPUS                              </v>
          </cell>
          <cell r="P4212" t="str">
            <v>Ya</v>
          </cell>
          <cell r="Q4212" t="str">
            <v>Ya</v>
          </cell>
          <cell r="R4212" t="str">
            <v>Done</v>
          </cell>
          <cell r="S4212" t="str">
            <v>Approved</v>
          </cell>
          <cell r="T4212" t="str">
            <v>00394521 - Muhammad Hibbanduta</v>
          </cell>
          <cell r="U4212" t="str">
            <v>"-"</v>
          </cell>
        </row>
        <row r="4213">
          <cell r="A4213">
            <v>46265</v>
          </cell>
          <cell r="B4213" t="str">
            <v xml:space="preserve">UJANG MAMAN                             </v>
          </cell>
          <cell r="C4213" t="str">
            <v>UR11195</v>
          </cell>
          <cell r="D4213">
            <v>82201006023505</v>
          </cell>
          <cell r="F4213" t="str">
            <v>Tidak</v>
          </cell>
          <cell r="G4213" t="str">
            <v>Tidak</v>
          </cell>
          <cell r="H4213" t="str">
            <v>Tidak</v>
          </cell>
          <cell r="I4213" t="str">
            <v>Bandar Judol Withdrawal</v>
          </cell>
          <cell r="J4213">
            <v>35</v>
          </cell>
          <cell r="K4213" t="str">
            <v>86,88,87</v>
          </cell>
          <cell r="L4213" t="str">
            <v>Judi Online</v>
          </cell>
          <cell r="M4213" t="str">
            <v xml:space="preserve">Kas Kanpus                              </v>
          </cell>
          <cell r="N4213" t="str">
            <v xml:space="preserve">Kas Kanpus                              </v>
          </cell>
          <cell r="O4213" t="str">
            <v xml:space="preserve">KAS KANPUS                              </v>
          </cell>
          <cell r="P4213" t="str">
            <v>Ya</v>
          </cell>
          <cell r="Q4213" t="str">
            <v>Ya</v>
          </cell>
          <cell r="R4213" t="str">
            <v>Done</v>
          </cell>
          <cell r="S4213" t="str">
            <v>Approved</v>
          </cell>
          <cell r="T4213" t="str">
            <v>90150130 - Intan Aida Pratiwi</v>
          </cell>
          <cell r="U4213" t="str">
            <v>"-"</v>
          </cell>
        </row>
        <row r="4214">
          <cell r="A4214">
            <v>46265</v>
          </cell>
          <cell r="B4214" t="str">
            <v xml:space="preserve">UDIN                                    </v>
          </cell>
          <cell r="C4214" t="str">
            <v>UR25386</v>
          </cell>
          <cell r="D4214">
            <v>43401048321502</v>
          </cell>
          <cell r="F4214" t="str">
            <v>Tidak</v>
          </cell>
          <cell r="G4214" t="str">
            <v>Tidak</v>
          </cell>
          <cell r="H4214" t="str">
            <v>Tidak</v>
          </cell>
          <cell r="I4214" t="str">
            <v>Bandar Judol Withdrawal</v>
          </cell>
          <cell r="J4214">
            <v>35</v>
          </cell>
          <cell r="K4214" t="str">
            <v>86,88,87</v>
          </cell>
          <cell r="L4214" t="str">
            <v>Judi Online</v>
          </cell>
          <cell r="M4214" t="str">
            <v xml:space="preserve">Kas Kanpus                              </v>
          </cell>
          <cell r="N4214" t="str">
            <v xml:space="preserve">Kas Kanpus                              </v>
          </cell>
          <cell r="O4214" t="str">
            <v xml:space="preserve">KAS KANPUS                              </v>
          </cell>
          <cell r="P4214" t="str">
            <v>Ya</v>
          </cell>
          <cell r="Q4214" t="str">
            <v>Ya</v>
          </cell>
          <cell r="R4214" t="str">
            <v>Done</v>
          </cell>
          <cell r="S4214" t="str">
            <v>Approved</v>
          </cell>
          <cell r="T4214" t="str">
            <v>90170665 - Mutiara Ayuningtyas</v>
          </cell>
          <cell r="U4214" t="str">
            <v>"-"</v>
          </cell>
        </row>
        <row r="4215">
          <cell r="A4215">
            <v>46265</v>
          </cell>
          <cell r="B4215" t="str">
            <v xml:space="preserve">UMAYA MASITA                            </v>
          </cell>
          <cell r="C4215" t="str">
            <v>UB23147</v>
          </cell>
          <cell r="D4215">
            <v>37901066648500</v>
          </cell>
          <cell r="E4215" t="str">
            <v>SEDANG</v>
          </cell>
          <cell r="F4215" t="str">
            <v>Tidak</v>
          </cell>
          <cell r="G4215" t="str">
            <v>Tidak</v>
          </cell>
          <cell r="H4215" t="str">
            <v>Tidak</v>
          </cell>
          <cell r="I4215" t="str">
            <v>Bandar Judol Withdrawal</v>
          </cell>
          <cell r="J4215">
            <v>50</v>
          </cell>
          <cell r="K4215" t="str">
            <v>86,88,87</v>
          </cell>
          <cell r="L4215" t="str">
            <v>Judi Online</v>
          </cell>
          <cell r="M4215" t="str">
            <v xml:space="preserve">Kas Kanpus                              </v>
          </cell>
          <cell r="N4215" t="str">
            <v xml:space="preserve">Kas Kanpus                              </v>
          </cell>
          <cell r="O4215" t="str">
            <v xml:space="preserve">KAS KANPUS                              </v>
          </cell>
          <cell r="P4215" t="str">
            <v>Ya</v>
          </cell>
          <cell r="Q4215" t="str">
            <v>Ya</v>
          </cell>
          <cell r="R4215" t="str">
            <v>Done</v>
          </cell>
          <cell r="S4215" t="str">
            <v>Approved</v>
          </cell>
          <cell r="T4215" t="str">
            <v>90171841 - Rifqi Aziz</v>
          </cell>
          <cell r="U4215" t="str">
            <v>"-"</v>
          </cell>
        </row>
        <row r="4216">
          <cell r="A4216">
            <v>46265</v>
          </cell>
          <cell r="B4216" t="str">
            <v xml:space="preserve">UCON                                    </v>
          </cell>
          <cell r="C4216" t="str">
            <v>UC89788</v>
          </cell>
          <cell r="D4216">
            <v>42101005210569</v>
          </cell>
          <cell r="E4216" t="str">
            <v>SEDANG</v>
          </cell>
          <cell r="F4216" t="str">
            <v>Tidak</v>
          </cell>
          <cell r="G4216" t="str">
            <v>Tidak</v>
          </cell>
          <cell r="H4216" t="str">
            <v>Tidak</v>
          </cell>
          <cell r="I4216" t="str">
            <v>Bandar Judol Withdrawal</v>
          </cell>
          <cell r="J4216">
            <v>50</v>
          </cell>
          <cell r="K4216" t="str">
            <v>86,88,87</v>
          </cell>
          <cell r="L4216" t="str">
            <v>Judi Online</v>
          </cell>
          <cell r="M4216" t="str">
            <v xml:space="preserve">Kas Kanpus                              </v>
          </cell>
          <cell r="N4216" t="str">
            <v xml:space="preserve">Kas Kanpus                              </v>
          </cell>
          <cell r="O4216" t="str">
            <v xml:space="preserve">KAS KANPUS                              </v>
          </cell>
          <cell r="P4216" t="str">
            <v>Ya</v>
          </cell>
          <cell r="Q4216" t="str">
            <v>Ya</v>
          </cell>
          <cell r="R4216" t="str">
            <v>Done</v>
          </cell>
          <cell r="S4216" t="str">
            <v>Approved</v>
          </cell>
          <cell r="T4216" t="str">
            <v>90185537 - Moh.Khoerul Fajar Ar</v>
          </cell>
          <cell r="U4216" t="str">
            <v>"-"</v>
          </cell>
        </row>
        <row r="4217">
          <cell r="A4217">
            <v>46265</v>
          </cell>
          <cell r="B4217" t="str">
            <v xml:space="preserve">TATIK VIANITA MUSTIKASARI               </v>
          </cell>
          <cell r="C4217" t="str">
            <v>TZ39101</v>
          </cell>
          <cell r="D4217">
            <v>55101000937561</v>
          </cell>
          <cell r="E4217" t="str">
            <v>SEDANG</v>
          </cell>
          <cell r="F4217" t="str">
            <v>Ya</v>
          </cell>
          <cell r="G4217" t="str">
            <v>Tidak</v>
          </cell>
          <cell r="H4217" t="str">
            <v>Tidak</v>
          </cell>
          <cell r="I4217" t="str">
            <v>Bandar Judol Depo</v>
          </cell>
          <cell r="J4217">
            <v>50</v>
          </cell>
          <cell r="K4217" t="str">
            <v>86,74,87</v>
          </cell>
          <cell r="L4217" t="str">
            <v>Judi Online</v>
          </cell>
          <cell r="M4217" t="str">
            <v xml:space="preserve">Kas Kanpus                              </v>
          </cell>
          <cell r="N4217" t="str">
            <v xml:space="preserve">Kas Kanpus                              </v>
          </cell>
          <cell r="O4217" t="str">
            <v xml:space="preserve">KAS KANPUS                              </v>
          </cell>
          <cell r="P4217" t="str">
            <v>Ya</v>
          </cell>
          <cell r="Q4217" t="str">
            <v>Ya</v>
          </cell>
          <cell r="R4217" t="str">
            <v>Done</v>
          </cell>
          <cell r="S4217" t="str">
            <v>Approved</v>
          </cell>
          <cell r="T4217" t="str">
            <v>90186796 - Devito Arya Wiradila</v>
          </cell>
          <cell r="U4217" t="str">
            <v>"-"</v>
          </cell>
        </row>
        <row r="4218">
          <cell r="A4218">
            <v>46265</v>
          </cell>
          <cell r="B4218" t="str">
            <v xml:space="preserve">USEP SUDRAJAT                           </v>
          </cell>
          <cell r="C4218" t="str">
            <v>U901094</v>
          </cell>
          <cell r="D4218">
            <v>2101001336303</v>
          </cell>
          <cell r="E4218" t="str">
            <v>SEDANG</v>
          </cell>
          <cell r="F4218" t="str">
            <v>Tidak</v>
          </cell>
          <cell r="G4218" t="str">
            <v>Tidak</v>
          </cell>
          <cell r="H4218" t="str">
            <v>Tidak</v>
          </cell>
          <cell r="I4218" t="str">
            <v>Bandar Judol Depo</v>
          </cell>
          <cell r="J4218">
            <v>50</v>
          </cell>
          <cell r="K4218" t="str">
            <v>86,74,87</v>
          </cell>
          <cell r="L4218" t="str">
            <v>Judi Online</v>
          </cell>
          <cell r="M4218" t="str">
            <v xml:space="preserve">Kas Kanpus                              </v>
          </cell>
          <cell r="N4218" t="str">
            <v xml:space="preserve">Kas Kanpus                              </v>
          </cell>
          <cell r="O4218" t="str">
            <v xml:space="preserve">KAS KANPUS                              </v>
          </cell>
          <cell r="P4218" t="str">
            <v>Tidak</v>
          </cell>
          <cell r="Q4218" t="str">
            <v>Ya</v>
          </cell>
          <cell r="R4218" t="str">
            <v>Done</v>
          </cell>
          <cell r="S4218" t="str">
            <v>Approved</v>
          </cell>
          <cell r="T4218" t="str">
            <v>00336949 - Mochammad Al Farabi</v>
          </cell>
          <cell r="U4218" t="str">
            <v>"-"</v>
          </cell>
        </row>
        <row r="4219">
          <cell r="A4219">
            <v>46265</v>
          </cell>
          <cell r="B4219" t="str">
            <v xml:space="preserve">UMAR SAHID                              </v>
          </cell>
          <cell r="C4219" t="str">
            <v>U949094</v>
          </cell>
          <cell r="D4219">
            <v>224001017970503</v>
          </cell>
          <cell r="E4219" t="str">
            <v>SEDANG</v>
          </cell>
          <cell r="F4219" t="str">
            <v>Tidak</v>
          </cell>
          <cell r="G4219" t="str">
            <v>Tidak</v>
          </cell>
          <cell r="H4219" t="str">
            <v>Tidak</v>
          </cell>
          <cell r="I4219" t="str">
            <v>Bandar Judol Withdrawal</v>
          </cell>
          <cell r="J4219">
            <v>50</v>
          </cell>
          <cell r="K4219" t="str">
            <v>86,88,87</v>
          </cell>
          <cell r="L4219" t="str">
            <v>Judi Online</v>
          </cell>
          <cell r="M4219" t="str">
            <v xml:space="preserve">Kas Kanpus                              </v>
          </cell>
          <cell r="N4219" t="str">
            <v xml:space="preserve">Kas Kanpus                              </v>
          </cell>
          <cell r="O4219" t="str">
            <v xml:space="preserve">KAS KANPUS                              </v>
          </cell>
          <cell r="P4219" t="str">
            <v>Tidak</v>
          </cell>
          <cell r="Q4219" t="str">
            <v>Ya</v>
          </cell>
          <cell r="R4219" t="str">
            <v>Done</v>
          </cell>
          <cell r="S4219" t="str">
            <v>Approved</v>
          </cell>
          <cell r="T4219" t="str">
            <v>00394520 - Frida Akbar Rani</v>
          </cell>
          <cell r="U4219" t="str">
            <v>"-"</v>
          </cell>
        </row>
        <row r="4220">
          <cell r="A4220">
            <v>46265</v>
          </cell>
          <cell r="B4220" t="str">
            <v xml:space="preserve">TAMIYA                                  </v>
          </cell>
          <cell r="C4220" t="str">
            <v>TPP4590</v>
          </cell>
          <cell r="D4220">
            <v>714401028744532</v>
          </cell>
          <cell r="E4220" t="str">
            <v>SEDANG</v>
          </cell>
          <cell r="F4220" t="str">
            <v>Tidak</v>
          </cell>
          <cell r="G4220" t="str">
            <v>Tidak</v>
          </cell>
          <cell r="H4220" t="str">
            <v>Ya</v>
          </cell>
          <cell r="I4220" t="str">
            <v>Bandar Judol Withdrawal</v>
          </cell>
          <cell r="J4220">
            <v>50</v>
          </cell>
          <cell r="K4220" t="str">
            <v>86,88,87</v>
          </cell>
          <cell r="L4220" t="str">
            <v>Judi Online</v>
          </cell>
          <cell r="M4220" t="str">
            <v xml:space="preserve">Kas Kanpus                              </v>
          </cell>
          <cell r="N4220" t="str">
            <v xml:space="preserve">Kas Kanpus                              </v>
          </cell>
          <cell r="O4220" t="str">
            <v xml:space="preserve">KAS KANPUS                              </v>
          </cell>
          <cell r="P4220" t="str">
            <v>Ya</v>
          </cell>
          <cell r="Q4220" t="str">
            <v>Ya</v>
          </cell>
          <cell r="R4220" t="str">
            <v>Done</v>
          </cell>
          <cell r="S4220" t="str">
            <v>Approved</v>
          </cell>
          <cell r="T4220" t="str">
            <v>00394520 - Frida Akbar Rani</v>
          </cell>
          <cell r="U4220" t="str">
            <v>"-"</v>
          </cell>
        </row>
        <row r="4221">
          <cell r="A4221">
            <v>46265</v>
          </cell>
          <cell r="B4221" t="str">
            <v xml:space="preserve">TIFFANI TITANNIYA B                     </v>
          </cell>
          <cell r="C4221" t="str">
            <v>TPP6916</v>
          </cell>
          <cell r="D4221">
            <v>63801070434501</v>
          </cell>
          <cell r="E4221" t="str">
            <v>SEDANG</v>
          </cell>
          <cell r="F4221" t="str">
            <v>Tidak</v>
          </cell>
          <cell r="G4221" t="str">
            <v>Tidak</v>
          </cell>
          <cell r="H4221" t="str">
            <v>Tidak</v>
          </cell>
          <cell r="I4221" t="str">
            <v>Bandar Judol Depo</v>
          </cell>
          <cell r="J4221">
            <v>50</v>
          </cell>
          <cell r="K4221" t="str">
            <v>86,74,87</v>
          </cell>
          <cell r="L4221" t="str">
            <v>Judi Online</v>
          </cell>
          <cell r="M4221" t="str">
            <v xml:space="preserve">Kas Kanpus                              </v>
          </cell>
          <cell r="N4221" t="str">
            <v xml:space="preserve">Kas Kanpus                              </v>
          </cell>
          <cell r="O4221" t="str">
            <v xml:space="preserve">KAS KANPUS                              </v>
          </cell>
          <cell r="P4221" t="str">
            <v>Tidak</v>
          </cell>
          <cell r="Q4221" t="str">
            <v>Ya</v>
          </cell>
          <cell r="R4221" t="str">
            <v>Done</v>
          </cell>
          <cell r="S4221" t="str">
            <v>Approved</v>
          </cell>
          <cell r="T4221" t="str">
            <v>90185538 - Muhammad Fahikal Auz</v>
          </cell>
          <cell r="U4221" t="str">
            <v>"-"</v>
          </cell>
        </row>
        <row r="4222">
          <cell r="A4222">
            <v>46265</v>
          </cell>
          <cell r="B4222" t="str">
            <v xml:space="preserve">TJUN TJUN                               </v>
          </cell>
          <cell r="C4222" t="str">
            <v>TQE4197</v>
          </cell>
          <cell r="D4222">
            <v>384801018266506</v>
          </cell>
          <cell r="E4222" t="str">
            <v>SEDANG</v>
          </cell>
          <cell r="F4222" t="str">
            <v>Tidak</v>
          </cell>
          <cell r="G4222" t="str">
            <v>Tidak</v>
          </cell>
          <cell r="H4222" t="str">
            <v>Ya</v>
          </cell>
          <cell r="I4222" t="str">
            <v>Bandar Judol Depo</v>
          </cell>
          <cell r="J4222">
            <v>50</v>
          </cell>
          <cell r="K4222" t="str">
            <v>86,74,87</v>
          </cell>
          <cell r="L4222" t="str">
            <v>Judi Online</v>
          </cell>
          <cell r="M4222" t="str">
            <v xml:space="preserve">Kas Kanpus                              </v>
          </cell>
          <cell r="N4222" t="str">
            <v xml:space="preserve">Kas Kanpus                              </v>
          </cell>
          <cell r="O4222" t="str">
            <v xml:space="preserve">KAS KANPUS                              </v>
          </cell>
          <cell r="P4222" t="str">
            <v>Ya</v>
          </cell>
          <cell r="Q4222" t="str">
            <v>Ya</v>
          </cell>
          <cell r="R4222" t="str">
            <v>Done</v>
          </cell>
          <cell r="S4222" t="str">
            <v>Approved</v>
          </cell>
          <cell r="T4222" t="str">
            <v>90171841 - Rifqi Aziz</v>
          </cell>
          <cell r="U4222" t="str">
            <v>"-"</v>
          </cell>
        </row>
        <row r="4223">
          <cell r="A4223">
            <v>46265</v>
          </cell>
          <cell r="B4223" t="str">
            <v xml:space="preserve">TOBBY SEPTALDI                          </v>
          </cell>
          <cell r="C4223" t="str">
            <v>TQG7117</v>
          </cell>
          <cell r="D4223">
            <v>62201000984561</v>
          </cell>
          <cell r="E4223" t="str">
            <v>SEDANG</v>
          </cell>
          <cell r="F4223" t="str">
            <v>Tidak</v>
          </cell>
          <cell r="G4223" t="str">
            <v>Tidak</v>
          </cell>
          <cell r="H4223" t="str">
            <v>Tidak</v>
          </cell>
          <cell r="I4223" t="str">
            <v>Bandar Judol Depo</v>
          </cell>
          <cell r="J4223">
            <v>50</v>
          </cell>
          <cell r="K4223" t="str">
            <v>86,74,87</v>
          </cell>
          <cell r="L4223" t="str">
            <v>Judi Online</v>
          </cell>
          <cell r="M4223" t="str">
            <v xml:space="preserve">Kas Kanpus                              </v>
          </cell>
          <cell r="N4223" t="str">
            <v xml:space="preserve">Kas Kanpus                              </v>
          </cell>
          <cell r="O4223" t="str">
            <v xml:space="preserve">KAS KANPUS                              </v>
          </cell>
          <cell r="P4223" t="str">
            <v>Tidak</v>
          </cell>
          <cell r="Q4223" t="str">
            <v>Ya</v>
          </cell>
          <cell r="R4223" t="str">
            <v>Done</v>
          </cell>
          <cell r="S4223" t="str">
            <v>Approved</v>
          </cell>
          <cell r="T4223" t="str">
            <v>00336949 - Mochammad Al Farabi</v>
          </cell>
          <cell r="U4223" t="str">
            <v>"-"</v>
          </cell>
        </row>
        <row r="4224">
          <cell r="A4224">
            <v>46265</v>
          </cell>
          <cell r="B4224" t="str">
            <v xml:space="preserve">TRI ANGGUN YOLANDA                      </v>
          </cell>
          <cell r="C4224" t="str">
            <v>TQH8119</v>
          </cell>
          <cell r="D4224">
            <v>782801018357537</v>
          </cell>
          <cell r="E4224" t="str">
            <v>SEDANG</v>
          </cell>
          <cell r="F4224" t="str">
            <v>Tidak</v>
          </cell>
          <cell r="G4224" t="str">
            <v>Tidak</v>
          </cell>
          <cell r="H4224" t="str">
            <v>Tidak</v>
          </cell>
          <cell r="I4224" t="str">
            <v>Bandar Judol Withdrawal</v>
          </cell>
          <cell r="J4224">
            <v>50</v>
          </cell>
          <cell r="K4224" t="str">
            <v>86,88,87</v>
          </cell>
          <cell r="L4224" t="str">
            <v>Judi Online</v>
          </cell>
          <cell r="M4224" t="str">
            <v xml:space="preserve">Kas Kanpus                              </v>
          </cell>
          <cell r="N4224" t="str">
            <v xml:space="preserve">Kas Kanpus                              </v>
          </cell>
          <cell r="O4224" t="str">
            <v xml:space="preserve">KAS KANPUS                              </v>
          </cell>
          <cell r="P4224" t="str">
            <v>Ya</v>
          </cell>
          <cell r="Q4224" t="str">
            <v>Ya</v>
          </cell>
          <cell r="R4224" t="str">
            <v>Done</v>
          </cell>
          <cell r="S4224" t="str">
            <v>Approved</v>
          </cell>
          <cell r="T4224" t="str">
            <v>00336949 - Mochammad Al Farabi</v>
          </cell>
          <cell r="U4224" t="str">
            <v>"-"</v>
          </cell>
        </row>
        <row r="4225">
          <cell r="A4225">
            <v>46265</v>
          </cell>
          <cell r="B4225" t="str">
            <v xml:space="preserve">TIARA RIZQA SALSABILA                   </v>
          </cell>
          <cell r="C4225" t="str">
            <v>TPZ4439</v>
          </cell>
          <cell r="D4225">
            <v>50901004543565</v>
          </cell>
          <cell r="E4225" t="str">
            <v>SEDANG</v>
          </cell>
          <cell r="F4225" t="str">
            <v>Tidak</v>
          </cell>
          <cell r="G4225" t="str">
            <v>Tidak</v>
          </cell>
          <cell r="H4225" t="str">
            <v>Tidak</v>
          </cell>
          <cell r="I4225" t="str">
            <v>Bandar Judol Withdrawal</v>
          </cell>
          <cell r="J4225">
            <v>50</v>
          </cell>
          <cell r="K4225" t="str">
            <v>86,88,87</v>
          </cell>
          <cell r="L4225" t="str">
            <v>Judi Online</v>
          </cell>
          <cell r="M4225" t="str">
            <v xml:space="preserve">Kas Kanpus                              </v>
          </cell>
          <cell r="N4225" t="str">
            <v xml:space="preserve">Kas Kanpus                              </v>
          </cell>
          <cell r="O4225" t="str">
            <v xml:space="preserve">KAS KANPUS                              </v>
          </cell>
          <cell r="P4225" t="str">
            <v>Ya</v>
          </cell>
          <cell r="Q4225" t="str">
            <v>Ya</v>
          </cell>
          <cell r="R4225" t="str">
            <v>Done</v>
          </cell>
          <cell r="S4225" t="str">
            <v>Approved</v>
          </cell>
          <cell r="T4225" t="str">
            <v>90185538 - Muhammad Fahikal Auz</v>
          </cell>
          <cell r="U4225" t="str">
            <v>"-"</v>
          </cell>
        </row>
        <row r="4226">
          <cell r="A4226">
            <v>46265</v>
          </cell>
          <cell r="B4226" t="str">
            <v xml:space="preserve">TEOH YEN NEE                            </v>
          </cell>
          <cell r="C4226" t="str">
            <v>TNX2544</v>
          </cell>
          <cell r="D4226">
            <v>35901000887568</v>
          </cell>
          <cell r="E4226" t="str">
            <v>TINGGI</v>
          </cell>
          <cell r="F4226" t="str">
            <v>Tidak</v>
          </cell>
          <cell r="G4226" t="str">
            <v>Tidak</v>
          </cell>
          <cell r="H4226" t="str">
            <v>Tidak</v>
          </cell>
          <cell r="I4226" t="str">
            <v>Bandar Judol Withdrawal</v>
          </cell>
          <cell r="J4226">
            <v>65</v>
          </cell>
          <cell r="K4226" t="str">
            <v>86,88,87</v>
          </cell>
          <cell r="L4226" t="str">
            <v>Judi Online</v>
          </cell>
          <cell r="M4226" t="str">
            <v xml:space="preserve">Kas Kanpus                              </v>
          </cell>
          <cell r="N4226" t="str">
            <v xml:space="preserve">Kas Kanpus                              </v>
          </cell>
          <cell r="O4226" t="str">
            <v xml:space="preserve">KAS KANPUS                              </v>
          </cell>
          <cell r="P4226" t="str">
            <v>Tidak</v>
          </cell>
          <cell r="Q4226" t="str">
            <v>Ya</v>
          </cell>
          <cell r="R4226" t="str">
            <v>Done</v>
          </cell>
          <cell r="S4226" t="str">
            <v>Approved</v>
          </cell>
          <cell r="T4226" t="str">
            <v>00336949 - Mochammad Al Farabi</v>
          </cell>
          <cell r="U4226" t="str">
            <v>"-"</v>
          </cell>
        </row>
        <row r="4227">
          <cell r="A4227">
            <v>46265</v>
          </cell>
          <cell r="B4227" t="str">
            <v xml:space="preserve">TRI SETIYANINGSIH                       </v>
          </cell>
          <cell r="C4227" t="str">
            <v>TNE8824</v>
          </cell>
          <cell r="D4227">
            <v>708101010157507</v>
          </cell>
          <cell r="E4227" t="str">
            <v>SEDANG</v>
          </cell>
          <cell r="F4227" t="str">
            <v>Tidak</v>
          </cell>
          <cell r="G4227" t="str">
            <v>Tidak</v>
          </cell>
          <cell r="H4227" t="str">
            <v>Ya</v>
          </cell>
          <cell r="I4227" t="str">
            <v>Bandar Judol Withdrawal</v>
          </cell>
          <cell r="J4227">
            <v>50</v>
          </cell>
          <cell r="K4227" t="str">
            <v>86,88,87</v>
          </cell>
          <cell r="L4227" t="str">
            <v>Judi Online</v>
          </cell>
          <cell r="M4227" t="str">
            <v xml:space="preserve">Kas Kanpus                              </v>
          </cell>
          <cell r="N4227" t="str">
            <v xml:space="preserve">Kas Kanpus                              </v>
          </cell>
          <cell r="O4227" t="str">
            <v xml:space="preserve">KAS KANPUS                              </v>
          </cell>
          <cell r="P4227" t="str">
            <v>Ya</v>
          </cell>
          <cell r="Q4227" t="str">
            <v>Ya</v>
          </cell>
          <cell r="R4227" t="str">
            <v>Done</v>
          </cell>
          <cell r="S4227" t="str">
            <v>Approved</v>
          </cell>
          <cell r="T4227" t="str">
            <v>90186790 - Muhammad Alfin Farha</v>
          </cell>
          <cell r="U4227" t="str">
            <v>"-"</v>
          </cell>
        </row>
        <row r="4228">
          <cell r="A4228">
            <v>46265</v>
          </cell>
          <cell r="B4228" t="str">
            <v xml:space="preserve">TREEKREASI MARGAMULIA                   </v>
          </cell>
          <cell r="C4228" t="str">
            <v>TNG6898</v>
          </cell>
          <cell r="D4228">
            <v>42501001663300</v>
          </cell>
          <cell r="E4228" t="str">
            <v>SEDANG</v>
          </cell>
          <cell r="F4228" t="str">
            <v>Tidak</v>
          </cell>
          <cell r="G4228" t="str">
            <v>Tidak</v>
          </cell>
          <cell r="H4228" t="str">
            <v>Tidak</v>
          </cell>
          <cell r="I4228" t="str">
            <v>Perpajakan</v>
          </cell>
          <cell r="J4228">
            <v>48</v>
          </cell>
          <cell r="K4228">
            <v>41</v>
          </cell>
          <cell r="L4228" t="str">
            <v>Perpajakan</v>
          </cell>
          <cell r="M4228" t="str">
            <v xml:space="preserve">KC Ampera                               </v>
          </cell>
          <cell r="N4228" t="str">
            <v xml:space="preserve">KC Ampera                               </v>
          </cell>
          <cell r="O4228" t="str">
            <v xml:space="preserve">DKI2                                    </v>
          </cell>
          <cell r="P4228" t="str">
            <v>Tidak</v>
          </cell>
          <cell r="Q4228" t="str">
            <v>Tidak</v>
          </cell>
          <cell r="R4228" t="str">
            <v>Done</v>
          </cell>
          <cell r="S4228" t="str">
            <v>Approved</v>
          </cell>
          <cell r="T4228" t="str">
            <v>00394520 - Frida Akbar Rani</v>
          </cell>
          <cell r="U4228" t="str">
            <v>"-"</v>
          </cell>
        </row>
        <row r="4229">
          <cell r="A4229">
            <v>46265</v>
          </cell>
          <cell r="B4229" t="str">
            <v xml:space="preserve">TRI KALIS SAWANTI                       </v>
          </cell>
          <cell r="C4229" t="str">
            <v>TN51238</v>
          </cell>
          <cell r="D4229">
            <v>726301010723534</v>
          </cell>
          <cell r="E4229" t="str">
            <v>SEDANG</v>
          </cell>
          <cell r="F4229" t="str">
            <v>Tidak</v>
          </cell>
          <cell r="G4229" t="str">
            <v>Tidak</v>
          </cell>
          <cell r="H4229" t="str">
            <v>Tidak</v>
          </cell>
          <cell r="I4229" t="str">
            <v>Narkotika - Area Lapas</v>
          </cell>
          <cell r="J4229">
            <v>50</v>
          </cell>
          <cell r="K4229">
            <v>46</v>
          </cell>
          <cell r="L4229" t="str">
            <v>Narkotika</v>
          </cell>
          <cell r="M4229" t="str">
            <v>UNIT SUKADAMAI METRO</v>
          </cell>
          <cell r="N4229" t="str">
            <v>KC Metro</v>
          </cell>
          <cell r="O4229" t="str">
            <v>KANWIL BANDAR LAMPUNG</v>
          </cell>
          <cell r="P4229" t="str">
            <v>Tidak</v>
          </cell>
          <cell r="Q4229" t="str">
            <v>Tidak</v>
          </cell>
          <cell r="R4229" t="str">
            <v>Done</v>
          </cell>
          <cell r="S4229" t="str">
            <v>Approved</v>
          </cell>
          <cell r="T4229" t="str">
            <v>90170665 - Mutiara Ayuningtyas</v>
          </cell>
          <cell r="U4229" t="str">
            <v>"-"</v>
          </cell>
        </row>
        <row r="4230">
          <cell r="A4230">
            <v>46265</v>
          </cell>
          <cell r="B4230" t="str">
            <v xml:space="preserve">TITIN                                   </v>
          </cell>
          <cell r="C4230" t="str">
            <v>TBT2029</v>
          </cell>
          <cell r="D4230">
            <v>112901010544534</v>
          </cell>
          <cell r="E4230" t="str">
            <v>SEDANG</v>
          </cell>
          <cell r="F4230" t="str">
            <v>Tidak</v>
          </cell>
          <cell r="G4230" t="str">
            <v>Tidak</v>
          </cell>
          <cell r="H4230" t="str">
            <v>Tidak</v>
          </cell>
          <cell r="I4230" t="str">
            <v>Bandar Judol Depo</v>
          </cell>
          <cell r="J4230">
            <v>50</v>
          </cell>
          <cell r="K4230" t="str">
            <v>86,74,87</v>
          </cell>
          <cell r="L4230" t="str">
            <v>Judi Online</v>
          </cell>
          <cell r="M4230" t="str">
            <v xml:space="preserve">Kas Kanpus                              </v>
          </cell>
          <cell r="N4230" t="str">
            <v xml:space="preserve">Kas Kanpus                              </v>
          </cell>
          <cell r="O4230" t="str">
            <v xml:space="preserve">KAS KANPUS                              </v>
          </cell>
          <cell r="P4230" t="str">
            <v>Ya</v>
          </cell>
          <cell r="Q4230" t="str">
            <v>Tidak</v>
          </cell>
          <cell r="R4230" t="str">
            <v>Done</v>
          </cell>
          <cell r="S4230" t="str">
            <v>Approved</v>
          </cell>
          <cell r="T4230" t="str">
            <v>90185538 - Muhammad Fahikal Auz</v>
          </cell>
          <cell r="U4230" t="str">
            <v>"-"</v>
          </cell>
        </row>
        <row r="4231">
          <cell r="A4231">
            <v>46265</v>
          </cell>
          <cell r="B4231" t="str">
            <v xml:space="preserve">TYA RAMADANI                            </v>
          </cell>
          <cell r="C4231" t="str">
            <v>TMG4666</v>
          </cell>
          <cell r="D4231">
            <v>65801000665568</v>
          </cell>
          <cell r="E4231" t="str">
            <v>SEDANG</v>
          </cell>
          <cell r="F4231" t="str">
            <v>Tidak</v>
          </cell>
          <cell r="G4231" t="str">
            <v>Tidak</v>
          </cell>
          <cell r="H4231" t="str">
            <v>Tidak</v>
          </cell>
          <cell r="I4231" t="str">
            <v>Bandar Judol Withdrawal</v>
          </cell>
          <cell r="J4231">
            <v>50</v>
          </cell>
          <cell r="K4231" t="str">
            <v>86,88,87</v>
          </cell>
          <cell r="L4231" t="str">
            <v>Judi Online</v>
          </cell>
          <cell r="M4231" t="str">
            <v xml:space="preserve">Kas Kanpus                              </v>
          </cell>
          <cell r="N4231" t="str">
            <v xml:space="preserve">Kas Kanpus                              </v>
          </cell>
          <cell r="O4231" t="str">
            <v xml:space="preserve">KAS KANPUS                              </v>
          </cell>
          <cell r="P4231" t="str">
            <v>Ya</v>
          </cell>
          <cell r="Q4231" t="str">
            <v>Ya</v>
          </cell>
          <cell r="R4231" t="str">
            <v>Done</v>
          </cell>
          <cell r="S4231" t="str">
            <v>Approved</v>
          </cell>
          <cell r="T4231" t="str">
            <v>90186790 - Muhammad Alfin Farha</v>
          </cell>
          <cell r="U4231" t="str">
            <v>"-"</v>
          </cell>
        </row>
        <row r="4232">
          <cell r="A4232">
            <v>46265</v>
          </cell>
          <cell r="B4232" t="str">
            <v xml:space="preserve">TANTI SETIAWATI                         </v>
          </cell>
          <cell r="C4232" t="str">
            <v>TLO6567</v>
          </cell>
          <cell r="D4232">
            <v>5326590001702590</v>
          </cell>
          <cell r="E4232" t="str">
            <v>SEDANG</v>
          </cell>
          <cell r="F4232" t="str">
            <v>Tidak</v>
          </cell>
          <cell r="G4232" t="str">
            <v>Tidak</v>
          </cell>
          <cell r="H4232" t="str">
            <v>Tidak</v>
          </cell>
          <cell r="I4232" t="str">
            <v>Private or Priority Customer Investment</v>
          </cell>
          <cell r="J4232">
            <v>58</v>
          </cell>
          <cell r="K4232">
            <v>93</v>
          </cell>
          <cell r="L4232" t="str">
            <v>Pasar Modal</v>
          </cell>
          <cell r="M4232" t="str">
            <v xml:space="preserve">KC Jakarta Gatot Subroto                </v>
          </cell>
          <cell r="N4232" t="str">
            <v xml:space="preserve">KC Jakarta Gatot Subroto                </v>
          </cell>
          <cell r="O4232" t="str">
            <v xml:space="preserve">DKI2                                    </v>
          </cell>
          <cell r="P4232" t="str">
            <v>Tidak</v>
          </cell>
          <cell r="Q4232" t="str">
            <v>Tidak</v>
          </cell>
          <cell r="R4232" t="str">
            <v>Done</v>
          </cell>
          <cell r="S4232" t="str">
            <v>Approved</v>
          </cell>
          <cell r="T4232" t="str">
            <v>90186790 - Muhammad Alfin Farha</v>
          </cell>
          <cell r="U4232" t="str">
            <v>"-"</v>
          </cell>
        </row>
        <row r="4233">
          <cell r="A4233">
            <v>46265</v>
          </cell>
          <cell r="B4233" t="str">
            <v xml:space="preserve">SULASTRI                                </v>
          </cell>
          <cell r="C4233" t="str">
            <v>SYEO265</v>
          </cell>
          <cell r="D4233">
            <v>40401083482500</v>
          </cell>
          <cell r="E4233" t="str">
            <v>SEDANG</v>
          </cell>
          <cell r="F4233" t="str">
            <v>Tidak</v>
          </cell>
          <cell r="G4233" t="str">
            <v>Tidak</v>
          </cell>
          <cell r="H4233" t="str">
            <v>Tidak</v>
          </cell>
          <cell r="I4233" t="str">
            <v>Bandar Judol Depo</v>
          </cell>
          <cell r="J4233">
            <v>50</v>
          </cell>
          <cell r="K4233" t="str">
            <v>86,74,87</v>
          </cell>
          <cell r="L4233" t="str">
            <v>Judi Online</v>
          </cell>
          <cell r="M4233" t="str">
            <v xml:space="preserve">Kas Kanpus                              </v>
          </cell>
          <cell r="N4233" t="str">
            <v xml:space="preserve">Kas Kanpus                              </v>
          </cell>
          <cell r="O4233" t="str">
            <v xml:space="preserve">KAS KANPUS                              </v>
          </cell>
          <cell r="P4233" t="str">
            <v>Ya</v>
          </cell>
          <cell r="Q4233" t="str">
            <v>Ya</v>
          </cell>
          <cell r="R4233" t="str">
            <v>Done</v>
          </cell>
          <cell r="S4233" t="str">
            <v>Approved</v>
          </cell>
          <cell r="T4233" t="str">
            <v>90170665 - Mutiara Ayuningtyas</v>
          </cell>
          <cell r="U4233" t="str">
            <v>"-"</v>
          </cell>
        </row>
        <row r="4234">
          <cell r="A4234">
            <v>46265</v>
          </cell>
          <cell r="B4234" t="str">
            <v xml:space="preserve">SOLIKIN                                 </v>
          </cell>
          <cell r="C4234" t="str">
            <v>SYOZ824</v>
          </cell>
          <cell r="D4234">
            <v>582901001756504</v>
          </cell>
          <cell r="E4234" t="str">
            <v>SEDANG</v>
          </cell>
          <cell r="F4234" t="str">
            <v>Tidak</v>
          </cell>
          <cell r="G4234" t="str">
            <v>Tidak</v>
          </cell>
          <cell r="H4234" t="str">
            <v>Tidak</v>
          </cell>
          <cell r="I4234" t="str">
            <v>Bandar Judol Depo</v>
          </cell>
          <cell r="J4234">
            <v>50</v>
          </cell>
          <cell r="K4234" t="str">
            <v>86,74,87</v>
          </cell>
          <cell r="L4234" t="str">
            <v>Judi Online</v>
          </cell>
          <cell r="M4234" t="str">
            <v xml:space="preserve">Kas Kanpus                              </v>
          </cell>
          <cell r="N4234" t="str">
            <v xml:space="preserve">Kas Kanpus                              </v>
          </cell>
          <cell r="O4234" t="str">
            <v xml:space="preserve">KAS KANPUS                              </v>
          </cell>
          <cell r="P4234" t="str">
            <v>Tidak</v>
          </cell>
          <cell r="Q4234" t="str">
            <v>Ya</v>
          </cell>
          <cell r="R4234" t="str">
            <v>Done</v>
          </cell>
          <cell r="S4234" t="str">
            <v>Approved</v>
          </cell>
          <cell r="T4234" t="str">
            <v>00394520 - Frida Akbar Rani</v>
          </cell>
          <cell r="U4234" t="str">
            <v>"-"</v>
          </cell>
        </row>
        <row r="4235">
          <cell r="A4235">
            <v>46265</v>
          </cell>
          <cell r="B4235" t="str">
            <v xml:space="preserve">SAPARENITA                              </v>
          </cell>
          <cell r="C4235" t="str">
            <v>SXNI230</v>
          </cell>
          <cell r="D4235">
            <v>127701000144569</v>
          </cell>
          <cell r="E4235" t="str">
            <v>TINGGI</v>
          </cell>
          <cell r="F4235" t="str">
            <v>Tidak</v>
          </cell>
          <cell r="G4235" t="str">
            <v>Tidak</v>
          </cell>
          <cell r="H4235" t="str">
            <v>Tidak</v>
          </cell>
          <cell r="I4235" t="str">
            <v>Bandar Judol Depo</v>
          </cell>
          <cell r="J4235">
            <v>65</v>
          </cell>
          <cell r="K4235" t="str">
            <v>86,74,87</v>
          </cell>
          <cell r="L4235" t="str">
            <v>Judi Online</v>
          </cell>
          <cell r="M4235" t="str">
            <v xml:space="preserve">Kas Kanpus                              </v>
          </cell>
          <cell r="N4235" t="str">
            <v xml:space="preserve">Kas Kanpus                              </v>
          </cell>
          <cell r="O4235" t="str">
            <v xml:space="preserve">KAS KANPUS                              </v>
          </cell>
          <cell r="P4235" t="str">
            <v>Ya</v>
          </cell>
          <cell r="Q4235" t="str">
            <v>Ya</v>
          </cell>
          <cell r="R4235" t="str">
            <v>Done</v>
          </cell>
          <cell r="S4235" t="str">
            <v>Approved</v>
          </cell>
          <cell r="T4235" t="str">
            <v>90185537 - Moh.Khoerul Fajar Ar</v>
          </cell>
          <cell r="U4235" t="str">
            <v>"-"</v>
          </cell>
        </row>
        <row r="4236">
          <cell r="A4236">
            <v>46265</v>
          </cell>
          <cell r="B4236" t="str">
            <v xml:space="preserve">TRIJAYA FAJAR PERSADA                   </v>
          </cell>
          <cell r="C4236" t="str">
            <v>TGG5477</v>
          </cell>
          <cell r="D4236">
            <v>57701000775309</v>
          </cell>
          <cell r="E4236" t="str">
            <v>TINGGI</v>
          </cell>
          <cell r="F4236" t="str">
            <v>Tidak</v>
          </cell>
          <cell r="G4236" t="str">
            <v>Tidak</v>
          </cell>
          <cell r="H4236" t="str">
            <v>Tidak</v>
          </cell>
          <cell r="I4236" t="str">
            <v>Perpajakan</v>
          </cell>
          <cell r="J4236">
            <v>63</v>
          </cell>
          <cell r="K4236">
            <v>41</v>
          </cell>
          <cell r="L4236" t="str">
            <v>Perpajakan</v>
          </cell>
          <cell r="M4236" t="str">
            <v xml:space="preserve">KC Genteng                              </v>
          </cell>
          <cell r="N4236" t="str">
            <v xml:space="preserve">KC Genteng                              </v>
          </cell>
          <cell r="O4236" t="str">
            <v xml:space="preserve">KANWIL MALANG                           </v>
          </cell>
          <cell r="P4236" t="str">
            <v>Tidak</v>
          </cell>
          <cell r="Q4236" t="str">
            <v>Tidak</v>
          </cell>
          <cell r="R4236" t="str">
            <v>Done</v>
          </cell>
          <cell r="S4236" t="str">
            <v>Approved</v>
          </cell>
          <cell r="T4236" t="str">
            <v>00394520 - Frida Akbar Rani</v>
          </cell>
          <cell r="U4236" t="str">
            <v>"-"</v>
          </cell>
        </row>
        <row r="4237">
          <cell r="A4237">
            <v>46265</v>
          </cell>
          <cell r="B4237" t="str">
            <v xml:space="preserve">PT TRI SAKTI PURWOSARI MAKMUR           </v>
          </cell>
          <cell r="C4237" t="str">
            <v>TGR7069</v>
          </cell>
          <cell r="D4237">
            <v>2001006457304</v>
          </cell>
          <cell r="E4237" t="str">
            <v>SEDANG</v>
          </cell>
          <cell r="F4237" t="str">
            <v>Tidak</v>
          </cell>
          <cell r="G4237" t="str">
            <v>Tidak</v>
          </cell>
          <cell r="H4237" t="str">
            <v>Tidak</v>
          </cell>
          <cell r="I4237" t="str">
            <v>Narkotika - Area Lapas</v>
          </cell>
          <cell r="J4237">
            <v>50</v>
          </cell>
          <cell r="K4237">
            <v>46</v>
          </cell>
          <cell r="L4237" t="str">
            <v>Narkotika</v>
          </cell>
          <cell r="M4237" t="str">
            <v>KC Jambi</v>
          </cell>
          <cell r="N4237" t="str">
            <v>KC Jambi</v>
          </cell>
          <cell r="O4237" t="str">
            <v>Palembang</v>
          </cell>
          <cell r="P4237" t="str">
            <v>Tidak</v>
          </cell>
          <cell r="Q4237" t="str">
            <v>Tidak</v>
          </cell>
          <cell r="R4237" t="str">
            <v>Done</v>
          </cell>
          <cell r="S4237" t="str">
            <v>Approved</v>
          </cell>
          <cell r="T4237" t="str">
            <v>90186790 - Muhammad Alfin Farha</v>
          </cell>
          <cell r="U4237" t="str">
            <v>"-"</v>
          </cell>
        </row>
        <row r="4238">
          <cell r="A4238">
            <v>46265</v>
          </cell>
          <cell r="B4238" t="str">
            <v xml:space="preserve">TRIYANTO                                </v>
          </cell>
          <cell r="C4238" t="str">
            <v>TGW2795</v>
          </cell>
          <cell r="D4238">
            <v>33801060605508</v>
          </cell>
          <cell r="E4238" t="str">
            <v>SEDANG</v>
          </cell>
          <cell r="F4238" t="str">
            <v>Tidak</v>
          </cell>
          <cell r="G4238" t="str">
            <v>Tidak</v>
          </cell>
          <cell r="H4238" t="str">
            <v>Tidak</v>
          </cell>
          <cell r="I4238" t="str">
            <v>Bandar Judol Withdrawal</v>
          </cell>
          <cell r="J4238">
            <v>50</v>
          </cell>
          <cell r="K4238" t="str">
            <v>86,88,87</v>
          </cell>
          <cell r="L4238" t="str">
            <v>Judi Online</v>
          </cell>
          <cell r="M4238" t="str">
            <v xml:space="preserve">Kas Kanpus                              </v>
          </cell>
          <cell r="N4238" t="str">
            <v xml:space="preserve">Kas Kanpus                              </v>
          </cell>
          <cell r="O4238" t="str">
            <v xml:space="preserve">KAS KANPUS                              </v>
          </cell>
          <cell r="P4238" t="str">
            <v>Ya</v>
          </cell>
          <cell r="Q4238" t="str">
            <v>Ya</v>
          </cell>
          <cell r="R4238" t="str">
            <v>Done</v>
          </cell>
          <cell r="S4238" t="str">
            <v>Approved</v>
          </cell>
          <cell r="T4238" t="str">
            <v>90186796 - Devito Arya Wiradila</v>
          </cell>
          <cell r="U4238" t="str">
            <v>"-"</v>
          </cell>
        </row>
        <row r="4239">
          <cell r="A4239">
            <v>46265</v>
          </cell>
          <cell r="B4239" t="str">
            <v xml:space="preserve">WELLI JASPRATAMA                        </v>
          </cell>
          <cell r="C4239" t="str">
            <v>WLR8071</v>
          </cell>
          <cell r="D4239">
            <v>23801001832568</v>
          </cell>
          <cell r="F4239" t="str">
            <v>Tidak</v>
          </cell>
          <cell r="G4239" t="str">
            <v>Tidak</v>
          </cell>
          <cell r="H4239" t="str">
            <v>Tidak</v>
          </cell>
          <cell r="I4239" t="str">
            <v>Bandar Judol Withdrawal</v>
          </cell>
          <cell r="J4239">
            <v>35</v>
          </cell>
          <cell r="K4239" t="str">
            <v>86,88,87</v>
          </cell>
          <cell r="L4239" t="str">
            <v>Judi Online</v>
          </cell>
          <cell r="M4239" t="str">
            <v xml:space="preserve">Kas Kanpus                              </v>
          </cell>
          <cell r="N4239" t="str">
            <v xml:space="preserve">Kas Kanpus                              </v>
          </cell>
          <cell r="O4239" t="str">
            <v xml:space="preserve">KAS KANPUS                              </v>
          </cell>
          <cell r="P4239" t="str">
            <v>Ya</v>
          </cell>
          <cell r="Q4239" t="str">
            <v>Ya</v>
          </cell>
          <cell r="R4239" t="str">
            <v>Done</v>
          </cell>
          <cell r="S4239" t="str">
            <v>Approved</v>
          </cell>
          <cell r="T4239" t="str">
            <v>00336949 - Mochammad Al Farabi</v>
          </cell>
          <cell r="U4239" t="str">
            <v>"-"</v>
          </cell>
        </row>
        <row r="4240">
          <cell r="A4240">
            <v>46265</v>
          </cell>
          <cell r="B4240" t="str">
            <v xml:space="preserve">WAHYU ARDIANSYAH                        </v>
          </cell>
          <cell r="C4240" t="str">
            <v>WLV6498</v>
          </cell>
          <cell r="D4240">
            <v>33801064817505</v>
          </cell>
          <cell r="F4240" t="str">
            <v>Tidak</v>
          </cell>
          <cell r="G4240" t="str">
            <v>Tidak</v>
          </cell>
          <cell r="H4240" t="str">
            <v>Tidak</v>
          </cell>
          <cell r="I4240" t="str">
            <v>Bandar Judol Withdrawal</v>
          </cell>
          <cell r="J4240">
            <v>35</v>
          </cell>
          <cell r="K4240" t="str">
            <v>86,88,87</v>
          </cell>
          <cell r="L4240" t="str">
            <v>Judi Online</v>
          </cell>
          <cell r="M4240" t="str">
            <v xml:space="preserve">Kas Kanpus                              </v>
          </cell>
          <cell r="N4240" t="str">
            <v xml:space="preserve">Kas Kanpus                              </v>
          </cell>
          <cell r="O4240" t="str">
            <v xml:space="preserve">KAS KANPUS                              </v>
          </cell>
          <cell r="P4240" t="str">
            <v>Ya</v>
          </cell>
          <cell r="Q4240" t="str">
            <v>Ya</v>
          </cell>
          <cell r="R4240" t="str">
            <v>Done</v>
          </cell>
          <cell r="S4240" t="str">
            <v>Approved</v>
          </cell>
          <cell r="T4240" t="str">
            <v>00394520 - Frida Akbar Rani</v>
          </cell>
          <cell r="U4240" t="str">
            <v>"-"</v>
          </cell>
        </row>
        <row r="4241">
          <cell r="A4241">
            <v>46265</v>
          </cell>
          <cell r="B4241" t="str">
            <v xml:space="preserve">WAHYU PERMADI                           </v>
          </cell>
          <cell r="C4241" t="str">
            <v>WKB7751</v>
          </cell>
          <cell r="D4241">
            <v>28301076594506</v>
          </cell>
          <cell r="E4241" t="str">
            <v>SEDANG</v>
          </cell>
          <cell r="F4241" t="str">
            <v>Tidak</v>
          </cell>
          <cell r="G4241" t="str">
            <v>Tidak</v>
          </cell>
          <cell r="H4241" t="str">
            <v>Tidak</v>
          </cell>
          <cell r="I4241" t="str">
            <v>Bandar Judol Withdrawal</v>
          </cell>
          <cell r="J4241">
            <v>50</v>
          </cell>
          <cell r="K4241" t="str">
            <v>86,88,87</v>
          </cell>
          <cell r="L4241" t="str">
            <v>Judi Online</v>
          </cell>
          <cell r="M4241" t="str">
            <v xml:space="preserve">Kas Kanpus                              </v>
          </cell>
          <cell r="N4241" t="str">
            <v xml:space="preserve">Kas Kanpus                              </v>
          </cell>
          <cell r="O4241" t="str">
            <v xml:space="preserve">KAS KANPUS                              </v>
          </cell>
          <cell r="P4241" t="str">
            <v>Ya</v>
          </cell>
          <cell r="Q4241" t="str">
            <v>Ya</v>
          </cell>
          <cell r="R4241" t="str">
            <v>Done</v>
          </cell>
          <cell r="S4241" t="str">
            <v>Approved</v>
          </cell>
          <cell r="T4241" t="str">
            <v>90150130 - Intan Aida Pratiwi</v>
          </cell>
          <cell r="U4241" t="str">
            <v>"-"</v>
          </cell>
        </row>
        <row r="4242">
          <cell r="A4242">
            <v>46265</v>
          </cell>
          <cell r="B4242" t="str">
            <v xml:space="preserve">WERI                                    </v>
          </cell>
          <cell r="C4242" t="str">
            <v>WKW0641</v>
          </cell>
          <cell r="D4242">
            <v>417301022000502</v>
          </cell>
          <cell r="E4242" t="str">
            <v>SEDANG</v>
          </cell>
          <cell r="F4242" t="str">
            <v>Tidak</v>
          </cell>
          <cell r="G4242" t="str">
            <v>Tidak</v>
          </cell>
          <cell r="H4242" t="str">
            <v>Tidak</v>
          </cell>
          <cell r="I4242" t="str">
            <v>Bandar Judol Depo</v>
          </cell>
          <cell r="J4242">
            <v>50</v>
          </cell>
          <cell r="K4242" t="str">
            <v>86,74,87</v>
          </cell>
          <cell r="L4242" t="str">
            <v>Judi Online</v>
          </cell>
          <cell r="M4242" t="str">
            <v xml:space="preserve">Kas Kanpus                              </v>
          </cell>
          <cell r="N4242" t="str">
            <v xml:space="preserve">Kas Kanpus                              </v>
          </cell>
          <cell r="O4242" t="str">
            <v xml:space="preserve">KAS KANPUS                              </v>
          </cell>
          <cell r="P4242" t="str">
            <v>Tidak</v>
          </cell>
          <cell r="Q4242" t="str">
            <v>Ya</v>
          </cell>
          <cell r="R4242" t="str">
            <v>Done</v>
          </cell>
          <cell r="S4242" t="str">
            <v>Approved</v>
          </cell>
          <cell r="T4242" t="str">
            <v>90185537 - Moh.Khoerul Fajar Ar</v>
          </cell>
          <cell r="U4242" t="str">
            <v>"-"</v>
          </cell>
        </row>
        <row r="4243">
          <cell r="A4243">
            <v>46265</v>
          </cell>
          <cell r="B4243" t="str">
            <v xml:space="preserve">WULAN SARI                              </v>
          </cell>
          <cell r="C4243" t="str">
            <v>WIQ8508</v>
          </cell>
          <cell r="D4243">
            <v>219701004412537</v>
          </cell>
          <cell r="E4243" t="str">
            <v>SEDANG</v>
          </cell>
          <cell r="F4243" t="str">
            <v>Tidak</v>
          </cell>
          <cell r="G4243" t="str">
            <v>Tidak</v>
          </cell>
          <cell r="H4243" t="str">
            <v>Ya</v>
          </cell>
          <cell r="I4243" t="str">
            <v>Bandar Judol Depo</v>
          </cell>
          <cell r="J4243">
            <v>50</v>
          </cell>
          <cell r="K4243" t="str">
            <v>86,74,87</v>
          </cell>
          <cell r="L4243" t="str">
            <v>Judi Online</v>
          </cell>
          <cell r="M4243" t="str">
            <v xml:space="preserve">Kas Kanpus                              </v>
          </cell>
          <cell r="N4243" t="str">
            <v xml:space="preserve">Kas Kanpus                              </v>
          </cell>
          <cell r="O4243" t="str">
            <v xml:space="preserve">KAS KANPUS                              </v>
          </cell>
          <cell r="P4243" t="str">
            <v>Tidak</v>
          </cell>
          <cell r="Q4243" t="str">
            <v>Ya</v>
          </cell>
          <cell r="R4243" t="str">
            <v>Done</v>
          </cell>
          <cell r="S4243" t="str">
            <v>Approved</v>
          </cell>
          <cell r="T4243" t="str">
            <v>00394520 - Frida Akbar Rani</v>
          </cell>
          <cell r="U4243" t="str">
            <v>"-"</v>
          </cell>
        </row>
        <row r="4244">
          <cell r="A4244">
            <v>46265</v>
          </cell>
          <cell r="B4244" t="str">
            <v xml:space="preserve">WAHYU IRMAWAN                           </v>
          </cell>
          <cell r="C4244" t="str">
            <v>WIR7503</v>
          </cell>
          <cell r="D4244">
            <v>33601003843565</v>
          </cell>
          <cell r="E4244" t="str">
            <v>SEDANG</v>
          </cell>
          <cell r="F4244" t="str">
            <v>Tidak</v>
          </cell>
          <cell r="G4244" t="str">
            <v>Tidak</v>
          </cell>
          <cell r="H4244" t="str">
            <v>Tidak</v>
          </cell>
          <cell r="I4244" t="str">
            <v>Bandar Judol Withdrawal</v>
          </cell>
          <cell r="J4244">
            <v>50</v>
          </cell>
          <cell r="K4244" t="str">
            <v>86,88,87</v>
          </cell>
          <cell r="L4244" t="str">
            <v>Judi Online</v>
          </cell>
          <cell r="M4244" t="str">
            <v xml:space="preserve">Kas Kanpus                              </v>
          </cell>
          <cell r="N4244" t="str">
            <v xml:space="preserve">Kas Kanpus                              </v>
          </cell>
          <cell r="O4244" t="str">
            <v xml:space="preserve">KAS KANPUS                              </v>
          </cell>
          <cell r="P4244" t="str">
            <v>Ya</v>
          </cell>
          <cell r="Q4244" t="str">
            <v>Ya</v>
          </cell>
          <cell r="R4244" t="str">
            <v>Done</v>
          </cell>
          <cell r="S4244" t="str">
            <v>Approved</v>
          </cell>
          <cell r="T4244" t="str">
            <v>90186796 - Devito Arya Wiradila</v>
          </cell>
          <cell r="U4244" t="str">
            <v>"-"</v>
          </cell>
        </row>
        <row r="4245">
          <cell r="A4245">
            <v>46265</v>
          </cell>
          <cell r="B4245" t="str">
            <v xml:space="preserve">WENNY ALVIONITA                         </v>
          </cell>
          <cell r="C4245" t="str">
            <v>WKY4765</v>
          </cell>
          <cell r="D4245">
            <v>43801003289563</v>
          </cell>
          <cell r="E4245" t="str">
            <v>SEDANG</v>
          </cell>
          <cell r="F4245" t="str">
            <v>Tidak</v>
          </cell>
          <cell r="G4245" t="str">
            <v>Tidak</v>
          </cell>
          <cell r="H4245" t="str">
            <v>Tidak</v>
          </cell>
          <cell r="I4245" t="str">
            <v>Bandar Judol Depo</v>
          </cell>
          <cell r="J4245">
            <v>50</v>
          </cell>
          <cell r="K4245" t="str">
            <v>86,74,87</v>
          </cell>
          <cell r="L4245" t="str">
            <v>Judi Online</v>
          </cell>
          <cell r="M4245" t="str">
            <v xml:space="preserve">Kas Kanpus                              </v>
          </cell>
          <cell r="N4245" t="str">
            <v xml:space="preserve">Kas Kanpus                              </v>
          </cell>
          <cell r="O4245" t="str">
            <v xml:space="preserve">KAS KANPUS                              </v>
          </cell>
          <cell r="P4245" t="str">
            <v>Ya</v>
          </cell>
          <cell r="Q4245" t="str">
            <v>Ya</v>
          </cell>
          <cell r="R4245" t="str">
            <v>Done</v>
          </cell>
          <cell r="S4245" t="str">
            <v>Approved</v>
          </cell>
          <cell r="T4245" t="str">
            <v>90171841 - Rifqi Aziz</v>
          </cell>
          <cell r="U4245" t="str">
            <v>"-"</v>
          </cell>
        </row>
        <row r="4246">
          <cell r="A4246">
            <v>46265</v>
          </cell>
          <cell r="B4246" t="str">
            <v xml:space="preserve">WAHYU HIDAYAT                           </v>
          </cell>
          <cell r="C4246" t="str">
            <v>WLK8283</v>
          </cell>
          <cell r="D4246">
            <v>33201003334560</v>
          </cell>
          <cell r="E4246" t="str">
            <v>SEDANG</v>
          </cell>
          <cell r="F4246" t="str">
            <v>Tidak</v>
          </cell>
          <cell r="G4246" t="str">
            <v>Tidak</v>
          </cell>
          <cell r="H4246" t="str">
            <v>Tidak</v>
          </cell>
          <cell r="I4246" t="str">
            <v>Bandar Judol Withdrawal</v>
          </cell>
          <cell r="J4246">
            <v>50</v>
          </cell>
          <cell r="K4246" t="str">
            <v>86,88,87</v>
          </cell>
          <cell r="L4246" t="str">
            <v>Judi Online</v>
          </cell>
          <cell r="M4246" t="str">
            <v xml:space="preserve">Kas Kanpus                              </v>
          </cell>
          <cell r="N4246" t="str">
            <v xml:space="preserve">Kas Kanpus                              </v>
          </cell>
          <cell r="O4246" t="str">
            <v xml:space="preserve">KAS KANPUS                              </v>
          </cell>
          <cell r="P4246" t="str">
            <v>Ya</v>
          </cell>
          <cell r="Q4246" t="str">
            <v>Ya</v>
          </cell>
          <cell r="R4246" t="str">
            <v>Done</v>
          </cell>
          <cell r="S4246" t="str">
            <v>Approved</v>
          </cell>
          <cell r="T4246" t="str">
            <v>90170665 - Mutiara Ayuningtyas</v>
          </cell>
          <cell r="U4246" t="str">
            <v>"-"</v>
          </cell>
        </row>
        <row r="4247">
          <cell r="A4247">
            <v>46265</v>
          </cell>
          <cell r="B4247" t="str">
            <v xml:space="preserve">WIDANINGSIH                             </v>
          </cell>
          <cell r="C4247" t="str">
            <v>WLN9512</v>
          </cell>
          <cell r="D4247">
            <v>218401000751560</v>
          </cell>
          <cell r="F4247" t="str">
            <v>Tidak</v>
          </cell>
          <cell r="G4247" t="str">
            <v>Tidak</v>
          </cell>
          <cell r="H4247" t="str">
            <v>Tidak</v>
          </cell>
          <cell r="I4247" t="str">
            <v>Bandar Judol Withdrawal</v>
          </cell>
          <cell r="J4247">
            <v>35</v>
          </cell>
          <cell r="K4247" t="str">
            <v>86,88,87</v>
          </cell>
          <cell r="L4247" t="str">
            <v>Judi Online</v>
          </cell>
          <cell r="M4247" t="str">
            <v xml:space="preserve">Kas Kanpus                              </v>
          </cell>
          <cell r="N4247" t="str">
            <v xml:space="preserve">Kas Kanpus                              </v>
          </cell>
          <cell r="O4247" t="str">
            <v xml:space="preserve">KAS KANPUS                              </v>
          </cell>
          <cell r="P4247" t="str">
            <v>Ya</v>
          </cell>
          <cell r="Q4247" t="str">
            <v>Ya</v>
          </cell>
          <cell r="R4247" t="str">
            <v>Done</v>
          </cell>
          <cell r="S4247" t="str">
            <v>Approved</v>
          </cell>
          <cell r="T4247" t="str">
            <v>90150130 - Intan Aida Pratiwi</v>
          </cell>
          <cell r="U4247" t="str">
            <v>"-"</v>
          </cell>
        </row>
        <row r="4248">
          <cell r="A4248">
            <v>46265</v>
          </cell>
          <cell r="B4248" t="str">
            <v xml:space="preserve">WAHYU ANGGORO                           </v>
          </cell>
          <cell r="C4248" t="str">
            <v>WJM2883</v>
          </cell>
          <cell r="D4248">
            <v>721101000037568</v>
          </cell>
          <cell r="E4248" t="str">
            <v>SEDANG</v>
          </cell>
          <cell r="F4248" t="str">
            <v>Tidak</v>
          </cell>
          <cell r="G4248" t="str">
            <v>Tidak</v>
          </cell>
          <cell r="H4248" t="str">
            <v>Tidak</v>
          </cell>
          <cell r="I4248" t="str">
            <v>Bandar Judol Withdrawal</v>
          </cell>
          <cell r="J4248">
            <v>50</v>
          </cell>
          <cell r="K4248" t="str">
            <v>86,88,87</v>
          </cell>
          <cell r="L4248" t="str">
            <v>Judi Online</v>
          </cell>
          <cell r="M4248" t="str">
            <v xml:space="preserve">Kas Kanpus                              </v>
          </cell>
          <cell r="N4248" t="str">
            <v xml:space="preserve">Kas Kanpus                              </v>
          </cell>
          <cell r="O4248" t="str">
            <v xml:space="preserve">KAS KANPUS                              </v>
          </cell>
          <cell r="P4248" t="str">
            <v>Ya</v>
          </cell>
          <cell r="Q4248" t="str">
            <v>Tidak</v>
          </cell>
          <cell r="R4248" t="str">
            <v>Done</v>
          </cell>
          <cell r="S4248" t="str">
            <v>Approved</v>
          </cell>
          <cell r="T4248" t="str">
            <v>00394521 - Muhammad Hibbanduta</v>
          </cell>
          <cell r="U4248" t="str">
            <v>"-"</v>
          </cell>
        </row>
        <row r="4249">
          <cell r="A4249">
            <v>46265</v>
          </cell>
          <cell r="B4249" t="str">
            <v xml:space="preserve">WIRIATNI                                </v>
          </cell>
          <cell r="C4249" t="str">
            <v>WHZ9369</v>
          </cell>
          <cell r="D4249">
            <v>39901006947538</v>
          </cell>
          <cell r="E4249" t="str">
            <v>SEDANG</v>
          </cell>
          <cell r="F4249" t="str">
            <v>Tidak</v>
          </cell>
          <cell r="G4249" t="str">
            <v>Tidak</v>
          </cell>
          <cell r="H4249" t="str">
            <v>Tidak</v>
          </cell>
          <cell r="I4249" t="str">
            <v>Bandar Judol Withdrawal</v>
          </cell>
          <cell r="J4249">
            <v>50</v>
          </cell>
          <cell r="K4249" t="str">
            <v>86,88,87</v>
          </cell>
          <cell r="L4249" t="str">
            <v>Judi Online</v>
          </cell>
          <cell r="M4249" t="str">
            <v xml:space="preserve">Kas Kanpus                              </v>
          </cell>
          <cell r="N4249" t="str">
            <v xml:space="preserve">Kas Kanpus                              </v>
          </cell>
          <cell r="O4249" t="str">
            <v xml:space="preserve">KAS KANPUS                              </v>
          </cell>
          <cell r="P4249" t="str">
            <v>Ya</v>
          </cell>
          <cell r="Q4249" t="str">
            <v>Ya</v>
          </cell>
          <cell r="R4249" t="str">
            <v>Done</v>
          </cell>
          <cell r="S4249" t="str">
            <v>Approved</v>
          </cell>
          <cell r="T4249" t="str">
            <v>00394520 - Frida Akbar Rani</v>
          </cell>
          <cell r="U4249" t="str">
            <v>"-"</v>
          </cell>
        </row>
        <row r="4250">
          <cell r="A4250">
            <v>46265</v>
          </cell>
          <cell r="B4250" t="str">
            <v xml:space="preserve">WAHID LAGI                              </v>
          </cell>
          <cell r="C4250" t="str">
            <v>WED3160</v>
          </cell>
          <cell r="D4250">
            <v>327701043620536</v>
          </cell>
          <cell r="E4250" t="str">
            <v>SEDANG</v>
          </cell>
          <cell r="F4250" t="str">
            <v>Tidak</v>
          </cell>
          <cell r="G4250" t="str">
            <v>Tidak</v>
          </cell>
          <cell r="H4250" t="str">
            <v>Tidak</v>
          </cell>
          <cell r="I4250" t="str">
            <v>Bandar Judol Withdrawal</v>
          </cell>
          <cell r="J4250">
            <v>50</v>
          </cell>
          <cell r="K4250" t="str">
            <v>86,88,87</v>
          </cell>
          <cell r="L4250" t="str">
            <v>Judi Online</v>
          </cell>
          <cell r="M4250" t="str">
            <v xml:space="preserve">Kas Kanpus                              </v>
          </cell>
          <cell r="N4250" t="str">
            <v xml:space="preserve">Kas Kanpus                              </v>
          </cell>
          <cell r="O4250" t="str">
            <v xml:space="preserve">KAS KANPUS                              </v>
          </cell>
          <cell r="P4250" t="str">
            <v>Tidak</v>
          </cell>
          <cell r="Q4250" t="str">
            <v>Ya</v>
          </cell>
          <cell r="R4250" t="str">
            <v>Done</v>
          </cell>
          <cell r="S4250" t="str">
            <v>Approved</v>
          </cell>
          <cell r="T4250" t="str">
            <v>90170665 - Mutiara Ayuningtyas</v>
          </cell>
          <cell r="U4250" t="str">
            <v>"-"</v>
          </cell>
        </row>
        <row r="4251">
          <cell r="A4251">
            <v>46265</v>
          </cell>
          <cell r="B4251" t="str">
            <v xml:space="preserve">WULAN RACHMA                            </v>
          </cell>
          <cell r="C4251" t="str">
            <v>WEL5713</v>
          </cell>
          <cell r="D4251">
            <v>325001009457503</v>
          </cell>
          <cell r="E4251" t="str">
            <v>SEDANG</v>
          </cell>
          <cell r="F4251" t="str">
            <v>Tidak</v>
          </cell>
          <cell r="G4251" t="str">
            <v>Tidak</v>
          </cell>
          <cell r="H4251" t="str">
            <v>Tidak</v>
          </cell>
          <cell r="I4251" t="str">
            <v>Bandar Judol Depo</v>
          </cell>
          <cell r="J4251">
            <v>50</v>
          </cell>
          <cell r="K4251" t="str">
            <v>86,74,87</v>
          </cell>
          <cell r="L4251" t="str">
            <v>Judi Online</v>
          </cell>
          <cell r="M4251" t="str">
            <v xml:space="preserve">Kas Kanpus                              </v>
          </cell>
          <cell r="N4251" t="str">
            <v xml:space="preserve">Kas Kanpus                              </v>
          </cell>
          <cell r="O4251" t="str">
            <v xml:space="preserve">KAS KANPUS                              </v>
          </cell>
          <cell r="P4251" t="str">
            <v>Ya</v>
          </cell>
          <cell r="Q4251" t="str">
            <v>Ya</v>
          </cell>
          <cell r="R4251" t="str">
            <v>Done</v>
          </cell>
          <cell r="S4251" t="str">
            <v>Approved</v>
          </cell>
          <cell r="T4251" t="str">
            <v>90170665 - Mutiara Ayuningtyas</v>
          </cell>
          <cell r="U4251" t="str">
            <v>"-"</v>
          </cell>
        </row>
        <row r="4252">
          <cell r="A4252">
            <v>46265</v>
          </cell>
          <cell r="B4252" t="str">
            <v xml:space="preserve">VICO DELMUS CHAVEZ WAU                  </v>
          </cell>
          <cell r="C4252" t="str">
            <v>V767076</v>
          </cell>
          <cell r="D4252">
            <v>43801003309567</v>
          </cell>
          <cell r="E4252" t="str">
            <v>SEDANG</v>
          </cell>
          <cell r="F4252" t="str">
            <v>Tidak</v>
          </cell>
          <cell r="G4252" t="str">
            <v>Tidak</v>
          </cell>
          <cell r="H4252" t="str">
            <v>Tidak</v>
          </cell>
          <cell r="I4252" t="str">
            <v>Bandar Judol Withdrawal</v>
          </cell>
          <cell r="J4252">
            <v>50</v>
          </cell>
          <cell r="K4252" t="str">
            <v>86,88,87</v>
          </cell>
          <cell r="L4252" t="str">
            <v>Judi Online</v>
          </cell>
          <cell r="M4252" t="str">
            <v xml:space="preserve">Kas Kanpus                              </v>
          </cell>
          <cell r="N4252" t="str">
            <v xml:space="preserve">Kas Kanpus                              </v>
          </cell>
          <cell r="O4252" t="str">
            <v xml:space="preserve">KAS KANPUS                              </v>
          </cell>
          <cell r="P4252" t="str">
            <v>Ya</v>
          </cell>
          <cell r="Q4252" t="str">
            <v>Ya</v>
          </cell>
          <cell r="R4252" t="str">
            <v>Done</v>
          </cell>
          <cell r="S4252" t="str">
            <v>Approved</v>
          </cell>
          <cell r="T4252" t="str">
            <v>90171841 - Rifqi Aziz</v>
          </cell>
          <cell r="U4252" t="str">
            <v>"-"</v>
          </cell>
        </row>
        <row r="4253">
          <cell r="A4253">
            <v>46265</v>
          </cell>
          <cell r="B4253" t="str">
            <v xml:space="preserve">VELINA                                  </v>
          </cell>
          <cell r="C4253" t="str">
            <v>V984341</v>
          </cell>
          <cell r="D4253">
            <v>108701000633565</v>
          </cell>
          <cell r="E4253" t="str">
            <v>SEDANG</v>
          </cell>
          <cell r="F4253" t="str">
            <v>Tidak</v>
          </cell>
          <cell r="G4253" t="str">
            <v>Tidak</v>
          </cell>
          <cell r="H4253" t="str">
            <v>Tidak</v>
          </cell>
          <cell r="I4253" t="str">
            <v>Bandar Judol Withdrawal</v>
          </cell>
          <cell r="J4253">
            <v>50</v>
          </cell>
          <cell r="K4253" t="str">
            <v>86,88,87</v>
          </cell>
          <cell r="L4253" t="str">
            <v>Judi Online</v>
          </cell>
          <cell r="M4253" t="str">
            <v xml:space="preserve">Kas Kanpus                              </v>
          </cell>
          <cell r="N4253" t="str">
            <v xml:space="preserve">Kas Kanpus                              </v>
          </cell>
          <cell r="O4253" t="str">
            <v xml:space="preserve">KAS KANPUS                              </v>
          </cell>
          <cell r="P4253" t="str">
            <v>Ya</v>
          </cell>
          <cell r="Q4253" t="str">
            <v>Ya</v>
          </cell>
          <cell r="R4253" t="str">
            <v>Done</v>
          </cell>
          <cell r="S4253" t="str">
            <v>Approved</v>
          </cell>
          <cell r="T4253" t="str">
            <v>90170665 - Mutiara Ayuningtyas</v>
          </cell>
          <cell r="U4253" t="str">
            <v>"-"</v>
          </cell>
        </row>
        <row r="4254">
          <cell r="A4254">
            <v>46265</v>
          </cell>
          <cell r="B4254" t="str">
            <v xml:space="preserve">VICKY FAJAR                             </v>
          </cell>
          <cell r="C4254" t="str">
            <v>VD01239</v>
          </cell>
          <cell r="D4254">
            <v>530201025433532</v>
          </cell>
          <cell r="F4254" t="str">
            <v>Tidak</v>
          </cell>
          <cell r="G4254" t="str">
            <v>Tidak</v>
          </cell>
          <cell r="H4254" t="str">
            <v>Tidak</v>
          </cell>
          <cell r="I4254" t="str">
            <v>Bandar Judol Depo</v>
          </cell>
          <cell r="J4254">
            <v>35</v>
          </cell>
          <cell r="K4254" t="str">
            <v>86,74,87</v>
          </cell>
          <cell r="L4254" t="str">
            <v>Judi Online</v>
          </cell>
          <cell r="M4254" t="str">
            <v xml:space="preserve">Kas Kanpus                              </v>
          </cell>
          <cell r="N4254" t="str">
            <v xml:space="preserve">Kas Kanpus                              </v>
          </cell>
          <cell r="O4254" t="str">
            <v xml:space="preserve">KAS KANPUS                              </v>
          </cell>
          <cell r="P4254" t="str">
            <v>Ya</v>
          </cell>
          <cell r="Q4254" t="str">
            <v>Ya</v>
          </cell>
          <cell r="R4254" t="str">
            <v>Done</v>
          </cell>
          <cell r="S4254" t="str">
            <v>Approved</v>
          </cell>
          <cell r="T4254" t="str">
            <v>90185538 - Muhammad Fahikal Auz</v>
          </cell>
          <cell r="U4254" t="str">
            <v>"-"</v>
          </cell>
        </row>
        <row r="4255">
          <cell r="A4255">
            <v>46265</v>
          </cell>
          <cell r="B4255" t="str">
            <v xml:space="preserve">VIONA TIOPAN                            </v>
          </cell>
          <cell r="C4255" t="str">
            <v>VD17099</v>
          </cell>
          <cell r="D4255">
            <v>501005054563</v>
          </cell>
          <cell r="F4255" t="str">
            <v>Tidak</v>
          </cell>
          <cell r="G4255" t="str">
            <v>Tidak</v>
          </cell>
          <cell r="H4255" t="str">
            <v>Tidak</v>
          </cell>
          <cell r="I4255" t="str">
            <v>Bandar Judol Withdrawal</v>
          </cell>
          <cell r="J4255">
            <v>35</v>
          </cell>
          <cell r="K4255" t="str">
            <v>86,88,87</v>
          </cell>
          <cell r="L4255" t="str">
            <v>Judi Online</v>
          </cell>
          <cell r="M4255" t="str">
            <v xml:space="preserve">Kas Kanpus                              </v>
          </cell>
          <cell r="N4255" t="str">
            <v xml:space="preserve">Kas Kanpus                              </v>
          </cell>
          <cell r="O4255" t="str">
            <v xml:space="preserve">KAS KANPUS                              </v>
          </cell>
          <cell r="P4255" t="str">
            <v>Ya</v>
          </cell>
          <cell r="Q4255" t="str">
            <v>Ya</v>
          </cell>
          <cell r="R4255" t="str">
            <v>Done</v>
          </cell>
          <cell r="S4255" t="str">
            <v>Approved</v>
          </cell>
          <cell r="T4255" t="str">
            <v>90185538 - Muhammad Fahikal Auz</v>
          </cell>
          <cell r="U4255" t="str">
            <v>"-"</v>
          </cell>
        </row>
        <row r="4256">
          <cell r="A4256">
            <v>46265</v>
          </cell>
          <cell r="B4256" t="str">
            <v xml:space="preserve">VHAZEL AKBAR ANUGRAH                    </v>
          </cell>
          <cell r="C4256" t="str">
            <v>VD24175</v>
          </cell>
          <cell r="D4256">
            <v>65801027458502</v>
          </cell>
          <cell r="F4256" t="str">
            <v>Tidak</v>
          </cell>
          <cell r="G4256" t="str">
            <v>Tidak</v>
          </cell>
          <cell r="H4256" t="str">
            <v>Tidak</v>
          </cell>
          <cell r="I4256" t="str">
            <v>Bandar Judol Withdrawal</v>
          </cell>
          <cell r="J4256">
            <v>35</v>
          </cell>
          <cell r="K4256" t="str">
            <v>86,88,87</v>
          </cell>
          <cell r="L4256" t="str">
            <v>Judi Online</v>
          </cell>
          <cell r="M4256" t="str">
            <v xml:space="preserve">Kas Kanpus                              </v>
          </cell>
          <cell r="N4256" t="str">
            <v xml:space="preserve">Kas Kanpus                              </v>
          </cell>
          <cell r="O4256" t="str">
            <v xml:space="preserve">KAS KANPUS                              </v>
          </cell>
          <cell r="P4256" t="str">
            <v>Ya</v>
          </cell>
          <cell r="Q4256" t="str">
            <v>Ya</v>
          </cell>
          <cell r="R4256" t="str">
            <v>Done</v>
          </cell>
          <cell r="S4256" t="str">
            <v>Approved</v>
          </cell>
          <cell r="T4256" t="str">
            <v>90186790 - Muhammad Alfin Farha</v>
          </cell>
          <cell r="U4256" t="str">
            <v>"-"</v>
          </cell>
        </row>
        <row r="4257">
          <cell r="A4257">
            <v>46265</v>
          </cell>
          <cell r="B4257" t="str">
            <v xml:space="preserve">VITA TRIANA                             </v>
          </cell>
          <cell r="C4257" t="str">
            <v>VD59895</v>
          </cell>
          <cell r="D4257">
            <v>95201005152502</v>
          </cell>
          <cell r="F4257" t="str">
            <v>Tidak</v>
          </cell>
          <cell r="G4257" t="str">
            <v>Tidak</v>
          </cell>
          <cell r="H4257" t="str">
            <v>Tidak</v>
          </cell>
          <cell r="I4257" t="str">
            <v>Bandar Judol Withdrawal</v>
          </cell>
          <cell r="J4257">
            <v>35</v>
          </cell>
          <cell r="K4257" t="str">
            <v>86,88,87</v>
          </cell>
          <cell r="L4257" t="str">
            <v>Judi Online</v>
          </cell>
          <cell r="M4257" t="str">
            <v xml:space="preserve">Kas Kanpus                              </v>
          </cell>
          <cell r="N4257" t="str">
            <v xml:space="preserve">Kas Kanpus                              </v>
          </cell>
          <cell r="O4257" t="str">
            <v xml:space="preserve">KAS KANPUS                              </v>
          </cell>
          <cell r="P4257" t="str">
            <v>Ya</v>
          </cell>
          <cell r="Q4257" t="str">
            <v>Ya</v>
          </cell>
          <cell r="R4257" t="str">
            <v>Done</v>
          </cell>
          <cell r="S4257" t="str">
            <v>Approved</v>
          </cell>
          <cell r="T4257" t="str">
            <v>90170665 - Mutiara Ayuningtyas</v>
          </cell>
          <cell r="U4257" t="str">
            <v>"-"</v>
          </cell>
        </row>
        <row r="4258">
          <cell r="A4258">
            <v>46265</v>
          </cell>
          <cell r="B4258" t="str">
            <v xml:space="preserve">VIVI ERVIANA                            </v>
          </cell>
          <cell r="C4258" t="str">
            <v>VD60661</v>
          </cell>
          <cell r="D4258">
            <v>92701011354509</v>
          </cell>
          <cell r="F4258" t="str">
            <v>Tidak</v>
          </cell>
          <cell r="G4258" t="str">
            <v>Tidak</v>
          </cell>
          <cell r="H4258" t="str">
            <v>Tidak</v>
          </cell>
          <cell r="I4258" t="str">
            <v>Bandar Judol Depo</v>
          </cell>
          <cell r="J4258">
            <v>35</v>
          </cell>
          <cell r="K4258" t="str">
            <v>86,74,87</v>
          </cell>
          <cell r="L4258" t="str">
            <v>Judi Online</v>
          </cell>
          <cell r="M4258" t="str">
            <v xml:space="preserve">Kas Kanpus                              </v>
          </cell>
          <cell r="N4258" t="str">
            <v xml:space="preserve">Kas Kanpus                              </v>
          </cell>
          <cell r="O4258" t="str">
            <v xml:space="preserve">KAS KANPUS                              </v>
          </cell>
          <cell r="P4258" t="str">
            <v>Ya</v>
          </cell>
          <cell r="Q4258" t="str">
            <v>Ya</v>
          </cell>
          <cell r="R4258" t="str">
            <v>Done</v>
          </cell>
          <cell r="S4258" t="str">
            <v>Approved</v>
          </cell>
          <cell r="T4258" t="str">
            <v>90170665 - Mutiara Ayuningtyas</v>
          </cell>
          <cell r="U4258" t="str">
            <v>"-"</v>
          </cell>
        </row>
        <row r="4259">
          <cell r="A4259">
            <v>46265</v>
          </cell>
          <cell r="B4259" t="str">
            <v xml:space="preserve">VIO OKI PRATAMA                         </v>
          </cell>
          <cell r="C4259" t="str">
            <v>VF45374</v>
          </cell>
          <cell r="D4259">
            <v>334801014659503</v>
          </cell>
          <cell r="F4259" t="str">
            <v>Tidak</v>
          </cell>
          <cell r="G4259" t="str">
            <v>Tidak</v>
          </cell>
          <cell r="H4259" t="str">
            <v>Tidak</v>
          </cell>
          <cell r="I4259" t="str">
            <v>Bandar Judol Withdrawal</v>
          </cell>
          <cell r="J4259">
            <v>35</v>
          </cell>
          <cell r="K4259" t="str">
            <v>86,88,87</v>
          </cell>
          <cell r="L4259" t="str">
            <v>Judi Online</v>
          </cell>
          <cell r="M4259" t="str">
            <v xml:space="preserve">Kas Kanpus                              </v>
          </cell>
          <cell r="N4259" t="str">
            <v xml:space="preserve">Kas Kanpus                              </v>
          </cell>
          <cell r="O4259" t="str">
            <v xml:space="preserve">KAS KANPUS                              </v>
          </cell>
          <cell r="P4259" t="str">
            <v>Ya</v>
          </cell>
          <cell r="Q4259" t="str">
            <v>Ya</v>
          </cell>
          <cell r="R4259" t="str">
            <v>Done</v>
          </cell>
          <cell r="S4259" t="str">
            <v>Approved</v>
          </cell>
          <cell r="T4259" t="str">
            <v>00394521 - Muhammad Hibbanduta</v>
          </cell>
          <cell r="U4259" t="str">
            <v>"-"</v>
          </cell>
        </row>
        <row r="4260">
          <cell r="A4260">
            <v>46265</v>
          </cell>
          <cell r="B4260" t="str">
            <v xml:space="preserve">WAHYUDI                                 </v>
          </cell>
          <cell r="C4260" t="str">
            <v>WMF8001</v>
          </cell>
          <cell r="D4260">
            <v>332201004840504</v>
          </cell>
          <cell r="F4260" t="str">
            <v>Tidak</v>
          </cell>
          <cell r="G4260" t="str">
            <v>Tidak</v>
          </cell>
          <cell r="H4260" t="str">
            <v>Tidak</v>
          </cell>
          <cell r="I4260" t="str">
            <v>Bandar Judol Depo</v>
          </cell>
          <cell r="J4260">
            <v>35</v>
          </cell>
          <cell r="K4260" t="str">
            <v>86,74,87</v>
          </cell>
          <cell r="L4260" t="str">
            <v>Judi Online</v>
          </cell>
          <cell r="M4260" t="str">
            <v xml:space="preserve">Kas Kanpus                              </v>
          </cell>
          <cell r="N4260" t="str">
            <v xml:space="preserve">Kas Kanpus                              </v>
          </cell>
          <cell r="O4260" t="str">
            <v xml:space="preserve">KAS KANPUS                              </v>
          </cell>
          <cell r="P4260" t="str">
            <v>Ya</v>
          </cell>
          <cell r="Q4260" t="str">
            <v>Ya</v>
          </cell>
          <cell r="R4260" t="str">
            <v>Done</v>
          </cell>
          <cell r="S4260" t="str">
            <v>Approved</v>
          </cell>
          <cell r="T4260" t="str">
            <v>90186796 - Devito Arya Wiradila</v>
          </cell>
          <cell r="U4260" t="str">
            <v>"-"</v>
          </cell>
        </row>
        <row r="4261">
          <cell r="A4261">
            <v>46265</v>
          </cell>
          <cell r="B4261" t="str">
            <v xml:space="preserve">WINDU JAYA SAPUTRA                      </v>
          </cell>
          <cell r="C4261" t="str">
            <v>WMG8387</v>
          </cell>
          <cell r="D4261">
            <v>33901002501560</v>
          </cell>
          <cell r="F4261" t="str">
            <v>Tidak</v>
          </cell>
          <cell r="G4261" t="str">
            <v>Tidak</v>
          </cell>
          <cell r="H4261" t="str">
            <v>Tidak</v>
          </cell>
          <cell r="I4261" t="str">
            <v>Bandar Judol Depo</v>
          </cell>
          <cell r="J4261">
            <v>35</v>
          </cell>
          <cell r="K4261" t="str">
            <v>86,74,87</v>
          </cell>
          <cell r="L4261" t="str">
            <v>Judi Online</v>
          </cell>
          <cell r="M4261" t="str">
            <v xml:space="preserve">Kas Kanpus                              </v>
          </cell>
          <cell r="N4261" t="str">
            <v xml:space="preserve">Kas Kanpus                              </v>
          </cell>
          <cell r="O4261" t="str">
            <v xml:space="preserve">KAS KANPUS                              </v>
          </cell>
          <cell r="P4261" t="str">
            <v>Tidak</v>
          </cell>
          <cell r="Q4261" t="str">
            <v>Ya</v>
          </cell>
          <cell r="R4261" t="str">
            <v>Done</v>
          </cell>
          <cell r="S4261" t="str">
            <v>Approved</v>
          </cell>
          <cell r="T4261" t="str">
            <v>00394520 - Frida Akbar Rani</v>
          </cell>
          <cell r="U4261" t="str">
            <v>"-"</v>
          </cell>
        </row>
        <row r="4262">
          <cell r="A4262">
            <v>46265</v>
          </cell>
          <cell r="B4262" t="str">
            <v xml:space="preserve">WAHYUDI                                 </v>
          </cell>
          <cell r="C4262" t="str">
            <v>WMJ6777</v>
          </cell>
          <cell r="D4262">
            <v>532101000215561</v>
          </cell>
          <cell r="F4262" t="str">
            <v>Tidak</v>
          </cell>
          <cell r="G4262" t="str">
            <v>Tidak</v>
          </cell>
          <cell r="H4262" t="str">
            <v>Tidak</v>
          </cell>
          <cell r="I4262" t="str">
            <v>Bandar Judol Withdrawal</v>
          </cell>
          <cell r="J4262">
            <v>35</v>
          </cell>
          <cell r="K4262" t="str">
            <v>86,88,87</v>
          </cell>
          <cell r="L4262" t="str">
            <v>Judi Online</v>
          </cell>
          <cell r="M4262" t="str">
            <v xml:space="preserve">Kas Kanpus                              </v>
          </cell>
          <cell r="N4262" t="str">
            <v xml:space="preserve">Kas Kanpus                              </v>
          </cell>
          <cell r="O4262" t="str">
            <v xml:space="preserve">KAS KANPUS                              </v>
          </cell>
          <cell r="P4262" t="str">
            <v>Ya</v>
          </cell>
          <cell r="Q4262" t="str">
            <v>Ya</v>
          </cell>
          <cell r="R4262" t="str">
            <v>Done</v>
          </cell>
          <cell r="S4262" t="str">
            <v>Approved</v>
          </cell>
          <cell r="T4262" t="str">
            <v>00336949 - Mochammad Al Farabi</v>
          </cell>
          <cell r="U4262" t="str">
            <v>"-"</v>
          </cell>
        </row>
        <row r="4263">
          <cell r="A4263">
            <v>46265</v>
          </cell>
          <cell r="B4263" t="str">
            <v xml:space="preserve">WAHID RAMDANI                           </v>
          </cell>
          <cell r="C4263" t="str">
            <v>WMD8567</v>
          </cell>
          <cell r="D4263">
            <v>11601182633500</v>
          </cell>
          <cell r="F4263" t="str">
            <v>Tidak</v>
          </cell>
          <cell r="G4263" t="str">
            <v>Tidak</v>
          </cell>
          <cell r="H4263" t="str">
            <v>Tidak</v>
          </cell>
          <cell r="I4263" t="str">
            <v>Bandar Judol Withdrawal</v>
          </cell>
          <cell r="J4263">
            <v>35</v>
          </cell>
          <cell r="K4263" t="str">
            <v>86,88,87</v>
          </cell>
          <cell r="L4263" t="str">
            <v>Judi Online</v>
          </cell>
          <cell r="M4263" t="str">
            <v xml:space="preserve">Kas Kanpus                              </v>
          </cell>
          <cell r="N4263" t="str">
            <v xml:space="preserve">Kas Kanpus                              </v>
          </cell>
          <cell r="O4263" t="str">
            <v xml:space="preserve">KAS KANPUS                              </v>
          </cell>
          <cell r="P4263" t="str">
            <v>Ya</v>
          </cell>
          <cell r="Q4263" t="str">
            <v>Ya</v>
          </cell>
          <cell r="R4263" t="str">
            <v>Done</v>
          </cell>
          <cell r="S4263" t="str">
            <v>Approved</v>
          </cell>
          <cell r="T4263" t="str">
            <v>90186796 - Devito Arya Wiradila</v>
          </cell>
          <cell r="U4263" t="str">
            <v>"-"</v>
          </cell>
        </row>
        <row r="4264">
          <cell r="A4264">
            <v>46265</v>
          </cell>
          <cell r="B4264" t="str">
            <v xml:space="preserve">WAHYUDIC                                </v>
          </cell>
          <cell r="C4264" t="str">
            <v>WMD8722</v>
          </cell>
          <cell r="D4264">
            <v>335301000097568</v>
          </cell>
          <cell r="F4264" t="str">
            <v>Tidak</v>
          </cell>
          <cell r="G4264" t="str">
            <v>Tidak</v>
          </cell>
          <cell r="H4264" t="str">
            <v>Tidak</v>
          </cell>
          <cell r="I4264" t="str">
            <v>Bandar Judol Withdrawal</v>
          </cell>
          <cell r="J4264">
            <v>35</v>
          </cell>
          <cell r="K4264" t="str">
            <v>86,88,87</v>
          </cell>
          <cell r="L4264" t="str">
            <v>Judi Online</v>
          </cell>
          <cell r="M4264" t="str">
            <v xml:space="preserve">Kas Kanpus                              </v>
          </cell>
          <cell r="N4264" t="str">
            <v xml:space="preserve">Kas Kanpus                              </v>
          </cell>
          <cell r="O4264" t="str">
            <v xml:space="preserve">KAS KANPUS                              </v>
          </cell>
          <cell r="P4264" t="str">
            <v>Ya</v>
          </cell>
          <cell r="Q4264" t="str">
            <v>Ya</v>
          </cell>
          <cell r="R4264" t="str">
            <v>Done</v>
          </cell>
          <cell r="S4264" t="str">
            <v>Approved</v>
          </cell>
          <cell r="T4264" t="str">
            <v>90150130 - Intan Aida Pratiwi</v>
          </cell>
          <cell r="U4264" t="str">
            <v>"-"</v>
          </cell>
        </row>
        <row r="4265">
          <cell r="A4265">
            <v>46265</v>
          </cell>
          <cell r="B4265" t="str">
            <v xml:space="preserve">WULAN PUTRI                             </v>
          </cell>
          <cell r="C4265" t="str">
            <v>WLW4751</v>
          </cell>
          <cell r="D4265">
            <v>121401000160565</v>
          </cell>
          <cell r="F4265" t="str">
            <v>Tidak</v>
          </cell>
          <cell r="G4265" t="str">
            <v>Tidak</v>
          </cell>
          <cell r="H4265" t="str">
            <v>Tidak</v>
          </cell>
          <cell r="I4265" t="str">
            <v>Bandar Judol Withdrawal</v>
          </cell>
          <cell r="J4265">
            <v>35</v>
          </cell>
          <cell r="K4265" t="str">
            <v>86,88,87</v>
          </cell>
          <cell r="L4265" t="str">
            <v>Judi Online</v>
          </cell>
          <cell r="M4265" t="str">
            <v xml:space="preserve">Kas Kanpus                              </v>
          </cell>
          <cell r="N4265" t="str">
            <v xml:space="preserve">Kas Kanpus                              </v>
          </cell>
          <cell r="O4265" t="str">
            <v xml:space="preserve">KAS KANPUS                              </v>
          </cell>
          <cell r="P4265" t="str">
            <v>Ya</v>
          </cell>
          <cell r="Q4265" t="str">
            <v>Tidak</v>
          </cell>
          <cell r="R4265" t="str">
            <v>Done</v>
          </cell>
          <cell r="S4265" t="str">
            <v>Approved</v>
          </cell>
          <cell r="T4265" t="str">
            <v>90185537 - Moh.Khoerul Fajar Ar</v>
          </cell>
          <cell r="U4265" t="str">
            <v>"-"</v>
          </cell>
        </row>
        <row r="4266">
          <cell r="A4266">
            <v>46265</v>
          </cell>
          <cell r="B4266" t="str">
            <v xml:space="preserve">WILDA HERFIKA                           </v>
          </cell>
          <cell r="C4266" t="str">
            <v>WLX1900</v>
          </cell>
          <cell r="D4266">
            <v>39901002195561</v>
          </cell>
          <cell r="F4266" t="str">
            <v>Tidak</v>
          </cell>
          <cell r="G4266" t="str">
            <v>Tidak</v>
          </cell>
          <cell r="H4266" t="str">
            <v>Tidak</v>
          </cell>
          <cell r="I4266" t="str">
            <v>Bandar Judol Withdrawal</v>
          </cell>
          <cell r="J4266">
            <v>35</v>
          </cell>
          <cell r="K4266" t="str">
            <v>86,88,87</v>
          </cell>
          <cell r="L4266" t="str">
            <v>Judi Online</v>
          </cell>
          <cell r="M4266" t="str">
            <v xml:space="preserve">Kas Kanpus                              </v>
          </cell>
          <cell r="N4266" t="str">
            <v xml:space="preserve">Kas Kanpus                              </v>
          </cell>
          <cell r="O4266" t="str">
            <v xml:space="preserve">KAS KANPUS                              </v>
          </cell>
          <cell r="P4266" t="str">
            <v>Ya</v>
          </cell>
          <cell r="Q4266" t="str">
            <v>Tidak</v>
          </cell>
          <cell r="R4266" t="str">
            <v>Done</v>
          </cell>
          <cell r="S4266" t="str">
            <v>Approved</v>
          </cell>
          <cell r="T4266" t="str">
            <v>00394520 - Frida Akbar Rani</v>
          </cell>
          <cell r="U4266" t="str">
            <v>"-"</v>
          </cell>
        </row>
        <row r="4267">
          <cell r="A4267">
            <v>46265</v>
          </cell>
          <cell r="B4267" t="str">
            <v xml:space="preserve">WIDIA VERAWATI                          </v>
          </cell>
          <cell r="C4267" t="str">
            <v>WMM4263</v>
          </cell>
          <cell r="D4267">
            <v>26601105036502</v>
          </cell>
          <cell r="F4267" t="str">
            <v>Tidak</v>
          </cell>
          <cell r="G4267" t="str">
            <v>Tidak</v>
          </cell>
          <cell r="H4267" t="str">
            <v>Tidak</v>
          </cell>
          <cell r="I4267" t="str">
            <v>Bandar Judol Withdrawal</v>
          </cell>
          <cell r="J4267">
            <v>35</v>
          </cell>
          <cell r="K4267" t="str">
            <v>86,88,87</v>
          </cell>
          <cell r="L4267" t="str">
            <v>Judi Online</v>
          </cell>
          <cell r="M4267" t="str">
            <v xml:space="preserve">Kas Kanpus                              </v>
          </cell>
          <cell r="N4267" t="str">
            <v xml:space="preserve">Kas Kanpus                              </v>
          </cell>
          <cell r="O4267" t="str">
            <v xml:space="preserve">KAS KANPUS                              </v>
          </cell>
          <cell r="P4267" t="str">
            <v>Ya</v>
          </cell>
          <cell r="Q4267" t="str">
            <v>Tidak</v>
          </cell>
          <cell r="R4267" t="str">
            <v>Done</v>
          </cell>
          <cell r="S4267" t="str">
            <v>Approved</v>
          </cell>
          <cell r="T4267" t="str">
            <v>90171841 - Rifqi Aziz</v>
          </cell>
          <cell r="U4267" t="str">
            <v>"-"</v>
          </cell>
        </row>
        <row r="4268">
          <cell r="A4268">
            <v>46265</v>
          </cell>
          <cell r="B4268" t="str">
            <v xml:space="preserve">WAHYU TIMURYA SYAHPUTRA                 </v>
          </cell>
          <cell r="C4268" t="str">
            <v>WMO3048</v>
          </cell>
          <cell r="D4268">
            <v>23801093903503</v>
          </cell>
          <cell r="F4268" t="str">
            <v>Tidak</v>
          </cell>
          <cell r="G4268" t="str">
            <v>Tidak</v>
          </cell>
          <cell r="H4268" t="str">
            <v>Tidak</v>
          </cell>
          <cell r="I4268" t="str">
            <v>Bandar Judol Withdrawal</v>
          </cell>
          <cell r="J4268">
            <v>35</v>
          </cell>
          <cell r="K4268" t="str">
            <v>86,88,87</v>
          </cell>
          <cell r="L4268" t="str">
            <v>Judi Online</v>
          </cell>
          <cell r="M4268" t="str">
            <v xml:space="preserve">Kas Kanpus                              </v>
          </cell>
          <cell r="N4268" t="str">
            <v xml:space="preserve">Kas Kanpus                              </v>
          </cell>
          <cell r="O4268" t="str">
            <v xml:space="preserve">KAS KANPUS                              </v>
          </cell>
          <cell r="P4268" t="str">
            <v>Ya</v>
          </cell>
          <cell r="Q4268" t="str">
            <v>Ya</v>
          </cell>
          <cell r="R4268" t="str">
            <v>Done</v>
          </cell>
          <cell r="S4268" t="str">
            <v>Approved</v>
          </cell>
          <cell r="T4268" t="str">
            <v>90186796 - Devito Arya Wiradila</v>
          </cell>
          <cell r="U4268" t="str">
            <v>"-"</v>
          </cell>
        </row>
        <row r="4269">
          <cell r="A4269">
            <v>46265</v>
          </cell>
          <cell r="B4269" t="str">
            <v xml:space="preserve">WARSADI                                 </v>
          </cell>
          <cell r="C4269" t="str">
            <v>WMT9439</v>
          </cell>
          <cell r="D4269">
            <v>748701001995508</v>
          </cell>
          <cell r="F4269" t="str">
            <v>Tidak</v>
          </cell>
          <cell r="G4269" t="str">
            <v>Tidak</v>
          </cell>
          <cell r="H4269" t="str">
            <v>Tidak</v>
          </cell>
          <cell r="I4269" t="str">
            <v>Bandar Judol Withdrawal</v>
          </cell>
          <cell r="J4269">
            <v>35</v>
          </cell>
          <cell r="K4269" t="str">
            <v>86,88,87</v>
          </cell>
          <cell r="L4269" t="str">
            <v>Judi Online</v>
          </cell>
          <cell r="M4269" t="str">
            <v xml:space="preserve">Kas Kanpus                              </v>
          </cell>
          <cell r="N4269" t="str">
            <v xml:space="preserve">Kas Kanpus                              </v>
          </cell>
          <cell r="O4269" t="str">
            <v xml:space="preserve">KAS KANPUS                              </v>
          </cell>
          <cell r="P4269" t="str">
            <v>Ya</v>
          </cell>
          <cell r="Q4269" t="str">
            <v>Ya</v>
          </cell>
          <cell r="R4269" t="str">
            <v>Done</v>
          </cell>
          <cell r="S4269" t="str">
            <v>Approved</v>
          </cell>
          <cell r="T4269" t="str">
            <v>00336949 - Mochammad Al Farabi</v>
          </cell>
          <cell r="U4269" t="str">
            <v>"-"</v>
          </cell>
        </row>
        <row r="4270">
          <cell r="A4270">
            <v>46265</v>
          </cell>
          <cell r="B4270" t="str">
            <v xml:space="preserve">WITDARTO                                </v>
          </cell>
          <cell r="C4270" t="str">
            <v>WMV3502</v>
          </cell>
          <cell r="D4270">
            <v>352801020333501</v>
          </cell>
          <cell r="F4270" t="str">
            <v>Tidak</v>
          </cell>
          <cell r="G4270" t="str">
            <v>Tidak</v>
          </cell>
          <cell r="H4270" t="str">
            <v>Tidak</v>
          </cell>
          <cell r="I4270" t="str">
            <v>Bandar Judol Depo</v>
          </cell>
          <cell r="J4270">
            <v>35</v>
          </cell>
          <cell r="K4270" t="str">
            <v>86,74,87</v>
          </cell>
          <cell r="L4270" t="str">
            <v>Judi Online</v>
          </cell>
          <cell r="M4270" t="str">
            <v xml:space="preserve">Kas Kanpus                              </v>
          </cell>
          <cell r="N4270" t="str">
            <v xml:space="preserve">Kas Kanpus                              </v>
          </cell>
          <cell r="O4270" t="str">
            <v xml:space="preserve">KAS KANPUS                              </v>
          </cell>
          <cell r="P4270" t="str">
            <v>Ya</v>
          </cell>
          <cell r="Q4270" t="str">
            <v>Ya</v>
          </cell>
          <cell r="R4270" t="str">
            <v>Done</v>
          </cell>
          <cell r="S4270" t="str">
            <v>Approved</v>
          </cell>
          <cell r="T4270" t="str">
            <v>90185537 - Moh.Khoerul Fajar Ar</v>
          </cell>
          <cell r="U4270" t="str">
            <v>"-"</v>
          </cell>
        </row>
        <row r="4271">
          <cell r="A4271">
            <v>46265</v>
          </cell>
          <cell r="B4271" t="str">
            <v xml:space="preserve">WIWIN PURNAMI                           </v>
          </cell>
          <cell r="C4271" t="str">
            <v>WS43397</v>
          </cell>
          <cell r="D4271">
            <v>39901055448507</v>
          </cell>
          <cell r="E4271" t="str">
            <v>SEDANG</v>
          </cell>
          <cell r="F4271" t="str">
            <v>Tidak</v>
          </cell>
          <cell r="G4271" t="str">
            <v>Tidak</v>
          </cell>
          <cell r="H4271" t="str">
            <v>Tidak</v>
          </cell>
          <cell r="I4271" t="str">
            <v>Bandar Judol Withdrawal</v>
          </cell>
          <cell r="J4271">
            <v>50</v>
          </cell>
          <cell r="K4271" t="str">
            <v>86,88,87</v>
          </cell>
          <cell r="L4271" t="str">
            <v>Judi Online</v>
          </cell>
          <cell r="M4271" t="str">
            <v xml:space="preserve">Kas Kanpus                              </v>
          </cell>
          <cell r="N4271" t="str">
            <v xml:space="preserve">Kas Kanpus                              </v>
          </cell>
          <cell r="O4271" t="str">
            <v xml:space="preserve">KAS KANPUS                              </v>
          </cell>
          <cell r="P4271" t="str">
            <v>Ya</v>
          </cell>
          <cell r="Q4271" t="str">
            <v>Ya</v>
          </cell>
          <cell r="R4271" t="str">
            <v>Done</v>
          </cell>
          <cell r="S4271" t="str">
            <v>Approved</v>
          </cell>
          <cell r="T4271" t="str">
            <v>00336949 - Mochammad Al Farabi</v>
          </cell>
          <cell r="U4271" t="str">
            <v>"-"</v>
          </cell>
        </row>
        <row r="4272">
          <cell r="A4272">
            <v>46265</v>
          </cell>
          <cell r="B4272" t="str">
            <v xml:space="preserve">WAGITO                                  </v>
          </cell>
          <cell r="C4272" t="str">
            <v>WS55966</v>
          </cell>
          <cell r="D4272">
            <v>113001016792506</v>
          </cell>
          <cell r="E4272" t="str">
            <v>SEDANG</v>
          </cell>
          <cell r="F4272" t="str">
            <v>Tidak</v>
          </cell>
          <cell r="G4272" t="str">
            <v>Tidak</v>
          </cell>
          <cell r="H4272" t="str">
            <v>Tidak</v>
          </cell>
          <cell r="I4272" t="str">
            <v>Bandar Judol Withdrawal</v>
          </cell>
          <cell r="J4272">
            <v>50</v>
          </cell>
          <cell r="K4272" t="str">
            <v>86,88,87</v>
          </cell>
          <cell r="L4272" t="str">
            <v>Judi Online</v>
          </cell>
          <cell r="M4272" t="str">
            <v xml:space="preserve">Kas Kanpus                              </v>
          </cell>
          <cell r="N4272" t="str">
            <v xml:space="preserve">Kas Kanpus                              </v>
          </cell>
          <cell r="O4272" t="str">
            <v xml:space="preserve">KAS KANPUS                              </v>
          </cell>
          <cell r="P4272" t="str">
            <v>Ya</v>
          </cell>
          <cell r="Q4272" t="str">
            <v>Ya</v>
          </cell>
          <cell r="R4272" t="str">
            <v>Done</v>
          </cell>
          <cell r="S4272" t="str">
            <v>Approved</v>
          </cell>
          <cell r="T4272" t="str">
            <v>00394520 - Frida Akbar Rani</v>
          </cell>
          <cell r="U4272" t="str">
            <v>"-"</v>
          </cell>
        </row>
        <row r="4273">
          <cell r="A4273">
            <v>46265</v>
          </cell>
          <cell r="B4273" t="str">
            <v xml:space="preserve">WINGS SURYA                             </v>
          </cell>
          <cell r="C4273" t="str">
            <v>WP27492</v>
          </cell>
          <cell r="D4273">
            <v>6401001302308</v>
          </cell>
          <cell r="E4273" t="str">
            <v>SEDANG</v>
          </cell>
          <cell r="F4273" t="str">
            <v>Tidak</v>
          </cell>
          <cell r="G4273" t="str">
            <v>Tidak</v>
          </cell>
          <cell r="H4273" t="str">
            <v>Tidak</v>
          </cell>
          <cell r="I4273" t="str">
            <v>Narkotika - Area Lapas</v>
          </cell>
          <cell r="J4273">
            <v>50</v>
          </cell>
          <cell r="K4273">
            <v>46</v>
          </cell>
          <cell r="L4273" t="str">
            <v>Narkotika</v>
          </cell>
          <cell r="M4273" t="str">
            <v>KC Pare-Pare</v>
          </cell>
          <cell r="N4273" t="str">
            <v>KC Pare-Pare</v>
          </cell>
          <cell r="O4273" t="str">
            <v>Makassar</v>
          </cell>
          <cell r="P4273" t="str">
            <v>Tidak</v>
          </cell>
          <cell r="Q4273" t="str">
            <v>Tidak</v>
          </cell>
          <cell r="R4273" t="str">
            <v>Done</v>
          </cell>
          <cell r="S4273" t="str">
            <v>Approved</v>
          </cell>
          <cell r="T4273" t="str">
            <v>90171841 - Rifqi Aziz</v>
          </cell>
          <cell r="U4273" t="str">
            <v>"-"</v>
          </cell>
        </row>
        <row r="4274">
          <cell r="A4274">
            <v>46265</v>
          </cell>
          <cell r="B4274" t="str">
            <v xml:space="preserve">YOGIK ARWAN SAPUTRA                     </v>
          </cell>
          <cell r="C4274" t="str">
            <v>YDN5814</v>
          </cell>
          <cell r="D4274">
            <v>5901003720567</v>
          </cell>
          <cell r="E4274" t="str">
            <v>SEDANG</v>
          </cell>
          <cell r="F4274" t="str">
            <v>Tidak</v>
          </cell>
          <cell r="G4274" t="str">
            <v>Tidak</v>
          </cell>
          <cell r="H4274" t="str">
            <v>Tidak</v>
          </cell>
          <cell r="I4274" t="str">
            <v>Bandar Judol Withdrawal</v>
          </cell>
          <cell r="J4274">
            <v>50</v>
          </cell>
          <cell r="K4274" t="str">
            <v>86,88,87</v>
          </cell>
          <cell r="L4274" t="str">
            <v>Judi Online</v>
          </cell>
          <cell r="M4274" t="str">
            <v xml:space="preserve">Kas Kanpus                              </v>
          </cell>
          <cell r="N4274" t="str">
            <v xml:space="preserve">Kas Kanpus                              </v>
          </cell>
          <cell r="O4274" t="str">
            <v xml:space="preserve">KAS KANPUS                              </v>
          </cell>
          <cell r="P4274" t="str">
            <v>Ya</v>
          </cell>
          <cell r="Q4274" t="str">
            <v>Ya</v>
          </cell>
          <cell r="R4274" t="str">
            <v>Done</v>
          </cell>
          <cell r="S4274" t="str">
            <v>Approved</v>
          </cell>
          <cell r="T4274" t="str">
            <v>00336949 - Mochammad Al Farabi</v>
          </cell>
          <cell r="U4274" t="str">
            <v>"-"</v>
          </cell>
        </row>
        <row r="4275">
          <cell r="A4275">
            <v>46265</v>
          </cell>
          <cell r="B4275" t="str">
            <v xml:space="preserve">YOSI SETIAWAN                           </v>
          </cell>
          <cell r="C4275" t="str">
            <v>YC95953</v>
          </cell>
          <cell r="D4275">
            <v>3501001535566</v>
          </cell>
          <cell r="E4275" t="str">
            <v>SEDANG</v>
          </cell>
          <cell r="F4275" t="str">
            <v>Tidak</v>
          </cell>
          <cell r="G4275" t="str">
            <v>Tidak</v>
          </cell>
          <cell r="H4275" t="str">
            <v>Tidak</v>
          </cell>
          <cell r="I4275" t="str">
            <v>Bandar Judol Depo</v>
          </cell>
          <cell r="J4275">
            <v>50</v>
          </cell>
          <cell r="K4275" t="str">
            <v>86,74,87</v>
          </cell>
          <cell r="L4275" t="str">
            <v>Judi Online</v>
          </cell>
          <cell r="M4275" t="str">
            <v xml:space="preserve">Kas Kanpus                              </v>
          </cell>
          <cell r="N4275" t="str">
            <v xml:space="preserve">Kas Kanpus                              </v>
          </cell>
          <cell r="O4275" t="str">
            <v xml:space="preserve">KAS KANPUS                              </v>
          </cell>
          <cell r="P4275" t="str">
            <v>Tidak</v>
          </cell>
          <cell r="Q4275" t="str">
            <v>Ya</v>
          </cell>
          <cell r="R4275" t="str">
            <v>Done</v>
          </cell>
          <cell r="S4275" t="str">
            <v>Approved</v>
          </cell>
          <cell r="T4275" t="str">
            <v>90171841 - Rifqi Aziz</v>
          </cell>
          <cell r="U4275" t="str">
            <v>"-"</v>
          </cell>
        </row>
        <row r="4276">
          <cell r="A4276">
            <v>46265</v>
          </cell>
          <cell r="B4276" t="str">
            <v xml:space="preserve">YOPI PIRMANSYAH                         </v>
          </cell>
          <cell r="C4276" t="str">
            <v>YGB2831</v>
          </cell>
          <cell r="D4276">
            <v>112901038945502</v>
          </cell>
          <cell r="E4276" t="str">
            <v>SEDANG</v>
          </cell>
          <cell r="F4276" t="str">
            <v>Tidak</v>
          </cell>
          <cell r="G4276" t="str">
            <v>Tidak</v>
          </cell>
          <cell r="H4276" t="str">
            <v>Tidak</v>
          </cell>
          <cell r="I4276" t="str">
            <v>Bandar Judol Withdrawal</v>
          </cell>
          <cell r="J4276">
            <v>50</v>
          </cell>
          <cell r="K4276" t="str">
            <v>86,88,87</v>
          </cell>
          <cell r="L4276" t="str">
            <v>Judi Online</v>
          </cell>
          <cell r="M4276" t="str">
            <v xml:space="preserve">Kas Kanpus                              </v>
          </cell>
          <cell r="N4276" t="str">
            <v xml:space="preserve">Kas Kanpus                              </v>
          </cell>
          <cell r="O4276" t="str">
            <v xml:space="preserve">KAS KANPUS                              </v>
          </cell>
          <cell r="P4276" t="str">
            <v>Ya</v>
          </cell>
          <cell r="Q4276" t="str">
            <v>Ya</v>
          </cell>
          <cell r="R4276" t="str">
            <v>Done</v>
          </cell>
          <cell r="S4276" t="str">
            <v>Approved</v>
          </cell>
          <cell r="T4276" t="str">
            <v>90171841 - Rifqi Aziz</v>
          </cell>
          <cell r="U4276" t="str">
            <v>"-"</v>
          </cell>
        </row>
        <row r="4277">
          <cell r="A4277">
            <v>46265</v>
          </cell>
          <cell r="B4277" t="str">
            <v xml:space="preserve">YUDA ANGGARA                            </v>
          </cell>
          <cell r="C4277" t="str">
            <v>YDY7524</v>
          </cell>
          <cell r="D4277">
            <v>611001008428536</v>
          </cell>
          <cell r="E4277" t="str">
            <v>SEDANG</v>
          </cell>
          <cell r="F4277" t="str">
            <v>Tidak</v>
          </cell>
          <cell r="G4277" t="str">
            <v>Tidak</v>
          </cell>
          <cell r="H4277" t="str">
            <v>Tidak</v>
          </cell>
          <cell r="I4277" t="str">
            <v>Bandar Judol Depo</v>
          </cell>
          <cell r="J4277">
            <v>50</v>
          </cell>
          <cell r="K4277" t="str">
            <v>86,74,87</v>
          </cell>
          <cell r="L4277" t="str">
            <v>Judi Online</v>
          </cell>
          <cell r="M4277" t="str">
            <v xml:space="preserve">Kas Kanpus                              </v>
          </cell>
          <cell r="N4277" t="str">
            <v xml:space="preserve">Kas Kanpus                              </v>
          </cell>
          <cell r="O4277" t="str">
            <v xml:space="preserve">KAS KANPUS                              </v>
          </cell>
          <cell r="P4277" t="str">
            <v>Ya</v>
          </cell>
          <cell r="Q4277" t="str">
            <v>Ya</v>
          </cell>
          <cell r="R4277" t="str">
            <v>Done</v>
          </cell>
          <cell r="S4277" t="str">
            <v>Approved</v>
          </cell>
          <cell r="T4277" t="str">
            <v>00394520 - Frida Akbar Rani</v>
          </cell>
          <cell r="U4277" t="str">
            <v>"-"</v>
          </cell>
        </row>
        <row r="4278">
          <cell r="A4278">
            <v>46265</v>
          </cell>
          <cell r="B4278" t="str">
            <v xml:space="preserve">YAYASAN TENDA VISI INDONESIA            </v>
          </cell>
          <cell r="C4278" t="str">
            <v>YEA5006</v>
          </cell>
          <cell r="D4278">
            <v>40101000882307</v>
          </cell>
          <cell r="E4278" t="str">
            <v>SEDANG</v>
          </cell>
          <cell r="F4278" t="str">
            <v>Tidak</v>
          </cell>
          <cell r="G4278" t="str">
            <v>Tidak</v>
          </cell>
          <cell r="H4278" t="str">
            <v>Tidak</v>
          </cell>
          <cell r="I4278" t="str">
            <v>Perikanan dan Kelautan</v>
          </cell>
          <cell r="J4278">
            <v>53</v>
          </cell>
          <cell r="K4278">
            <v>100</v>
          </cell>
          <cell r="L4278" t="str">
            <v>Perikanan dan Kelautan</v>
          </cell>
          <cell r="M4278" t="str">
            <v xml:space="preserve">KC Soreang                              </v>
          </cell>
          <cell r="N4278" t="str">
            <v xml:space="preserve">KC Soreang                              </v>
          </cell>
          <cell r="O4278" t="str">
            <v xml:space="preserve">Bandung                                 </v>
          </cell>
          <cell r="P4278" t="str">
            <v>Tidak</v>
          </cell>
          <cell r="Q4278" t="str">
            <v>Tidak</v>
          </cell>
          <cell r="R4278" t="str">
            <v>Done</v>
          </cell>
          <cell r="S4278" t="str">
            <v>Approved</v>
          </cell>
          <cell r="T4278" t="str">
            <v>90170665 - Mutiara Ayuningtyas</v>
          </cell>
          <cell r="U4278" t="str">
            <v>"-"</v>
          </cell>
        </row>
        <row r="4279">
          <cell r="A4279">
            <v>46265</v>
          </cell>
          <cell r="B4279" t="str">
            <v xml:space="preserve">WAWAN CANDRA DINATA                     </v>
          </cell>
          <cell r="C4279" t="str">
            <v>WU50223</v>
          </cell>
          <cell r="D4279">
            <v>657801000011565</v>
          </cell>
          <cell r="E4279" t="str">
            <v>SEDANG</v>
          </cell>
          <cell r="F4279" t="str">
            <v>Tidak</v>
          </cell>
          <cell r="G4279" t="str">
            <v>Tidak</v>
          </cell>
          <cell r="H4279" t="str">
            <v>Tidak</v>
          </cell>
          <cell r="I4279" t="str">
            <v>Bandar Judol Depo</v>
          </cell>
          <cell r="J4279">
            <v>50</v>
          </cell>
          <cell r="K4279" t="str">
            <v>86,74,87</v>
          </cell>
          <cell r="L4279" t="str">
            <v>Judi Online</v>
          </cell>
          <cell r="M4279" t="str">
            <v xml:space="preserve">Kas Kanpus                              </v>
          </cell>
          <cell r="N4279" t="str">
            <v xml:space="preserve">Kas Kanpus                              </v>
          </cell>
          <cell r="O4279" t="str">
            <v xml:space="preserve">KAS KANPUS                              </v>
          </cell>
          <cell r="P4279" t="str">
            <v>Ya</v>
          </cell>
          <cell r="Q4279" t="str">
            <v>Ya</v>
          </cell>
          <cell r="R4279" t="str">
            <v>Done</v>
          </cell>
          <cell r="S4279" t="str">
            <v>Approved</v>
          </cell>
          <cell r="T4279" t="str">
            <v>90186796 - Devito Arya Wiradila</v>
          </cell>
          <cell r="U4279" t="str">
            <v>"-"</v>
          </cell>
        </row>
        <row r="4280">
          <cell r="A4280">
            <v>46265</v>
          </cell>
          <cell r="B4280" t="str">
            <v xml:space="preserve">WINARTO                                 </v>
          </cell>
          <cell r="C4280" t="str">
            <v>WZ99492</v>
          </cell>
          <cell r="D4280">
            <v>642901000720505</v>
          </cell>
          <cell r="E4280" t="str">
            <v>SEDANG</v>
          </cell>
          <cell r="F4280" t="str">
            <v>Tidak</v>
          </cell>
          <cell r="G4280" t="str">
            <v>Tidak</v>
          </cell>
          <cell r="H4280" t="str">
            <v>Tidak</v>
          </cell>
          <cell r="I4280" t="str">
            <v>Bandar Judol Depo</v>
          </cell>
          <cell r="J4280">
            <v>50</v>
          </cell>
          <cell r="K4280" t="str">
            <v>86,74,87</v>
          </cell>
          <cell r="L4280" t="str">
            <v>Judi Online</v>
          </cell>
          <cell r="M4280" t="str">
            <v xml:space="preserve">Kas Kanpus                              </v>
          </cell>
          <cell r="N4280" t="str">
            <v xml:space="preserve">Kas Kanpus                              </v>
          </cell>
          <cell r="O4280" t="str">
            <v xml:space="preserve">KAS KANPUS                              </v>
          </cell>
          <cell r="P4280" t="str">
            <v>Tidak</v>
          </cell>
          <cell r="Q4280" t="str">
            <v>Ya</v>
          </cell>
          <cell r="R4280" t="str">
            <v>Done</v>
          </cell>
          <cell r="S4280" t="str">
            <v>Approved</v>
          </cell>
          <cell r="T4280" t="str">
            <v>90185538 - Muhammad Fahikal Auz</v>
          </cell>
          <cell r="U4280" t="str">
            <v>"-"</v>
          </cell>
        </row>
        <row r="4281">
          <cell r="A4281">
            <v>46265</v>
          </cell>
          <cell r="B4281" t="str">
            <v xml:space="preserve">YOSEP BAMBANG SETIAWAN                  </v>
          </cell>
          <cell r="C4281" t="str">
            <v>Y385431</v>
          </cell>
          <cell r="D4281">
            <v>5326590002740560</v>
          </cell>
          <cell r="E4281" t="str">
            <v>TINGGI</v>
          </cell>
          <cell r="F4281" t="str">
            <v>Tidak</v>
          </cell>
          <cell r="G4281" t="str">
            <v>Tidak</v>
          </cell>
          <cell r="H4281" t="str">
            <v>Tidak</v>
          </cell>
          <cell r="I4281" t="str">
            <v>Private or Priority Customer Investment</v>
          </cell>
          <cell r="J4281">
            <v>83</v>
          </cell>
          <cell r="K4281">
            <v>93</v>
          </cell>
          <cell r="L4281" t="str">
            <v>Pasar Modal</v>
          </cell>
          <cell r="M4281" t="str">
            <v xml:space="preserve">Jkt KCK                                 </v>
          </cell>
          <cell r="N4281" t="str">
            <v xml:space="preserve">Jkt KCK                                 </v>
          </cell>
          <cell r="O4281" t="str">
            <v xml:space="preserve">DKI                                     </v>
          </cell>
          <cell r="P4281" t="str">
            <v>Tidak</v>
          </cell>
          <cell r="Q4281" t="str">
            <v>Tidak</v>
          </cell>
          <cell r="R4281" t="str">
            <v>Done</v>
          </cell>
          <cell r="S4281" t="str">
            <v>Approved</v>
          </cell>
          <cell r="T4281" t="str">
            <v>00394521 - Muhammad Hibbanduta</v>
          </cell>
          <cell r="U4281" t="str">
            <v>"-"</v>
          </cell>
        </row>
        <row r="4282">
          <cell r="A4282">
            <v>46265</v>
          </cell>
          <cell r="B4282" t="str">
            <v xml:space="preserve">YULI FERDIANA                           </v>
          </cell>
          <cell r="C4282" t="str">
            <v>YAE0297</v>
          </cell>
          <cell r="D4282">
            <v>365701023761536</v>
          </cell>
          <cell r="E4282" t="str">
            <v>SEDANG</v>
          </cell>
          <cell r="F4282" t="str">
            <v>Tidak</v>
          </cell>
          <cell r="G4282" t="str">
            <v>Tidak</v>
          </cell>
          <cell r="H4282" t="str">
            <v>Tidak</v>
          </cell>
          <cell r="I4282" t="str">
            <v>Bandar Judol Depo</v>
          </cell>
          <cell r="J4282">
            <v>50</v>
          </cell>
          <cell r="K4282" t="str">
            <v>86,74,87</v>
          </cell>
          <cell r="L4282" t="str">
            <v>Judi Online</v>
          </cell>
          <cell r="M4282" t="str">
            <v xml:space="preserve">Kas Kanpus                              </v>
          </cell>
          <cell r="N4282" t="str">
            <v xml:space="preserve">Kas Kanpus                              </v>
          </cell>
          <cell r="O4282" t="str">
            <v xml:space="preserve">KAS KANPUS                              </v>
          </cell>
          <cell r="P4282" t="str">
            <v>Tidak</v>
          </cell>
          <cell r="Q4282" t="str">
            <v>Ya</v>
          </cell>
          <cell r="R4282" t="str">
            <v>Done</v>
          </cell>
          <cell r="S4282" t="str">
            <v>Approved</v>
          </cell>
          <cell r="T4282" t="str">
            <v>00394521 - Muhammad Hibbanduta</v>
          </cell>
          <cell r="U4282" t="str">
            <v>"-"</v>
          </cell>
        </row>
        <row r="4283">
          <cell r="A4283">
            <v>46265</v>
          </cell>
          <cell r="B4283" t="str">
            <v xml:space="preserve">YUSNANI                                 </v>
          </cell>
          <cell r="C4283" t="str">
            <v>YAH2027</v>
          </cell>
          <cell r="D4283">
            <v>151501025410503</v>
          </cell>
          <cell r="E4283" t="str">
            <v>SEDANG</v>
          </cell>
          <cell r="F4283" t="str">
            <v>Tidak</v>
          </cell>
          <cell r="G4283" t="str">
            <v>Tidak</v>
          </cell>
          <cell r="H4283" t="str">
            <v>Tidak</v>
          </cell>
          <cell r="I4283" t="str">
            <v>Bandar Judol Withdrawal</v>
          </cell>
          <cell r="J4283">
            <v>50</v>
          </cell>
          <cell r="K4283" t="str">
            <v>86,88,87</v>
          </cell>
          <cell r="L4283" t="str">
            <v>Judi Online</v>
          </cell>
          <cell r="M4283" t="str">
            <v xml:space="preserve">Kas Kanpus                              </v>
          </cell>
          <cell r="N4283" t="str">
            <v xml:space="preserve">Kas Kanpus                              </v>
          </cell>
          <cell r="O4283" t="str">
            <v xml:space="preserve">KAS KANPUS                              </v>
          </cell>
          <cell r="P4283" t="str">
            <v>Ya</v>
          </cell>
          <cell r="Q4283" t="str">
            <v>Ya</v>
          </cell>
          <cell r="R4283" t="str">
            <v>Done</v>
          </cell>
          <cell r="S4283" t="str">
            <v>Approved</v>
          </cell>
          <cell r="T4283" t="str">
            <v>00336949 - Mochammad Al Farabi</v>
          </cell>
          <cell r="U4283" t="str">
            <v>"-"</v>
          </cell>
        </row>
        <row r="4284">
          <cell r="A4284">
            <v>46265</v>
          </cell>
          <cell r="B4284" t="str">
            <v xml:space="preserve">RIDWAN SAPUTRA                          </v>
          </cell>
          <cell r="C4284" t="str">
            <v>RQHM014</v>
          </cell>
          <cell r="D4284">
            <v>39601001503565</v>
          </cell>
          <cell r="F4284" t="str">
            <v>Tidak</v>
          </cell>
          <cell r="G4284" t="str">
            <v>Tidak</v>
          </cell>
          <cell r="H4284" t="str">
            <v>Tidak</v>
          </cell>
          <cell r="I4284" t="str">
            <v>Bandar Judol Withdrawal</v>
          </cell>
          <cell r="J4284">
            <v>35</v>
          </cell>
          <cell r="K4284" t="str">
            <v>86,88,87</v>
          </cell>
          <cell r="L4284" t="str">
            <v>Judi Online</v>
          </cell>
          <cell r="M4284" t="str">
            <v xml:space="preserve">Kas Kanpus                              </v>
          </cell>
          <cell r="N4284" t="str">
            <v xml:space="preserve">Kas Kanpus                              </v>
          </cell>
          <cell r="O4284" t="str">
            <v xml:space="preserve">KAS KANPUS                              </v>
          </cell>
          <cell r="P4284" t="str">
            <v>Ya</v>
          </cell>
          <cell r="Q4284" t="str">
            <v>Ya</v>
          </cell>
          <cell r="R4284" t="str">
            <v>Done</v>
          </cell>
          <cell r="S4284" t="str">
            <v>Approved</v>
          </cell>
          <cell r="T4284" t="str">
            <v>00394520 - Frida Akbar Rani</v>
          </cell>
          <cell r="U4284" t="str">
            <v>"-"</v>
          </cell>
        </row>
        <row r="4285">
          <cell r="A4285">
            <v>46265</v>
          </cell>
          <cell r="B4285" t="str">
            <v xml:space="preserve">RIZKY KURNIAWAN                         </v>
          </cell>
          <cell r="C4285" t="str">
            <v>RQHV120</v>
          </cell>
          <cell r="D4285">
            <v>53101016178507</v>
          </cell>
          <cell r="F4285" t="str">
            <v>Tidak</v>
          </cell>
          <cell r="G4285" t="str">
            <v>Tidak</v>
          </cell>
          <cell r="H4285" t="str">
            <v>Tidak</v>
          </cell>
          <cell r="I4285" t="str">
            <v>Bandar Judol Depo</v>
          </cell>
          <cell r="J4285">
            <v>35</v>
          </cell>
          <cell r="K4285" t="str">
            <v>86,74,87</v>
          </cell>
          <cell r="L4285" t="str">
            <v>Judi Online</v>
          </cell>
          <cell r="M4285" t="str">
            <v xml:space="preserve">Kas Kanpus                              </v>
          </cell>
          <cell r="N4285" t="str">
            <v xml:space="preserve">Kas Kanpus                              </v>
          </cell>
          <cell r="O4285" t="str">
            <v xml:space="preserve">KAS KANPUS                              </v>
          </cell>
          <cell r="P4285" t="str">
            <v>Ya</v>
          </cell>
          <cell r="Q4285" t="str">
            <v>Ya</v>
          </cell>
          <cell r="R4285" t="str">
            <v>Done</v>
          </cell>
          <cell r="S4285" t="str">
            <v>Approved</v>
          </cell>
          <cell r="T4285" t="str">
            <v>90150130 - Intan Aida Pratiwi</v>
          </cell>
          <cell r="U4285" t="str">
            <v>"-"</v>
          </cell>
        </row>
        <row r="4286">
          <cell r="A4286">
            <v>46265</v>
          </cell>
          <cell r="B4286" t="str">
            <v xml:space="preserve">RIZKY IMANUEL SIREGAR                   </v>
          </cell>
          <cell r="C4286" t="str">
            <v>RQTG914</v>
          </cell>
          <cell r="D4286">
            <v>33601160761507</v>
          </cell>
          <cell r="F4286" t="str">
            <v>Tidak</v>
          </cell>
          <cell r="G4286" t="str">
            <v>Tidak</v>
          </cell>
          <cell r="H4286" t="str">
            <v>Tidak</v>
          </cell>
          <cell r="I4286" t="str">
            <v>Bandar Judol Withdrawal</v>
          </cell>
          <cell r="J4286">
            <v>35</v>
          </cell>
          <cell r="K4286" t="str">
            <v>86,88,87</v>
          </cell>
          <cell r="L4286" t="str">
            <v>Judi Online</v>
          </cell>
          <cell r="M4286" t="str">
            <v xml:space="preserve">Kas Kanpus                              </v>
          </cell>
          <cell r="N4286" t="str">
            <v xml:space="preserve">Kas Kanpus                              </v>
          </cell>
          <cell r="O4286" t="str">
            <v xml:space="preserve">KAS KANPUS                              </v>
          </cell>
          <cell r="P4286" t="str">
            <v>Ya</v>
          </cell>
          <cell r="Q4286" t="str">
            <v>Ya</v>
          </cell>
          <cell r="R4286" t="str">
            <v>Done</v>
          </cell>
          <cell r="S4286" t="str">
            <v>Approved</v>
          </cell>
          <cell r="T4286" t="str">
            <v>90171841 - Rifqi Aziz</v>
          </cell>
          <cell r="U4286" t="str">
            <v>"-"</v>
          </cell>
        </row>
        <row r="4287">
          <cell r="A4287">
            <v>46265</v>
          </cell>
          <cell r="B4287" t="str">
            <v xml:space="preserve">RAHMAT RAHMANDANI                       </v>
          </cell>
          <cell r="C4287" t="str">
            <v>RQUT593</v>
          </cell>
          <cell r="D4287">
            <v>53101016814501</v>
          </cell>
          <cell r="F4287" t="str">
            <v>Tidak</v>
          </cell>
          <cell r="G4287" t="str">
            <v>Tidak</v>
          </cell>
          <cell r="H4287" t="str">
            <v>Tidak</v>
          </cell>
          <cell r="I4287" t="str">
            <v>Bandar Judol Withdrawal</v>
          </cell>
          <cell r="J4287">
            <v>35</v>
          </cell>
          <cell r="K4287" t="str">
            <v>86,88,87</v>
          </cell>
          <cell r="L4287" t="str">
            <v>Judi Online</v>
          </cell>
          <cell r="M4287" t="str">
            <v xml:space="preserve">Kas Kanpus                              </v>
          </cell>
          <cell r="N4287" t="str">
            <v xml:space="preserve">Kas Kanpus                              </v>
          </cell>
          <cell r="O4287" t="str">
            <v xml:space="preserve">KAS KANPUS                              </v>
          </cell>
          <cell r="P4287" t="str">
            <v>Ya</v>
          </cell>
          <cell r="Q4287" t="str">
            <v>Ya</v>
          </cell>
          <cell r="R4287" t="str">
            <v>Done</v>
          </cell>
          <cell r="S4287" t="str">
            <v>Approved</v>
          </cell>
          <cell r="T4287" t="str">
            <v>00394521 - Muhammad Hibbanduta</v>
          </cell>
          <cell r="U4287" t="str">
            <v>"-"</v>
          </cell>
        </row>
        <row r="4288">
          <cell r="A4288">
            <v>46265</v>
          </cell>
          <cell r="B4288" t="str">
            <v xml:space="preserve">RISMA                                   </v>
          </cell>
          <cell r="C4288" t="str">
            <v>RQVM423</v>
          </cell>
          <cell r="D4288">
            <v>529401000026569</v>
          </cell>
          <cell r="F4288" t="str">
            <v>Tidak</v>
          </cell>
          <cell r="G4288" t="str">
            <v>Tidak</v>
          </cell>
          <cell r="H4288" t="str">
            <v>Tidak</v>
          </cell>
          <cell r="I4288" t="str">
            <v>Bandar Judol Withdrawal</v>
          </cell>
          <cell r="J4288">
            <v>35</v>
          </cell>
          <cell r="K4288" t="str">
            <v>86,88,87</v>
          </cell>
          <cell r="L4288" t="str">
            <v>Judi Online</v>
          </cell>
          <cell r="M4288" t="str">
            <v xml:space="preserve">Kas Kanpus                              </v>
          </cell>
          <cell r="N4288" t="str">
            <v xml:space="preserve">Kas Kanpus                              </v>
          </cell>
          <cell r="O4288" t="str">
            <v xml:space="preserve">KAS KANPUS                              </v>
          </cell>
          <cell r="P4288" t="str">
            <v>Ya</v>
          </cell>
          <cell r="Q4288" t="str">
            <v>Tidak</v>
          </cell>
          <cell r="R4288" t="str">
            <v>Done</v>
          </cell>
          <cell r="S4288" t="str">
            <v>Approved</v>
          </cell>
          <cell r="T4288" t="str">
            <v>90150130 - Intan Aida Pratiwi</v>
          </cell>
          <cell r="U4288" t="str">
            <v>"-"</v>
          </cell>
        </row>
        <row r="4289">
          <cell r="A4289">
            <v>46265</v>
          </cell>
          <cell r="B4289" t="str">
            <v xml:space="preserve">RIYANTO                                 </v>
          </cell>
          <cell r="C4289" t="str">
            <v>RQER734</v>
          </cell>
          <cell r="D4289">
            <v>43801004188566</v>
          </cell>
          <cell r="F4289" t="str">
            <v>Tidak</v>
          </cell>
          <cell r="G4289" t="str">
            <v>Tidak</v>
          </cell>
          <cell r="H4289" t="str">
            <v>Tidak</v>
          </cell>
          <cell r="I4289" t="str">
            <v>Bandar Judol Withdrawal</v>
          </cell>
          <cell r="J4289">
            <v>35</v>
          </cell>
          <cell r="K4289" t="str">
            <v>86,88,87</v>
          </cell>
          <cell r="L4289" t="str">
            <v>Judi Online</v>
          </cell>
          <cell r="M4289" t="str">
            <v xml:space="preserve">Kas Kanpus                              </v>
          </cell>
          <cell r="N4289" t="str">
            <v xml:space="preserve">Kas Kanpus                              </v>
          </cell>
          <cell r="O4289" t="str">
            <v xml:space="preserve">KAS KANPUS                              </v>
          </cell>
          <cell r="P4289" t="str">
            <v>Ya</v>
          </cell>
          <cell r="Q4289" t="str">
            <v>Ya</v>
          </cell>
          <cell r="R4289" t="str">
            <v>Done</v>
          </cell>
          <cell r="S4289" t="str">
            <v>Approved</v>
          </cell>
          <cell r="T4289" t="str">
            <v>90186796 - Devito Arya Wiradila</v>
          </cell>
          <cell r="U4289" t="str">
            <v>"-"</v>
          </cell>
        </row>
        <row r="4290">
          <cell r="A4290">
            <v>46265</v>
          </cell>
          <cell r="B4290" t="str">
            <v xml:space="preserve">RIVAL FAUZI                             </v>
          </cell>
          <cell r="C4290" t="str">
            <v>RQMT409</v>
          </cell>
          <cell r="D4290">
            <v>534201019502507</v>
          </cell>
          <cell r="F4290" t="str">
            <v>Tidak</v>
          </cell>
          <cell r="G4290" t="str">
            <v>Tidak</v>
          </cell>
          <cell r="H4290" t="str">
            <v>Tidak</v>
          </cell>
          <cell r="I4290" t="str">
            <v>Bandar Judol Withdrawal</v>
          </cell>
          <cell r="J4290">
            <v>35</v>
          </cell>
          <cell r="K4290" t="str">
            <v>86,88,87</v>
          </cell>
          <cell r="L4290" t="str">
            <v>Judi Online</v>
          </cell>
          <cell r="M4290" t="str">
            <v xml:space="preserve">Kas Kanpus                              </v>
          </cell>
          <cell r="N4290" t="str">
            <v xml:space="preserve">Kas Kanpus                              </v>
          </cell>
          <cell r="O4290" t="str">
            <v xml:space="preserve">KAS KANPUS                              </v>
          </cell>
          <cell r="P4290" t="str">
            <v>Ya</v>
          </cell>
          <cell r="Q4290" t="str">
            <v>Ya</v>
          </cell>
          <cell r="R4290" t="str">
            <v>Done</v>
          </cell>
          <cell r="S4290" t="str">
            <v>Approved</v>
          </cell>
          <cell r="T4290" t="str">
            <v>90171841 - Rifqi Aziz</v>
          </cell>
          <cell r="U4290" t="str">
            <v>"-"</v>
          </cell>
        </row>
        <row r="4291">
          <cell r="A4291">
            <v>46265</v>
          </cell>
          <cell r="B4291" t="str">
            <v xml:space="preserve">RIHAN AL ICHSAN                         </v>
          </cell>
          <cell r="C4291" t="str">
            <v>RQOC375</v>
          </cell>
          <cell r="D4291">
            <v>353001010924509</v>
          </cell>
          <cell r="F4291" t="str">
            <v>Tidak</v>
          </cell>
          <cell r="G4291" t="str">
            <v>Tidak</v>
          </cell>
          <cell r="H4291" t="str">
            <v>Tidak</v>
          </cell>
          <cell r="I4291" t="str">
            <v>Bandar Judol Withdrawal</v>
          </cell>
          <cell r="J4291">
            <v>35</v>
          </cell>
          <cell r="K4291" t="str">
            <v>86,88,87</v>
          </cell>
          <cell r="L4291" t="str">
            <v>Judi Online</v>
          </cell>
          <cell r="M4291" t="str">
            <v xml:space="preserve">Kas Kanpus                              </v>
          </cell>
          <cell r="N4291" t="str">
            <v xml:space="preserve">Kas Kanpus                              </v>
          </cell>
          <cell r="O4291" t="str">
            <v xml:space="preserve">KAS KANPUS                              </v>
          </cell>
          <cell r="P4291" t="str">
            <v>Ya</v>
          </cell>
          <cell r="Q4291" t="str">
            <v>Ya</v>
          </cell>
          <cell r="R4291" t="str">
            <v>Done</v>
          </cell>
          <cell r="S4291" t="str">
            <v>Approved</v>
          </cell>
          <cell r="T4291" t="str">
            <v>90171841 - Rifqi Aziz</v>
          </cell>
          <cell r="U4291" t="str">
            <v>"-"</v>
          </cell>
        </row>
        <row r="4292">
          <cell r="A4292">
            <v>46265</v>
          </cell>
          <cell r="B4292" t="str">
            <v xml:space="preserve">RIZKI MAULANA                           </v>
          </cell>
          <cell r="C4292" t="str">
            <v>RQIC124</v>
          </cell>
          <cell r="D4292">
            <v>784601025938500</v>
          </cell>
          <cell r="F4292" t="str">
            <v>Tidak</v>
          </cell>
          <cell r="G4292" t="str">
            <v>Tidak</v>
          </cell>
          <cell r="H4292" t="str">
            <v>Tidak</v>
          </cell>
          <cell r="I4292" t="str">
            <v>Bandar Judol Withdrawal</v>
          </cell>
          <cell r="J4292">
            <v>35</v>
          </cell>
          <cell r="K4292" t="str">
            <v>86,88,87</v>
          </cell>
          <cell r="L4292" t="str">
            <v>Judi Online</v>
          </cell>
          <cell r="M4292" t="str">
            <v xml:space="preserve">Kas Kanpus                              </v>
          </cell>
          <cell r="N4292" t="str">
            <v xml:space="preserve">Kas Kanpus                              </v>
          </cell>
          <cell r="O4292" t="str">
            <v xml:space="preserve">KAS KANPUS                              </v>
          </cell>
          <cell r="P4292" t="str">
            <v>Ya</v>
          </cell>
          <cell r="Q4292" t="str">
            <v>Ya</v>
          </cell>
          <cell r="R4292" t="str">
            <v>Done</v>
          </cell>
          <cell r="S4292" t="str">
            <v>Approved</v>
          </cell>
          <cell r="T4292" t="str">
            <v>90185537 - Moh.Khoerul Fajar Ar</v>
          </cell>
          <cell r="U4292" t="str">
            <v>"-"</v>
          </cell>
        </row>
        <row r="4293">
          <cell r="A4293">
            <v>46265</v>
          </cell>
          <cell r="B4293" t="str">
            <v xml:space="preserve">RADISHA ZALFANY                         </v>
          </cell>
          <cell r="C4293" t="str">
            <v>RQIH884</v>
          </cell>
          <cell r="D4293">
            <v>530601014849500</v>
          </cell>
          <cell r="F4293" t="str">
            <v>Tidak</v>
          </cell>
          <cell r="G4293" t="str">
            <v>Tidak</v>
          </cell>
          <cell r="H4293" t="str">
            <v>Tidak</v>
          </cell>
          <cell r="I4293" t="str">
            <v>Bandar Judol Withdrawal</v>
          </cell>
          <cell r="J4293">
            <v>35</v>
          </cell>
          <cell r="K4293" t="str">
            <v>86,88,87</v>
          </cell>
          <cell r="L4293" t="str">
            <v>Judi Online</v>
          </cell>
          <cell r="M4293" t="str">
            <v xml:space="preserve">Kas Kanpus                              </v>
          </cell>
          <cell r="N4293" t="str">
            <v xml:space="preserve">Kas Kanpus                              </v>
          </cell>
          <cell r="O4293" t="str">
            <v xml:space="preserve">KAS KANPUS                              </v>
          </cell>
          <cell r="P4293" t="str">
            <v>Ya</v>
          </cell>
          <cell r="Q4293" t="str">
            <v>Ya</v>
          </cell>
          <cell r="R4293" t="str">
            <v>Done</v>
          </cell>
          <cell r="S4293" t="str">
            <v>Approved</v>
          </cell>
          <cell r="T4293" t="str">
            <v>00394520 - Frida Akbar Rani</v>
          </cell>
          <cell r="U4293" t="str">
            <v>"-"</v>
          </cell>
        </row>
        <row r="4294">
          <cell r="A4294">
            <v>46265</v>
          </cell>
          <cell r="B4294" t="str">
            <v xml:space="preserve">RAFI PUTRA PRATAMA                      </v>
          </cell>
          <cell r="C4294" t="str">
            <v>RQII828</v>
          </cell>
          <cell r="D4294">
            <v>1901178864503</v>
          </cell>
          <cell r="F4294" t="str">
            <v>Tidak</v>
          </cell>
          <cell r="G4294" t="str">
            <v>Tidak</v>
          </cell>
          <cell r="H4294" t="str">
            <v>Tidak</v>
          </cell>
          <cell r="I4294" t="str">
            <v>Bandar Judol Depo</v>
          </cell>
          <cell r="J4294">
            <v>35</v>
          </cell>
          <cell r="K4294" t="str">
            <v>86,74,87</v>
          </cell>
          <cell r="L4294" t="str">
            <v>Judi Online</v>
          </cell>
          <cell r="M4294" t="str">
            <v xml:space="preserve">Kas Kanpus                              </v>
          </cell>
          <cell r="N4294" t="str">
            <v xml:space="preserve">Kas Kanpus                              </v>
          </cell>
          <cell r="O4294" t="str">
            <v xml:space="preserve">KAS KANPUS                              </v>
          </cell>
          <cell r="P4294" t="str">
            <v>Ya</v>
          </cell>
          <cell r="Q4294" t="str">
            <v>Ya</v>
          </cell>
          <cell r="R4294" t="str">
            <v>Done</v>
          </cell>
          <cell r="S4294" t="str">
            <v>Approved</v>
          </cell>
          <cell r="T4294" t="str">
            <v>90150130 - Intan Aida Pratiwi</v>
          </cell>
          <cell r="U4294" t="str">
            <v>"-"</v>
          </cell>
        </row>
        <row r="4295">
          <cell r="A4295">
            <v>46265</v>
          </cell>
          <cell r="B4295" t="str">
            <v xml:space="preserve">RUSWANDI                                </v>
          </cell>
          <cell r="C4295" t="str">
            <v>RQIT197</v>
          </cell>
          <cell r="D4295">
            <v>322301000023562</v>
          </cell>
          <cell r="F4295" t="str">
            <v>Tidak</v>
          </cell>
          <cell r="G4295" t="str">
            <v>Tidak</v>
          </cell>
          <cell r="H4295" t="str">
            <v>Tidak</v>
          </cell>
          <cell r="I4295" t="str">
            <v>Bandar Judol Withdrawal</v>
          </cell>
          <cell r="J4295">
            <v>35</v>
          </cell>
          <cell r="K4295" t="str">
            <v>86,88,87</v>
          </cell>
          <cell r="L4295" t="str">
            <v>Judi Online</v>
          </cell>
          <cell r="M4295" t="str">
            <v xml:space="preserve">Kas Kanpus                              </v>
          </cell>
          <cell r="N4295" t="str">
            <v xml:space="preserve">Kas Kanpus                              </v>
          </cell>
          <cell r="O4295" t="str">
            <v xml:space="preserve">KAS KANPUS                              </v>
          </cell>
          <cell r="P4295" t="str">
            <v>Ya</v>
          </cell>
          <cell r="Q4295" t="str">
            <v>Ya</v>
          </cell>
          <cell r="R4295" t="str">
            <v>Done</v>
          </cell>
          <cell r="S4295" t="str">
            <v>Approved</v>
          </cell>
          <cell r="T4295" t="str">
            <v>00394520 - Frida Akbar Rani</v>
          </cell>
          <cell r="U4295" t="str">
            <v>"-"</v>
          </cell>
        </row>
        <row r="4296">
          <cell r="A4296">
            <v>46265</v>
          </cell>
          <cell r="B4296" t="str">
            <v xml:space="preserve">REYNALDI YULIANSYAH                     </v>
          </cell>
          <cell r="C4296" t="str">
            <v>RQJA907</v>
          </cell>
          <cell r="D4296">
            <v>748701002002502</v>
          </cell>
          <cell r="F4296" t="str">
            <v>Tidak</v>
          </cell>
          <cell r="G4296" t="str">
            <v>Tidak</v>
          </cell>
          <cell r="H4296" t="str">
            <v>Tidak</v>
          </cell>
          <cell r="I4296" t="str">
            <v>Bandar Judol Withdrawal</v>
          </cell>
          <cell r="J4296">
            <v>35</v>
          </cell>
          <cell r="K4296" t="str">
            <v>86,88,87</v>
          </cell>
          <cell r="L4296" t="str">
            <v>Judi Online</v>
          </cell>
          <cell r="M4296" t="str">
            <v xml:space="preserve">Kas Kanpus                              </v>
          </cell>
          <cell r="N4296" t="str">
            <v xml:space="preserve">Kas Kanpus                              </v>
          </cell>
          <cell r="O4296" t="str">
            <v xml:space="preserve">KAS KANPUS                              </v>
          </cell>
          <cell r="P4296" t="str">
            <v>Ya</v>
          </cell>
          <cell r="Q4296" t="str">
            <v>Ya</v>
          </cell>
          <cell r="R4296" t="str">
            <v>Done</v>
          </cell>
          <cell r="S4296" t="str">
            <v>Approved</v>
          </cell>
          <cell r="T4296" t="str">
            <v>00394520 - Frida Akbar Rani</v>
          </cell>
          <cell r="U4296" t="str">
            <v>"-"</v>
          </cell>
        </row>
        <row r="4297">
          <cell r="A4297">
            <v>46265</v>
          </cell>
          <cell r="B4297" t="str">
            <v xml:space="preserve">ROHIM                                   </v>
          </cell>
          <cell r="C4297" t="str">
            <v>RQKO650</v>
          </cell>
          <cell r="D4297">
            <v>781901004559504</v>
          </cell>
          <cell r="F4297" t="str">
            <v>Tidak</v>
          </cell>
          <cell r="G4297" t="str">
            <v>Tidak</v>
          </cell>
          <cell r="H4297" t="str">
            <v>Tidak</v>
          </cell>
          <cell r="I4297" t="str">
            <v>Bandar Judol Withdrawal</v>
          </cell>
          <cell r="J4297">
            <v>35</v>
          </cell>
          <cell r="K4297" t="str">
            <v>86,88,87</v>
          </cell>
          <cell r="L4297" t="str">
            <v>Judi Online</v>
          </cell>
          <cell r="M4297" t="str">
            <v xml:space="preserve">Kas Kanpus                              </v>
          </cell>
          <cell r="N4297" t="str">
            <v xml:space="preserve">Kas Kanpus                              </v>
          </cell>
          <cell r="O4297" t="str">
            <v xml:space="preserve">KAS KANPUS                              </v>
          </cell>
          <cell r="P4297" t="str">
            <v>Ya</v>
          </cell>
          <cell r="Q4297" t="str">
            <v>Ya</v>
          </cell>
          <cell r="R4297" t="str">
            <v>Done</v>
          </cell>
          <cell r="S4297" t="str">
            <v>Approved</v>
          </cell>
          <cell r="T4297" t="str">
            <v>00394521 - Muhammad Hibbanduta</v>
          </cell>
          <cell r="U4297" t="str">
            <v>"-"</v>
          </cell>
        </row>
        <row r="4298">
          <cell r="A4298">
            <v>46265</v>
          </cell>
          <cell r="B4298" t="str">
            <v xml:space="preserve">RANGGA AULIA DINATA                     </v>
          </cell>
          <cell r="C4298" t="str">
            <v>RQKS950</v>
          </cell>
          <cell r="D4298">
            <v>530201026906538</v>
          </cell>
          <cell r="F4298" t="str">
            <v>Tidak</v>
          </cell>
          <cell r="G4298" t="str">
            <v>Tidak</v>
          </cell>
          <cell r="H4298" t="str">
            <v>Tidak</v>
          </cell>
          <cell r="I4298" t="str">
            <v>Bandar Judol Withdrawal</v>
          </cell>
          <cell r="J4298">
            <v>35</v>
          </cell>
          <cell r="K4298" t="str">
            <v>86,88,87</v>
          </cell>
          <cell r="L4298" t="str">
            <v>Judi Online</v>
          </cell>
          <cell r="M4298" t="str">
            <v xml:space="preserve">Kas Kanpus                              </v>
          </cell>
          <cell r="N4298" t="str">
            <v xml:space="preserve">Kas Kanpus                              </v>
          </cell>
          <cell r="O4298" t="str">
            <v xml:space="preserve">KAS KANPUS                              </v>
          </cell>
          <cell r="P4298" t="str">
            <v>Ya</v>
          </cell>
          <cell r="Q4298" t="str">
            <v>Ya</v>
          </cell>
          <cell r="R4298" t="str">
            <v>Done</v>
          </cell>
          <cell r="S4298" t="str">
            <v>Approved</v>
          </cell>
          <cell r="T4298" t="str">
            <v>00394521 - Muhammad Hibbanduta</v>
          </cell>
          <cell r="U4298" t="str">
            <v>"-"</v>
          </cell>
        </row>
        <row r="4299">
          <cell r="A4299">
            <v>46265</v>
          </cell>
          <cell r="B4299" t="str">
            <v xml:space="preserve">RINAWATI                                </v>
          </cell>
          <cell r="C4299" t="str">
            <v>RR20112</v>
          </cell>
          <cell r="D4299">
            <v>646301000243501</v>
          </cell>
          <cell r="E4299" t="str">
            <v>SEDANG</v>
          </cell>
          <cell r="F4299" t="str">
            <v>Tidak</v>
          </cell>
          <cell r="G4299" t="str">
            <v>Tidak</v>
          </cell>
          <cell r="H4299" t="str">
            <v>Tidak</v>
          </cell>
          <cell r="I4299" t="str">
            <v>Perikanan dan Kelautan</v>
          </cell>
          <cell r="J4299">
            <v>49</v>
          </cell>
          <cell r="K4299">
            <v>101</v>
          </cell>
          <cell r="L4299" t="str">
            <v>Perikanan dan Kelautan</v>
          </cell>
          <cell r="M4299" t="str">
            <v xml:space="preserve">UNIT PACITAN KOTA                       </v>
          </cell>
          <cell r="N4299" t="str">
            <v xml:space="preserve">KC Pacitan                              </v>
          </cell>
          <cell r="O4299" t="str">
            <v xml:space="preserve">KANWIL MALANG                           </v>
          </cell>
          <cell r="P4299" t="str">
            <v>Tidak</v>
          </cell>
          <cell r="Q4299" t="str">
            <v>Tidak</v>
          </cell>
          <cell r="R4299" t="str">
            <v>Done</v>
          </cell>
          <cell r="S4299" t="str">
            <v>Approved</v>
          </cell>
          <cell r="T4299" t="str">
            <v>90185537 - Moh.Khoerul Fajar Ar</v>
          </cell>
          <cell r="U4299" t="str">
            <v>"-"</v>
          </cell>
        </row>
        <row r="4300">
          <cell r="A4300">
            <v>46265</v>
          </cell>
          <cell r="B4300" t="str">
            <v xml:space="preserve">REZA SUIP MAULANA                       </v>
          </cell>
          <cell r="C4300" t="str">
            <v>RRU6484</v>
          </cell>
          <cell r="D4300">
            <v>115101000777568</v>
          </cell>
          <cell r="E4300" t="str">
            <v>SEDANG</v>
          </cell>
          <cell r="F4300" t="str">
            <v>Tidak</v>
          </cell>
          <cell r="G4300" t="str">
            <v>Tidak</v>
          </cell>
          <cell r="H4300" t="str">
            <v>Tidak</v>
          </cell>
          <cell r="I4300" t="str">
            <v>Bandar Judol Withdrawal</v>
          </cell>
          <cell r="J4300">
            <v>50</v>
          </cell>
          <cell r="K4300" t="str">
            <v>86,88,87</v>
          </cell>
          <cell r="L4300" t="str">
            <v>Judi Online</v>
          </cell>
          <cell r="M4300" t="str">
            <v xml:space="preserve">Kas Kanpus                              </v>
          </cell>
          <cell r="N4300" t="str">
            <v xml:space="preserve">Kas Kanpus                              </v>
          </cell>
          <cell r="O4300" t="str">
            <v xml:space="preserve">KAS KANPUS                              </v>
          </cell>
          <cell r="P4300" t="str">
            <v>Ya</v>
          </cell>
          <cell r="Q4300" t="str">
            <v>Ya</v>
          </cell>
          <cell r="R4300" t="str">
            <v>Done</v>
          </cell>
          <cell r="S4300" t="str">
            <v>Approved</v>
          </cell>
          <cell r="T4300" t="str">
            <v>90150130 - Intan Aida Pratiwi</v>
          </cell>
          <cell r="U4300" t="str">
            <v>"-"</v>
          </cell>
        </row>
        <row r="4301">
          <cell r="A4301">
            <v>46265</v>
          </cell>
          <cell r="B4301" t="str">
            <v xml:space="preserve">RAHMAT                                  </v>
          </cell>
          <cell r="C4301" t="str">
            <v>RPPO599</v>
          </cell>
          <cell r="D4301">
            <v>116901000621568</v>
          </cell>
          <cell r="F4301" t="str">
            <v>Tidak</v>
          </cell>
          <cell r="G4301" t="str">
            <v>Tidak</v>
          </cell>
          <cell r="H4301" t="str">
            <v>Tidak</v>
          </cell>
          <cell r="I4301" t="str">
            <v>Bandar Judol Withdrawal</v>
          </cell>
          <cell r="J4301">
            <v>35</v>
          </cell>
          <cell r="K4301" t="str">
            <v>86,88,87</v>
          </cell>
          <cell r="L4301" t="str">
            <v>Judi Online</v>
          </cell>
          <cell r="M4301" t="str">
            <v xml:space="preserve">Kas Kanpus                              </v>
          </cell>
          <cell r="N4301" t="str">
            <v xml:space="preserve">Kas Kanpus                              </v>
          </cell>
          <cell r="O4301" t="str">
            <v xml:space="preserve">KAS KANPUS                              </v>
          </cell>
          <cell r="P4301" t="str">
            <v>Ya</v>
          </cell>
          <cell r="Q4301" t="str">
            <v>Tidak</v>
          </cell>
          <cell r="R4301" t="str">
            <v>Done</v>
          </cell>
          <cell r="S4301" t="str">
            <v>Approved</v>
          </cell>
          <cell r="T4301" t="str">
            <v>90186790 - Muhammad Alfin Farha</v>
          </cell>
          <cell r="U4301" t="str">
            <v>"-"</v>
          </cell>
        </row>
        <row r="4302">
          <cell r="A4302">
            <v>46265</v>
          </cell>
          <cell r="B4302" t="str">
            <v xml:space="preserve">RANDI                                   </v>
          </cell>
          <cell r="C4302" t="str">
            <v>RPOZ430</v>
          </cell>
          <cell r="D4302">
            <v>439301005211506</v>
          </cell>
          <cell r="F4302" t="str">
            <v>Tidak</v>
          </cell>
          <cell r="G4302" t="str">
            <v>Tidak</v>
          </cell>
          <cell r="H4302" t="str">
            <v>Tidak</v>
          </cell>
          <cell r="I4302" t="str">
            <v>Bandar Judol Withdrawal</v>
          </cell>
          <cell r="J4302">
            <v>35</v>
          </cell>
          <cell r="K4302" t="str">
            <v>86,88,87</v>
          </cell>
          <cell r="L4302" t="str">
            <v>Judi Online</v>
          </cell>
          <cell r="M4302" t="str">
            <v xml:space="preserve">Kas Kanpus                              </v>
          </cell>
          <cell r="N4302" t="str">
            <v xml:space="preserve">Kas Kanpus                              </v>
          </cell>
          <cell r="O4302" t="str">
            <v xml:space="preserve">KAS KANPUS                              </v>
          </cell>
          <cell r="P4302" t="str">
            <v>Ya</v>
          </cell>
          <cell r="Q4302" t="str">
            <v>Ya</v>
          </cell>
          <cell r="R4302" t="str">
            <v>Done</v>
          </cell>
          <cell r="S4302" t="str">
            <v>Approved</v>
          </cell>
          <cell r="T4302" t="str">
            <v>90186796 - Devito Arya Wiradila</v>
          </cell>
          <cell r="U4302" t="str">
            <v>"-"</v>
          </cell>
        </row>
        <row r="4303">
          <cell r="A4303">
            <v>46265</v>
          </cell>
          <cell r="B4303" t="str">
            <v xml:space="preserve">RAMDONI                                 </v>
          </cell>
          <cell r="C4303" t="str">
            <v>RPNL755</v>
          </cell>
          <cell r="D4303">
            <v>34501052908507</v>
          </cell>
          <cell r="F4303" t="str">
            <v>Tidak</v>
          </cell>
          <cell r="G4303" t="str">
            <v>Tidak</v>
          </cell>
          <cell r="H4303" t="str">
            <v>Tidak</v>
          </cell>
          <cell r="I4303" t="str">
            <v>Bandar Judol Withdrawal</v>
          </cell>
          <cell r="J4303">
            <v>35</v>
          </cell>
          <cell r="K4303" t="str">
            <v>86,88,87</v>
          </cell>
          <cell r="L4303" t="str">
            <v>Judi Online</v>
          </cell>
          <cell r="M4303" t="str">
            <v xml:space="preserve">Kas Kanpus                              </v>
          </cell>
          <cell r="N4303" t="str">
            <v xml:space="preserve">Kas Kanpus                              </v>
          </cell>
          <cell r="O4303" t="str">
            <v xml:space="preserve">KAS KANPUS                              </v>
          </cell>
          <cell r="P4303" t="str">
            <v>Ya</v>
          </cell>
          <cell r="Q4303" t="str">
            <v>Tidak</v>
          </cell>
          <cell r="R4303" t="str">
            <v>Done</v>
          </cell>
          <cell r="S4303" t="str">
            <v>Approved</v>
          </cell>
          <cell r="T4303" t="str">
            <v>90150130 - Intan Aida Pratiwi</v>
          </cell>
          <cell r="U4303" t="str">
            <v>"-"</v>
          </cell>
        </row>
        <row r="4304">
          <cell r="A4304">
            <v>46265</v>
          </cell>
          <cell r="B4304" t="str">
            <v xml:space="preserve">RESTI SRI RAHAYU                        </v>
          </cell>
          <cell r="C4304" t="str">
            <v>RPNL904</v>
          </cell>
          <cell r="D4304">
            <v>114501028450509</v>
          </cell>
          <cell r="F4304" t="str">
            <v>Tidak</v>
          </cell>
          <cell r="G4304" t="str">
            <v>Tidak</v>
          </cell>
          <cell r="H4304" t="str">
            <v>Tidak</v>
          </cell>
          <cell r="I4304" t="str">
            <v>Bandar Judol Withdrawal</v>
          </cell>
          <cell r="J4304">
            <v>35</v>
          </cell>
          <cell r="K4304" t="str">
            <v>86,88,87</v>
          </cell>
          <cell r="L4304" t="str">
            <v>Judi Online</v>
          </cell>
          <cell r="M4304" t="str">
            <v xml:space="preserve">Kas Kanpus                              </v>
          </cell>
          <cell r="N4304" t="str">
            <v xml:space="preserve">Kas Kanpus                              </v>
          </cell>
          <cell r="O4304" t="str">
            <v xml:space="preserve">KAS KANPUS                              </v>
          </cell>
          <cell r="P4304" t="str">
            <v>Ya</v>
          </cell>
          <cell r="Q4304" t="str">
            <v>Ya</v>
          </cell>
          <cell r="R4304" t="str">
            <v>Done</v>
          </cell>
          <cell r="S4304" t="str">
            <v>Approved</v>
          </cell>
          <cell r="T4304" t="str">
            <v>90171841 - Rifqi Aziz</v>
          </cell>
          <cell r="U4304" t="str">
            <v>"-"</v>
          </cell>
        </row>
        <row r="4305">
          <cell r="A4305">
            <v>46265</v>
          </cell>
          <cell r="B4305" t="str">
            <v xml:space="preserve">RIESKY BANGKIT ADITYA                   </v>
          </cell>
          <cell r="C4305" t="str">
            <v>RPNX479</v>
          </cell>
          <cell r="D4305">
            <v>801201004132501</v>
          </cell>
          <cell r="F4305" t="str">
            <v>Tidak</v>
          </cell>
          <cell r="G4305" t="str">
            <v>Tidak</v>
          </cell>
          <cell r="H4305" t="str">
            <v>Tidak</v>
          </cell>
          <cell r="I4305" t="str">
            <v>Bandar Judol Withdrawal</v>
          </cell>
          <cell r="J4305">
            <v>35</v>
          </cell>
          <cell r="K4305" t="str">
            <v>86,88,87</v>
          </cell>
          <cell r="L4305" t="str">
            <v>Judi Online</v>
          </cell>
          <cell r="M4305" t="str">
            <v xml:space="preserve">Kas Kanpus                              </v>
          </cell>
          <cell r="N4305" t="str">
            <v xml:space="preserve">Kas Kanpus                              </v>
          </cell>
          <cell r="O4305" t="str">
            <v xml:space="preserve">KAS KANPUS                              </v>
          </cell>
          <cell r="P4305" t="str">
            <v>Tidak</v>
          </cell>
          <cell r="Q4305" t="str">
            <v>Tidak</v>
          </cell>
          <cell r="R4305" t="str">
            <v>Done</v>
          </cell>
          <cell r="S4305" t="str">
            <v>Approved</v>
          </cell>
          <cell r="T4305" t="str">
            <v>90170665 - Mutiara Ayuningtyas</v>
          </cell>
          <cell r="U4305" t="str">
            <v>"-"</v>
          </cell>
        </row>
        <row r="4306">
          <cell r="A4306">
            <v>46265</v>
          </cell>
          <cell r="B4306" t="str">
            <v xml:space="preserve">REY ANTONI DAMANIK                      </v>
          </cell>
          <cell r="C4306" t="str">
            <v>RPNY315</v>
          </cell>
          <cell r="D4306">
            <v>11301149186500</v>
          </cell>
          <cell r="F4306" t="str">
            <v>Tidak</v>
          </cell>
          <cell r="G4306" t="str">
            <v>Tidak</v>
          </cell>
          <cell r="H4306" t="str">
            <v>Tidak</v>
          </cell>
          <cell r="I4306" t="str">
            <v>Bandar Judol Withdrawal</v>
          </cell>
          <cell r="J4306">
            <v>35</v>
          </cell>
          <cell r="K4306" t="str">
            <v>86,88,87</v>
          </cell>
          <cell r="L4306" t="str">
            <v>Judi Online</v>
          </cell>
          <cell r="M4306" t="str">
            <v xml:space="preserve">Kas Kanpus                              </v>
          </cell>
          <cell r="N4306" t="str">
            <v xml:space="preserve">Kas Kanpus                              </v>
          </cell>
          <cell r="O4306" t="str">
            <v xml:space="preserve">KAS KANPUS                              </v>
          </cell>
          <cell r="P4306" t="str">
            <v>Ya</v>
          </cell>
          <cell r="Q4306" t="str">
            <v>Tidak</v>
          </cell>
          <cell r="R4306" t="str">
            <v>Done</v>
          </cell>
          <cell r="S4306" t="str">
            <v>Approved</v>
          </cell>
          <cell r="T4306" t="str">
            <v>90171841 - Rifqi Aziz</v>
          </cell>
          <cell r="U4306" t="str">
            <v>"-"</v>
          </cell>
        </row>
        <row r="4307">
          <cell r="A4307">
            <v>46265</v>
          </cell>
          <cell r="B4307" t="str">
            <v xml:space="preserve">RICO SUSANTO                            </v>
          </cell>
          <cell r="C4307" t="str">
            <v>RPJE398</v>
          </cell>
          <cell r="D4307">
            <v>33601034553531</v>
          </cell>
          <cell r="F4307" t="str">
            <v>Tidak</v>
          </cell>
          <cell r="G4307" t="str">
            <v>Tidak</v>
          </cell>
          <cell r="H4307" t="str">
            <v>Tidak</v>
          </cell>
          <cell r="I4307" t="str">
            <v>Bandar Judol Withdrawal</v>
          </cell>
          <cell r="J4307">
            <v>35</v>
          </cell>
          <cell r="K4307" t="str">
            <v>86,88,87</v>
          </cell>
          <cell r="L4307" t="str">
            <v>Judi Online</v>
          </cell>
          <cell r="M4307" t="str">
            <v xml:space="preserve">Kas Kanpus                              </v>
          </cell>
          <cell r="N4307" t="str">
            <v xml:space="preserve">Kas Kanpus                              </v>
          </cell>
          <cell r="O4307" t="str">
            <v xml:space="preserve">KAS KANPUS                              </v>
          </cell>
          <cell r="P4307" t="str">
            <v>Ya</v>
          </cell>
          <cell r="Q4307" t="str">
            <v>Ya</v>
          </cell>
          <cell r="R4307" t="str">
            <v>Done</v>
          </cell>
          <cell r="S4307" t="str">
            <v>Approved</v>
          </cell>
          <cell r="T4307" t="str">
            <v>00336949 - Mochammad Al Farabi</v>
          </cell>
          <cell r="U4307" t="str">
            <v>"-"</v>
          </cell>
        </row>
        <row r="4308">
          <cell r="A4308">
            <v>46265</v>
          </cell>
          <cell r="B4308" t="str">
            <v xml:space="preserve">REZEKI RAMADHAN                         </v>
          </cell>
          <cell r="C4308" t="str">
            <v>RPJQ297</v>
          </cell>
          <cell r="D4308">
            <v>63801001026567</v>
          </cell>
          <cell r="F4308" t="str">
            <v>Tidak</v>
          </cell>
          <cell r="G4308" t="str">
            <v>Tidak</v>
          </cell>
          <cell r="H4308" t="str">
            <v>Tidak</v>
          </cell>
          <cell r="I4308" t="str">
            <v>Bandar Judol Withdrawal</v>
          </cell>
          <cell r="J4308">
            <v>35</v>
          </cell>
          <cell r="K4308" t="str">
            <v>86,88,87</v>
          </cell>
          <cell r="L4308" t="str">
            <v>Judi Online</v>
          </cell>
          <cell r="M4308" t="str">
            <v xml:space="preserve">Kas Kanpus                              </v>
          </cell>
          <cell r="N4308" t="str">
            <v xml:space="preserve">Kas Kanpus                              </v>
          </cell>
          <cell r="O4308" t="str">
            <v xml:space="preserve">KAS KANPUS                              </v>
          </cell>
          <cell r="P4308" t="str">
            <v>Tidak</v>
          </cell>
          <cell r="Q4308" t="str">
            <v>Ya</v>
          </cell>
          <cell r="R4308" t="str">
            <v>Done</v>
          </cell>
          <cell r="S4308" t="str">
            <v>Approved</v>
          </cell>
          <cell r="T4308" t="str">
            <v>00394521 - Muhammad Hibbanduta</v>
          </cell>
          <cell r="U4308" t="str">
            <v>"-"</v>
          </cell>
        </row>
        <row r="4309">
          <cell r="A4309">
            <v>46265</v>
          </cell>
          <cell r="B4309" t="str">
            <v xml:space="preserve">RAHMATSYAH NASUTION                     </v>
          </cell>
          <cell r="C4309" t="str">
            <v>RPKG566</v>
          </cell>
          <cell r="D4309">
            <v>726201004052501</v>
          </cell>
          <cell r="F4309" t="str">
            <v>Tidak</v>
          </cell>
          <cell r="G4309" t="str">
            <v>Tidak</v>
          </cell>
          <cell r="H4309" t="str">
            <v>Tidak</v>
          </cell>
          <cell r="I4309" t="str">
            <v>Bandar Judol Withdrawal</v>
          </cell>
          <cell r="J4309">
            <v>35</v>
          </cell>
          <cell r="K4309" t="str">
            <v>86,88,87</v>
          </cell>
          <cell r="L4309" t="str">
            <v>Judi Online</v>
          </cell>
          <cell r="M4309" t="str">
            <v xml:space="preserve">Kas Kanpus                              </v>
          </cell>
          <cell r="N4309" t="str">
            <v xml:space="preserve">Kas Kanpus                              </v>
          </cell>
          <cell r="O4309" t="str">
            <v xml:space="preserve">KAS KANPUS                              </v>
          </cell>
          <cell r="P4309" t="str">
            <v>Ya</v>
          </cell>
          <cell r="Q4309" t="str">
            <v>Ya</v>
          </cell>
          <cell r="R4309" t="str">
            <v>Done</v>
          </cell>
          <cell r="S4309" t="str">
            <v>Approved</v>
          </cell>
          <cell r="T4309" t="str">
            <v>00336949 - Mochammad Al Farabi</v>
          </cell>
          <cell r="U4309" t="str">
            <v>"-"</v>
          </cell>
        </row>
        <row r="4310">
          <cell r="A4310">
            <v>46265</v>
          </cell>
          <cell r="B4310" t="str">
            <v xml:space="preserve">REVAL AL-ZIDAN                          </v>
          </cell>
          <cell r="C4310" t="str">
            <v>RPKM054</v>
          </cell>
          <cell r="D4310">
            <v>86301005202500</v>
          </cell>
          <cell r="F4310" t="str">
            <v>Tidak</v>
          </cell>
          <cell r="G4310" t="str">
            <v>Tidak</v>
          </cell>
          <cell r="H4310" t="str">
            <v>Tidak</v>
          </cell>
          <cell r="I4310" t="str">
            <v>Bandar Judol Withdrawal</v>
          </cell>
          <cell r="J4310">
            <v>35</v>
          </cell>
          <cell r="K4310" t="str">
            <v>86,88,87</v>
          </cell>
          <cell r="L4310" t="str">
            <v>Judi Online</v>
          </cell>
          <cell r="M4310" t="str">
            <v xml:space="preserve">Kas Kanpus                              </v>
          </cell>
          <cell r="N4310" t="str">
            <v xml:space="preserve">Kas Kanpus                              </v>
          </cell>
          <cell r="O4310" t="str">
            <v xml:space="preserve">KAS KANPUS                              </v>
          </cell>
          <cell r="P4310" t="str">
            <v>Ya</v>
          </cell>
          <cell r="Q4310" t="str">
            <v>Ya</v>
          </cell>
          <cell r="R4310" t="str">
            <v>Done</v>
          </cell>
          <cell r="S4310" t="str">
            <v>Approved</v>
          </cell>
          <cell r="T4310" t="str">
            <v>90186796 - Devito Arya Wiradila</v>
          </cell>
          <cell r="U4310" t="str">
            <v>"-"</v>
          </cell>
        </row>
        <row r="4311">
          <cell r="A4311">
            <v>46265</v>
          </cell>
          <cell r="B4311" t="str">
            <v xml:space="preserve">RAHMAWATI                               </v>
          </cell>
          <cell r="C4311" t="str">
            <v>RPLS284</v>
          </cell>
          <cell r="D4311">
            <v>7101003732568</v>
          </cell>
          <cell r="F4311" t="str">
            <v>Tidak</v>
          </cell>
          <cell r="G4311" t="str">
            <v>Tidak</v>
          </cell>
          <cell r="H4311" t="str">
            <v>Tidak</v>
          </cell>
          <cell r="I4311" t="str">
            <v>Bandar Judol Withdrawal</v>
          </cell>
          <cell r="J4311">
            <v>35</v>
          </cell>
          <cell r="K4311" t="str">
            <v>86,88,87</v>
          </cell>
          <cell r="L4311" t="str">
            <v>Judi Online</v>
          </cell>
          <cell r="M4311" t="str">
            <v xml:space="preserve">Kas Kanpus                              </v>
          </cell>
          <cell r="N4311" t="str">
            <v xml:space="preserve">Kas Kanpus                              </v>
          </cell>
          <cell r="O4311" t="str">
            <v xml:space="preserve">KAS KANPUS                              </v>
          </cell>
          <cell r="P4311" t="str">
            <v>Ya</v>
          </cell>
          <cell r="Q4311" t="str">
            <v>Ya</v>
          </cell>
          <cell r="R4311" t="str">
            <v>Done</v>
          </cell>
          <cell r="S4311" t="str">
            <v>Approved</v>
          </cell>
          <cell r="T4311" t="str">
            <v>90150130 - Intan Aida Pratiwi</v>
          </cell>
          <cell r="U4311" t="str">
            <v>"-"</v>
          </cell>
        </row>
        <row r="4312">
          <cell r="A4312">
            <v>46265</v>
          </cell>
          <cell r="B4312" t="str">
            <v xml:space="preserve">ROHANDI                                 </v>
          </cell>
          <cell r="C4312" t="str">
            <v>RPHP335</v>
          </cell>
          <cell r="D4312">
            <v>714401016569506</v>
          </cell>
          <cell r="F4312" t="str">
            <v>Tidak</v>
          </cell>
          <cell r="G4312" t="str">
            <v>Tidak</v>
          </cell>
          <cell r="H4312" t="str">
            <v>Tidak</v>
          </cell>
          <cell r="I4312" t="str">
            <v>Bandar Judol Withdrawal</v>
          </cell>
          <cell r="J4312">
            <v>35</v>
          </cell>
          <cell r="K4312" t="str">
            <v>86,88,87</v>
          </cell>
          <cell r="L4312" t="str">
            <v>Judi Online</v>
          </cell>
          <cell r="M4312" t="str">
            <v xml:space="preserve">Kas Kanpus                              </v>
          </cell>
          <cell r="N4312" t="str">
            <v xml:space="preserve">Kas Kanpus                              </v>
          </cell>
          <cell r="O4312" t="str">
            <v xml:space="preserve">KAS KANPUS                              </v>
          </cell>
          <cell r="P4312" t="str">
            <v>Ya</v>
          </cell>
          <cell r="Q4312" t="str">
            <v>Ya</v>
          </cell>
          <cell r="R4312" t="str">
            <v>Done</v>
          </cell>
          <cell r="S4312" t="str">
            <v>Approved</v>
          </cell>
          <cell r="T4312" t="str">
            <v>00336949 - Mochammad Al Farabi</v>
          </cell>
          <cell r="U4312" t="str">
            <v>"-"</v>
          </cell>
        </row>
        <row r="4313">
          <cell r="A4313">
            <v>46265</v>
          </cell>
          <cell r="B4313" t="str">
            <v xml:space="preserve">RIZKI ZULIAN                            </v>
          </cell>
          <cell r="C4313" t="str">
            <v>RPI7582</v>
          </cell>
          <cell r="D4313">
            <v>1201002351569</v>
          </cell>
          <cell r="E4313" t="str">
            <v>SEDANG</v>
          </cell>
          <cell r="F4313" t="str">
            <v>Tidak</v>
          </cell>
          <cell r="G4313" t="str">
            <v>Tidak</v>
          </cell>
          <cell r="I4313" t="str">
            <v>Transaksi Agen BRILink terindikasi Judi Online</v>
          </cell>
          <cell r="J4313">
            <v>60</v>
          </cell>
          <cell r="K4313">
            <v>105</v>
          </cell>
          <cell r="L4313" t="str">
            <v>Agen BRILink</v>
          </cell>
          <cell r="M4313" t="str">
            <v xml:space="preserve">Kas Kanpus                              </v>
          </cell>
          <cell r="N4313" t="str">
            <v xml:space="preserve">Kas Kanpus                              </v>
          </cell>
          <cell r="O4313" t="str">
            <v xml:space="preserve">KAS KANPUS                              </v>
          </cell>
          <cell r="P4313" t="str">
            <v>Tidak</v>
          </cell>
          <cell r="Q4313" t="str">
            <v>Tidak</v>
          </cell>
          <cell r="R4313" t="str">
            <v>Done</v>
          </cell>
          <cell r="S4313" t="str">
            <v>Approved</v>
          </cell>
          <cell r="T4313" t="str">
            <v>00394520 - Frida Akbar Rani</v>
          </cell>
          <cell r="U4313" t="str">
            <v>"-"</v>
          </cell>
        </row>
        <row r="4314">
          <cell r="A4314">
            <v>46265</v>
          </cell>
          <cell r="B4314" t="str">
            <v xml:space="preserve">RIZKI ZULIAN                            </v>
          </cell>
          <cell r="C4314" t="str">
            <v>RPI7582</v>
          </cell>
          <cell r="D4314">
            <v>1201002351569</v>
          </cell>
          <cell r="E4314" t="str">
            <v>SEDANG</v>
          </cell>
          <cell r="F4314" t="str">
            <v>Tidak</v>
          </cell>
          <cell r="G4314" t="str">
            <v>Tidak</v>
          </cell>
          <cell r="H4314" t="str">
            <v>Tidak</v>
          </cell>
          <cell r="I4314" t="str">
            <v>Bandar Judol Withdrawal</v>
          </cell>
          <cell r="J4314">
            <v>60</v>
          </cell>
          <cell r="K4314" t="str">
            <v>86,88,87</v>
          </cell>
          <cell r="L4314" t="str">
            <v>Judi Online</v>
          </cell>
          <cell r="M4314" t="str">
            <v xml:space="preserve">Kas Kanpus                              </v>
          </cell>
          <cell r="N4314" t="str">
            <v xml:space="preserve">Kas Kanpus                              </v>
          </cell>
          <cell r="O4314" t="str">
            <v xml:space="preserve">KAS KANPUS                              </v>
          </cell>
          <cell r="P4314" t="str">
            <v>Tidak</v>
          </cell>
          <cell r="Q4314" t="str">
            <v>Tidak</v>
          </cell>
          <cell r="R4314" t="str">
            <v>Done</v>
          </cell>
          <cell r="S4314" t="str">
            <v>Approved</v>
          </cell>
          <cell r="T4314" t="str">
            <v>90171841 - Rifqi Aziz</v>
          </cell>
          <cell r="U4314" t="str">
            <v>"-"</v>
          </cell>
        </row>
        <row r="4315">
          <cell r="A4315">
            <v>46265</v>
          </cell>
          <cell r="B4315" t="str">
            <v xml:space="preserve">RINO PRATAMA                            </v>
          </cell>
          <cell r="C4315" t="str">
            <v>RPID945</v>
          </cell>
          <cell r="D4315">
            <v>40401068802505</v>
          </cell>
          <cell r="F4315" t="str">
            <v>Tidak</v>
          </cell>
          <cell r="G4315" t="str">
            <v>Tidak</v>
          </cell>
          <cell r="H4315" t="str">
            <v>Tidak</v>
          </cell>
          <cell r="I4315" t="str">
            <v>Bandar Judol Withdrawal</v>
          </cell>
          <cell r="J4315">
            <v>35</v>
          </cell>
          <cell r="K4315" t="str">
            <v>86,88,87</v>
          </cell>
          <cell r="L4315" t="str">
            <v>Judi Online</v>
          </cell>
          <cell r="M4315" t="str">
            <v xml:space="preserve">Kas Kanpus                              </v>
          </cell>
          <cell r="N4315" t="str">
            <v xml:space="preserve">Kas Kanpus                              </v>
          </cell>
          <cell r="O4315" t="str">
            <v xml:space="preserve">KAS KANPUS                              </v>
          </cell>
          <cell r="P4315" t="str">
            <v>Ya</v>
          </cell>
          <cell r="Q4315" t="str">
            <v>Ya</v>
          </cell>
          <cell r="R4315" t="str">
            <v>Done</v>
          </cell>
          <cell r="S4315" t="str">
            <v>Approved</v>
          </cell>
          <cell r="T4315" t="str">
            <v>00394521 - Muhammad Hibbanduta</v>
          </cell>
          <cell r="U4315" t="str">
            <v>"-"</v>
          </cell>
        </row>
        <row r="4316">
          <cell r="A4316">
            <v>46265</v>
          </cell>
          <cell r="B4316" t="str">
            <v xml:space="preserve">RUDIN BIN ENIP                          </v>
          </cell>
          <cell r="C4316" t="str">
            <v>RPSO368</v>
          </cell>
          <cell r="D4316">
            <v>82701047658509</v>
          </cell>
          <cell r="F4316" t="str">
            <v>Tidak</v>
          </cell>
          <cell r="G4316" t="str">
            <v>Tidak</v>
          </cell>
          <cell r="H4316" t="str">
            <v>Tidak</v>
          </cell>
          <cell r="I4316" t="str">
            <v>Bandar Judol Withdrawal</v>
          </cell>
          <cell r="J4316">
            <v>35</v>
          </cell>
          <cell r="K4316" t="str">
            <v>86,88,87</v>
          </cell>
          <cell r="L4316" t="str">
            <v>Judi Online</v>
          </cell>
          <cell r="M4316" t="str">
            <v xml:space="preserve">Kas Kanpus                              </v>
          </cell>
          <cell r="N4316" t="str">
            <v xml:space="preserve">Kas Kanpus                              </v>
          </cell>
          <cell r="O4316" t="str">
            <v xml:space="preserve">KAS KANPUS                              </v>
          </cell>
          <cell r="P4316" t="str">
            <v>Ya</v>
          </cell>
          <cell r="Q4316" t="str">
            <v>Ya</v>
          </cell>
          <cell r="R4316" t="str">
            <v>Done</v>
          </cell>
          <cell r="S4316" t="str">
            <v>Approved</v>
          </cell>
          <cell r="T4316" t="str">
            <v>00394521 - Muhammad Hibbanduta</v>
          </cell>
          <cell r="U4316" t="str">
            <v>"-"</v>
          </cell>
        </row>
        <row r="4317">
          <cell r="A4317">
            <v>46265</v>
          </cell>
          <cell r="B4317" t="str">
            <v xml:space="preserve">RAIHAN ALFAZLY                          </v>
          </cell>
          <cell r="C4317" t="str">
            <v>RPSU984</v>
          </cell>
          <cell r="D4317">
            <v>534101022840500</v>
          </cell>
          <cell r="F4317" t="str">
            <v>Tidak</v>
          </cell>
          <cell r="G4317" t="str">
            <v>Tidak</v>
          </cell>
          <cell r="H4317" t="str">
            <v>Tidak</v>
          </cell>
          <cell r="I4317" t="str">
            <v>Bandar Judol Withdrawal</v>
          </cell>
          <cell r="J4317">
            <v>35</v>
          </cell>
          <cell r="K4317" t="str">
            <v>86,88,87</v>
          </cell>
          <cell r="L4317" t="str">
            <v>Judi Online</v>
          </cell>
          <cell r="M4317" t="str">
            <v xml:space="preserve">Kas Kanpus                              </v>
          </cell>
          <cell r="N4317" t="str">
            <v xml:space="preserve">Kas Kanpus                              </v>
          </cell>
          <cell r="O4317" t="str">
            <v xml:space="preserve">KAS KANPUS                              </v>
          </cell>
          <cell r="P4317" t="str">
            <v>Ya</v>
          </cell>
          <cell r="Q4317" t="str">
            <v>Ya</v>
          </cell>
          <cell r="R4317" t="str">
            <v>Done</v>
          </cell>
          <cell r="S4317" t="str">
            <v>Approved</v>
          </cell>
          <cell r="T4317" t="str">
            <v>00394521 - Muhammad Hibbanduta</v>
          </cell>
          <cell r="U4317" t="str">
            <v>"-"</v>
          </cell>
        </row>
        <row r="4318">
          <cell r="A4318">
            <v>46265</v>
          </cell>
          <cell r="B4318" t="str">
            <v xml:space="preserve">RIDWAN                                  </v>
          </cell>
          <cell r="C4318" t="str">
            <v>RPSZ221</v>
          </cell>
          <cell r="D4318">
            <v>324401005329507</v>
          </cell>
          <cell r="F4318" t="str">
            <v>Tidak</v>
          </cell>
          <cell r="G4318" t="str">
            <v>Tidak</v>
          </cell>
          <cell r="H4318" t="str">
            <v>Tidak</v>
          </cell>
          <cell r="I4318" t="str">
            <v>Bandar Judol Withdrawal</v>
          </cell>
          <cell r="J4318">
            <v>35</v>
          </cell>
          <cell r="K4318" t="str">
            <v>86,88,87</v>
          </cell>
          <cell r="L4318" t="str">
            <v>Judi Online</v>
          </cell>
          <cell r="M4318" t="str">
            <v xml:space="preserve">Kas Kanpus                              </v>
          </cell>
          <cell r="N4318" t="str">
            <v xml:space="preserve">Kas Kanpus                              </v>
          </cell>
          <cell r="O4318" t="str">
            <v xml:space="preserve">KAS KANPUS                              </v>
          </cell>
          <cell r="P4318" t="str">
            <v>Ya</v>
          </cell>
          <cell r="Q4318" t="str">
            <v>Tidak</v>
          </cell>
          <cell r="R4318" t="str">
            <v>Done</v>
          </cell>
          <cell r="S4318" t="str">
            <v>Approved</v>
          </cell>
          <cell r="T4318" t="str">
            <v>90185538 - Muhammad Fahikal Auz</v>
          </cell>
          <cell r="U4318" t="str">
            <v>"-"</v>
          </cell>
        </row>
        <row r="4319">
          <cell r="A4319">
            <v>46265</v>
          </cell>
          <cell r="B4319" t="str">
            <v xml:space="preserve">ROIHAN FIRDAUS                          </v>
          </cell>
          <cell r="C4319" t="str">
            <v>RPTY803</v>
          </cell>
          <cell r="D4319">
            <v>385401006497508</v>
          </cell>
          <cell r="F4319" t="str">
            <v>Tidak</v>
          </cell>
          <cell r="G4319" t="str">
            <v>Tidak</v>
          </cell>
          <cell r="H4319" t="str">
            <v>Tidak</v>
          </cell>
          <cell r="I4319" t="str">
            <v>Bandar Judol Withdrawal</v>
          </cell>
          <cell r="J4319">
            <v>35</v>
          </cell>
          <cell r="K4319" t="str">
            <v>86,88,87</v>
          </cell>
          <cell r="L4319" t="str">
            <v>Judi Online</v>
          </cell>
          <cell r="M4319" t="str">
            <v xml:space="preserve">Kas Kanpus                              </v>
          </cell>
          <cell r="N4319" t="str">
            <v xml:space="preserve">Kas Kanpus                              </v>
          </cell>
          <cell r="O4319" t="str">
            <v xml:space="preserve">KAS KANPUS                              </v>
          </cell>
          <cell r="P4319" t="str">
            <v>Ya</v>
          </cell>
          <cell r="Q4319" t="str">
            <v>Ya</v>
          </cell>
          <cell r="R4319" t="str">
            <v>Done</v>
          </cell>
          <cell r="S4319" t="str">
            <v>Approved</v>
          </cell>
          <cell r="T4319" t="str">
            <v>90185537 - Moh.Khoerul Fajar Ar</v>
          </cell>
          <cell r="U4319" t="str">
            <v>"-"</v>
          </cell>
        </row>
        <row r="4320">
          <cell r="A4320">
            <v>46265</v>
          </cell>
          <cell r="B4320" t="str">
            <v xml:space="preserve">ROSITA DEWI PRATAMA                     </v>
          </cell>
          <cell r="C4320" t="str">
            <v>RPWE169</v>
          </cell>
          <cell r="D4320">
            <v>78701013444506</v>
          </cell>
          <cell r="F4320" t="str">
            <v>Tidak</v>
          </cell>
          <cell r="G4320" t="str">
            <v>Tidak</v>
          </cell>
          <cell r="H4320" t="str">
            <v>Tidak</v>
          </cell>
          <cell r="I4320" t="str">
            <v>Bandar Judol Withdrawal</v>
          </cell>
          <cell r="J4320">
            <v>35</v>
          </cell>
          <cell r="K4320" t="str">
            <v>86,88,87</v>
          </cell>
          <cell r="L4320" t="str">
            <v>Judi Online</v>
          </cell>
          <cell r="M4320" t="str">
            <v xml:space="preserve">Kas Kanpus                              </v>
          </cell>
          <cell r="N4320" t="str">
            <v xml:space="preserve">Kas Kanpus                              </v>
          </cell>
          <cell r="O4320" t="str">
            <v xml:space="preserve">KAS KANPUS                              </v>
          </cell>
          <cell r="P4320" t="str">
            <v>Ya</v>
          </cell>
          <cell r="Q4320" t="str">
            <v>Tidak</v>
          </cell>
          <cell r="R4320" t="str">
            <v>Done</v>
          </cell>
          <cell r="S4320" t="str">
            <v>Approved</v>
          </cell>
          <cell r="T4320" t="str">
            <v>90185537 - Moh.Khoerul Fajar Ar</v>
          </cell>
          <cell r="U4320" t="str">
            <v>"-"</v>
          </cell>
        </row>
        <row r="4321">
          <cell r="A4321">
            <v>46265</v>
          </cell>
          <cell r="B4321" t="str">
            <v xml:space="preserve">RIMBO ASMORO                            </v>
          </cell>
          <cell r="C4321" t="str">
            <v>RPZ7062</v>
          </cell>
          <cell r="D4321">
            <v>228001000157564</v>
          </cell>
          <cell r="E4321" t="str">
            <v>SEDANG</v>
          </cell>
          <cell r="F4321" t="str">
            <v>Tidak</v>
          </cell>
          <cell r="G4321" t="str">
            <v>Tidak</v>
          </cell>
          <cell r="H4321" t="str">
            <v>Tidak</v>
          </cell>
          <cell r="I4321" t="str">
            <v>Bandar Judol Depo</v>
          </cell>
          <cell r="J4321">
            <v>50</v>
          </cell>
          <cell r="K4321" t="str">
            <v>86,74,87</v>
          </cell>
          <cell r="L4321" t="str">
            <v>Judi Online</v>
          </cell>
          <cell r="M4321" t="str">
            <v xml:space="preserve">Kas Kanpus                              </v>
          </cell>
          <cell r="N4321" t="str">
            <v xml:space="preserve">Kas Kanpus                              </v>
          </cell>
          <cell r="O4321" t="str">
            <v xml:space="preserve">KAS KANPUS                              </v>
          </cell>
          <cell r="P4321" t="str">
            <v>Ya</v>
          </cell>
          <cell r="Q4321" t="str">
            <v>Ya</v>
          </cell>
          <cell r="R4321" t="str">
            <v>Done</v>
          </cell>
          <cell r="S4321" t="str">
            <v>Approved</v>
          </cell>
          <cell r="T4321" t="str">
            <v>00336949 - Mochammad Al Farabi</v>
          </cell>
          <cell r="U4321" t="str">
            <v>"-"</v>
          </cell>
        </row>
        <row r="4322">
          <cell r="A4322">
            <v>46265</v>
          </cell>
          <cell r="B4322" t="str">
            <v xml:space="preserve">RAYYHAN NUR AMRI                        </v>
          </cell>
          <cell r="C4322" t="str">
            <v>RQDH281</v>
          </cell>
          <cell r="D4322">
            <v>809001004956503</v>
          </cell>
          <cell r="F4322" t="str">
            <v>Tidak</v>
          </cell>
          <cell r="G4322" t="str">
            <v>Tidak</v>
          </cell>
          <cell r="H4322" t="str">
            <v>Tidak</v>
          </cell>
          <cell r="I4322" t="str">
            <v>Bandar Judol Withdrawal</v>
          </cell>
          <cell r="J4322">
            <v>35</v>
          </cell>
          <cell r="K4322" t="str">
            <v>86,88,87</v>
          </cell>
          <cell r="L4322" t="str">
            <v>Judi Online</v>
          </cell>
          <cell r="M4322" t="str">
            <v xml:space="preserve">Kas Kanpus                              </v>
          </cell>
          <cell r="N4322" t="str">
            <v xml:space="preserve">Kas Kanpus                              </v>
          </cell>
          <cell r="O4322" t="str">
            <v xml:space="preserve">KAS KANPUS                              </v>
          </cell>
          <cell r="P4322" t="str">
            <v>Ya</v>
          </cell>
          <cell r="Q4322" t="str">
            <v>Tidak</v>
          </cell>
          <cell r="R4322" t="str">
            <v>Done</v>
          </cell>
          <cell r="S4322" t="str">
            <v>Approved</v>
          </cell>
          <cell r="T4322" t="str">
            <v>90150130 - Intan Aida Pratiwi</v>
          </cell>
          <cell r="U4322" t="str">
            <v>"-"</v>
          </cell>
        </row>
        <row r="4323">
          <cell r="A4323">
            <v>46265</v>
          </cell>
          <cell r="B4323" t="str">
            <v xml:space="preserve">RIZKI MIFTAHULJANNA                     </v>
          </cell>
          <cell r="C4323" t="str">
            <v>RQC0659</v>
          </cell>
          <cell r="D4323">
            <v>44201075896507</v>
          </cell>
          <cell r="E4323" t="str">
            <v>SEDANG</v>
          </cell>
          <cell r="F4323" t="str">
            <v>Tidak</v>
          </cell>
          <cell r="G4323" t="str">
            <v>Tidak</v>
          </cell>
          <cell r="H4323" t="str">
            <v>Tidak</v>
          </cell>
          <cell r="I4323" t="str">
            <v>Bandar Judol Withdrawal</v>
          </cell>
          <cell r="J4323">
            <v>50</v>
          </cell>
          <cell r="K4323" t="str">
            <v>86,88,87</v>
          </cell>
          <cell r="L4323" t="str">
            <v>Judi Online</v>
          </cell>
          <cell r="M4323" t="str">
            <v xml:space="preserve">Kas Kanpus                              </v>
          </cell>
          <cell r="N4323" t="str">
            <v xml:space="preserve">Kas Kanpus                              </v>
          </cell>
          <cell r="O4323" t="str">
            <v xml:space="preserve">KAS KANPUS                              </v>
          </cell>
          <cell r="P4323" t="str">
            <v>Ya</v>
          </cell>
          <cell r="Q4323" t="str">
            <v>Ya</v>
          </cell>
          <cell r="R4323" t="str">
            <v>Done</v>
          </cell>
          <cell r="S4323" t="str">
            <v>Approved</v>
          </cell>
          <cell r="T4323" t="str">
            <v>90185538 - Muhammad Fahikal Auz</v>
          </cell>
          <cell r="U4323" t="str">
            <v>"-"</v>
          </cell>
        </row>
        <row r="4324">
          <cell r="A4324">
            <v>46265</v>
          </cell>
          <cell r="B4324" t="str">
            <v xml:space="preserve">RUMSIH                                  </v>
          </cell>
          <cell r="C4324" t="str">
            <v>RQCN091</v>
          </cell>
          <cell r="D4324">
            <v>82701048059504</v>
          </cell>
          <cell r="F4324" t="str">
            <v>Tidak</v>
          </cell>
          <cell r="G4324" t="str">
            <v>Tidak</v>
          </cell>
          <cell r="H4324" t="str">
            <v>Tidak</v>
          </cell>
          <cell r="I4324" t="str">
            <v>Bandar Judol Withdrawal</v>
          </cell>
          <cell r="J4324">
            <v>35</v>
          </cell>
          <cell r="K4324" t="str">
            <v>86,88,87</v>
          </cell>
          <cell r="L4324" t="str">
            <v>Judi Online</v>
          </cell>
          <cell r="M4324" t="str">
            <v xml:space="preserve">Kas Kanpus                              </v>
          </cell>
          <cell r="N4324" t="str">
            <v xml:space="preserve">Kas Kanpus                              </v>
          </cell>
          <cell r="O4324" t="str">
            <v xml:space="preserve">KAS KANPUS                              </v>
          </cell>
          <cell r="P4324" t="str">
            <v>Ya</v>
          </cell>
          <cell r="Q4324" t="str">
            <v>Ya</v>
          </cell>
          <cell r="R4324" t="str">
            <v>Done</v>
          </cell>
          <cell r="S4324" t="str">
            <v>Approved</v>
          </cell>
          <cell r="T4324" t="str">
            <v>00336949 - Mochammad Al Farabi</v>
          </cell>
          <cell r="U4324" t="str">
            <v>"-"</v>
          </cell>
        </row>
        <row r="4325">
          <cell r="A4325">
            <v>46265</v>
          </cell>
          <cell r="B4325" t="str">
            <v xml:space="preserve">RAKHA ADRISTY RANGKUTI                  </v>
          </cell>
          <cell r="C4325" t="str">
            <v>RPDG745</v>
          </cell>
          <cell r="D4325">
            <v>531101050946533</v>
          </cell>
          <cell r="F4325" t="str">
            <v>Tidak</v>
          </cell>
          <cell r="G4325" t="str">
            <v>Tidak</v>
          </cell>
          <cell r="H4325" t="str">
            <v>Tidak</v>
          </cell>
          <cell r="I4325" t="str">
            <v>Bandar Judol Withdrawal</v>
          </cell>
          <cell r="J4325">
            <v>35</v>
          </cell>
          <cell r="K4325" t="str">
            <v>86,88,87</v>
          </cell>
          <cell r="L4325" t="str">
            <v>Judi Online</v>
          </cell>
          <cell r="M4325" t="str">
            <v xml:space="preserve">Kas Kanpus                              </v>
          </cell>
          <cell r="N4325" t="str">
            <v xml:space="preserve">Kas Kanpus                              </v>
          </cell>
          <cell r="O4325" t="str">
            <v xml:space="preserve">KAS KANPUS                              </v>
          </cell>
          <cell r="P4325" t="str">
            <v>Ya</v>
          </cell>
          <cell r="Q4325" t="str">
            <v>Ya</v>
          </cell>
          <cell r="R4325" t="str">
            <v>Done</v>
          </cell>
          <cell r="S4325" t="str">
            <v>Approved</v>
          </cell>
          <cell r="T4325" t="str">
            <v>00336949 - Mochammad Al Farabi</v>
          </cell>
          <cell r="U4325" t="str">
            <v>"-"</v>
          </cell>
        </row>
        <row r="4326">
          <cell r="A4326">
            <v>46265</v>
          </cell>
          <cell r="B4326" t="str">
            <v xml:space="preserve">RAMADHANI FEBRIAWAN                     </v>
          </cell>
          <cell r="C4326" t="str">
            <v>RPDP920</v>
          </cell>
          <cell r="D4326">
            <v>109001041505500</v>
          </cell>
          <cell r="F4326" t="str">
            <v>Tidak</v>
          </cell>
          <cell r="G4326" t="str">
            <v>Tidak</v>
          </cell>
          <cell r="H4326" t="str">
            <v>Tidak</v>
          </cell>
          <cell r="I4326" t="str">
            <v>Bandar Judol Withdrawal</v>
          </cell>
          <cell r="J4326">
            <v>35</v>
          </cell>
          <cell r="K4326" t="str">
            <v>86,88,87</v>
          </cell>
          <cell r="L4326" t="str">
            <v>Judi Online</v>
          </cell>
          <cell r="M4326" t="str">
            <v xml:space="preserve">Kas Kanpus                              </v>
          </cell>
          <cell r="N4326" t="str">
            <v xml:space="preserve">Kas Kanpus                              </v>
          </cell>
          <cell r="O4326" t="str">
            <v xml:space="preserve">KAS KANPUS                              </v>
          </cell>
          <cell r="P4326" t="str">
            <v>Ya</v>
          </cell>
          <cell r="Q4326" t="str">
            <v>Ya</v>
          </cell>
          <cell r="R4326" t="str">
            <v>Done</v>
          </cell>
          <cell r="S4326" t="str">
            <v>Approved</v>
          </cell>
          <cell r="T4326" t="str">
            <v>90185537 - Moh.Khoerul Fajar Ar</v>
          </cell>
          <cell r="U4326" t="str">
            <v>"-"</v>
          </cell>
        </row>
        <row r="4327">
          <cell r="A4327">
            <v>46265</v>
          </cell>
          <cell r="B4327" t="str">
            <v xml:space="preserve">RISLIAN SULFIANDA                       </v>
          </cell>
          <cell r="C4327" t="str">
            <v>RPEF603</v>
          </cell>
          <cell r="D4327">
            <v>23801037649535</v>
          </cell>
          <cell r="F4327" t="str">
            <v>Tidak</v>
          </cell>
          <cell r="G4327" t="str">
            <v>Tidak</v>
          </cell>
          <cell r="H4327" t="str">
            <v>Tidak</v>
          </cell>
          <cell r="I4327" t="str">
            <v>Bandar Judol Withdrawal</v>
          </cell>
          <cell r="J4327">
            <v>35</v>
          </cell>
          <cell r="K4327" t="str">
            <v>86,88,87</v>
          </cell>
          <cell r="L4327" t="str">
            <v>Judi Online</v>
          </cell>
          <cell r="M4327" t="str">
            <v xml:space="preserve">Kas Kanpus                              </v>
          </cell>
          <cell r="N4327" t="str">
            <v xml:space="preserve">Kas Kanpus                              </v>
          </cell>
          <cell r="O4327" t="str">
            <v xml:space="preserve">KAS KANPUS                              </v>
          </cell>
          <cell r="P4327" t="str">
            <v>Ya</v>
          </cell>
          <cell r="Q4327" t="str">
            <v>Ya</v>
          </cell>
          <cell r="R4327" t="str">
            <v>Done</v>
          </cell>
          <cell r="S4327" t="str">
            <v>Approved</v>
          </cell>
          <cell r="T4327" t="str">
            <v>90185537 - Moh.Khoerul Fajar Ar</v>
          </cell>
          <cell r="U4327" t="str">
            <v>"-"</v>
          </cell>
        </row>
        <row r="4328">
          <cell r="A4328">
            <v>46265</v>
          </cell>
          <cell r="B4328" t="str">
            <v xml:space="preserve">RAKHMAT ARIEF B                         </v>
          </cell>
          <cell r="C4328" t="str">
            <v>RPEJ558</v>
          </cell>
          <cell r="D4328">
            <v>53101015843507</v>
          </cell>
          <cell r="F4328" t="str">
            <v>Tidak</v>
          </cell>
          <cell r="G4328" t="str">
            <v>Tidak</v>
          </cell>
          <cell r="H4328" t="str">
            <v>Tidak</v>
          </cell>
          <cell r="I4328" t="str">
            <v>Bandar Judol Withdrawal</v>
          </cell>
          <cell r="J4328">
            <v>35</v>
          </cell>
          <cell r="K4328" t="str">
            <v>86,88,87</v>
          </cell>
          <cell r="L4328" t="str">
            <v>Judi Online</v>
          </cell>
          <cell r="M4328" t="str">
            <v xml:space="preserve">Kas Kanpus                              </v>
          </cell>
          <cell r="N4328" t="str">
            <v xml:space="preserve">Kas Kanpus                              </v>
          </cell>
          <cell r="O4328" t="str">
            <v xml:space="preserve">KAS KANPUS                              </v>
          </cell>
          <cell r="P4328" t="str">
            <v>Ya</v>
          </cell>
          <cell r="Q4328" t="str">
            <v>Ya</v>
          </cell>
          <cell r="R4328" t="str">
            <v>Done</v>
          </cell>
          <cell r="S4328" t="str">
            <v>Approved</v>
          </cell>
          <cell r="T4328" t="str">
            <v>00394520 - Frida Akbar Rani</v>
          </cell>
          <cell r="U4328" t="str">
            <v>"-"</v>
          </cell>
        </row>
        <row r="4329">
          <cell r="A4329">
            <v>46265</v>
          </cell>
          <cell r="B4329" t="str">
            <v xml:space="preserve">RIZKI ARISTANTO                         </v>
          </cell>
          <cell r="C4329" t="str">
            <v>ROX1052</v>
          </cell>
          <cell r="D4329">
            <v>8201129366501</v>
          </cell>
          <cell r="E4329" t="str">
            <v>SEDANG</v>
          </cell>
          <cell r="F4329" t="str">
            <v>Tidak</v>
          </cell>
          <cell r="G4329" t="str">
            <v>Tidak</v>
          </cell>
          <cell r="H4329" t="str">
            <v>Tidak</v>
          </cell>
          <cell r="I4329" t="str">
            <v>Bandar Judol Withdrawal</v>
          </cell>
          <cell r="J4329">
            <v>50</v>
          </cell>
          <cell r="K4329" t="str">
            <v>86,88,87</v>
          </cell>
          <cell r="L4329" t="str">
            <v>Judi Online</v>
          </cell>
          <cell r="M4329" t="str">
            <v xml:space="preserve">Kas Kanpus                              </v>
          </cell>
          <cell r="N4329" t="str">
            <v xml:space="preserve">Kas Kanpus                              </v>
          </cell>
          <cell r="O4329" t="str">
            <v xml:space="preserve">KAS KANPUS                              </v>
          </cell>
          <cell r="P4329" t="str">
            <v>Ya</v>
          </cell>
          <cell r="Q4329" t="str">
            <v>Tidak</v>
          </cell>
          <cell r="R4329" t="str">
            <v>Done</v>
          </cell>
          <cell r="S4329" t="str">
            <v>Approved</v>
          </cell>
          <cell r="T4329" t="str">
            <v>00394521 - Muhammad Hibbanduta</v>
          </cell>
          <cell r="U4329" t="str">
            <v>"-"</v>
          </cell>
        </row>
        <row r="4330">
          <cell r="A4330">
            <v>46265</v>
          </cell>
          <cell r="B4330" t="str">
            <v xml:space="preserve">RAHMAT WIJAYA                           </v>
          </cell>
          <cell r="C4330" t="str">
            <v>ROZV947</v>
          </cell>
          <cell r="D4330">
            <v>39901002230565</v>
          </cell>
          <cell r="F4330" t="str">
            <v>Tidak</v>
          </cell>
          <cell r="G4330" t="str">
            <v>Tidak</v>
          </cell>
          <cell r="H4330" t="str">
            <v>Tidak</v>
          </cell>
          <cell r="I4330" t="str">
            <v>Bandar Judol Depo</v>
          </cell>
          <cell r="J4330">
            <v>35</v>
          </cell>
          <cell r="K4330" t="str">
            <v>86,74,87</v>
          </cell>
          <cell r="L4330" t="str">
            <v>Judi Online</v>
          </cell>
          <cell r="M4330" t="str">
            <v xml:space="preserve">Kas Kanpus                              </v>
          </cell>
          <cell r="N4330" t="str">
            <v xml:space="preserve">Kas Kanpus                              </v>
          </cell>
          <cell r="O4330" t="str">
            <v xml:space="preserve">KAS KANPUS                              </v>
          </cell>
          <cell r="P4330" t="str">
            <v>Ya</v>
          </cell>
          <cell r="Q4330" t="str">
            <v>Ya</v>
          </cell>
          <cell r="R4330" t="str">
            <v>Done</v>
          </cell>
          <cell r="S4330" t="str">
            <v>Approved</v>
          </cell>
          <cell r="T4330" t="str">
            <v>90150130 - Intan Aida Pratiwi</v>
          </cell>
          <cell r="U4330" t="str">
            <v>"-"</v>
          </cell>
        </row>
        <row r="4331">
          <cell r="A4331">
            <v>46265</v>
          </cell>
          <cell r="B4331" t="str">
            <v xml:space="preserve">RINDA NUR FAZRIANI                      </v>
          </cell>
          <cell r="C4331" t="str">
            <v>ROSU104</v>
          </cell>
          <cell r="D4331">
            <v>201101000819561</v>
          </cell>
          <cell r="F4331" t="str">
            <v>Tidak</v>
          </cell>
          <cell r="G4331" t="str">
            <v>Tidak</v>
          </cell>
          <cell r="H4331" t="str">
            <v>Tidak</v>
          </cell>
          <cell r="I4331" t="str">
            <v>Bandar Judol Depo</v>
          </cell>
          <cell r="J4331">
            <v>35</v>
          </cell>
          <cell r="K4331" t="str">
            <v>86,74,87</v>
          </cell>
          <cell r="L4331" t="str">
            <v>Judi Online</v>
          </cell>
          <cell r="M4331" t="str">
            <v xml:space="preserve">Kas Kanpus                              </v>
          </cell>
          <cell r="N4331" t="str">
            <v xml:space="preserve">Kas Kanpus                              </v>
          </cell>
          <cell r="O4331" t="str">
            <v xml:space="preserve">KAS KANPUS                              </v>
          </cell>
          <cell r="P4331" t="str">
            <v>Ya</v>
          </cell>
          <cell r="Q4331" t="str">
            <v>Ya</v>
          </cell>
          <cell r="R4331" t="str">
            <v>Done</v>
          </cell>
          <cell r="S4331" t="str">
            <v>Approved</v>
          </cell>
          <cell r="T4331" t="str">
            <v>00394521 - Muhammad Hibbanduta</v>
          </cell>
          <cell r="U4331" t="str">
            <v>"-"</v>
          </cell>
        </row>
        <row r="4332">
          <cell r="A4332">
            <v>46265</v>
          </cell>
          <cell r="B4332" t="str">
            <v xml:space="preserve">RABBANI UKAIL                           </v>
          </cell>
          <cell r="C4332" t="str">
            <v>ROTC184</v>
          </cell>
          <cell r="D4332">
            <v>226401013026508</v>
          </cell>
          <cell r="F4332" t="str">
            <v>Tidak</v>
          </cell>
          <cell r="G4332" t="str">
            <v>Tidak</v>
          </cell>
          <cell r="H4332" t="str">
            <v>Tidak</v>
          </cell>
          <cell r="I4332" t="str">
            <v>Bandar Judol Withdrawal</v>
          </cell>
          <cell r="J4332">
            <v>35</v>
          </cell>
          <cell r="K4332" t="str">
            <v>86,88,87</v>
          </cell>
          <cell r="L4332" t="str">
            <v>Judi Online</v>
          </cell>
          <cell r="M4332" t="str">
            <v xml:space="preserve">Kas Kanpus                              </v>
          </cell>
          <cell r="N4332" t="str">
            <v xml:space="preserve">Kas Kanpus                              </v>
          </cell>
          <cell r="O4332" t="str">
            <v xml:space="preserve">KAS KANPUS                              </v>
          </cell>
          <cell r="P4332" t="str">
            <v>Ya</v>
          </cell>
          <cell r="Q4332" t="str">
            <v>Ya</v>
          </cell>
          <cell r="R4332" t="str">
            <v>Done</v>
          </cell>
          <cell r="S4332" t="str">
            <v>Approved</v>
          </cell>
          <cell r="T4332" t="str">
            <v>00336949 - Mochammad Al Farabi</v>
          </cell>
          <cell r="U4332" t="str">
            <v>"-"</v>
          </cell>
        </row>
        <row r="4333">
          <cell r="A4333">
            <v>46265</v>
          </cell>
          <cell r="B4333" t="str">
            <v xml:space="preserve">REISYA SAFIRA                           </v>
          </cell>
          <cell r="C4333" t="str">
            <v>ROOW007</v>
          </cell>
          <cell r="D4333">
            <v>111701003883530</v>
          </cell>
          <cell r="F4333" t="str">
            <v>Tidak</v>
          </cell>
          <cell r="G4333" t="str">
            <v>Tidak</v>
          </cell>
          <cell r="H4333" t="str">
            <v>Tidak</v>
          </cell>
          <cell r="I4333" t="str">
            <v>Bandar Judol Withdrawal</v>
          </cell>
          <cell r="J4333">
            <v>35</v>
          </cell>
          <cell r="K4333" t="str">
            <v>86,88,87</v>
          </cell>
          <cell r="L4333" t="str">
            <v>Judi Online</v>
          </cell>
          <cell r="M4333" t="str">
            <v xml:space="preserve">Kas Kanpus                              </v>
          </cell>
          <cell r="N4333" t="str">
            <v xml:space="preserve">Kas Kanpus                              </v>
          </cell>
          <cell r="O4333" t="str">
            <v xml:space="preserve">KAS KANPUS                              </v>
          </cell>
          <cell r="P4333" t="str">
            <v>Ya</v>
          </cell>
          <cell r="Q4333" t="str">
            <v>Ya</v>
          </cell>
          <cell r="R4333" t="str">
            <v>Done</v>
          </cell>
          <cell r="S4333" t="str">
            <v>Approved</v>
          </cell>
          <cell r="T4333" t="str">
            <v>90185538 - Muhammad Fahikal Auz</v>
          </cell>
          <cell r="U4333" t="str">
            <v>"-"</v>
          </cell>
        </row>
        <row r="4334">
          <cell r="A4334">
            <v>46265</v>
          </cell>
          <cell r="B4334" t="str">
            <v xml:space="preserve">RANDHIKA ARYA DUTA                      </v>
          </cell>
          <cell r="C4334" t="str">
            <v>RPHA269</v>
          </cell>
          <cell r="D4334">
            <v>39301003716560</v>
          </cell>
          <cell r="F4334" t="str">
            <v>Tidak</v>
          </cell>
          <cell r="G4334" t="str">
            <v>Tidak</v>
          </cell>
          <cell r="H4334" t="str">
            <v>Tidak</v>
          </cell>
          <cell r="I4334" t="str">
            <v>Bandar Judol Depo</v>
          </cell>
          <cell r="J4334">
            <v>35</v>
          </cell>
          <cell r="K4334" t="str">
            <v>86,74,87</v>
          </cell>
          <cell r="L4334" t="str">
            <v>Judi Online</v>
          </cell>
          <cell r="M4334" t="str">
            <v xml:space="preserve">Kas Kanpus                              </v>
          </cell>
          <cell r="N4334" t="str">
            <v xml:space="preserve">Kas Kanpus                              </v>
          </cell>
          <cell r="O4334" t="str">
            <v xml:space="preserve">KAS KANPUS                              </v>
          </cell>
          <cell r="P4334" t="str">
            <v>Ya</v>
          </cell>
          <cell r="Q4334" t="str">
            <v>Ya</v>
          </cell>
          <cell r="R4334" t="str">
            <v>Done</v>
          </cell>
          <cell r="S4334" t="str">
            <v>Approved</v>
          </cell>
          <cell r="T4334" t="str">
            <v>90171841 - Rifqi Aziz</v>
          </cell>
          <cell r="U4334" t="str">
            <v>"-"</v>
          </cell>
        </row>
        <row r="4335">
          <cell r="A4335">
            <v>46265</v>
          </cell>
          <cell r="B4335" t="str">
            <v xml:space="preserve">ROBERT KRISTIAN EFFENDHI                </v>
          </cell>
          <cell r="C4335" t="str">
            <v>RPG9014</v>
          </cell>
          <cell r="D4335">
            <v>12101153745503</v>
          </cell>
          <cell r="E4335" t="str">
            <v>SEDANG</v>
          </cell>
          <cell r="F4335" t="str">
            <v>Tidak</v>
          </cell>
          <cell r="G4335" t="str">
            <v>Tidak</v>
          </cell>
          <cell r="H4335" t="str">
            <v>Tidak</v>
          </cell>
          <cell r="I4335" t="str">
            <v>Bandar Judol Withdrawal</v>
          </cell>
          <cell r="J4335">
            <v>50</v>
          </cell>
          <cell r="K4335" t="str">
            <v>86,88,87</v>
          </cell>
          <cell r="L4335" t="str">
            <v>Judi Online</v>
          </cell>
          <cell r="M4335" t="str">
            <v xml:space="preserve">Kas Kanpus                              </v>
          </cell>
          <cell r="N4335" t="str">
            <v xml:space="preserve">Kas Kanpus                              </v>
          </cell>
          <cell r="O4335" t="str">
            <v xml:space="preserve">KAS KANPUS                              </v>
          </cell>
          <cell r="P4335" t="str">
            <v>Tidak</v>
          </cell>
          <cell r="Q4335" t="str">
            <v>Tidak</v>
          </cell>
          <cell r="R4335" t="str">
            <v>Done</v>
          </cell>
          <cell r="S4335" t="str">
            <v>Approved</v>
          </cell>
          <cell r="T4335" t="str">
            <v>00394521 - Muhammad Hibbanduta</v>
          </cell>
          <cell r="U4335" t="str">
            <v>"-"</v>
          </cell>
        </row>
        <row r="4336">
          <cell r="A4336">
            <v>46265</v>
          </cell>
          <cell r="B4336" t="str">
            <v xml:space="preserve">RIFAN ADITYA KARINDRA                   </v>
          </cell>
          <cell r="C4336" t="str">
            <v>RPGT884</v>
          </cell>
          <cell r="D4336">
            <v>109001041655509</v>
          </cell>
          <cell r="F4336" t="str">
            <v>Tidak</v>
          </cell>
          <cell r="G4336" t="str">
            <v>Tidak</v>
          </cell>
          <cell r="H4336" t="str">
            <v>Tidak</v>
          </cell>
          <cell r="I4336" t="str">
            <v>Bandar Judol Withdrawal</v>
          </cell>
          <cell r="J4336">
            <v>35</v>
          </cell>
          <cell r="K4336" t="str">
            <v>86,88,87</v>
          </cell>
          <cell r="L4336" t="str">
            <v>Judi Online</v>
          </cell>
          <cell r="M4336" t="str">
            <v xml:space="preserve">Kas Kanpus                              </v>
          </cell>
          <cell r="N4336" t="str">
            <v xml:space="preserve">Kas Kanpus                              </v>
          </cell>
          <cell r="O4336" t="str">
            <v xml:space="preserve">KAS KANPUS                              </v>
          </cell>
          <cell r="P4336" t="str">
            <v>Ya</v>
          </cell>
          <cell r="Q4336" t="str">
            <v>Ya</v>
          </cell>
          <cell r="R4336" t="str">
            <v>Done</v>
          </cell>
          <cell r="S4336" t="str">
            <v>Approved</v>
          </cell>
          <cell r="T4336" t="str">
            <v>00394520 - Frida Akbar Rani</v>
          </cell>
          <cell r="U4336" t="str">
            <v>"-"</v>
          </cell>
        </row>
        <row r="4337">
          <cell r="A4337">
            <v>46265</v>
          </cell>
          <cell r="B4337" t="str">
            <v xml:space="preserve">RAFAEL AVALDO                           </v>
          </cell>
          <cell r="C4337" t="str">
            <v>RPAK721</v>
          </cell>
          <cell r="D4337">
            <v>78801002544503</v>
          </cell>
          <cell r="F4337" t="str">
            <v>Tidak</v>
          </cell>
          <cell r="G4337" t="str">
            <v>Tidak</v>
          </cell>
          <cell r="H4337" t="str">
            <v>Tidak</v>
          </cell>
          <cell r="I4337" t="str">
            <v>Bandar Judol Withdrawal</v>
          </cell>
          <cell r="J4337">
            <v>35</v>
          </cell>
          <cell r="K4337" t="str">
            <v>86,88,87</v>
          </cell>
          <cell r="L4337" t="str">
            <v>Judi Online</v>
          </cell>
          <cell r="M4337" t="str">
            <v xml:space="preserve">Kas Kanpus                              </v>
          </cell>
          <cell r="N4337" t="str">
            <v xml:space="preserve">Kas Kanpus                              </v>
          </cell>
          <cell r="O4337" t="str">
            <v xml:space="preserve">KAS KANPUS                              </v>
          </cell>
          <cell r="P4337" t="str">
            <v>Ya</v>
          </cell>
          <cell r="Q4337" t="str">
            <v>Ya</v>
          </cell>
          <cell r="R4337" t="str">
            <v>Done</v>
          </cell>
          <cell r="S4337" t="str">
            <v>Approved</v>
          </cell>
          <cell r="T4337" t="str">
            <v>00394521 - Muhammad Hibbanduta</v>
          </cell>
          <cell r="U4337" t="str">
            <v>"-"</v>
          </cell>
        </row>
        <row r="4338">
          <cell r="A4338">
            <v>46265</v>
          </cell>
          <cell r="B4338" t="str">
            <v xml:space="preserve">ROBY                                    </v>
          </cell>
          <cell r="C4338" t="str">
            <v>RPFW317</v>
          </cell>
          <cell r="D4338">
            <v>481601019134508</v>
          </cell>
          <cell r="F4338" t="str">
            <v>Tidak</v>
          </cell>
          <cell r="G4338" t="str">
            <v>Tidak</v>
          </cell>
          <cell r="H4338" t="str">
            <v>Tidak</v>
          </cell>
          <cell r="I4338" t="str">
            <v>Bandar Judol Withdrawal</v>
          </cell>
          <cell r="J4338">
            <v>35</v>
          </cell>
          <cell r="K4338" t="str">
            <v>86,88,87</v>
          </cell>
          <cell r="L4338" t="str">
            <v>Judi Online</v>
          </cell>
          <cell r="M4338" t="str">
            <v xml:space="preserve">Kas Kanpus                              </v>
          </cell>
          <cell r="N4338" t="str">
            <v xml:space="preserve">Kas Kanpus                              </v>
          </cell>
          <cell r="O4338" t="str">
            <v xml:space="preserve">KAS KANPUS                              </v>
          </cell>
          <cell r="P4338" t="str">
            <v>Ya</v>
          </cell>
          <cell r="Q4338" t="str">
            <v>Ya</v>
          </cell>
          <cell r="R4338" t="str">
            <v>Done</v>
          </cell>
          <cell r="S4338" t="str">
            <v>Approved</v>
          </cell>
          <cell r="T4338" t="str">
            <v>00394520 - Frida Akbar Rani</v>
          </cell>
          <cell r="U4338" t="str">
            <v>"-"</v>
          </cell>
        </row>
        <row r="4339">
          <cell r="A4339">
            <v>46265</v>
          </cell>
          <cell r="B4339" t="str">
            <v xml:space="preserve">RANGGA ARYA SETA LESMANA                </v>
          </cell>
          <cell r="C4339" t="str">
            <v>RPGC465</v>
          </cell>
          <cell r="D4339">
            <v>1901092036509</v>
          </cell>
          <cell r="F4339" t="str">
            <v>Tidak</v>
          </cell>
          <cell r="G4339" t="str">
            <v>Tidak</v>
          </cell>
          <cell r="H4339" t="str">
            <v>Tidak</v>
          </cell>
          <cell r="I4339" t="str">
            <v>Bandar Judol Depo</v>
          </cell>
          <cell r="J4339">
            <v>35</v>
          </cell>
          <cell r="K4339" t="str">
            <v>86,74,87</v>
          </cell>
          <cell r="L4339" t="str">
            <v>Judi Online</v>
          </cell>
          <cell r="M4339" t="str">
            <v xml:space="preserve">Kas Kanpus                              </v>
          </cell>
          <cell r="N4339" t="str">
            <v xml:space="preserve">Kas Kanpus                              </v>
          </cell>
          <cell r="O4339" t="str">
            <v xml:space="preserve">KAS KANPUS                              </v>
          </cell>
          <cell r="P4339" t="str">
            <v>Ya</v>
          </cell>
          <cell r="Q4339" t="str">
            <v>Ya</v>
          </cell>
          <cell r="R4339" t="str">
            <v>Done</v>
          </cell>
          <cell r="S4339" t="str">
            <v>Approved</v>
          </cell>
          <cell r="T4339" t="str">
            <v>90186796 - Devito Arya Wiradila</v>
          </cell>
          <cell r="U4339" t="str">
            <v>"-"</v>
          </cell>
        </row>
        <row r="4340">
          <cell r="A4340">
            <v>46265</v>
          </cell>
          <cell r="B4340" t="str">
            <v xml:space="preserve">RENDY PRADANA                           </v>
          </cell>
          <cell r="C4340" t="str">
            <v>RPGL272</v>
          </cell>
          <cell r="D4340">
            <v>109001041640504</v>
          </cell>
          <cell r="F4340" t="str">
            <v>Tidak</v>
          </cell>
          <cell r="G4340" t="str">
            <v>Tidak</v>
          </cell>
          <cell r="H4340" t="str">
            <v>Tidak</v>
          </cell>
          <cell r="I4340" t="str">
            <v>Bandar Judol Withdrawal</v>
          </cell>
          <cell r="J4340">
            <v>35</v>
          </cell>
          <cell r="K4340" t="str">
            <v>86,88,87</v>
          </cell>
          <cell r="L4340" t="str">
            <v>Judi Online</v>
          </cell>
          <cell r="M4340" t="str">
            <v xml:space="preserve">Kas Kanpus                              </v>
          </cell>
          <cell r="N4340" t="str">
            <v xml:space="preserve">Kas Kanpus                              </v>
          </cell>
          <cell r="O4340" t="str">
            <v xml:space="preserve">KAS KANPUS                              </v>
          </cell>
          <cell r="P4340" t="str">
            <v>Ya</v>
          </cell>
          <cell r="Q4340" t="str">
            <v>Ya</v>
          </cell>
          <cell r="R4340" t="str">
            <v>Done</v>
          </cell>
          <cell r="S4340" t="str">
            <v>Approved</v>
          </cell>
          <cell r="T4340" t="str">
            <v>00336949 - Mochammad Al Farabi</v>
          </cell>
          <cell r="U4340" t="str">
            <v>"-"</v>
          </cell>
        </row>
        <row r="4341">
          <cell r="A4341">
            <v>46265</v>
          </cell>
          <cell r="B4341" t="str">
            <v xml:space="preserve">RISKA DEVIYANTI                         </v>
          </cell>
          <cell r="C4341" t="str">
            <v>RPGL558</v>
          </cell>
          <cell r="D4341">
            <v>321801012971504</v>
          </cell>
          <cell r="F4341" t="str">
            <v>Tidak</v>
          </cell>
          <cell r="G4341" t="str">
            <v>Tidak</v>
          </cell>
          <cell r="H4341" t="str">
            <v>Tidak</v>
          </cell>
          <cell r="I4341" t="str">
            <v>Bandar Judol Withdrawal</v>
          </cell>
          <cell r="J4341">
            <v>35</v>
          </cell>
          <cell r="K4341" t="str">
            <v>86,88,87</v>
          </cell>
          <cell r="L4341" t="str">
            <v>Judi Online</v>
          </cell>
          <cell r="M4341" t="str">
            <v xml:space="preserve">Kas Kanpus                              </v>
          </cell>
          <cell r="N4341" t="str">
            <v xml:space="preserve">Kas Kanpus                              </v>
          </cell>
          <cell r="O4341" t="str">
            <v xml:space="preserve">KAS KANPUS                              </v>
          </cell>
          <cell r="P4341" t="str">
            <v>Tidak</v>
          </cell>
          <cell r="Q4341" t="str">
            <v>Ya</v>
          </cell>
          <cell r="R4341" t="str">
            <v>Done</v>
          </cell>
          <cell r="S4341" t="str">
            <v>Approved</v>
          </cell>
          <cell r="T4341" t="str">
            <v>90150130 - Intan Aida Pratiwi</v>
          </cell>
          <cell r="U4341" t="str">
            <v>"-"</v>
          </cell>
        </row>
        <row r="4342">
          <cell r="A4342">
            <v>46265</v>
          </cell>
          <cell r="B4342" t="str">
            <v xml:space="preserve">RISKA ADZKIA NURAISYAH                  </v>
          </cell>
          <cell r="C4342" t="str">
            <v>RPGL752</v>
          </cell>
          <cell r="D4342">
            <v>44501076681509</v>
          </cell>
          <cell r="F4342" t="str">
            <v>Tidak</v>
          </cell>
          <cell r="G4342" t="str">
            <v>Tidak</v>
          </cell>
          <cell r="H4342" t="str">
            <v>Tidak</v>
          </cell>
          <cell r="I4342" t="str">
            <v>Bandar Judol Depo</v>
          </cell>
          <cell r="J4342">
            <v>35</v>
          </cell>
          <cell r="K4342" t="str">
            <v>86,74,87</v>
          </cell>
          <cell r="L4342" t="str">
            <v>Judi Online</v>
          </cell>
          <cell r="M4342" t="str">
            <v xml:space="preserve">Kas Kanpus                              </v>
          </cell>
          <cell r="N4342" t="str">
            <v xml:space="preserve">Kas Kanpus                              </v>
          </cell>
          <cell r="O4342" t="str">
            <v xml:space="preserve">KAS KANPUS                              </v>
          </cell>
          <cell r="P4342" t="str">
            <v>Ya</v>
          </cell>
          <cell r="Q4342" t="str">
            <v>Ya</v>
          </cell>
          <cell r="R4342" t="str">
            <v>Done</v>
          </cell>
          <cell r="S4342" t="str">
            <v>Approved</v>
          </cell>
          <cell r="T4342" t="str">
            <v>90186796 - Devito Arya Wiradila</v>
          </cell>
          <cell r="U4342" t="str">
            <v>"-"</v>
          </cell>
        </row>
        <row r="4343">
          <cell r="A4343">
            <v>46265</v>
          </cell>
          <cell r="B4343" t="str">
            <v xml:space="preserve">SUPARMAN                                </v>
          </cell>
          <cell r="C4343" t="str">
            <v>SDUTX54</v>
          </cell>
          <cell r="D4343">
            <v>340701053779532</v>
          </cell>
          <cell r="E4343" t="str">
            <v>SEDANG</v>
          </cell>
          <cell r="F4343" t="str">
            <v>Tidak</v>
          </cell>
          <cell r="G4343" t="str">
            <v>Tidak</v>
          </cell>
          <cell r="H4343" t="str">
            <v>Tidak</v>
          </cell>
          <cell r="I4343" t="str">
            <v>Bandar Judol Depo</v>
          </cell>
          <cell r="J4343">
            <v>50</v>
          </cell>
          <cell r="K4343" t="str">
            <v>86,74,87</v>
          </cell>
          <cell r="L4343" t="str">
            <v>Judi Online</v>
          </cell>
          <cell r="M4343" t="str">
            <v xml:space="preserve">Kas Kanpus                              </v>
          </cell>
          <cell r="N4343" t="str">
            <v xml:space="preserve">Kas Kanpus                              </v>
          </cell>
          <cell r="O4343" t="str">
            <v xml:space="preserve">KAS KANPUS                              </v>
          </cell>
          <cell r="P4343" t="str">
            <v>Tidak</v>
          </cell>
          <cell r="Q4343" t="str">
            <v>Tidak</v>
          </cell>
          <cell r="R4343" t="str">
            <v>Done</v>
          </cell>
          <cell r="S4343" t="str">
            <v>Approved</v>
          </cell>
          <cell r="T4343" t="str">
            <v>90150130 - Intan Aida Pratiwi</v>
          </cell>
          <cell r="U4343" t="str">
            <v>"-"</v>
          </cell>
        </row>
        <row r="4344">
          <cell r="A4344">
            <v>46265</v>
          </cell>
          <cell r="B4344" t="str">
            <v xml:space="preserve">SARI                                    </v>
          </cell>
          <cell r="C4344" t="str">
            <v>SDIHX04</v>
          </cell>
          <cell r="D4344">
            <v>53901000507566</v>
          </cell>
          <cell r="E4344" t="str">
            <v>SEDANG</v>
          </cell>
          <cell r="F4344" t="str">
            <v>Tidak</v>
          </cell>
          <cell r="G4344" t="str">
            <v>Tidak</v>
          </cell>
          <cell r="H4344" t="str">
            <v>Tidak</v>
          </cell>
          <cell r="I4344" t="str">
            <v>Bandar Judol Withdrawal</v>
          </cell>
          <cell r="J4344">
            <v>50</v>
          </cell>
          <cell r="K4344" t="str">
            <v>86,88,87</v>
          </cell>
          <cell r="L4344" t="str">
            <v>Judi Online</v>
          </cell>
          <cell r="M4344" t="str">
            <v xml:space="preserve">Kas Kanpus                              </v>
          </cell>
          <cell r="N4344" t="str">
            <v xml:space="preserve">Kas Kanpus                              </v>
          </cell>
          <cell r="O4344" t="str">
            <v xml:space="preserve">KAS KANPUS                              </v>
          </cell>
          <cell r="P4344" t="str">
            <v>Ya</v>
          </cell>
          <cell r="Q4344" t="str">
            <v>Ya</v>
          </cell>
          <cell r="R4344" t="str">
            <v>Done</v>
          </cell>
          <cell r="S4344" t="str">
            <v>Approved</v>
          </cell>
          <cell r="T4344" t="str">
            <v>90150130 - Intan Aida Pratiwi</v>
          </cell>
          <cell r="U4344" t="str">
            <v>"-"</v>
          </cell>
        </row>
        <row r="4345">
          <cell r="A4345">
            <v>46265</v>
          </cell>
          <cell r="B4345" t="str">
            <v xml:space="preserve">SUPRIANTO                               </v>
          </cell>
          <cell r="C4345" t="str">
            <v>SDJBO35</v>
          </cell>
          <cell r="D4345">
            <v>203801009623505</v>
          </cell>
          <cell r="E4345" t="str">
            <v>SEDANG</v>
          </cell>
          <cell r="F4345" t="str">
            <v>Tidak</v>
          </cell>
          <cell r="G4345" t="str">
            <v>Tidak</v>
          </cell>
          <cell r="H4345" t="str">
            <v>Tidak</v>
          </cell>
          <cell r="I4345" t="str">
            <v>Bandar Judol Withdrawal</v>
          </cell>
          <cell r="J4345">
            <v>50</v>
          </cell>
          <cell r="K4345" t="str">
            <v>86,88,87</v>
          </cell>
          <cell r="L4345" t="str">
            <v>Judi Online</v>
          </cell>
          <cell r="M4345" t="str">
            <v xml:space="preserve">Kas Kanpus                              </v>
          </cell>
          <cell r="N4345" t="str">
            <v xml:space="preserve">Kas Kanpus                              </v>
          </cell>
          <cell r="O4345" t="str">
            <v xml:space="preserve">KAS KANPUS                              </v>
          </cell>
          <cell r="P4345" t="str">
            <v>Ya</v>
          </cell>
          <cell r="Q4345" t="str">
            <v>Ya</v>
          </cell>
          <cell r="R4345" t="str">
            <v>Done</v>
          </cell>
          <cell r="S4345" t="str">
            <v>Approved</v>
          </cell>
          <cell r="T4345" t="str">
            <v>90185537 - Moh.Khoerul Fajar Ar</v>
          </cell>
          <cell r="U4345" t="str">
            <v>"-"</v>
          </cell>
        </row>
        <row r="4346">
          <cell r="A4346">
            <v>46265</v>
          </cell>
          <cell r="B4346" t="str">
            <v xml:space="preserve">SALWE RAJA                              </v>
          </cell>
          <cell r="C4346" t="str">
            <v>SDFLB27</v>
          </cell>
          <cell r="D4346">
            <v>732601000042564</v>
          </cell>
          <cell r="E4346" t="str">
            <v>SEDANG</v>
          </cell>
          <cell r="F4346" t="str">
            <v>Tidak</v>
          </cell>
          <cell r="G4346" t="str">
            <v>Tidak</v>
          </cell>
          <cell r="H4346" t="str">
            <v>Tidak</v>
          </cell>
          <cell r="I4346" t="str">
            <v>Bandar Judol Withdrawal</v>
          </cell>
          <cell r="J4346">
            <v>50</v>
          </cell>
          <cell r="K4346" t="str">
            <v>86,88,87</v>
          </cell>
          <cell r="L4346" t="str">
            <v>Judi Online</v>
          </cell>
          <cell r="M4346" t="str">
            <v xml:space="preserve">Kas Kanpus                              </v>
          </cell>
          <cell r="N4346" t="str">
            <v xml:space="preserve">Kas Kanpus                              </v>
          </cell>
          <cell r="O4346" t="str">
            <v xml:space="preserve">KAS KANPUS                              </v>
          </cell>
          <cell r="P4346" t="str">
            <v>Ya</v>
          </cell>
          <cell r="Q4346" t="str">
            <v>Ya</v>
          </cell>
          <cell r="R4346" t="str">
            <v>Done</v>
          </cell>
          <cell r="S4346" t="str">
            <v>Approved</v>
          </cell>
          <cell r="T4346" t="str">
            <v>90171841 - Rifqi Aziz</v>
          </cell>
          <cell r="U4346" t="str">
            <v>"-"</v>
          </cell>
        </row>
        <row r="4347">
          <cell r="A4347">
            <v>46265</v>
          </cell>
          <cell r="B4347" t="str">
            <v xml:space="preserve">SUHERMAN                                </v>
          </cell>
          <cell r="C4347" t="str">
            <v>SDFVD91</v>
          </cell>
          <cell r="D4347">
            <v>1201284250505</v>
          </cell>
          <cell r="E4347" t="str">
            <v>SEDANG</v>
          </cell>
          <cell r="F4347" t="str">
            <v>Tidak</v>
          </cell>
          <cell r="G4347" t="str">
            <v>Tidak</v>
          </cell>
          <cell r="H4347" t="str">
            <v>Tidak</v>
          </cell>
          <cell r="I4347" t="str">
            <v>Bandar Judol Withdrawal</v>
          </cell>
          <cell r="J4347">
            <v>50</v>
          </cell>
          <cell r="K4347" t="str">
            <v>86,88,87</v>
          </cell>
          <cell r="L4347" t="str">
            <v>Judi Online</v>
          </cell>
          <cell r="M4347" t="str">
            <v xml:space="preserve">Kas Kanpus                              </v>
          </cell>
          <cell r="N4347" t="str">
            <v xml:space="preserve">Kas Kanpus                              </v>
          </cell>
          <cell r="O4347" t="str">
            <v xml:space="preserve">KAS KANPUS                              </v>
          </cell>
          <cell r="P4347" t="str">
            <v>Ya</v>
          </cell>
          <cell r="Q4347" t="str">
            <v>Tidak</v>
          </cell>
          <cell r="R4347" t="str">
            <v>Done</v>
          </cell>
          <cell r="S4347" t="str">
            <v>Approved</v>
          </cell>
          <cell r="T4347" t="str">
            <v>00394521 - Muhammad Hibbanduta</v>
          </cell>
          <cell r="U4347" t="str">
            <v>"-"</v>
          </cell>
        </row>
        <row r="4348">
          <cell r="A4348">
            <v>46265</v>
          </cell>
          <cell r="B4348" t="str">
            <v xml:space="preserve">SUBHAN                                  </v>
          </cell>
          <cell r="C4348" t="str">
            <v>SDEUM68</v>
          </cell>
          <cell r="D4348">
            <v>111701024907503</v>
          </cell>
          <cell r="E4348" t="str">
            <v>SEDANG</v>
          </cell>
          <cell r="F4348" t="str">
            <v>Tidak</v>
          </cell>
          <cell r="G4348" t="str">
            <v>Tidak</v>
          </cell>
          <cell r="H4348" t="str">
            <v>Tidak</v>
          </cell>
          <cell r="I4348" t="str">
            <v>Bandar Judol Withdrawal</v>
          </cell>
          <cell r="J4348">
            <v>50</v>
          </cell>
          <cell r="K4348" t="str">
            <v>86,88,87</v>
          </cell>
          <cell r="L4348" t="str">
            <v>Judi Online</v>
          </cell>
          <cell r="M4348" t="str">
            <v xml:space="preserve">Kas Kanpus                              </v>
          </cell>
          <cell r="N4348" t="str">
            <v xml:space="preserve">Kas Kanpus                              </v>
          </cell>
          <cell r="O4348" t="str">
            <v xml:space="preserve">KAS KANPUS                              </v>
          </cell>
          <cell r="P4348" t="str">
            <v>Ya</v>
          </cell>
          <cell r="Q4348" t="str">
            <v>Ya</v>
          </cell>
          <cell r="R4348" t="str">
            <v>Done</v>
          </cell>
          <cell r="S4348" t="str">
            <v>Approved</v>
          </cell>
          <cell r="T4348" t="str">
            <v>90185538 - Muhammad Fahikal Auz</v>
          </cell>
          <cell r="U4348" t="str">
            <v>"-"</v>
          </cell>
        </row>
        <row r="4349">
          <cell r="A4349">
            <v>46265</v>
          </cell>
          <cell r="B4349" t="str">
            <v xml:space="preserve">SAOLIH                                  </v>
          </cell>
          <cell r="C4349" t="str">
            <v>SCJYQ91</v>
          </cell>
          <cell r="D4349">
            <v>12001031401538</v>
          </cell>
          <cell r="E4349" t="str">
            <v>SEDANG</v>
          </cell>
          <cell r="F4349" t="str">
            <v>Tidak</v>
          </cell>
          <cell r="G4349" t="str">
            <v>Tidak</v>
          </cell>
          <cell r="H4349" t="str">
            <v>Tidak</v>
          </cell>
          <cell r="I4349" t="str">
            <v>Bandar Judol Withdrawal</v>
          </cell>
          <cell r="J4349">
            <v>50</v>
          </cell>
          <cell r="K4349" t="str">
            <v>86,88,87</v>
          </cell>
          <cell r="L4349" t="str">
            <v>Judi Online</v>
          </cell>
          <cell r="M4349" t="str">
            <v xml:space="preserve">Kas Kanpus                              </v>
          </cell>
          <cell r="N4349" t="str">
            <v xml:space="preserve">Kas Kanpus                              </v>
          </cell>
          <cell r="O4349" t="str">
            <v xml:space="preserve">KAS KANPUS                              </v>
          </cell>
          <cell r="P4349" t="str">
            <v>Ya</v>
          </cell>
          <cell r="Q4349" t="str">
            <v>Ya</v>
          </cell>
          <cell r="R4349" t="str">
            <v>Done</v>
          </cell>
          <cell r="S4349" t="str">
            <v>Approved</v>
          </cell>
          <cell r="T4349" t="str">
            <v>00336949 - Mochammad Al Farabi</v>
          </cell>
          <cell r="U4349" t="str">
            <v>"-"</v>
          </cell>
        </row>
        <row r="4350">
          <cell r="A4350">
            <v>46265</v>
          </cell>
          <cell r="B4350" t="str">
            <v xml:space="preserve">SUBAN RAPI                              </v>
          </cell>
          <cell r="C4350" t="str">
            <v>SCKC962</v>
          </cell>
          <cell r="D4350">
            <v>457601026392531</v>
          </cell>
          <cell r="E4350" t="str">
            <v>SEDANG</v>
          </cell>
          <cell r="F4350" t="str">
            <v>Tidak</v>
          </cell>
          <cell r="G4350" t="str">
            <v>Tidak</v>
          </cell>
          <cell r="H4350" t="str">
            <v>Tidak</v>
          </cell>
          <cell r="I4350" t="str">
            <v>Narkotika - Area Lapas</v>
          </cell>
          <cell r="J4350">
            <v>50</v>
          </cell>
          <cell r="K4350">
            <v>48</v>
          </cell>
          <cell r="L4350" t="str">
            <v>Narkotika</v>
          </cell>
          <cell r="M4350" t="str">
            <v>UNIT PASAR INPRES SAMPIT</v>
          </cell>
          <cell r="N4350" t="str">
            <v>KC Sampit</v>
          </cell>
          <cell r="O4350" t="str">
            <v>Banjarmasin</v>
          </cell>
          <cell r="P4350" t="str">
            <v>Tidak</v>
          </cell>
          <cell r="Q4350" t="str">
            <v>Tidak</v>
          </cell>
          <cell r="R4350" t="str">
            <v>Done</v>
          </cell>
          <cell r="S4350" t="str">
            <v>Approved</v>
          </cell>
          <cell r="T4350" t="str">
            <v>00394520 - Frida Akbar Rani</v>
          </cell>
          <cell r="U4350" t="str">
            <v>"-"</v>
          </cell>
        </row>
        <row r="4351">
          <cell r="A4351">
            <v>46265</v>
          </cell>
          <cell r="B4351" t="str">
            <v xml:space="preserve">SELVI SUSANTI                           </v>
          </cell>
          <cell r="C4351" t="str">
            <v>SCKIU01</v>
          </cell>
          <cell r="D4351">
            <v>43801003244563</v>
          </cell>
          <cell r="E4351" t="str">
            <v>TINGGI</v>
          </cell>
          <cell r="F4351" t="str">
            <v>Tidak</v>
          </cell>
          <cell r="G4351" t="str">
            <v>Tidak</v>
          </cell>
          <cell r="H4351" t="str">
            <v>Tidak</v>
          </cell>
          <cell r="I4351" t="str">
            <v>Bandar Judol Depo</v>
          </cell>
          <cell r="J4351">
            <v>65</v>
          </cell>
          <cell r="K4351" t="str">
            <v>86,74,87</v>
          </cell>
          <cell r="L4351" t="str">
            <v>Judi Online</v>
          </cell>
          <cell r="M4351" t="str">
            <v xml:space="preserve">Kas Kanpus                              </v>
          </cell>
          <cell r="N4351" t="str">
            <v xml:space="preserve">Kas Kanpus                              </v>
          </cell>
          <cell r="O4351" t="str">
            <v xml:space="preserve">KAS KANPUS                              </v>
          </cell>
          <cell r="P4351" t="str">
            <v>Ya</v>
          </cell>
          <cell r="Q4351" t="str">
            <v>Ya</v>
          </cell>
          <cell r="R4351" t="str">
            <v>Done</v>
          </cell>
          <cell r="S4351" t="str">
            <v>Approved</v>
          </cell>
          <cell r="T4351" t="str">
            <v>00394520 - Frida Akbar Rani</v>
          </cell>
          <cell r="U4351" t="str">
            <v>"-"</v>
          </cell>
        </row>
        <row r="4352">
          <cell r="A4352">
            <v>46265</v>
          </cell>
          <cell r="B4352" t="str">
            <v xml:space="preserve">SUSANTO                                 </v>
          </cell>
          <cell r="C4352" t="str">
            <v>SCYNM30</v>
          </cell>
          <cell r="D4352">
            <v>20801079424502</v>
          </cell>
          <cell r="E4352" t="str">
            <v>SEDANG</v>
          </cell>
          <cell r="F4352" t="str">
            <v>Tidak</v>
          </cell>
          <cell r="G4352" t="str">
            <v>Tidak</v>
          </cell>
          <cell r="H4352" t="str">
            <v>Tidak</v>
          </cell>
          <cell r="I4352" t="str">
            <v>Bandar Judol Withdrawal</v>
          </cell>
          <cell r="J4352">
            <v>50</v>
          </cell>
          <cell r="K4352" t="str">
            <v>86,88,87</v>
          </cell>
          <cell r="L4352" t="str">
            <v>Judi Online</v>
          </cell>
          <cell r="M4352" t="str">
            <v xml:space="preserve">Kas Kanpus                              </v>
          </cell>
          <cell r="N4352" t="str">
            <v xml:space="preserve">Kas Kanpus                              </v>
          </cell>
          <cell r="O4352" t="str">
            <v xml:space="preserve">KAS KANPUS                              </v>
          </cell>
          <cell r="P4352" t="str">
            <v>Ya</v>
          </cell>
          <cell r="Q4352" t="str">
            <v>Ya</v>
          </cell>
          <cell r="R4352" t="str">
            <v>Done</v>
          </cell>
          <cell r="S4352" t="str">
            <v>Approved</v>
          </cell>
          <cell r="T4352" t="str">
            <v>90150130 - Intan Aida Pratiwi</v>
          </cell>
          <cell r="U4352" t="str">
            <v>"-"</v>
          </cell>
        </row>
        <row r="4353">
          <cell r="A4353">
            <v>46265</v>
          </cell>
          <cell r="B4353" t="str">
            <v xml:space="preserve">SURIADI                                 </v>
          </cell>
          <cell r="C4353" t="str">
            <v>SCZSJ67</v>
          </cell>
          <cell r="D4353">
            <v>65801000870561</v>
          </cell>
          <cell r="E4353" t="str">
            <v>SEDANG</v>
          </cell>
          <cell r="F4353" t="str">
            <v>Tidak</v>
          </cell>
          <cell r="G4353" t="str">
            <v>Tidak</v>
          </cell>
          <cell r="H4353" t="str">
            <v>Tidak</v>
          </cell>
          <cell r="I4353" t="str">
            <v>Bandar Judol Withdrawal</v>
          </cell>
          <cell r="J4353">
            <v>50</v>
          </cell>
          <cell r="K4353" t="str">
            <v>86,88,87</v>
          </cell>
          <cell r="L4353" t="str">
            <v>Judi Online</v>
          </cell>
          <cell r="M4353" t="str">
            <v xml:space="preserve">Kas Kanpus                              </v>
          </cell>
          <cell r="N4353" t="str">
            <v xml:space="preserve">Kas Kanpus                              </v>
          </cell>
          <cell r="O4353" t="str">
            <v xml:space="preserve">KAS KANPUS                              </v>
          </cell>
          <cell r="P4353" t="str">
            <v>Ya</v>
          </cell>
          <cell r="Q4353" t="str">
            <v>Ya</v>
          </cell>
          <cell r="R4353" t="str">
            <v>Done</v>
          </cell>
          <cell r="S4353" t="str">
            <v>Approved</v>
          </cell>
          <cell r="T4353" t="str">
            <v>00394521 - Muhammad Hibbanduta</v>
          </cell>
          <cell r="U4353" t="str">
            <v>"-"</v>
          </cell>
        </row>
        <row r="4354">
          <cell r="A4354">
            <v>46265</v>
          </cell>
          <cell r="B4354" t="str">
            <v xml:space="preserve">SITI NURBAYA                            </v>
          </cell>
          <cell r="C4354" t="str">
            <v>SCSOD15</v>
          </cell>
          <cell r="D4354">
            <v>108801000658569</v>
          </cell>
          <cell r="E4354" t="str">
            <v>SEDANG</v>
          </cell>
          <cell r="F4354" t="str">
            <v>Tidak</v>
          </cell>
          <cell r="G4354" t="str">
            <v>Tidak</v>
          </cell>
          <cell r="H4354" t="str">
            <v>Tidak</v>
          </cell>
          <cell r="I4354" t="str">
            <v>Bandar Judol Withdrawal</v>
          </cell>
          <cell r="J4354">
            <v>50</v>
          </cell>
          <cell r="K4354" t="str">
            <v>86,88,87</v>
          </cell>
          <cell r="L4354" t="str">
            <v>Judi Online</v>
          </cell>
          <cell r="M4354" t="str">
            <v xml:space="preserve">Kas Kanpus                              </v>
          </cell>
          <cell r="N4354" t="str">
            <v xml:space="preserve">Kas Kanpus                              </v>
          </cell>
          <cell r="O4354" t="str">
            <v xml:space="preserve">KAS KANPUS                              </v>
          </cell>
          <cell r="P4354" t="str">
            <v>Ya</v>
          </cell>
          <cell r="Q4354" t="str">
            <v>Ya</v>
          </cell>
          <cell r="R4354" t="str">
            <v>Done</v>
          </cell>
          <cell r="S4354" t="str">
            <v>Approved</v>
          </cell>
          <cell r="T4354" t="str">
            <v>90150130 - Intan Aida Pratiwi</v>
          </cell>
          <cell r="U4354" t="str">
            <v>"-"</v>
          </cell>
        </row>
        <row r="4355">
          <cell r="A4355">
            <v>46265</v>
          </cell>
          <cell r="B4355" t="str">
            <v xml:space="preserve">SILVIA                                  </v>
          </cell>
          <cell r="C4355" t="str">
            <v>SC44575</v>
          </cell>
          <cell r="D4355">
            <v>9101018821502</v>
          </cell>
          <cell r="E4355" t="str">
            <v>SEDANG</v>
          </cell>
          <cell r="F4355" t="str">
            <v>Tidak</v>
          </cell>
          <cell r="G4355" t="str">
            <v>Tidak</v>
          </cell>
          <cell r="H4355" t="str">
            <v>Tidak</v>
          </cell>
          <cell r="I4355" t="str">
            <v>Pencurian Rekening</v>
          </cell>
          <cell r="J4355">
            <v>49</v>
          </cell>
          <cell r="K4355">
            <v>59</v>
          </cell>
          <cell r="L4355" t="str">
            <v>Perbankan</v>
          </cell>
          <cell r="M4355" t="str">
            <v xml:space="preserve">KC Solok                                </v>
          </cell>
          <cell r="N4355" t="str">
            <v xml:space="preserve">KC Solok                                </v>
          </cell>
          <cell r="O4355" t="str">
            <v xml:space="preserve">Padang                                  </v>
          </cell>
          <cell r="P4355" t="str">
            <v>Tidak</v>
          </cell>
          <cell r="Q4355" t="str">
            <v>Tidak</v>
          </cell>
          <cell r="R4355" t="str">
            <v>Done</v>
          </cell>
          <cell r="S4355" t="str">
            <v>Approved</v>
          </cell>
          <cell r="T4355" t="str">
            <v>00336949 - Mochammad Al Farabi</v>
          </cell>
          <cell r="U4355" t="str">
            <v>"-"</v>
          </cell>
        </row>
        <row r="4356">
          <cell r="A4356">
            <v>46265</v>
          </cell>
          <cell r="B4356" t="str">
            <v xml:space="preserve">SAHALA HASOLOAN SIJABAT                 </v>
          </cell>
          <cell r="C4356" t="str">
            <v>SBWJ418</v>
          </cell>
          <cell r="D4356">
            <v>5326599000011970</v>
          </cell>
          <cell r="E4356" t="str">
            <v>TINGGI</v>
          </cell>
          <cell r="F4356" t="str">
            <v>Tidak</v>
          </cell>
          <cell r="G4356" t="str">
            <v>Tidak</v>
          </cell>
          <cell r="H4356" t="str">
            <v>Tidak</v>
          </cell>
          <cell r="I4356" t="str">
            <v>Private or Priority Customer Investment</v>
          </cell>
          <cell r="J4356">
            <v>83</v>
          </cell>
          <cell r="K4356">
            <v>93</v>
          </cell>
          <cell r="L4356" t="str">
            <v>Pasar Modal</v>
          </cell>
          <cell r="M4356" t="str">
            <v xml:space="preserve">KC Medan Putri Hijau                    </v>
          </cell>
          <cell r="N4356" t="str">
            <v xml:space="preserve">KC Medan Putri Hijau                    </v>
          </cell>
          <cell r="O4356" t="str">
            <v xml:space="preserve">Medan                                   </v>
          </cell>
          <cell r="P4356" t="str">
            <v>Tidak</v>
          </cell>
          <cell r="Q4356" t="str">
            <v>Tidak</v>
          </cell>
          <cell r="R4356" t="str">
            <v>Done</v>
          </cell>
          <cell r="S4356" t="str">
            <v>Approved</v>
          </cell>
          <cell r="T4356" t="str">
            <v>00394521 - Muhammad Hibbanduta</v>
          </cell>
          <cell r="U4356" t="str">
            <v>"-"</v>
          </cell>
        </row>
        <row r="4357">
          <cell r="A4357">
            <v>46265</v>
          </cell>
          <cell r="B4357" t="str">
            <v xml:space="preserve">SAHADI                                  </v>
          </cell>
          <cell r="C4357" t="str">
            <v>SBVNE02</v>
          </cell>
          <cell r="D4357">
            <v>119101007079531</v>
          </cell>
          <cell r="E4357" t="str">
            <v>SEDANG</v>
          </cell>
          <cell r="F4357" t="str">
            <v>Tidak</v>
          </cell>
          <cell r="G4357" t="str">
            <v>Tidak</v>
          </cell>
          <cell r="H4357" t="str">
            <v>Tidak</v>
          </cell>
          <cell r="I4357" t="str">
            <v>Bandar Judol Withdrawal</v>
          </cell>
          <cell r="J4357">
            <v>50</v>
          </cell>
          <cell r="K4357" t="str">
            <v>86,88,87</v>
          </cell>
          <cell r="L4357" t="str">
            <v>Judi Online</v>
          </cell>
          <cell r="M4357" t="str">
            <v xml:space="preserve">Kas Kanpus                              </v>
          </cell>
          <cell r="N4357" t="str">
            <v xml:space="preserve">Kas Kanpus                              </v>
          </cell>
          <cell r="O4357" t="str">
            <v xml:space="preserve">KAS KANPUS                              </v>
          </cell>
          <cell r="P4357" t="str">
            <v>Ya</v>
          </cell>
          <cell r="Q4357" t="str">
            <v>Ya</v>
          </cell>
          <cell r="R4357" t="str">
            <v>Done</v>
          </cell>
          <cell r="S4357" t="str">
            <v>Approved</v>
          </cell>
          <cell r="T4357" t="str">
            <v>90185537 - Moh.Khoerul Fajar Ar</v>
          </cell>
          <cell r="U4357" t="str">
            <v>"-"</v>
          </cell>
        </row>
        <row r="4358">
          <cell r="A4358">
            <v>46265</v>
          </cell>
          <cell r="B4358" t="str">
            <v xml:space="preserve">SUPRIATI                                </v>
          </cell>
          <cell r="C4358" t="str">
            <v>SACFI17</v>
          </cell>
          <cell r="D4358">
            <v>56001018397534</v>
          </cell>
          <cell r="E4358" t="str">
            <v>SEDANG</v>
          </cell>
          <cell r="F4358" t="str">
            <v>Tidak</v>
          </cell>
          <cell r="G4358" t="str">
            <v>Tidak</v>
          </cell>
          <cell r="H4358" t="str">
            <v>Tidak</v>
          </cell>
          <cell r="I4358" t="str">
            <v>Bandar Judol Depo</v>
          </cell>
          <cell r="J4358">
            <v>50</v>
          </cell>
          <cell r="K4358" t="str">
            <v>86,74,87</v>
          </cell>
          <cell r="L4358" t="str">
            <v>Judi Online</v>
          </cell>
          <cell r="M4358" t="str">
            <v xml:space="preserve">Kas Kanpus                              </v>
          </cell>
          <cell r="N4358" t="str">
            <v xml:space="preserve">Kas Kanpus                              </v>
          </cell>
          <cell r="O4358" t="str">
            <v xml:space="preserve">KAS KANPUS                              </v>
          </cell>
          <cell r="P4358" t="str">
            <v>Ya</v>
          </cell>
          <cell r="Q4358" t="str">
            <v>Ya</v>
          </cell>
          <cell r="R4358" t="str">
            <v>Done</v>
          </cell>
          <cell r="S4358" t="str">
            <v>Approved</v>
          </cell>
          <cell r="T4358" t="str">
            <v>90186790 - Muhammad Alfin Farha</v>
          </cell>
          <cell r="U4358" t="str">
            <v>"-"</v>
          </cell>
        </row>
        <row r="4359">
          <cell r="A4359">
            <v>46265</v>
          </cell>
          <cell r="B4359" t="str">
            <v xml:space="preserve">RENALDO TARIGAN                         </v>
          </cell>
          <cell r="C4359" t="str">
            <v>RWA3719</v>
          </cell>
          <cell r="D4359">
            <v>33601024994535</v>
          </cell>
          <cell r="E4359" t="str">
            <v>SEDANG</v>
          </cell>
          <cell r="F4359" t="str">
            <v>Tidak</v>
          </cell>
          <cell r="G4359" t="str">
            <v>Tidak</v>
          </cell>
          <cell r="H4359" t="str">
            <v>Tidak</v>
          </cell>
          <cell r="I4359" t="str">
            <v>Bandar Judol Withdrawal</v>
          </cell>
          <cell r="J4359">
            <v>50</v>
          </cell>
          <cell r="K4359" t="str">
            <v>86,88,87</v>
          </cell>
          <cell r="L4359" t="str">
            <v>Judi Online</v>
          </cell>
          <cell r="M4359" t="str">
            <v xml:space="preserve">Kas Kanpus                              </v>
          </cell>
          <cell r="N4359" t="str">
            <v xml:space="preserve">Kas Kanpus                              </v>
          </cell>
          <cell r="O4359" t="str">
            <v xml:space="preserve">KAS KANPUS                              </v>
          </cell>
          <cell r="P4359" t="str">
            <v>Ya</v>
          </cell>
          <cell r="Q4359" t="str">
            <v>Ya</v>
          </cell>
          <cell r="R4359" t="str">
            <v>Done</v>
          </cell>
          <cell r="S4359" t="str">
            <v>Approved</v>
          </cell>
          <cell r="T4359" t="str">
            <v>00394520 - Frida Akbar Rani</v>
          </cell>
          <cell r="U4359" t="str">
            <v>"-"</v>
          </cell>
        </row>
        <row r="4360">
          <cell r="A4360">
            <v>46265</v>
          </cell>
          <cell r="B4360" t="str">
            <v xml:space="preserve">RIDHO SURYA ATMAJA                      </v>
          </cell>
          <cell r="C4360" t="str">
            <v>RXA6862</v>
          </cell>
          <cell r="D4360">
            <v>1901167344502</v>
          </cell>
          <cell r="E4360" t="str">
            <v>SEDANG</v>
          </cell>
          <cell r="F4360" t="str">
            <v>Tidak</v>
          </cell>
          <cell r="G4360" t="str">
            <v>Tidak</v>
          </cell>
          <cell r="H4360" t="str">
            <v>Tidak</v>
          </cell>
          <cell r="I4360" t="str">
            <v>Bandar Judol Withdrawal</v>
          </cell>
          <cell r="J4360">
            <v>50</v>
          </cell>
          <cell r="K4360" t="str">
            <v>86,88,87</v>
          </cell>
          <cell r="L4360" t="str">
            <v>Judi Online</v>
          </cell>
          <cell r="M4360" t="str">
            <v xml:space="preserve">Kas Kanpus                              </v>
          </cell>
          <cell r="N4360" t="str">
            <v xml:space="preserve">Kas Kanpus                              </v>
          </cell>
          <cell r="O4360" t="str">
            <v xml:space="preserve">KAS KANPUS                              </v>
          </cell>
          <cell r="P4360" t="str">
            <v>Ya</v>
          </cell>
          <cell r="Q4360" t="str">
            <v>Ya</v>
          </cell>
          <cell r="R4360" t="str">
            <v>Done</v>
          </cell>
          <cell r="S4360" t="str">
            <v>Approved</v>
          </cell>
          <cell r="T4360" t="str">
            <v>90186790 - Muhammad Alfin Farha</v>
          </cell>
          <cell r="U4360" t="str">
            <v>"-"</v>
          </cell>
        </row>
        <row r="4361">
          <cell r="A4361">
            <v>46265</v>
          </cell>
          <cell r="B4361" t="str">
            <v xml:space="preserve">RACHMAT HARYADI                         </v>
          </cell>
          <cell r="C4361" t="str">
            <v>RZ08115</v>
          </cell>
          <cell r="D4361">
            <v>90901077395537</v>
          </cell>
          <cell r="E4361" t="str">
            <v>SEDANG</v>
          </cell>
          <cell r="F4361" t="str">
            <v>Tidak</v>
          </cell>
          <cell r="G4361" t="str">
            <v>Tidak</v>
          </cell>
          <cell r="H4361" t="str">
            <v>Tidak</v>
          </cell>
          <cell r="I4361" t="str">
            <v>Bandar Judol Withdrawal</v>
          </cell>
          <cell r="J4361">
            <v>50</v>
          </cell>
          <cell r="K4361" t="str">
            <v>86,88,87</v>
          </cell>
          <cell r="L4361" t="str">
            <v>Judi Online</v>
          </cell>
          <cell r="M4361" t="str">
            <v xml:space="preserve">Kas Kanpus                              </v>
          </cell>
          <cell r="N4361" t="str">
            <v xml:space="preserve">Kas Kanpus                              </v>
          </cell>
          <cell r="O4361" t="str">
            <v xml:space="preserve">KAS KANPUS                              </v>
          </cell>
          <cell r="P4361" t="str">
            <v>Tidak</v>
          </cell>
          <cell r="Q4361" t="str">
            <v>Ya</v>
          </cell>
          <cell r="R4361" t="str">
            <v>Done</v>
          </cell>
          <cell r="S4361" t="str">
            <v>Approved</v>
          </cell>
          <cell r="T4361" t="str">
            <v>00394521 - Muhammad Hibbanduta</v>
          </cell>
          <cell r="U4361" t="str">
            <v>"-"</v>
          </cell>
        </row>
        <row r="4362">
          <cell r="A4362">
            <v>46265</v>
          </cell>
          <cell r="B4362" t="str">
            <v xml:space="preserve">SUYONO                                  </v>
          </cell>
          <cell r="C4362" t="str">
            <v>S638329</v>
          </cell>
          <cell r="D4362">
            <v>15801007329503</v>
          </cell>
          <cell r="E4362" t="str">
            <v>TINGGI</v>
          </cell>
          <cell r="F4362" t="str">
            <v>Tidak</v>
          </cell>
          <cell r="G4362" t="str">
            <v>Tidak</v>
          </cell>
          <cell r="H4362" t="str">
            <v>Tidak</v>
          </cell>
          <cell r="I4362" t="str">
            <v>Terorisme - SIPENDAR</v>
          </cell>
          <cell r="J4362">
            <v>188</v>
          </cell>
          <cell r="K4362">
            <v>36</v>
          </cell>
          <cell r="L4362" t="str">
            <v>Terorisme</v>
          </cell>
          <cell r="M4362" t="str">
            <v xml:space="preserve">Kas Kanpus                              </v>
          </cell>
          <cell r="N4362" t="str">
            <v xml:space="preserve">Kas Kanpus                              </v>
          </cell>
          <cell r="O4362" t="str">
            <v xml:space="preserve">KAS KANPUS                              </v>
          </cell>
          <cell r="P4362" t="str">
            <v>Tidak</v>
          </cell>
          <cell r="Q4362" t="str">
            <v>Tidak</v>
          </cell>
          <cell r="R4362" t="str">
            <v>Done</v>
          </cell>
          <cell r="S4362" t="str">
            <v>Approved</v>
          </cell>
          <cell r="T4362" t="str">
            <v>90171841 - Rifqi Aziz</v>
          </cell>
          <cell r="U4362" t="str">
            <v>"-"</v>
          </cell>
        </row>
        <row r="4363">
          <cell r="A4363">
            <v>46265</v>
          </cell>
          <cell r="B4363" t="str">
            <v xml:space="preserve">SARLINA LUBIS                           </v>
          </cell>
          <cell r="C4363" t="str">
            <v>SAQLP05</v>
          </cell>
          <cell r="D4363">
            <v>65801000700562</v>
          </cell>
          <cell r="E4363" t="str">
            <v>SEDANG</v>
          </cell>
          <cell r="F4363" t="str">
            <v>Tidak</v>
          </cell>
          <cell r="G4363" t="str">
            <v>Tidak</v>
          </cell>
          <cell r="H4363" t="str">
            <v>Tidak</v>
          </cell>
          <cell r="I4363" t="str">
            <v>Bandar Judol Withdrawal</v>
          </cell>
          <cell r="J4363">
            <v>50</v>
          </cell>
          <cell r="K4363" t="str">
            <v>86,88,87</v>
          </cell>
          <cell r="L4363" t="str">
            <v>Judi Online</v>
          </cell>
          <cell r="M4363" t="str">
            <v xml:space="preserve">Kas Kanpus                              </v>
          </cell>
          <cell r="N4363" t="str">
            <v xml:space="preserve">Kas Kanpus                              </v>
          </cell>
          <cell r="O4363" t="str">
            <v xml:space="preserve">KAS KANPUS                              </v>
          </cell>
          <cell r="P4363" t="str">
            <v>Ya</v>
          </cell>
          <cell r="Q4363" t="str">
            <v>Ya</v>
          </cell>
          <cell r="R4363" t="str">
            <v>Done</v>
          </cell>
          <cell r="S4363" t="str">
            <v>Approved</v>
          </cell>
          <cell r="T4363" t="str">
            <v>00336949 - Mochammad Al Farabi</v>
          </cell>
          <cell r="U4363" t="str">
            <v>"-"</v>
          </cell>
        </row>
        <row r="4364">
          <cell r="A4364">
            <v>46265</v>
          </cell>
          <cell r="B4364" t="str">
            <v xml:space="preserve">SUYATMAN                                </v>
          </cell>
          <cell r="C4364" t="str">
            <v>SADPG50</v>
          </cell>
          <cell r="D4364">
            <v>33601160062505</v>
          </cell>
          <cell r="E4364" t="str">
            <v>SEDANG</v>
          </cell>
          <cell r="F4364" t="str">
            <v>Tidak</v>
          </cell>
          <cell r="G4364" t="str">
            <v>Tidak</v>
          </cell>
          <cell r="H4364" t="str">
            <v>Tidak</v>
          </cell>
          <cell r="I4364" t="str">
            <v>Bandar Judol Withdrawal</v>
          </cell>
          <cell r="J4364">
            <v>50</v>
          </cell>
          <cell r="K4364" t="str">
            <v>86,88,87</v>
          </cell>
          <cell r="L4364" t="str">
            <v>Judi Online</v>
          </cell>
          <cell r="M4364" t="str">
            <v xml:space="preserve">Kas Kanpus                              </v>
          </cell>
          <cell r="N4364" t="str">
            <v xml:space="preserve">Kas Kanpus                              </v>
          </cell>
          <cell r="O4364" t="str">
            <v xml:space="preserve">KAS KANPUS                              </v>
          </cell>
          <cell r="P4364" t="str">
            <v>Ya</v>
          </cell>
          <cell r="Q4364" t="str">
            <v>Ya</v>
          </cell>
          <cell r="R4364" t="str">
            <v>Done</v>
          </cell>
          <cell r="S4364" t="str">
            <v>Approved</v>
          </cell>
          <cell r="T4364" t="str">
            <v>90171841 - Rifqi Aziz</v>
          </cell>
          <cell r="U4364" t="str">
            <v>"-"</v>
          </cell>
        </row>
        <row r="4365">
          <cell r="A4365">
            <v>46265</v>
          </cell>
          <cell r="B4365" t="str">
            <v xml:space="preserve">SONANG HALOMOAN                         </v>
          </cell>
          <cell r="C4365" t="str">
            <v>SEPVM24</v>
          </cell>
          <cell r="D4365">
            <v>215101017654504</v>
          </cell>
          <cell r="E4365" t="str">
            <v>RENDAH</v>
          </cell>
          <cell r="F4365" t="str">
            <v>Tidak</v>
          </cell>
          <cell r="G4365" t="str">
            <v>Tidak</v>
          </cell>
          <cell r="H4365" t="str">
            <v>Tidak</v>
          </cell>
          <cell r="I4365" t="str">
            <v>Bandar Judol Depo</v>
          </cell>
          <cell r="J4365">
            <v>35</v>
          </cell>
          <cell r="K4365" t="str">
            <v>86,74,87</v>
          </cell>
          <cell r="L4365" t="str">
            <v>Judi Online</v>
          </cell>
          <cell r="M4365" t="str">
            <v xml:space="preserve">Kas Kanpus                              </v>
          </cell>
          <cell r="N4365" t="str">
            <v xml:space="preserve">Kas Kanpus                              </v>
          </cell>
          <cell r="O4365" t="str">
            <v xml:space="preserve">KAS KANPUS                              </v>
          </cell>
          <cell r="P4365" t="str">
            <v>Ya</v>
          </cell>
          <cell r="Q4365" t="str">
            <v>Ya</v>
          </cell>
          <cell r="R4365" t="str">
            <v>Done</v>
          </cell>
          <cell r="S4365" t="str">
            <v>Approved</v>
          </cell>
          <cell r="T4365" t="str">
            <v>90186796 - Devito Arya Wiradila</v>
          </cell>
          <cell r="U4365" t="str">
            <v>"-"</v>
          </cell>
        </row>
        <row r="4366">
          <cell r="A4366">
            <v>46265</v>
          </cell>
          <cell r="B4366" t="str">
            <v xml:space="preserve">SONI SARIDONA                           </v>
          </cell>
          <cell r="C4366" t="str">
            <v>SENQH20</v>
          </cell>
          <cell r="D4366">
            <v>28601083326506</v>
          </cell>
          <cell r="E4366" t="str">
            <v>SEDANG</v>
          </cell>
          <cell r="F4366" t="str">
            <v>Tidak</v>
          </cell>
          <cell r="G4366" t="str">
            <v>Tidak</v>
          </cell>
          <cell r="H4366" t="str">
            <v>Tidak</v>
          </cell>
          <cell r="I4366" t="str">
            <v>Bandar Judol Withdrawal</v>
          </cell>
          <cell r="J4366">
            <v>50</v>
          </cell>
          <cell r="K4366" t="str">
            <v>86,88,87</v>
          </cell>
          <cell r="L4366" t="str">
            <v>Judi Online</v>
          </cell>
          <cell r="M4366" t="str">
            <v xml:space="preserve">Kas Kanpus                              </v>
          </cell>
          <cell r="N4366" t="str">
            <v xml:space="preserve">Kas Kanpus                              </v>
          </cell>
          <cell r="O4366" t="str">
            <v xml:space="preserve">KAS KANPUS                              </v>
          </cell>
          <cell r="P4366" t="str">
            <v>Ya</v>
          </cell>
          <cell r="Q4366" t="str">
            <v>Ya</v>
          </cell>
          <cell r="R4366" t="str">
            <v>Done</v>
          </cell>
          <cell r="S4366" t="str">
            <v>Approved</v>
          </cell>
          <cell r="T4366" t="str">
            <v>90185538 - Muhammad Fahikal Auz</v>
          </cell>
          <cell r="U4366" t="str">
            <v>"-"</v>
          </cell>
        </row>
        <row r="4367">
          <cell r="A4367">
            <v>46265</v>
          </cell>
          <cell r="B4367" t="str">
            <v xml:space="preserve">SUHARLI TANJUNG                         </v>
          </cell>
          <cell r="C4367" t="str">
            <v>SELEG32</v>
          </cell>
          <cell r="D4367">
            <v>151601000695562</v>
          </cell>
          <cell r="E4367" t="str">
            <v>SEDANG</v>
          </cell>
          <cell r="F4367" t="str">
            <v>Tidak</v>
          </cell>
          <cell r="G4367" t="str">
            <v>Tidak</v>
          </cell>
          <cell r="H4367" t="str">
            <v>Tidak</v>
          </cell>
          <cell r="I4367" t="str">
            <v>Bandar Judol Depo</v>
          </cell>
          <cell r="J4367">
            <v>50</v>
          </cell>
          <cell r="K4367" t="str">
            <v>86,74,87</v>
          </cell>
          <cell r="L4367" t="str">
            <v>Judi Online</v>
          </cell>
          <cell r="M4367" t="str">
            <v xml:space="preserve">Kas Kanpus                              </v>
          </cell>
          <cell r="N4367" t="str">
            <v xml:space="preserve">Kas Kanpus                              </v>
          </cell>
          <cell r="O4367" t="str">
            <v xml:space="preserve">KAS KANPUS                              </v>
          </cell>
          <cell r="P4367" t="str">
            <v>Tidak</v>
          </cell>
          <cell r="Q4367" t="str">
            <v>Ya</v>
          </cell>
          <cell r="R4367" t="str">
            <v>Done</v>
          </cell>
          <cell r="S4367" t="str">
            <v>Approved</v>
          </cell>
          <cell r="T4367" t="str">
            <v>90186790 - Muhammad Alfin Farha</v>
          </cell>
          <cell r="U4367" t="str">
            <v>"-"</v>
          </cell>
        </row>
        <row r="4368">
          <cell r="A4368">
            <v>46265</v>
          </cell>
          <cell r="B4368" t="str">
            <v xml:space="preserve">SURYA SAKTI ALBARR                      </v>
          </cell>
          <cell r="C4368" t="str">
            <v>SEYMO78</v>
          </cell>
          <cell r="D4368">
            <v>721101000063569</v>
          </cell>
          <cell r="E4368" t="str">
            <v>SEDANG</v>
          </cell>
          <cell r="F4368" t="str">
            <v>Tidak</v>
          </cell>
          <cell r="G4368" t="str">
            <v>Tidak</v>
          </cell>
          <cell r="H4368" t="str">
            <v>Tidak</v>
          </cell>
          <cell r="I4368" t="str">
            <v>Bandar Judol Withdrawal</v>
          </cell>
          <cell r="J4368">
            <v>50</v>
          </cell>
          <cell r="K4368" t="str">
            <v>86,88,87</v>
          </cell>
          <cell r="L4368" t="str">
            <v>Judi Online</v>
          </cell>
          <cell r="M4368" t="str">
            <v xml:space="preserve">Kas Kanpus                              </v>
          </cell>
          <cell r="N4368" t="str">
            <v xml:space="preserve">Kas Kanpus                              </v>
          </cell>
          <cell r="O4368" t="str">
            <v xml:space="preserve">KAS KANPUS                              </v>
          </cell>
          <cell r="P4368" t="str">
            <v>Ya</v>
          </cell>
          <cell r="Q4368" t="str">
            <v>Ya</v>
          </cell>
          <cell r="R4368" t="str">
            <v>Done</v>
          </cell>
          <cell r="S4368" t="str">
            <v>Approved</v>
          </cell>
          <cell r="T4368" t="str">
            <v>90186790 - Muhammad Alfin Farha</v>
          </cell>
          <cell r="U4368" t="str">
            <v>"-"</v>
          </cell>
        </row>
        <row r="4369">
          <cell r="A4369">
            <v>46265</v>
          </cell>
          <cell r="B4369" t="str">
            <v xml:space="preserve">SUMARLIN TARIGAN                        </v>
          </cell>
          <cell r="C4369" t="str">
            <v>SEVRT40</v>
          </cell>
          <cell r="D4369">
            <v>782801018774535</v>
          </cell>
          <cell r="E4369" t="str">
            <v>SEDANG</v>
          </cell>
          <cell r="F4369" t="str">
            <v>Tidak</v>
          </cell>
          <cell r="G4369" t="str">
            <v>Tidak</v>
          </cell>
          <cell r="H4369" t="str">
            <v>Tidak</v>
          </cell>
          <cell r="I4369" t="str">
            <v>Bandar Judol Withdrawal</v>
          </cell>
          <cell r="J4369">
            <v>50</v>
          </cell>
          <cell r="K4369" t="str">
            <v>86,88,87</v>
          </cell>
          <cell r="L4369" t="str">
            <v>Judi Online</v>
          </cell>
          <cell r="M4369" t="str">
            <v xml:space="preserve">Kas Kanpus                              </v>
          </cell>
          <cell r="N4369" t="str">
            <v xml:space="preserve">Kas Kanpus                              </v>
          </cell>
          <cell r="O4369" t="str">
            <v xml:space="preserve">KAS KANPUS                              </v>
          </cell>
          <cell r="P4369" t="str">
            <v>Ya</v>
          </cell>
          <cell r="Q4369" t="str">
            <v>Ya</v>
          </cell>
          <cell r="R4369" t="str">
            <v>Done</v>
          </cell>
          <cell r="S4369" t="str">
            <v>Approved</v>
          </cell>
          <cell r="T4369" t="str">
            <v>90185538 - Muhammad Fahikal Auz</v>
          </cell>
          <cell r="U4369" t="str">
            <v>"-"</v>
          </cell>
        </row>
        <row r="4370">
          <cell r="A4370">
            <v>46265</v>
          </cell>
          <cell r="B4370" t="str">
            <v xml:space="preserve">SUMIYATI                                </v>
          </cell>
          <cell r="C4370" t="str">
            <v>SEXJK56</v>
          </cell>
          <cell r="D4370">
            <v>44501002094568</v>
          </cell>
          <cell r="E4370" t="str">
            <v>SEDANG</v>
          </cell>
          <cell r="F4370" t="str">
            <v>Tidak</v>
          </cell>
          <cell r="G4370" t="str">
            <v>Tidak</v>
          </cell>
          <cell r="H4370" t="str">
            <v>Tidak</v>
          </cell>
          <cell r="I4370" t="str">
            <v>Bandar Judol Withdrawal</v>
          </cell>
          <cell r="J4370">
            <v>50</v>
          </cell>
          <cell r="K4370" t="str">
            <v>86,88,87</v>
          </cell>
          <cell r="L4370" t="str">
            <v>Judi Online</v>
          </cell>
          <cell r="M4370" t="str">
            <v xml:space="preserve">Kas Kanpus                              </v>
          </cell>
          <cell r="N4370" t="str">
            <v xml:space="preserve">Kas Kanpus                              </v>
          </cell>
          <cell r="O4370" t="str">
            <v xml:space="preserve">KAS KANPUS                              </v>
          </cell>
          <cell r="P4370" t="str">
            <v>Ya</v>
          </cell>
          <cell r="Q4370" t="str">
            <v>Ya</v>
          </cell>
          <cell r="R4370" t="str">
            <v>Done</v>
          </cell>
          <cell r="S4370" t="str">
            <v>Approved</v>
          </cell>
          <cell r="T4370" t="str">
            <v>00394521 - Muhammad Hibbanduta</v>
          </cell>
          <cell r="U4370" t="str">
            <v>"-"</v>
          </cell>
        </row>
        <row r="4371">
          <cell r="A4371">
            <v>46265</v>
          </cell>
          <cell r="B4371" t="str">
            <v xml:space="preserve">SITI ROHANI                             </v>
          </cell>
          <cell r="C4371" t="str">
            <v>SFNX255</v>
          </cell>
          <cell r="D4371">
            <v>114501002449562</v>
          </cell>
          <cell r="E4371" t="str">
            <v>RENDAH</v>
          </cell>
          <cell r="F4371" t="str">
            <v>Tidak</v>
          </cell>
          <cell r="G4371" t="str">
            <v>Tidak</v>
          </cell>
          <cell r="H4371" t="str">
            <v>Tidak</v>
          </cell>
          <cell r="I4371" t="str">
            <v>Bandar Judol Withdrawal</v>
          </cell>
          <cell r="J4371">
            <v>35</v>
          </cell>
          <cell r="K4371" t="str">
            <v>86,88,87</v>
          </cell>
          <cell r="L4371" t="str">
            <v>Judi Online</v>
          </cell>
          <cell r="M4371" t="str">
            <v xml:space="preserve">Kas Kanpus                              </v>
          </cell>
          <cell r="N4371" t="str">
            <v xml:space="preserve">Kas Kanpus                              </v>
          </cell>
          <cell r="O4371" t="str">
            <v xml:space="preserve">KAS KANPUS                              </v>
          </cell>
          <cell r="P4371" t="str">
            <v>Ya</v>
          </cell>
          <cell r="Q4371" t="str">
            <v>Ya</v>
          </cell>
          <cell r="R4371" t="str">
            <v>Done</v>
          </cell>
          <cell r="S4371" t="str">
            <v>Approved</v>
          </cell>
          <cell r="T4371" t="str">
            <v>90185537 - Moh.Khoerul Fajar Ar</v>
          </cell>
          <cell r="U4371" t="str">
            <v>"-"</v>
          </cell>
        </row>
        <row r="4372">
          <cell r="A4372">
            <v>46265</v>
          </cell>
          <cell r="B4372" t="str">
            <v xml:space="preserve">SRI HANDAYANI                           </v>
          </cell>
          <cell r="C4372" t="str">
            <v>SFO7641</v>
          </cell>
          <cell r="D4372">
            <v>10701126407506</v>
          </cell>
          <cell r="E4372" t="str">
            <v>SEDANG</v>
          </cell>
          <cell r="F4372" t="str">
            <v>Tidak</v>
          </cell>
          <cell r="G4372" t="str">
            <v>Tidak</v>
          </cell>
          <cell r="H4372" t="str">
            <v>Tidak</v>
          </cell>
          <cell r="I4372" t="str">
            <v>Bandar Judol Withdrawal</v>
          </cell>
          <cell r="J4372">
            <v>50</v>
          </cell>
          <cell r="K4372" t="str">
            <v>86,88,87</v>
          </cell>
          <cell r="L4372" t="str">
            <v>Judi Online</v>
          </cell>
          <cell r="M4372" t="str">
            <v xml:space="preserve">Kas Kanpus                              </v>
          </cell>
          <cell r="N4372" t="str">
            <v xml:space="preserve">Kas Kanpus                              </v>
          </cell>
          <cell r="O4372" t="str">
            <v xml:space="preserve">KAS KANPUS                              </v>
          </cell>
          <cell r="P4372" t="str">
            <v>Ya</v>
          </cell>
          <cell r="Q4372" t="str">
            <v>Ya</v>
          </cell>
          <cell r="R4372" t="str">
            <v>Done</v>
          </cell>
          <cell r="S4372" t="str">
            <v>Approved</v>
          </cell>
          <cell r="T4372" t="str">
            <v>00336949 - Mochammad Al Farabi</v>
          </cell>
          <cell r="U4372" t="str">
            <v>"-"</v>
          </cell>
        </row>
        <row r="4373">
          <cell r="A4373">
            <v>46265</v>
          </cell>
          <cell r="B4373" t="str">
            <v xml:space="preserve">SUBIANTO                                </v>
          </cell>
          <cell r="C4373" t="str">
            <v>SFPHY59</v>
          </cell>
          <cell r="D4373">
            <v>39801002515563</v>
          </cell>
          <cell r="E4373" t="str">
            <v>SEDANG</v>
          </cell>
          <cell r="F4373" t="str">
            <v>Tidak</v>
          </cell>
          <cell r="G4373" t="str">
            <v>Tidak</v>
          </cell>
          <cell r="H4373" t="str">
            <v>Tidak</v>
          </cell>
          <cell r="I4373" t="str">
            <v>Bandar Judol Withdrawal</v>
          </cell>
          <cell r="J4373">
            <v>50</v>
          </cell>
          <cell r="K4373" t="str">
            <v>86,88,87</v>
          </cell>
          <cell r="L4373" t="str">
            <v>Judi Online</v>
          </cell>
          <cell r="M4373" t="str">
            <v xml:space="preserve">Kas Kanpus                              </v>
          </cell>
          <cell r="N4373" t="str">
            <v xml:space="preserve">Kas Kanpus                              </v>
          </cell>
          <cell r="O4373" t="str">
            <v xml:space="preserve">KAS KANPUS                              </v>
          </cell>
          <cell r="P4373" t="str">
            <v>Ya</v>
          </cell>
          <cell r="Q4373" t="str">
            <v>Ya</v>
          </cell>
          <cell r="R4373" t="str">
            <v>Done</v>
          </cell>
          <cell r="S4373" t="str">
            <v>Approved</v>
          </cell>
          <cell r="T4373" t="str">
            <v>90150130 - Intan Aida Pratiwi</v>
          </cell>
          <cell r="U4373" t="str">
            <v>"-"</v>
          </cell>
        </row>
        <row r="4374">
          <cell r="A4374">
            <v>46265</v>
          </cell>
          <cell r="B4374" t="str">
            <v xml:space="preserve">SANADA                                  </v>
          </cell>
          <cell r="C4374" t="str">
            <v>SFRFR01</v>
          </cell>
          <cell r="D4374">
            <v>766301009622535</v>
          </cell>
          <cell r="E4374" t="str">
            <v>SEDANG</v>
          </cell>
          <cell r="F4374" t="str">
            <v>Tidak</v>
          </cell>
          <cell r="G4374" t="str">
            <v>Tidak</v>
          </cell>
          <cell r="H4374" t="str">
            <v>Ya</v>
          </cell>
          <cell r="I4374" t="str">
            <v>Bandar Judol Depo</v>
          </cell>
          <cell r="J4374">
            <v>50</v>
          </cell>
          <cell r="K4374" t="str">
            <v>86,74,87</v>
          </cell>
          <cell r="L4374" t="str">
            <v>Judi Online</v>
          </cell>
          <cell r="M4374" t="str">
            <v xml:space="preserve">Kas Kanpus                              </v>
          </cell>
          <cell r="N4374" t="str">
            <v xml:space="preserve">Kas Kanpus                              </v>
          </cell>
          <cell r="O4374" t="str">
            <v xml:space="preserve">KAS KANPUS                              </v>
          </cell>
          <cell r="P4374" t="str">
            <v>Tidak</v>
          </cell>
          <cell r="Q4374" t="str">
            <v>Ya</v>
          </cell>
          <cell r="R4374" t="str">
            <v>Done</v>
          </cell>
          <cell r="S4374" t="str">
            <v>Approved</v>
          </cell>
          <cell r="T4374" t="str">
            <v>00336949 - Mochammad Al Farabi</v>
          </cell>
          <cell r="U4374" t="str">
            <v>"-"</v>
          </cell>
        </row>
        <row r="4375">
          <cell r="A4375">
            <v>46265</v>
          </cell>
          <cell r="B4375" t="str">
            <v xml:space="preserve">SURATI                                  </v>
          </cell>
          <cell r="C4375" t="str">
            <v>SFRGN34</v>
          </cell>
          <cell r="D4375">
            <v>117201009540502</v>
          </cell>
          <cell r="E4375" t="str">
            <v>SEDANG</v>
          </cell>
          <cell r="F4375" t="str">
            <v>Tidak</v>
          </cell>
          <cell r="G4375" t="str">
            <v>Tidak</v>
          </cell>
          <cell r="H4375" t="str">
            <v>Tidak</v>
          </cell>
          <cell r="I4375" t="str">
            <v>Bandar Judol Withdrawal</v>
          </cell>
          <cell r="J4375">
            <v>50</v>
          </cell>
          <cell r="K4375" t="str">
            <v>86,88,87</v>
          </cell>
          <cell r="L4375" t="str">
            <v>Judi Online</v>
          </cell>
          <cell r="M4375" t="str">
            <v xml:space="preserve">Kas Kanpus                              </v>
          </cell>
          <cell r="N4375" t="str">
            <v xml:space="preserve">Kas Kanpus                              </v>
          </cell>
          <cell r="O4375" t="str">
            <v xml:space="preserve">KAS KANPUS                              </v>
          </cell>
          <cell r="P4375" t="str">
            <v>Ya</v>
          </cell>
          <cell r="Q4375" t="str">
            <v>Ya</v>
          </cell>
          <cell r="R4375" t="str">
            <v>Done</v>
          </cell>
          <cell r="S4375" t="str">
            <v>Approved</v>
          </cell>
          <cell r="T4375" t="str">
            <v>00394520 - Frida Akbar Rani</v>
          </cell>
          <cell r="U4375" t="str">
            <v>"-"</v>
          </cell>
        </row>
        <row r="4376">
          <cell r="A4376">
            <v>46265</v>
          </cell>
          <cell r="B4376" t="str">
            <v xml:space="preserve">SYAIFUL                                 </v>
          </cell>
          <cell r="C4376" t="str">
            <v>SFSE295</v>
          </cell>
          <cell r="D4376">
            <v>215401000596563</v>
          </cell>
          <cell r="E4376" t="str">
            <v>SEDANG</v>
          </cell>
          <cell r="F4376" t="str">
            <v>Tidak</v>
          </cell>
          <cell r="G4376" t="str">
            <v>Tidak</v>
          </cell>
          <cell r="H4376" t="str">
            <v>Tidak</v>
          </cell>
          <cell r="I4376" t="str">
            <v>Bandar Judol Depo</v>
          </cell>
          <cell r="J4376">
            <v>50</v>
          </cell>
          <cell r="K4376" t="str">
            <v>86,74,87</v>
          </cell>
          <cell r="L4376" t="str">
            <v>Judi Online</v>
          </cell>
          <cell r="M4376" t="str">
            <v xml:space="preserve">Kas Kanpus                              </v>
          </cell>
          <cell r="N4376" t="str">
            <v xml:space="preserve">Kas Kanpus                              </v>
          </cell>
          <cell r="O4376" t="str">
            <v xml:space="preserve">KAS KANPUS                              </v>
          </cell>
          <cell r="P4376" t="str">
            <v>Tidak</v>
          </cell>
          <cell r="Q4376" t="str">
            <v>Tidak</v>
          </cell>
          <cell r="R4376" t="str">
            <v>Done</v>
          </cell>
          <cell r="S4376" t="str">
            <v>Approved</v>
          </cell>
          <cell r="T4376" t="str">
            <v>00336949 - Mochammad Al Farabi</v>
          </cell>
          <cell r="U4376" t="str">
            <v>"-"</v>
          </cell>
        </row>
        <row r="4377">
          <cell r="A4377">
            <v>46265</v>
          </cell>
          <cell r="B4377" t="str">
            <v xml:space="preserve">SURYANI                                 </v>
          </cell>
          <cell r="C4377" t="str">
            <v>SFUXN24</v>
          </cell>
          <cell r="D4377">
            <v>110601000356561</v>
          </cell>
          <cell r="E4377" t="str">
            <v>SEDANG</v>
          </cell>
          <cell r="F4377" t="str">
            <v>Tidak</v>
          </cell>
          <cell r="G4377" t="str">
            <v>Tidak</v>
          </cell>
          <cell r="H4377" t="str">
            <v>Ya</v>
          </cell>
          <cell r="I4377" t="str">
            <v>Bandar Judol Withdrawal</v>
          </cell>
          <cell r="J4377">
            <v>50</v>
          </cell>
          <cell r="K4377" t="str">
            <v>86,88,87</v>
          </cell>
          <cell r="L4377" t="str">
            <v>Judi Online</v>
          </cell>
          <cell r="M4377" t="str">
            <v xml:space="preserve">Kas Kanpus                              </v>
          </cell>
          <cell r="N4377" t="str">
            <v xml:space="preserve">Kas Kanpus                              </v>
          </cell>
          <cell r="O4377" t="str">
            <v xml:space="preserve">KAS KANPUS                              </v>
          </cell>
          <cell r="P4377" t="str">
            <v>Ya</v>
          </cell>
          <cell r="Q4377" t="str">
            <v>Ya</v>
          </cell>
          <cell r="R4377" t="str">
            <v>Done</v>
          </cell>
          <cell r="S4377" t="str">
            <v>Approved</v>
          </cell>
          <cell r="T4377" t="str">
            <v>00336949 - Mochammad Al Farabi</v>
          </cell>
          <cell r="U4377" t="str">
            <v>"-"</v>
          </cell>
        </row>
        <row r="4378">
          <cell r="A4378">
            <v>46265</v>
          </cell>
          <cell r="B4378" t="str">
            <v xml:space="preserve">SARANA INTI TRIBUANA                    </v>
          </cell>
          <cell r="C4378" t="str">
            <v>SFVLP68</v>
          </cell>
          <cell r="D4378">
            <v>52501000436300</v>
          </cell>
          <cell r="E4378" t="str">
            <v>TINGGI</v>
          </cell>
          <cell r="F4378" t="str">
            <v>Tidak</v>
          </cell>
          <cell r="G4378" t="str">
            <v>Tidak</v>
          </cell>
          <cell r="H4378" t="str">
            <v>Tidak</v>
          </cell>
          <cell r="I4378" t="str">
            <v>Perpajakan</v>
          </cell>
          <cell r="J4378">
            <v>63</v>
          </cell>
          <cell r="K4378">
            <v>41</v>
          </cell>
          <cell r="L4378" t="str">
            <v>Perpajakan</v>
          </cell>
          <cell r="M4378" t="str">
            <v xml:space="preserve">KCP SOUTH QUARTER                       </v>
          </cell>
          <cell r="N4378" t="str">
            <v xml:space="preserve">KC Jakarta Fatmawati                    </v>
          </cell>
          <cell r="O4378" t="str">
            <v xml:space="preserve">DKI2                                    </v>
          </cell>
          <cell r="P4378" t="str">
            <v>Tidak</v>
          </cell>
          <cell r="Q4378" t="str">
            <v>Tidak</v>
          </cell>
          <cell r="R4378" t="str">
            <v>Done</v>
          </cell>
          <cell r="S4378" t="str">
            <v>Approved</v>
          </cell>
          <cell r="T4378" t="str">
            <v>00394520 - Frida Akbar Rani</v>
          </cell>
          <cell r="U4378" t="str">
            <v>"-"</v>
          </cell>
        </row>
        <row r="4379">
          <cell r="A4379">
            <v>46265</v>
          </cell>
          <cell r="B4379" t="str">
            <v xml:space="preserve">SRI WULAN DARI                          </v>
          </cell>
          <cell r="C4379" t="str">
            <v>SGBMM29</v>
          </cell>
          <cell r="D4379">
            <v>532001024449538</v>
          </cell>
          <cell r="E4379" t="str">
            <v>SEDANG</v>
          </cell>
          <cell r="F4379" t="str">
            <v>Tidak</v>
          </cell>
          <cell r="G4379" t="str">
            <v>Tidak</v>
          </cell>
          <cell r="H4379" t="str">
            <v>Tidak</v>
          </cell>
          <cell r="I4379" t="str">
            <v>Bandar Judol Withdrawal</v>
          </cell>
          <cell r="J4379">
            <v>50</v>
          </cell>
          <cell r="K4379" t="str">
            <v>86,88,87</v>
          </cell>
          <cell r="L4379" t="str">
            <v>Judi Online</v>
          </cell>
          <cell r="M4379" t="str">
            <v xml:space="preserve">Kas Kanpus                              </v>
          </cell>
          <cell r="N4379" t="str">
            <v xml:space="preserve">Kas Kanpus                              </v>
          </cell>
          <cell r="O4379" t="str">
            <v xml:space="preserve">KAS KANPUS                              </v>
          </cell>
          <cell r="P4379" t="str">
            <v>Ya</v>
          </cell>
          <cell r="Q4379" t="str">
            <v>Ya</v>
          </cell>
          <cell r="R4379" t="str">
            <v>Done</v>
          </cell>
          <cell r="S4379" t="str">
            <v>Approved</v>
          </cell>
          <cell r="T4379" t="str">
            <v>90150130 - Intan Aida Pratiwi</v>
          </cell>
          <cell r="U4379" t="str">
            <v>"-"</v>
          </cell>
        </row>
        <row r="4380">
          <cell r="A4380">
            <v>46265</v>
          </cell>
          <cell r="B4380" t="str">
            <v xml:space="preserve">STIVANNY                                </v>
          </cell>
          <cell r="C4380" t="str">
            <v>SFYOH85</v>
          </cell>
          <cell r="D4380">
            <v>530001000025568</v>
          </cell>
          <cell r="E4380" t="str">
            <v>SEDANG</v>
          </cell>
          <cell r="F4380" t="str">
            <v>Tidak</v>
          </cell>
          <cell r="G4380" t="str">
            <v>Tidak</v>
          </cell>
          <cell r="H4380" t="str">
            <v>Tidak</v>
          </cell>
          <cell r="I4380" t="str">
            <v>Bandar Judol Withdrawal</v>
          </cell>
          <cell r="J4380">
            <v>50</v>
          </cell>
          <cell r="K4380" t="str">
            <v>86,88,87</v>
          </cell>
          <cell r="L4380" t="str">
            <v>Judi Online</v>
          </cell>
          <cell r="M4380" t="str">
            <v xml:space="preserve">Kas Kanpus                              </v>
          </cell>
          <cell r="N4380" t="str">
            <v xml:space="preserve">Kas Kanpus                              </v>
          </cell>
          <cell r="O4380" t="str">
            <v xml:space="preserve">KAS KANPUS                              </v>
          </cell>
          <cell r="P4380" t="str">
            <v>Ya</v>
          </cell>
          <cell r="Q4380" t="str">
            <v>Ya</v>
          </cell>
          <cell r="R4380" t="str">
            <v>Done</v>
          </cell>
          <cell r="S4380" t="str">
            <v>Approved</v>
          </cell>
          <cell r="T4380" t="str">
            <v>90171841 - Rifqi Aziz</v>
          </cell>
          <cell r="U4380" t="str">
            <v>"-"</v>
          </cell>
        </row>
        <row r="4381">
          <cell r="A4381">
            <v>46265</v>
          </cell>
          <cell r="B4381" t="str">
            <v xml:space="preserve">SARTIKA                                 </v>
          </cell>
          <cell r="C4381" t="str">
            <v>SGYBC47</v>
          </cell>
          <cell r="D4381">
            <v>39601000971561</v>
          </cell>
          <cell r="E4381" t="str">
            <v>SEDANG</v>
          </cell>
          <cell r="F4381" t="str">
            <v>Tidak</v>
          </cell>
          <cell r="G4381" t="str">
            <v>Tidak</v>
          </cell>
          <cell r="H4381" t="str">
            <v>Tidak</v>
          </cell>
          <cell r="I4381" t="str">
            <v>Bandar Judol Withdrawal</v>
          </cell>
          <cell r="J4381">
            <v>50</v>
          </cell>
          <cell r="K4381" t="str">
            <v>86,88,87</v>
          </cell>
          <cell r="L4381" t="str">
            <v>Judi Online</v>
          </cell>
          <cell r="M4381" t="str">
            <v xml:space="preserve">Kas Kanpus                              </v>
          </cell>
          <cell r="N4381" t="str">
            <v xml:space="preserve">Kas Kanpus                              </v>
          </cell>
          <cell r="O4381" t="str">
            <v xml:space="preserve">KAS KANPUS                              </v>
          </cell>
          <cell r="P4381" t="str">
            <v>Ya</v>
          </cell>
          <cell r="Q4381" t="str">
            <v>Ya</v>
          </cell>
          <cell r="R4381" t="str">
            <v>Done</v>
          </cell>
          <cell r="S4381" t="str">
            <v>Approved</v>
          </cell>
          <cell r="T4381" t="str">
            <v>00336949 - Mochammad Al Farabi</v>
          </cell>
          <cell r="U4381" t="str">
            <v>"-"</v>
          </cell>
        </row>
        <row r="4382">
          <cell r="A4382">
            <v>46265</v>
          </cell>
          <cell r="B4382" t="str">
            <v xml:space="preserve">SUKSES BERSAMA KOMPUTAMA                </v>
          </cell>
          <cell r="C4382" t="str">
            <v>SGUUR03</v>
          </cell>
          <cell r="D4382">
            <v>2901003085308</v>
          </cell>
          <cell r="E4382" t="str">
            <v>SEDANG</v>
          </cell>
          <cell r="F4382" t="str">
            <v>Tidak</v>
          </cell>
          <cell r="G4382" t="str">
            <v>Tidak</v>
          </cell>
          <cell r="H4382" t="str">
            <v>Tidak</v>
          </cell>
          <cell r="I4382" t="str">
            <v>Perpajakan</v>
          </cell>
          <cell r="J4382">
            <v>48</v>
          </cell>
          <cell r="K4382">
            <v>41</v>
          </cell>
          <cell r="L4382" t="str">
            <v>Perpajakan</v>
          </cell>
          <cell r="M4382" t="str">
            <v xml:space="preserve">KC Yogyakarta Cik Ditiro                </v>
          </cell>
          <cell r="N4382" t="str">
            <v xml:space="preserve">KC Yogyakarta Cik Ditiro                </v>
          </cell>
          <cell r="O4382" t="str">
            <v xml:space="preserve">Yogyakarta                              </v>
          </cell>
          <cell r="P4382" t="str">
            <v>Tidak</v>
          </cell>
          <cell r="Q4382" t="str">
            <v>Tidak</v>
          </cell>
          <cell r="R4382" t="str">
            <v>Done</v>
          </cell>
          <cell r="S4382" t="str">
            <v>Approved</v>
          </cell>
          <cell r="T4382" t="str">
            <v>90171841 - Rifqi Aziz</v>
          </cell>
          <cell r="U4382" t="str">
            <v>"-"</v>
          </cell>
        </row>
        <row r="4383">
          <cell r="A4383">
            <v>46265</v>
          </cell>
          <cell r="B4383" t="str">
            <v xml:space="preserve">SANDI GUSNATAWAN                        </v>
          </cell>
          <cell r="C4383" t="str">
            <v>SGSLN98</v>
          </cell>
          <cell r="D4383">
            <v>113401000771568</v>
          </cell>
          <cell r="E4383" t="str">
            <v>SEDANG</v>
          </cell>
          <cell r="F4383" t="str">
            <v>Tidak</v>
          </cell>
          <cell r="G4383" t="str">
            <v>Tidak</v>
          </cell>
          <cell r="H4383" t="str">
            <v>Tidak</v>
          </cell>
          <cell r="I4383" t="str">
            <v>Bandar Judol Withdrawal</v>
          </cell>
          <cell r="J4383">
            <v>50</v>
          </cell>
          <cell r="K4383" t="str">
            <v>86,88,87</v>
          </cell>
          <cell r="L4383" t="str">
            <v>Judi Online</v>
          </cell>
          <cell r="M4383" t="str">
            <v xml:space="preserve">Kas Kanpus                              </v>
          </cell>
          <cell r="N4383" t="str">
            <v xml:space="preserve">Kas Kanpus                              </v>
          </cell>
          <cell r="O4383" t="str">
            <v xml:space="preserve">KAS KANPUS                              </v>
          </cell>
          <cell r="P4383" t="str">
            <v>Ya</v>
          </cell>
          <cell r="Q4383" t="str">
            <v>Ya</v>
          </cell>
          <cell r="R4383" t="str">
            <v>Done</v>
          </cell>
          <cell r="S4383" t="str">
            <v>Approved</v>
          </cell>
          <cell r="T4383" t="str">
            <v>00394521 - Muhammad Hibbanduta</v>
          </cell>
          <cell r="U4383" t="str">
            <v>"-"</v>
          </cell>
        </row>
        <row r="4384">
          <cell r="A4384">
            <v>46265</v>
          </cell>
          <cell r="B4384" t="str">
            <v xml:space="preserve">SRI SUDARTI                             </v>
          </cell>
          <cell r="C4384" t="str">
            <v>SGFJG38</v>
          </cell>
          <cell r="D4384">
            <v>5301005473560</v>
          </cell>
          <cell r="E4384" t="str">
            <v>TINGGI</v>
          </cell>
          <cell r="F4384" t="str">
            <v>Tidak</v>
          </cell>
          <cell r="G4384" t="str">
            <v>Tidak</v>
          </cell>
          <cell r="H4384" t="str">
            <v>Tidak</v>
          </cell>
          <cell r="I4384" t="str">
            <v>Bandar Judol Depo</v>
          </cell>
          <cell r="J4384">
            <v>65</v>
          </cell>
          <cell r="K4384" t="str">
            <v>86,74,87</v>
          </cell>
          <cell r="L4384" t="str">
            <v>Judi Online</v>
          </cell>
          <cell r="M4384" t="str">
            <v xml:space="preserve">Kas Kanpus                              </v>
          </cell>
          <cell r="N4384" t="str">
            <v xml:space="preserve">Kas Kanpus                              </v>
          </cell>
          <cell r="O4384" t="str">
            <v xml:space="preserve">KAS KANPUS                              </v>
          </cell>
          <cell r="P4384" t="str">
            <v>Ya</v>
          </cell>
          <cell r="Q4384" t="str">
            <v>Ya</v>
          </cell>
          <cell r="R4384" t="str">
            <v>Done</v>
          </cell>
          <cell r="S4384" t="str">
            <v>Approved</v>
          </cell>
          <cell r="T4384" t="str">
            <v>00336949 - Mochammad Al Farabi</v>
          </cell>
          <cell r="U4384" t="str">
            <v>"-"</v>
          </cell>
        </row>
        <row r="4385">
          <cell r="A4385">
            <v>46265</v>
          </cell>
          <cell r="B4385" t="str">
            <v xml:space="preserve">SANIA WINARTI                           </v>
          </cell>
          <cell r="C4385" t="str">
            <v>SGFJM23</v>
          </cell>
          <cell r="D4385">
            <v>529401000002565</v>
          </cell>
          <cell r="E4385" t="str">
            <v>SEDANG</v>
          </cell>
          <cell r="F4385" t="str">
            <v>Tidak</v>
          </cell>
          <cell r="G4385" t="str">
            <v>Tidak</v>
          </cell>
          <cell r="H4385" t="str">
            <v>Tidak</v>
          </cell>
          <cell r="I4385" t="str">
            <v>Bandar Judol Withdrawal</v>
          </cell>
          <cell r="J4385">
            <v>50</v>
          </cell>
          <cell r="K4385" t="str">
            <v>86,88,87</v>
          </cell>
          <cell r="L4385" t="str">
            <v>Judi Online</v>
          </cell>
          <cell r="M4385" t="str">
            <v xml:space="preserve">Kas Kanpus                              </v>
          </cell>
          <cell r="N4385" t="str">
            <v xml:space="preserve">Kas Kanpus                              </v>
          </cell>
          <cell r="O4385" t="str">
            <v xml:space="preserve">KAS KANPUS                              </v>
          </cell>
          <cell r="P4385" t="str">
            <v>Ya</v>
          </cell>
          <cell r="Q4385" t="str">
            <v>Ya</v>
          </cell>
          <cell r="R4385" t="str">
            <v>Done</v>
          </cell>
          <cell r="S4385" t="str">
            <v>Approved</v>
          </cell>
          <cell r="T4385" t="str">
            <v>90150130 - Intan Aida Pratiwi</v>
          </cell>
          <cell r="U4385" t="str">
            <v>"-"</v>
          </cell>
        </row>
        <row r="4386">
          <cell r="A4386">
            <v>46265</v>
          </cell>
          <cell r="B4386" t="str">
            <v xml:space="preserve">SHERLLIANA                              </v>
          </cell>
          <cell r="C4386" t="str">
            <v>SGJNN12</v>
          </cell>
          <cell r="D4386">
            <v>531001000046567</v>
          </cell>
          <cell r="E4386" t="str">
            <v>SEDANG</v>
          </cell>
          <cell r="F4386" t="str">
            <v>Tidak</v>
          </cell>
          <cell r="G4386" t="str">
            <v>Tidak</v>
          </cell>
          <cell r="H4386" t="str">
            <v>Tidak</v>
          </cell>
          <cell r="I4386" t="str">
            <v>Bandar Judol Withdrawal</v>
          </cell>
          <cell r="J4386">
            <v>50</v>
          </cell>
          <cell r="K4386" t="str">
            <v>86,88,87</v>
          </cell>
          <cell r="L4386" t="str">
            <v>Judi Online</v>
          </cell>
          <cell r="M4386" t="str">
            <v xml:space="preserve">Kas Kanpus                              </v>
          </cell>
          <cell r="N4386" t="str">
            <v xml:space="preserve">Kas Kanpus                              </v>
          </cell>
          <cell r="O4386" t="str">
            <v xml:space="preserve">KAS KANPUS                              </v>
          </cell>
          <cell r="P4386" t="str">
            <v>Ya</v>
          </cell>
          <cell r="Q4386" t="str">
            <v>Ya</v>
          </cell>
          <cell r="R4386" t="str">
            <v>Done</v>
          </cell>
          <cell r="S4386" t="str">
            <v>Approved</v>
          </cell>
          <cell r="T4386" t="str">
            <v>00394521 - Muhammad Hibbanduta</v>
          </cell>
          <cell r="U4386" t="str">
            <v>"-"</v>
          </cell>
        </row>
        <row r="4387">
          <cell r="A4387">
            <v>46265</v>
          </cell>
          <cell r="B4387" t="str">
            <v xml:space="preserve">SAVIRA JOVITA ARDINE                    </v>
          </cell>
          <cell r="C4387" t="str">
            <v>SJFJL59</v>
          </cell>
          <cell r="D4387">
            <v>58401080623507</v>
          </cell>
          <cell r="F4387" t="str">
            <v>Tidak</v>
          </cell>
          <cell r="G4387" t="str">
            <v>Tidak</v>
          </cell>
          <cell r="H4387" t="str">
            <v>Tidak</v>
          </cell>
          <cell r="I4387" t="str">
            <v>Bandar Judol Withdrawal</v>
          </cell>
          <cell r="J4387">
            <v>35</v>
          </cell>
          <cell r="K4387" t="str">
            <v>86,88,87</v>
          </cell>
          <cell r="L4387" t="str">
            <v>Judi Online</v>
          </cell>
          <cell r="M4387" t="str">
            <v xml:space="preserve">Kas Kanpus                              </v>
          </cell>
          <cell r="N4387" t="str">
            <v xml:space="preserve">Kas Kanpus                              </v>
          </cell>
          <cell r="O4387" t="str">
            <v xml:space="preserve">KAS KANPUS                              </v>
          </cell>
          <cell r="P4387" t="str">
            <v>Tidak</v>
          </cell>
          <cell r="Q4387" t="str">
            <v>Ya</v>
          </cell>
          <cell r="R4387" t="str">
            <v>Done</v>
          </cell>
          <cell r="S4387" t="str">
            <v>Approved</v>
          </cell>
          <cell r="T4387" t="str">
            <v>90150130 - Intan Aida Pratiwi</v>
          </cell>
          <cell r="U4387" t="str">
            <v>"-"</v>
          </cell>
        </row>
        <row r="4388">
          <cell r="A4388">
            <v>46265</v>
          </cell>
          <cell r="B4388" t="str">
            <v xml:space="preserve">SELWA MALER                             </v>
          </cell>
          <cell r="C4388" t="str">
            <v>SJFQL15</v>
          </cell>
          <cell r="D4388">
            <v>40401060673504</v>
          </cell>
          <cell r="F4388" t="str">
            <v>Tidak</v>
          </cell>
          <cell r="G4388" t="str">
            <v>Tidak</v>
          </cell>
          <cell r="H4388" t="str">
            <v>Tidak</v>
          </cell>
          <cell r="I4388" t="str">
            <v>Bandar Judol Depo</v>
          </cell>
          <cell r="J4388">
            <v>35</v>
          </cell>
          <cell r="K4388" t="str">
            <v>86,74,87</v>
          </cell>
          <cell r="L4388" t="str">
            <v>Judi Online</v>
          </cell>
          <cell r="M4388" t="str">
            <v xml:space="preserve">Kas Kanpus                              </v>
          </cell>
          <cell r="N4388" t="str">
            <v xml:space="preserve">Kas Kanpus                              </v>
          </cell>
          <cell r="O4388" t="str">
            <v xml:space="preserve">KAS KANPUS                              </v>
          </cell>
          <cell r="P4388" t="str">
            <v>Ya</v>
          </cell>
          <cell r="Q4388" t="str">
            <v>Ya</v>
          </cell>
          <cell r="R4388" t="str">
            <v>Done</v>
          </cell>
          <cell r="S4388" t="str">
            <v>Approved</v>
          </cell>
          <cell r="T4388" t="str">
            <v>90150130 - Intan Aida Pratiwi</v>
          </cell>
          <cell r="U4388" t="str">
            <v>"-"</v>
          </cell>
        </row>
        <row r="4389">
          <cell r="A4389">
            <v>46265</v>
          </cell>
          <cell r="B4389" t="str">
            <v xml:space="preserve">SUHARJO                                 </v>
          </cell>
          <cell r="C4389" t="str">
            <v>SJFYP65</v>
          </cell>
          <cell r="D4389">
            <v>12001002345561</v>
          </cell>
          <cell r="F4389" t="str">
            <v>Tidak</v>
          </cell>
          <cell r="G4389" t="str">
            <v>Tidak</v>
          </cell>
          <cell r="H4389" t="str">
            <v>Tidak</v>
          </cell>
          <cell r="I4389" t="str">
            <v>Bandar Judol Depo</v>
          </cell>
          <cell r="J4389">
            <v>35</v>
          </cell>
          <cell r="K4389" t="str">
            <v>86,74,87</v>
          </cell>
          <cell r="L4389" t="str">
            <v>Judi Online</v>
          </cell>
          <cell r="M4389" t="str">
            <v xml:space="preserve">Kas Kanpus                              </v>
          </cell>
          <cell r="N4389" t="str">
            <v xml:space="preserve">Kas Kanpus                              </v>
          </cell>
          <cell r="O4389" t="str">
            <v xml:space="preserve">KAS KANPUS                              </v>
          </cell>
          <cell r="P4389" t="str">
            <v>Ya</v>
          </cell>
          <cell r="Q4389" t="str">
            <v>Ya</v>
          </cell>
          <cell r="R4389" t="str">
            <v>Done</v>
          </cell>
          <cell r="S4389" t="str">
            <v>Approved</v>
          </cell>
          <cell r="T4389" t="str">
            <v>90186796 - Devito Arya Wiradila</v>
          </cell>
          <cell r="U4389" t="str">
            <v>"-"</v>
          </cell>
        </row>
        <row r="4390">
          <cell r="A4390">
            <v>46265</v>
          </cell>
          <cell r="B4390" t="str">
            <v xml:space="preserve">SURIADY                                 </v>
          </cell>
          <cell r="C4390" t="str">
            <v>SJGIF92</v>
          </cell>
          <cell r="D4390">
            <v>5301021888531</v>
          </cell>
          <cell r="F4390" t="str">
            <v>Tidak</v>
          </cell>
          <cell r="G4390" t="str">
            <v>Tidak</v>
          </cell>
          <cell r="H4390" t="str">
            <v>Tidak</v>
          </cell>
          <cell r="I4390" t="str">
            <v>Bandar Judol Withdrawal</v>
          </cell>
          <cell r="J4390">
            <v>35</v>
          </cell>
          <cell r="K4390" t="str">
            <v>86,88,87</v>
          </cell>
          <cell r="L4390" t="str">
            <v>Judi Online</v>
          </cell>
          <cell r="M4390" t="str">
            <v xml:space="preserve">Kas Kanpus                              </v>
          </cell>
          <cell r="N4390" t="str">
            <v xml:space="preserve">Kas Kanpus                              </v>
          </cell>
          <cell r="O4390" t="str">
            <v xml:space="preserve">KAS KANPUS                              </v>
          </cell>
          <cell r="P4390" t="str">
            <v>Ya</v>
          </cell>
          <cell r="Q4390" t="str">
            <v>Ya</v>
          </cell>
          <cell r="R4390" t="str">
            <v>Done</v>
          </cell>
          <cell r="S4390" t="str">
            <v>Approved</v>
          </cell>
          <cell r="T4390" t="str">
            <v>00394521 - Muhammad Hibbanduta</v>
          </cell>
          <cell r="U4390" t="str">
            <v>"-"</v>
          </cell>
        </row>
        <row r="4391">
          <cell r="A4391">
            <v>46265</v>
          </cell>
          <cell r="B4391" t="str">
            <v xml:space="preserve">SAMIN                                   </v>
          </cell>
          <cell r="C4391" t="str">
            <v>SJGOK17</v>
          </cell>
          <cell r="D4391">
            <v>58401080922503</v>
          </cell>
          <cell r="F4391" t="str">
            <v>Tidak</v>
          </cell>
          <cell r="G4391" t="str">
            <v>Tidak</v>
          </cell>
          <cell r="H4391" t="str">
            <v>Tidak</v>
          </cell>
          <cell r="I4391" t="str">
            <v>Bandar Judol Depo</v>
          </cell>
          <cell r="J4391">
            <v>35</v>
          </cell>
          <cell r="K4391" t="str">
            <v>86,74,87</v>
          </cell>
          <cell r="L4391" t="str">
            <v>Judi Online</v>
          </cell>
          <cell r="M4391" t="str">
            <v xml:space="preserve">Kas Kanpus                              </v>
          </cell>
          <cell r="N4391" t="str">
            <v xml:space="preserve">Kas Kanpus                              </v>
          </cell>
          <cell r="O4391" t="str">
            <v xml:space="preserve">KAS KANPUS                              </v>
          </cell>
          <cell r="P4391" t="str">
            <v>Ya</v>
          </cell>
          <cell r="Q4391" t="str">
            <v>Ya</v>
          </cell>
          <cell r="R4391" t="str">
            <v>Done</v>
          </cell>
          <cell r="S4391" t="str">
            <v>Approved</v>
          </cell>
          <cell r="T4391" t="str">
            <v>00336949 - Mochammad Al Farabi</v>
          </cell>
          <cell r="U4391" t="str">
            <v>"-"</v>
          </cell>
        </row>
        <row r="4392">
          <cell r="A4392">
            <v>46265</v>
          </cell>
          <cell r="B4392" t="str">
            <v xml:space="preserve">SAPUTRA                                 </v>
          </cell>
          <cell r="C4392" t="str">
            <v>SJGSH92</v>
          </cell>
          <cell r="D4392">
            <v>33601032944532</v>
          </cell>
          <cell r="F4392" t="str">
            <v>Tidak</v>
          </cell>
          <cell r="G4392" t="str">
            <v>Tidak</v>
          </cell>
          <cell r="H4392" t="str">
            <v>Tidak</v>
          </cell>
          <cell r="I4392" t="str">
            <v>Bandar Judol Withdrawal</v>
          </cell>
          <cell r="J4392">
            <v>35</v>
          </cell>
          <cell r="K4392" t="str">
            <v>86,88,87</v>
          </cell>
          <cell r="L4392" t="str">
            <v>Judi Online</v>
          </cell>
          <cell r="M4392" t="str">
            <v xml:space="preserve">Kas Kanpus                              </v>
          </cell>
          <cell r="N4392" t="str">
            <v xml:space="preserve">Kas Kanpus                              </v>
          </cell>
          <cell r="O4392" t="str">
            <v xml:space="preserve">KAS KANPUS                              </v>
          </cell>
          <cell r="P4392" t="str">
            <v>Ya</v>
          </cell>
          <cell r="Q4392" t="str">
            <v>Tidak</v>
          </cell>
          <cell r="R4392" t="str">
            <v>Done</v>
          </cell>
          <cell r="S4392" t="str">
            <v>Approved</v>
          </cell>
          <cell r="T4392" t="str">
            <v>00336949 - Mochammad Al Farabi</v>
          </cell>
          <cell r="U4392" t="str">
            <v>"-"</v>
          </cell>
        </row>
        <row r="4393">
          <cell r="A4393">
            <v>46265</v>
          </cell>
          <cell r="B4393" t="str">
            <v xml:space="preserve">SUDARTO                                 </v>
          </cell>
          <cell r="C4393" t="str">
            <v>SJGTR47</v>
          </cell>
          <cell r="D4393">
            <v>375701018599502</v>
          </cell>
          <cell r="F4393" t="str">
            <v>Tidak</v>
          </cell>
          <cell r="G4393" t="str">
            <v>Tidak</v>
          </cell>
          <cell r="H4393" t="str">
            <v>Tidak</v>
          </cell>
          <cell r="I4393" t="str">
            <v>Bandar Judol Withdrawal</v>
          </cell>
          <cell r="J4393">
            <v>35</v>
          </cell>
          <cell r="K4393" t="str">
            <v>86,88,87</v>
          </cell>
          <cell r="L4393" t="str">
            <v>Judi Online</v>
          </cell>
          <cell r="M4393" t="str">
            <v xml:space="preserve">Kas Kanpus                              </v>
          </cell>
          <cell r="N4393" t="str">
            <v xml:space="preserve">Kas Kanpus                              </v>
          </cell>
          <cell r="O4393" t="str">
            <v xml:space="preserve">KAS KANPUS                              </v>
          </cell>
          <cell r="P4393" t="str">
            <v>Ya</v>
          </cell>
          <cell r="Q4393" t="str">
            <v>Ya</v>
          </cell>
          <cell r="R4393" t="str">
            <v>Done</v>
          </cell>
          <cell r="S4393" t="str">
            <v>Approved</v>
          </cell>
          <cell r="T4393" t="str">
            <v>00394520 - Frida Akbar Rani</v>
          </cell>
          <cell r="U4393" t="str">
            <v>"-"</v>
          </cell>
        </row>
        <row r="4394">
          <cell r="A4394">
            <v>46265</v>
          </cell>
          <cell r="B4394" t="str">
            <v xml:space="preserve">SEPTIA PRATIWI                          </v>
          </cell>
          <cell r="C4394" t="str">
            <v>SIZYH76</v>
          </cell>
          <cell r="D4394">
            <v>330501006420500</v>
          </cell>
          <cell r="F4394" t="str">
            <v>Tidak</v>
          </cell>
          <cell r="G4394" t="str">
            <v>Tidak</v>
          </cell>
          <cell r="H4394" t="str">
            <v>Tidak</v>
          </cell>
          <cell r="I4394" t="str">
            <v>Bandar Judol Depo</v>
          </cell>
          <cell r="J4394">
            <v>35</v>
          </cell>
          <cell r="K4394" t="str">
            <v>86,74,87</v>
          </cell>
          <cell r="L4394" t="str">
            <v>Judi Online</v>
          </cell>
          <cell r="M4394" t="str">
            <v xml:space="preserve">Kas Kanpus                              </v>
          </cell>
          <cell r="N4394" t="str">
            <v xml:space="preserve">Kas Kanpus                              </v>
          </cell>
          <cell r="O4394" t="str">
            <v xml:space="preserve">KAS KANPUS                              </v>
          </cell>
          <cell r="P4394" t="str">
            <v>Ya</v>
          </cell>
          <cell r="Q4394" t="str">
            <v>Ya</v>
          </cell>
          <cell r="R4394" t="str">
            <v>Done</v>
          </cell>
          <cell r="S4394" t="str">
            <v>Approved</v>
          </cell>
          <cell r="T4394" t="str">
            <v>90186796 - Devito Arya Wiradila</v>
          </cell>
          <cell r="U4394" t="str">
            <v>"-"</v>
          </cell>
        </row>
        <row r="4395">
          <cell r="A4395">
            <v>46265</v>
          </cell>
          <cell r="B4395" t="str">
            <v xml:space="preserve">SOFYAN ALI                              </v>
          </cell>
          <cell r="C4395" t="str">
            <v>SJBSQ80</v>
          </cell>
          <cell r="D4395">
            <v>91801017450508</v>
          </cell>
          <cell r="F4395" t="str">
            <v>Tidak</v>
          </cell>
          <cell r="G4395" t="str">
            <v>Tidak</v>
          </cell>
          <cell r="H4395" t="str">
            <v>Tidak</v>
          </cell>
          <cell r="I4395" t="str">
            <v>Bandar Judol Withdrawal</v>
          </cell>
          <cell r="J4395">
            <v>35</v>
          </cell>
          <cell r="K4395" t="str">
            <v>86,88,87</v>
          </cell>
          <cell r="L4395" t="str">
            <v>Judi Online</v>
          </cell>
          <cell r="M4395" t="str">
            <v xml:space="preserve">Kas Kanpus                              </v>
          </cell>
          <cell r="N4395" t="str">
            <v xml:space="preserve">Kas Kanpus                              </v>
          </cell>
          <cell r="O4395" t="str">
            <v xml:space="preserve">KAS KANPUS                              </v>
          </cell>
          <cell r="P4395" t="str">
            <v>Ya</v>
          </cell>
          <cell r="Q4395" t="str">
            <v>Ya</v>
          </cell>
          <cell r="R4395" t="str">
            <v>Done</v>
          </cell>
          <cell r="S4395" t="str">
            <v>Approved</v>
          </cell>
          <cell r="T4395" t="str">
            <v>00394521 - Muhammad Hibbanduta</v>
          </cell>
          <cell r="U4395" t="str">
            <v>"-"</v>
          </cell>
        </row>
        <row r="4396">
          <cell r="A4396">
            <v>46265</v>
          </cell>
          <cell r="B4396" t="str">
            <v xml:space="preserve">SAHRIF HIDAYATULLAH                     </v>
          </cell>
          <cell r="C4396" t="str">
            <v>SJBYJ78</v>
          </cell>
          <cell r="D4396">
            <v>53101015224509</v>
          </cell>
          <cell r="F4396" t="str">
            <v>Tidak</v>
          </cell>
          <cell r="G4396" t="str">
            <v>Tidak</v>
          </cell>
          <cell r="H4396" t="str">
            <v>Tidak</v>
          </cell>
          <cell r="I4396" t="str">
            <v>Bandar Judol Withdrawal</v>
          </cell>
          <cell r="J4396">
            <v>35</v>
          </cell>
          <cell r="K4396" t="str">
            <v>86,88,87</v>
          </cell>
          <cell r="L4396" t="str">
            <v>Judi Online</v>
          </cell>
          <cell r="M4396" t="str">
            <v xml:space="preserve">Kas Kanpus                              </v>
          </cell>
          <cell r="N4396" t="str">
            <v xml:space="preserve">Kas Kanpus                              </v>
          </cell>
          <cell r="O4396" t="str">
            <v xml:space="preserve">KAS KANPUS                              </v>
          </cell>
          <cell r="P4396" t="str">
            <v>Ya</v>
          </cell>
          <cell r="Q4396" t="str">
            <v>Ya</v>
          </cell>
          <cell r="R4396" t="str">
            <v>Done</v>
          </cell>
          <cell r="S4396" t="str">
            <v>Approved</v>
          </cell>
          <cell r="T4396" t="str">
            <v>00394520 - Frida Akbar Rani</v>
          </cell>
          <cell r="U4396" t="str">
            <v>"-"</v>
          </cell>
        </row>
        <row r="4397">
          <cell r="A4397">
            <v>46265</v>
          </cell>
          <cell r="B4397" t="str">
            <v xml:space="preserve">SOPIAN SAURI                            </v>
          </cell>
          <cell r="C4397" t="str">
            <v>SJBZQ77</v>
          </cell>
          <cell r="D4397">
            <v>408101008875508</v>
          </cell>
          <cell r="F4397" t="str">
            <v>Tidak</v>
          </cell>
          <cell r="G4397" t="str">
            <v>Tidak</v>
          </cell>
          <cell r="H4397" t="str">
            <v>Tidak</v>
          </cell>
          <cell r="I4397" t="str">
            <v>Bandar Judol Withdrawal</v>
          </cell>
          <cell r="J4397">
            <v>35</v>
          </cell>
          <cell r="K4397" t="str">
            <v>86,88,87</v>
          </cell>
          <cell r="L4397" t="str">
            <v>Judi Online</v>
          </cell>
          <cell r="M4397" t="str">
            <v xml:space="preserve">Kas Kanpus                              </v>
          </cell>
          <cell r="N4397" t="str">
            <v xml:space="preserve">Kas Kanpus                              </v>
          </cell>
          <cell r="O4397" t="str">
            <v xml:space="preserve">KAS KANPUS                              </v>
          </cell>
          <cell r="P4397" t="str">
            <v>Tidak</v>
          </cell>
          <cell r="Q4397" t="str">
            <v>Ya</v>
          </cell>
          <cell r="R4397" t="str">
            <v>Done</v>
          </cell>
          <cell r="S4397" t="str">
            <v>Approved</v>
          </cell>
          <cell r="T4397" t="str">
            <v>90171841 - Rifqi Aziz</v>
          </cell>
          <cell r="U4397" t="str">
            <v>"-"</v>
          </cell>
        </row>
        <row r="4398">
          <cell r="A4398">
            <v>46265</v>
          </cell>
          <cell r="B4398" t="str">
            <v xml:space="preserve">SAHRUL                                  </v>
          </cell>
          <cell r="C4398" t="str">
            <v>SJCAK74</v>
          </cell>
          <cell r="D4398">
            <v>529301049400530</v>
          </cell>
          <cell r="F4398" t="str">
            <v>Tidak</v>
          </cell>
          <cell r="G4398" t="str">
            <v>Tidak</v>
          </cell>
          <cell r="H4398" t="str">
            <v>Tidak</v>
          </cell>
          <cell r="I4398" t="str">
            <v>Bandar Judol Withdrawal</v>
          </cell>
          <cell r="J4398">
            <v>35</v>
          </cell>
          <cell r="K4398" t="str">
            <v>86,88,87</v>
          </cell>
          <cell r="L4398" t="str">
            <v>Judi Online</v>
          </cell>
          <cell r="M4398" t="str">
            <v xml:space="preserve">Kas Kanpus                              </v>
          </cell>
          <cell r="N4398" t="str">
            <v xml:space="preserve">Kas Kanpus                              </v>
          </cell>
          <cell r="O4398" t="str">
            <v xml:space="preserve">KAS KANPUS                              </v>
          </cell>
          <cell r="P4398" t="str">
            <v>Ya</v>
          </cell>
          <cell r="Q4398" t="str">
            <v>Ya</v>
          </cell>
          <cell r="R4398" t="str">
            <v>Done</v>
          </cell>
          <cell r="S4398" t="str">
            <v>Approved</v>
          </cell>
          <cell r="T4398" t="str">
            <v>00336949 - Mochammad Al Farabi</v>
          </cell>
          <cell r="U4398" t="str">
            <v>"-"</v>
          </cell>
        </row>
        <row r="4399">
          <cell r="A4399">
            <v>46265</v>
          </cell>
          <cell r="B4399" t="str">
            <v xml:space="preserve">SUKMAHU                                 </v>
          </cell>
          <cell r="C4399" t="str">
            <v>SIUIS30</v>
          </cell>
          <cell r="D4399">
            <v>50901005026566</v>
          </cell>
          <cell r="E4399" t="str">
            <v>SEDANG</v>
          </cell>
          <cell r="F4399" t="str">
            <v>Tidak</v>
          </cell>
          <cell r="G4399" t="str">
            <v>Tidak</v>
          </cell>
          <cell r="H4399" t="str">
            <v>Tidak</v>
          </cell>
          <cell r="I4399" t="str">
            <v>Bandar Judol Depo</v>
          </cell>
          <cell r="J4399">
            <v>50</v>
          </cell>
          <cell r="K4399" t="str">
            <v>86,74,87</v>
          </cell>
          <cell r="L4399" t="str">
            <v>Judi Online</v>
          </cell>
          <cell r="M4399" t="str">
            <v xml:space="preserve">Kas Kanpus                              </v>
          </cell>
          <cell r="N4399" t="str">
            <v xml:space="preserve">Kas Kanpus                              </v>
          </cell>
          <cell r="O4399" t="str">
            <v xml:space="preserve">KAS KANPUS                              </v>
          </cell>
          <cell r="P4399" t="str">
            <v>Ya</v>
          </cell>
          <cell r="Q4399" t="str">
            <v>Ya</v>
          </cell>
          <cell r="R4399" t="str">
            <v>Done</v>
          </cell>
          <cell r="S4399" t="str">
            <v>Approved</v>
          </cell>
          <cell r="T4399" t="str">
            <v>90150130 - Intan Aida Pratiwi</v>
          </cell>
          <cell r="U4399" t="str">
            <v>"-"</v>
          </cell>
        </row>
        <row r="4400">
          <cell r="A4400">
            <v>46265</v>
          </cell>
          <cell r="B4400" t="str">
            <v xml:space="preserve">SUKESI SINTA                            </v>
          </cell>
          <cell r="C4400" t="str">
            <v>SIULV60</v>
          </cell>
          <cell r="D4400">
            <v>5301006177565</v>
          </cell>
          <cell r="E4400" t="str">
            <v>SEDANG</v>
          </cell>
          <cell r="F4400" t="str">
            <v>Tidak</v>
          </cell>
          <cell r="G4400" t="str">
            <v>Tidak</v>
          </cell>
          <cell r="H4400" t="str">
            <v>Tidak</v>
          </cell>
          <cell r="I4400" t="str">
            <v>Bandar Judol Depo</v>
          </cell>
          <cell r="J4400">
            <v>50</v>
          </cell>
          <cell r="K4400" t="str">
            <v>86,74,87</v>
          </cell>
          <cell r="L4400" t="str">
            <v>Judi Online</v>
          </cell>
          <cell r="M4400" t="str">
            <v xml:space="preserve">Kas Kanpus                              </v>
          </cell>
          <cell r="N4400" t="str">
            <v xml:space="preserve">Kas Kanpus                              </v>
          </cell>
          <cell r="O4400" t="str">
            <v xml:space="preserve">KAS KANPUS                              </v>
          </cell>
          <cell r="P4400" t="str">
            <v>Ya</v>
          </cell>
          <cell r="Q4400" t="str">
            <v>Ya</v>
          </cell>
          <cell r="R4400" t="str">
            <v>Done</v>
          </cell>
          <cell r="S4400" t="str">
            <v>Approved</v>
          </cell>
          <cell r="T4400" t="str">
            <v>00394521 - Muhammad Hibbanduta</v>
          </cell>
          <cell r="U4400" t="str">
            <v>"-"</v>
          </cell>
        </row>
        <row r="4401">
          <cell r="A4401">
            <v>46265</v>
          </cell>
          <cell r="B4401" t="str">
            <v xml:space="preserve">SYAKHLAN MUHIDIN                        </v>
          </cell>
          <cell r="C4401" t="str">
            <v>SITOP20</v>
          </cell>
          <cell r="D4401">
            <v>50901004988561</v>
          </cell>
          <cell r="E4401" t="str">
            <v>SEDANG</v>
          </cell>
          <cell r="F4401" t="str">
            <v>Tidak</v>
          </cell>
          <cell r="G4401" t="str">
            <v>Tidak</v>
          </cell>
          <cell r="H4401" t="str">
            <v>Tidak</v>
          </cell>
          <cell r="I4401" t="str">
            <v>Bandar Judol Withdrawal</v>
          </cell>
          <cell r="J4401">
            <v>50</v>
          </cell>
          <cell r="K4401" t="str">
            <v>86,88,87</v>
          </cell>
          <cell r="L4401" t="str">
            <v>Judi Online</v>
          </cell>
          <cell r="M4401" t="str">
            <v xml:space="preserve">Kas Kanpus                              </v>
          </cell>
          <cell r="N4401" t="str">
            <v xml:space="preserve">Kas Kanpus                              </v>
          </cell>
          <cell r="O4401" t="str">
            <v xml:space="preserve">KAS KANPUS                              </v>
          </cell>
          <cell r="P4401" t="str">
            <v>Ya</v>
          </cell>
          <cell r="Q4401" t="str">
            <v>Ya</v>
          </cell>
          <cell r="R4401" t="str">
            <v>Done</v>
          </cell>
          <cell r="S4401" t="str">
            <v>Approved</v>
          </cell>
          <cell r="T4401" t="str">
            <v>90150130 - Intan Aida Pratiwi</v>
          </cell>
          <cell r="U4401" t="str">
            <v>"-"</v>
          </cell>
        </row>
        <row r="4402">
          <cell r="A4402">
            <v>46265</v>
          </cell>
          <cell r="B4402" t="str">
            <v xml:space="preserve">SETIAWAN DJODI                          </v>
          </cell>
          <cell r="C4402" t="str">
            <v>SIPVO10</v>
          </cell>
          <cell r="D4402">
            <v>108701001031562</v>
          </cell>
          <cell r="E4402" t="str">
            <v>SEDANG</v>
          </cell>
          <cell r="F4402" t="str">
            <v>Tidak</v>
          </cell>
          <cell r="G4402" t="str">
            <v>Tidak</v>
          </cell>
          <cell r="H4402" t="str">
            <v>Tidak</v>
          </cell>
          <cell r="I4402" t="str">
            <v>Bandar Judol Withdrawal</v>
          </cell>
          <cell r="J4402">
            <v>50</v>
          </cell>
          <cell r="K4402" t="str">
            <v>86,88,87</v>
          </cell>
          <cell r="L4402" t="str">
            <v>Judi Online</v>
          </cell>
          <cell r="M4402" t="str">
            <v xml:space="preserve">Kas Kanpus                              </v>
          </cell>
          <cell r="N4402" t="str">
            <v xml:space="preserve">Kas Kanpus                              </v>
          </cell>
          <cell r="O4402" t="str">
            <v xml:space="preserve">KAS KANPUS                              </v>
          </cell>
          <cell r="P4402" t="str">
            <v>Ya</v>
          </cell>
          <cell r="Q4402" t="str">
            <v>Ya</v>
          </cell>
          <cell r="R4402" t="str">
            <v>Done</v>
          </cell>
          <cell r="S4402" t="str">
            <v>Approved</v>
          </cell>
          <cell r="T4402" t="str">
            <v>00336949 - Mochammad Al Farabi</v>
          </cell>
          <cell r="U4402" t="str">
            <v>"-"</v>
          </cell>
        </row>
        <row r="4403">
          <cell r="A4403">
            <v>46265</v>
          </cell>
          <cell r="B4403" t="str">
            <v xml:space="preserve">SUMARNO                                 </v>
          </cell>
          <cell r="C4403" t="str">
            <v>SIRNW02</v>
          </cell>
          <cell r="D4403">
            <v>23801034190537</v>
          </cell>
          <cell r="E4403" t="str">
            <v>SEDANG</v>
          </cell>
          <cell r="F4403" t="str">
            <v>Tidak</v>
          </cell>
          <cell r="G4403" t="str">
            <v>Tidak</v>
          </cell>
          <cell r="H4403" t="str">
            <v>Tidak</v>
          </cell>
          <cell r="I4403" t="str">
            <v>Bandar Judol Depo</v>
          </cell>
          <cell r="J4403">
            <v>50</v>
          </cell>
          <cell r="K4403" t="str">
            <v>86,74,87</v>
          </cell>
          <cell r="L4403" t="str">
            <v>Judi Online</v>
          </cell>
          <cell r="M4403" t="str">
            <v xml:space="preserve">Kas Kanpus                              </v>
          </cell>
          <cell r="N4403" t="str">
            <v xml:space="preserve">Kas Kanpus                              </v>
          </cell>
          <cell r="O4403" t="str">
            <v xml:space="preserve">KAS KANPUS                              </v>
          </cell>
          <cell r="P4403" t="str">
            <v>Ya</v>
          </cell>
          <cell r="Q4403" t="str">
            <v>Ya</v>
          </cell>
          <cell r="R4403" t="str">
            <v>Done</v>
          </cell>
          <cell r="S4403" t="str">
            <v>Approved</v>
          </cell>
          <cell r="T4403" t="str">
            <v>90185537 - Moh.Khoerul Fajar Ar</v>
          </cell>
          <cell r="U4403" t="str">
            <v>"-"</v>
          </cell>
        </row>
        <row r="4404">
          <cell r="A4404">
            <v>46265</v>
          </cell>
          <cell r="B4404" t="str">
            <v xml:space="preserve">SUNAJA                                  </v>
          </cell>
          <cell r="C4404" t="str">
            <v>SIOYJ99</v>
          </cell>
          <cell r="D4404">
            <v>50901004818562</v>
          </cell>
          <cell r="E4404" t="str">
            <v>SEDANG</v>
          </cell>
          <cell r="F4404" t="str">
            <v>Tidak</v>
          </cell>
          <cell r="G4404" t="str">
            <v>Tidak</v>
          </cell>
          <cell r="H4404" t="str">
            <v>Tidak</v>
          </cell>
          <cell r="I4404" t="str">
            <v>Bandar Judol Withdrawal</v>
          </cell>
          <cell r="J4404">
            <v>50</v>
          </cell>
          <cell r="K4404" t="str">
            <v>86,88,87</v>
          </cell>
          <cell r="L4404" t="str">
            <v>Judi Online</v>
          </cell>
          <cell r="M4404" t="str">
            <v xml:space="preserve">Kas Kanpus                              </v>
          </cell>
          <cell r="N4404" t="str">
            <v xml:space="preserve">Kas Kanpus                              </v>
          </cell>
          <cell r="O4404" t="str">
            <v xml:space="preserve">KAS KANPUS                              </v>
          </cell>
          <cell r="P4404" t="str">
            <v>Ya</v>
          </cell>
          <cell r="Q4404" t="str">
            <v>Ya</v>
          </cell>
          <cell r="R4404" t="str">
            <v>Done</v>
          </cell>
          <cell r="S4404" t="str">
            <v>Approved</v>
          </cell>
          <cell r="T4404" t="str">
            <v>90170665 - Mutiara Ayuningtyas</v>
          </cell>
          <cell r="U4404" t="str">
            <v>"-"</v>
          </cell>
        </row>
        <row r="4405">
          <cell r="A4405">
            <v>46265</v>
          </cell>
          <cell r="B4405" t="str">
            <v xml:space="preserve">SITI ALYA ANDRAYNA                      </v>
          </cell>
          <cell r="C4405" t="str">
            <v>SIPIM80</v>
          </cell>
          <cell r="D4405">
            <v>82901014765505</v>
          </cell>
          <cell r="E4405" t="str">
            <v>SEDANG</v>
          </cell>
          <cell r="F4405" t="str">
            <v>Tidak</v>
          </cell>
          <cell r="G4405" t="str">
            <v>Tidak</v>
          </cell>
          <cell r="H4405" t="str">
            <v>Tidak</v>
          </cell>
          <cell r="I4405" t="str">
            <v>Bandar Judol Withdrawal</v>
          </cell>
          <cell r="J4405">
            <v>50</v>
          </cell>
          <cell r="K4405" t="str">
            <v>86,88,87</v>
          </cell>
          <cell r="L4405" t="str">
            <v>Judi Online</v>
          </cell>
          <cell r="M4405" t="str">
            <v xml:space="preserve">Kas Kanpus                              </v>
          </cell>
          <cell r="N4405" t="str">
            <v xml:space="preserve">Kas Kanpus                              </v>
          </cell>
          <cell r="O4405" t="str">
            <v xml:space="preserve">KAS KANPUS                              </v>
          </cell>
          <cell r="P4405" t="str">
            <v>Ya</v>
          </cell>
          <cell r="Q4405" t="str">
            <v>Ya</v>
          </cell>
          <cell r="R4405" t="str">
            <v>Done</v>
          </cell>
          <cell r="S4405" t="str">
            <v>Approved</v>
          </cell>
          <cell r="T4405" t="str">
            <v>00394520 - Frida Akbar Rani</v>
          </cell>
          <cell r="U4405" t="str">
            <v>"-"</v>
          </cell>
        </row>
        <row r="4406">
          <cell r="A4406">
            <v>46265</v>
          </cell>
          <cell r="B4406" t="str">
            <v xml:space="preserve">SARIPUDIN                               </v>
          </cell>
          <cell r="C4406" t="str">
            <v>SICOK88</v>
          </cell>
          <cell r="D4406">
            <v>44401054749505</v>
          </cell>
          <cell r="E4406" t="str">
            <v>SEDANG</v>
          </cell>
          <cell r="F4406" t="str">
            <v>Tidak</v>
          </cell>
          <cell r="G4406" t="str">
            <v>Tidak</v>
          </cell>
          <cell r="H4406" t="str">
            <v>Tidak</v>
          </cell>
          <cell r="I4406" t="str">
            <v>Bandar Judol Withdrawal</v>
          </cell>
          <cell r="J4406">
            <v>50</v>
          </cell>
          <cell r="K4406" t="str">
            <v>86,88,87</v>
          </cell>
          <cell r="L4406" t="str">
            <v>Judi Online</v>
          </cell>
          <cell r="M4406" t="str">
            <v xml:space="preserve">Kas Kanpus                              </v>
          </cell>
          <cell r="N4406" t="str">
            <v xml:space="preserve">Kas Kanpus                              </v>
          </cell>
          <cell r="O4406" t="str">
            <v xml:space="preserve">KAS KANPUS                              </v>
          </cell>
          <cell r="P4406" t="str">
            <v>Ya</v>
          </cell>
          <cell r="Q4406" t="str">
            <v>Ya</v>
          </cell>
          <cell r="R4406" t="str">
            <v>Done</v>
          </cell>
          <cell r="S4406" t="str">
            <v>Approved</v>
          </cell>
          <cell r="T4406" t="str">
            <v>90170665 - Mutiara Ayuningtyas</v>
          </cell>
          <cell r="U4406" t="str">
            <v>"-"</v>
          </cell>
        </row>
        <row r="4407">
          <cell r="A4407">
            <v>46265</v>
          </cell>
          <cell r="B4407" t="str">
            <v xml:space="preserve">SAIFUL ASRIZAL                          </v>
          </cell>
          <cell r="C4407" t="str">
            <v>SIDJF01</v>
          </cell>
          <cell r="D4407">
            <v>28301033168532</v>
          </cell>
          <cell r="E4407" t="str">
            <v>SEDANG</v>
          </cell>
          <cell r="F4407" t="str">
            <v>Tidak</v>
          </cell>
          <cell r="G4407" t="str">
            <v>Tidak</v>
          </cell>
          <cell r="H4407" t="str">
            <v>Tidak</v>
          </cell>
          <cell r="I4407" t="str">
            <v>Bandar Judol Withdrawal</v>
          </cell>
          <cell r="J4407">
            <v>50</v>
          </cell>
          <cell r="K4407" t="str">
            <v>86,88,87</v>
          </cell>
          <cell r="L4407" t="str">
            <v>Judi Online</v>
          </cell>
          <cell r="M4407" t="str">
            <v xml:space="preserve">Kas Kanpus                              </v>
          </cell>
          <cell r="N4407" t="str">
            <v xml:space="preserve">Kas Kanpus                              </v>
          </cell>
          <cell r="O4407" t="str">
            <v xml:space="preserve">KAS KANPUS                              </v>
          </cell>
          <cell r="P4407" t="str">
            <v>Ya</v>
          </cell>
          <cell r="Q4407" t="str">
            <v>Ya</v>
          </cell>
          <cell r="R4407" t="str">
            <v>Done</v>
          </cell>
          <cell r="S4407" t="str">
            <v>Approved</v>
          </cell>
          <cell r="T4407" t="str">
            <v>90170665 - Mutiara Ayuningtyas</v>
          </cell>
          <cell r="U4407" t="str">
            <v>"-"</v>
          </cell>
        </row>
        <row r="4408">
          <cell r="A4408">
            <v>46265</v>
          </cell>
          <cell r="B4408" t="str">
            <v xml:space="preserve">SATIYA RAAZ                             </v>
          </cell>
          <cell r="C4408" t="str">
            <v>SIGMP19</v>
          </cell>
          <cell r="D4408">
            <v>530201003310504</v>
          </cell>
          <cell r="E4408" t="str">
            <v>SEDANG</v>
          </cell>
          <cell r="F4408" t="str">
            <v>Tidak</v>
          </cell>
          <cell r="G4408" t="str">
            <v>Tidak</v>
          </cell>
          <cell r="H4408" t="str">
            <v>Tidak</v>
          </cell>
          <cell r="I4408" t="str">
            <v>Bandar Judol Withdrawal</v>
          </cell>
          <cell r="J4408">
            <v>50</v>
          </cell>
          <cell r="K4408" t="str">
            <v>86,88,87</v>
          </cell>
          <cell r="L4408" t="str">
            <v>Judi Online</v>
          </cell>
          <cell r="M4408" t="str">
            <v xml:space="preserve">Kas Kanpus                              </v>
          </cell>
          <cell r="N4408" t="str">
            <v xml:space="preserve">Kas Kanpus                              </v>
          </cell>
          <cell r="O4408" t="str">
            <v xml:space="preserve">KAS KANPUS                              </v>
          </cell>
          <cell r="P4408" t="str">
            <v>Ya</v>
          </cell>
          <cell r="Q4408" t="str">
            <v>Ya</v>
          </cell>
          <cell r="R4408" t="str">
            <v>Done</v>
          </cell>
          <cell r="S4408" t="str">
            <v>Approved</v>
          </cell>
          <cell r="T4408" t="str">
            <v>90185538 - Muhammad Fahikal Auz</v>
          </cell>
          <cell r="U4408" t="str">
            <v>"-"</v>
          </cell>
        </row>
        <row r="4409">
          <cell r="A4409">
            <v>46265</v>
          </cell>
          <cell r="B4409" t="str">
            <v xml:space="preserve">SUPRIANI                                </v>
          </cell>
          <cell r="C4409" t="str">
            <v>SILXS68</v>
          </cell>
          <cell r="D4409">
            <v>763401000058564</v>
          </cell>
          <cell r="E4409" t="str">
            <v>SEDANG</v>
          </cell>
          <cell r="F4409" t="str">
            <v>Tidak</v>
          </cell>
          <cell r="G4409" t="str">
            <v>Tidak</v>
          </cell>
          <cell r="H4409" t="str">
            <v>Tidak</v>
          </cell>
          <cell r="I4409" t="str">
            <v>Bandar Judol Withdrawal</v>
          </cell>
          <cell r="J4409">
            <v>50</v>
          </cell>
          <cell r="K4409" t="str">
            <v>86,88,87</v>
          </cell>
          <cell r="L4409" t="str">
            <v>Judi Online</v>
          </cell>
          <cell r="M4409" t="str">
            <v xml:space="preserve">Kas Kanpus                              </v>
          </cell>
          <cell r="N4409" t="str">
            <v xml:space="preserve">Kas Kanpus                              </v>
          </cell>
          <cell r="O4409" t="str">
            <v xml:space="preserve">KAS KANPUS                              </v>
          </cell>
          <cell r="P4409" t="str">
            <v>Ya</v>
          </cell>
          <cell r="Q4409" t="str">
            <v>Ya</v>
          </cell>
          <cell r="R4409" t="str">
            <v>Done</v>
          </cell>
          <cell r="S4409" t="str">
            <v>Approved</v>
          </cell>
          <cell r="T4409" t="str">
            <v>00394521 - Muhammad Hibbanduta</v>
          </cell>
          <cell r="U4409" t="str">
            <v>"-"</v>
          </cell>
        </row>
        <row r="4410">
          <cell r="A4410">
            <v>46265</v>
          </cell>
          <cell r="B4410" t="str">
            <v xml:space="preserve">SITI ZAHRA                              </v>
          </cell>
          <cell r="C4410" t="str">
            <v>SIMCP39</v>
          </cell>
          <cell r="D4410">
            <v>43401001519568</v>
          </cell>
          <cell r="E4410" t="str">
            <v>SEDANG</v>
          </cell>
          <cell r="F4410" t="str">
            <v>Tidak</v>
          </cell>
          <cell r="G4410" t="str">
            <v>Tidak</v>
          </cell>
          <cell r="H4410" t="str">
            <v>Tidak</v>
          </cell>
          <cell r="I4410" t="str">
            <v>Bandar Judol Depo</v>
          </cell>
          <cell r="J4410">
            <v>50</v>
          </cell>
          <cell r="K4410" t="str">
            <v>86,74,87</v>
          </cell>
          <cell r="L4410" t="str">
            <v>Judi Online</v>
          </cell>
          <cell r="M4410" t="str">
            <v xml:space="preserve">Kas Kanpus                              </v>
          </cell>
          <cell r="N4410" t="str">
            <v xml:space="preserve">Kas Kanpus                              </v>
          </cell>
          <cell r="O4410" t="str">
            <v xml:space="preserve">KAS KANPUS                              </v>
          </cell>
          <cell r="P4410" t="str">
            <v>Ya</v>
          </cell>
          <cell r="Q4410" t="str">
            <v>Ya</v>
          </cell>
          <cell r="R4410" t="str">
            <v>Done</v>
          </cell>
          <cell r="S4410" t="str">
            <v>Approved</v>
          </cell>
          <cell r="T4410" t="str">
            <v>90150130 - Intan Aida Pratiwi</v>
          </cell>
          <cell r="U4410" t="str">
            <v>"-"</v>
          </cell>
        </row>
        <row r="4411">
          <cell r="A4411">
            <v>46265</v>
          </cell>
          <cell r="B4411" t="str">
            <v xml:space="preserve">SAPUTRI WULAN SARI                      </v>
          </cell>
          <cell r="C4411" t="str">
            <v>SIMGD46</v>
          </cell>
          <cell r="D4411">
            <v>50901087499507</v>
          </cell>
          <cell r="E4411" t="str">
            <v>SEDANG</v>
          </cell>
          <cell r="F4411" t="str">
            <v>Tidak</v>
          </cell>
          <cell r="G4411" t="str">
            <v>Tidak</v>
          </cell>
          <cell r="H4411" t="str">
            <v>Tidak</v>
          </cell>
          <cell r="I4411" t="str">
            <v>Bandar Judol Withdrawal</v>
          </cell>
          <cell r="J4411">
            <v>50</v>
          </cell>
          <cell r="K4411" t="str">
            <v>86,88,87</v>
          </cell>
          <cell r="L4411" t="str">
            <v>Judi Online</v>
          </cell>
          <cell r="M4411" t="str">
            <v xml:space="preserve">Kas Kanpus                              </v>
          </cell>
          <cell r="N4411" t="str">
            <v xml:space="preserve">Kas Kanpus                              </v>
          </cell>
          <cell r="O4411" t="str">
            <v xml:space="preserve">KAS KANPUS                              </v>
          </cell>
          <cell r="P4411" t="str">
            <v>Ya</v>
          </cell>
          <cell r="Q4411" t="str">
            <v>Ya</v>
          </cell>
          <cell r="R4411" t="str">
            <v>Done</v>
          </cell>
          <cell r="S4411" t="str">
            <v>Approved</v>
          </cell>
          <cell r="T4411" t="str">
            <v>90150130 - Intan Aida Pratiwi</v>
          </cell>
          <cell r="U4411" t="str">
            <v>"-"</v>
          </cell>
        </row>
        <row r="4412">
          <cell r="A4412">
            <v>46265</v>
          </cell>
          <cell r="B4412" t="str">
            <v xml:space="preserve">SUDJANA FERNANDO MANURUNG               </v>
          </cell>
          <cell r="C4412" t="str">
            <v>SIMYM50</v>
          </cell>
          <cell r="D4412">
            <v>529701004459504</v>
          </cell>
          <cell r="E4412" t="str">
            <v>SEDANG</v>
          </cell>
          <cell r="F4412" t="str">
            <v>Tidak</v>
          </cell>
          <cell r="G4412" t="str">
            <v>Tidak</v>
          </cell>
          <cell r="H4412" t="str">
            <v>Tidak</v>
          </cell>
          <cell r="I4412" t="str">
            <v>Bandar Judol Depo</v>
          </cell>
          <cell r="J4412">
            <v>50</v>
          </cell>
          <cell r="K4412" t="str">
            <v>86,74,87</v>
          </cell>
          <cell r="L4412" t="str">
            <v>Judi Online</v>
          </cell>
          <cell r="M4412" t="str">
            <v xml:space="preserve">Kas Kanpus                              </v>
          </cell>
          <cell r="N4412" t="str">
            <v xml:space="preserve">Kas Kanpus                              </v>
          </cell>
          <cell r="O4412" t="str">
            <v xml:space="preserve">KAS KANPUS                              </v>
          </cell>
          <cell r="P4412" t="str">
            <v>Ya</v>
          </cell>
          <cell r="Q4412" t="str">
            <v>Ya</v>
          </cell>
          <cell r="R4412" t="str">
            <v>Done</v>
          </cell>
          <cell r="S4412" t="str">
            <v>Approved</v>
          </cell>
          <cell r="T4412" t="str">
            <v>90171841 - Rifqi Aziz</v>
          </cell>
          <cell r="U4412" t="str">
            <v>"-"</v>
          </cell>
        </row>
        <row r="4413">
          <cell r="A4413">
            <v>46265</v>
          </cell>
          <cell r="B4413" t="str">
            <v xml:space="preserve">SARBOWO PUTRA                           </v>
          </cell>
          <cell r="C4413" t="str">
            <v>SHQZ550</v>
          </cell>
          <cell r="D4413">
            <v>35601001679568</v>
          </cell>
          <cell r="E4413" t="str">
            <v>SEDANG</v>
          </cell>
          <cell r="F4413" t="str">
            <v>Tidak</v>
          </cell>
          <cell r="G4413" t="str">
            <v>Tidak</v>
          </cell>
          <cell r="H4413" t="str">
            <v>Tidak</v>
          </cell>
          <cell r="I4413" t="str">
            <v>Bandar Judol Withdrawal</v>
          </cell>
          <cell r="J4413">
            <v>50</v>
          </cell>
          <cell r="K4413" t="str">
            <v>86,88,87</v>
          </cell>
          <cell r="L4413" t="str">
            <v>Judi Online</v>
          </cell>
          <cell r="M4413" t="str">
            <v xml:space="preserve">Kas Kanpus                              </v>
          </cell>
          <cell r="N4413" t="str">
            <v xml:space="preserve">Kas Kanpus                              </v>
          </cell>
          <cell r="O4413" t="str">
            <v xml:space="preserve">KAS KANPUS                              </v>
          </cell>
          <cell r="P4413" t="str">
            <v>Ya</v>
          </cell>
          <cell r="Q4413" t="str">
            <v>Ya</v>
          </cell>
          <cell r="R4413" t="str">
            <v>Done</v>
          </cell>
          <cell r="S4413" t="str">
            <v>Approved</v>
          </cell>
          <cell r="T4413" t="str">
            <v>90185537 - Moh.Khoerul Fajar Ar</v>
          </cell>
          <cell r="U4413" t="str">
            <v>"-"</v>
          </cell>
        </row>
        <row r="4414">
          <cell r="A4414">
            <v>46265</v>
          </cell>
          <cell r="B4414" t="str">
            <v xml:space="preserve">SANDI HIDAYAT                           </v>
          </cell>
          <cell r="C4414" t="str">
            <v>SHVZY50</v>
          </cell>
          <cell r="D4414">
            <v>2501170880502</v>
          </cell>
          <cell r="E4414" t="str">
            <v>SEDANG</v>
          </cell>
          <cell r="F4414" t="str">
            <v>Tidak</v>
          </cell>
          <cell r="G4414" t="str">
            <v>Tidak</v>
          </cell>
          <cell r="H4414" t="str">
            <v>Tidak</v>
          </cell>
          <cell r="I4414" t="str">
            <v>Bandar Judol Withdrawal</v>
          </cell>
          <cell r="J4414">
            <v>50</v>
          </cell>
          <cell r="K4414" t="str">
            <v>86,88,87</v>
          </cell>
          <cell r="L4414" t="str">
            <v>Judi Online</v>
          </cell>
          <cell r="M4414" t="str">
            <v xml:space="preserve">Kas Kanpus                              </v>
          </cell>
          <cell r="N4414" t="str">
            <v xml:space="preserve">Kas Kanpus                              </v>
          </cell>
          <cell r="O4414" t="str">
            <v xml:space="preserve">KAS KANPUS                              </v>
          </cell>
          <cell r="P4414" t="str">
            <v>Tidak</v>
          </cell>
          <cell r="Q4414" t="str">
            <v>Ya</v>
          </cell>
          <cell r="R4414" t="str">
            <v>Done</v>
          </cell>
          <cell r="S4414" t="str">
            <v>Approved</v>
          </cell>
          <cell r="T4414" t="str">
            <v>90186796 - Devito Arya Wiradila</v>
          </cell>
          <cell r="U4414" t="str">
            <v>"-"</v>
          </cell>
        </row>
        <row r="4415">
          <cell r="A4415">
            <v>46265</v>
          </cell>
          <cell r="B4415" t="str">
            <v xml:space="preserve">SELVI                                   </v>
          </cell>
          <cell r="C4415" t="str">
            <v>SHWAC05</v>
          </cell>
          <cell r="D4415">
            <v>384801018528500</v>
          </cell>
          <cell r="E4415" t="str">
            <v>SEDANG</v>
          </cell>
          <cell r="F4415" t="str">
            <v>Tidak</v>
          </cell>
          <cell r="G4415" t="str">
            <v>Tidak</v>
          </cell>
          <cell r="H4415" t="str">
            <v>Tidak</v>
          </cell>
          <cell r="I4415" t="str">
            <v>Bandar Judol Withdrawal</v>
          </cell>
          <cell r="J4415">
            <v>50</v>
          </cell>
          <cell r="K4415" t="str">
            <v>86,88,87</v>
          </cell>
          <cell r="L4415" t="str">
            <v>Judi Online</v>
          </cell>
          <cell r="M4415" t="str">
            <v xml:space="preserve">Kas Kanpus                              </v>
          </cell>
          <cell r="N4415" t="str">
            <v xml:space="preserve">Kas Kanpus                              </v>
          </cell>
          <cell r="O4415" t="str">
            <v xml:space="preserve">KAS KANPUS                              </v>
          </cell>
          <cell r="P4415" t="str">
            <v>Ya</v>
          </cell>
          <cell r="Q4415" t="str">
            <v>Ya</v>
          </cell>
          <cell r="R4415" t="str">
            <v>Done</v>
          </cell>
          <cell r="S4415" t="str">
            <v>Approved</v>
          </cell>
          <cell r="T4415" t="str">
            <v>00394520 - Frida Akbar Rani</v>
          </cell>
          <cell r="U4415" t="str">
            <v>"-"</v>
          </cell>
        </row>
        <row r="4416">
          <cell r="A4416">
            <v>46265</v>
          </cell>
          <cell r="B4416" t="str">
            <v xml:space="preserve">SRI WAHYUNI                             </v>
          </cell>
          <cell r="C4416" t="str">
            <v>SHXQJ19</v>
          </cell>
          <cell r="D4416">
            <v>89801008065508</v>
          </cell>
          <cell r="E4416" t="str">
            <v>SEDANG</v>
          </cell>
          <cell r="F4416" t="str">
            <v>Tidak</v>
          </cell>
          <cell r="G4416" t="str">
            <v>Tidak</v>
          </cell>
          <cell r="H4416" t="str">
            <v>Tidak</v>
          </cell>
          <cell r="I4416" t="str">
            <v>Bandar Judol Depo</v>
          </cell>
          <cell r="J4416">
            <v>50</v>
          </cell>
          <cell r="K4416" t="str">
            <v>86,74,87</v>
          </cell>
          <cell r="L4416" t="str">
            <v>Judi Online</v>
          </cell>
          <cell r="M4416" t="str">
            <v xml:space="preserve">Kas Kanpus                              </v>
          </cell>
          <cell r="N4416" t="str">
            <v xml:space="preserve">Kas Kanpus                              </v>
          </cell>
          <cell r="O4416" t="str">
            <v xml:space="preserve">KAS KANPUS                              </v>
          </cell>
          <cell r="P4416" t="str">
            <v>Ya</v>
          </cell>
          <cell r="Q4416" t="str">
            <v>Ya</v>
          </cell>
          <cell r="R4416" t="str">
            <v>Done</v>
          </cell>
          <cell r="S4416" t="str">
            <v>Approved</v>
          </cell>
          <cell r="T4416" t="str">
            <v>90171841 - Rifqi Aziz</v>
          </cell>
          <cell r="U4416" t="str">
            <v>"-"</v>
          </cell>
        </row>
        <row r="4417">
          <cell r="A4417">
            <v>46265</v>
          </cell>
          <cell r="B4417" t="str">
            <v xml:space="preserve">SILVIA FEBRIJANTI PUTRI                 </v>
          </cell>
          <cell r="C4417" t="str">
            <v>SHEGL26</v>
          </cell>
          <cell r="D4417">
            <v>525601032302539</v>
          </cell>
          <cell r="E4417" t="str">
            <v>TINGGI</v>
          </cell>
          <cell r="F4417" t="str">
            <v>Tidak</v>
          </cell>
          <cell r="G4417" t="str">
            <v>Tidak</v>
          </cell>
          <cell r="H4417" t="str">
            <v>Ya</v>
          </cell>
          <cell r="I4417" t="str">
            <v>Bandar Judol Withdrawal</v>
          </cell>
          <cell r="J4417">
            <v>65</v>
          </cell>
          <cell r="K4417" t="str">
            <v>86,88,87</v>
          </cell>
          <cell r="L4417" t="str">
            <v>Judi Online</v>
          </cell>
          <cell r="M4417" t="str">
            <v xml:space="preserve">Kas Kanpus                              </v>
          </cell>
          <cell r="N4417" t="str">
            <v xml:space="preserve">Kas Kanpus                              </v>
          </cell>
          <cell r="O4417" t="str">
            <v xml:space="preserve">KAS KANPUS                              </v>
          </cell>
          <cell r="P4417" t="str">
            <v>Ya</v>
          </cell>
          <cell r="Q4417" t="str">
            <v>Ya</v>
          </cell>
          <cell r="R4417" t="str">
            <v>Done</v>
          </cell>
          <cell r="S4417" t="str">
            <v>Approved</v>
          </cell>
          <cell r="T4417" t="str">
            <v>90186796 - Devito Arya Wiradila</v>
          </cell>
          <cell r="U4417" t="str">
            <v>"-"</v>
          </cell>
        </row>
        <row r="4418">
          <cell r="A4418">
            <v>46265</v>
          </cell>
          <cell r="B4418" t="str">
            <v xml:space="preserve">SUCI RAHMAWATI                          </v>
          </cell>
          <cell r="C4418" t="str">
            <v>SHESV96</v>
          </cell>
          <cell r="D4418">
            <v>13901003015566</v>
          </cell>
          <cell r="E4418" t="str">
            <v>SEDANG</v>
          </cell>
          <cell r="F4418" t="str">
            <v>Tidak</v>
          </cell>
          <cell r="G4418" t="str">
            <v>Tidak</v>
          </cell>
          <cell r="H4418" t="str">
            <v>Tidak</v>
          </cell>
          <cell r="I4418" t="str">
            <v>Bandar Judol Depo</v>
          </cell>
          <cell r="J4418">
            <v>50</v>
          </cell>
          <cell r="K4418" t="str">
            <v>86,74,87</v>
          </cell>
          <cell r="L4418" t="str">
            <v>Judi Online</v>
          </cell>
          <cell r="M4418" t="str">
            <v xml:space="preserve">Kas Kanpus                              </v>
          </cell>
          <cell r="N4418" t="str">
            <v xml:space="preserve">Kas Kanpus                              </v>
          </cell>
          <cell r="O4418" t="str">
            <v xml:space="preserve">KAS KANPUS                              </v>
          </cell>
          <cell r="P4418" t="str">
            <v>Ya</v>
          </cell>
          <cell r="Q4418" t="str">
            <v>Ya</v>
          </cell>
          <cell r="R4418" t="str">
            <v>Done</v>
          </cell>
          <cell r="S4418" t="str">
            <v>Approved</v>
          </cell>
          <cell r="T4418" t="str">
            <v>90150130 - Intan Aida Pratiwi</v>
          </cell>
          <cell r="U4418" t="str">
            <v>"-"</v>
          </cell>
        </row>
        <row r="4419">
          <cell r="A4419">
            <v>46265</v>
          </cell>
          <cell r="B4419" t="str">
            <v xml:space="preserve">SARI RATNALIA JUITA                     </v>
          </cell>
          <cell r="C4419" t="str">
            <v>SHFRN74</v>
          </cell>
          <cell r="D4419">
            <v>33101103470505</v>
          </cell>
          <cell r="E4419" t="str">
            <v>SEDANG</v>
          </cell>
          <cell r="F4419" t="str">
            <v>Tidak</v>
          </cell>
          <cell r="G4419" t="str">
            <v>Tidak</v>
          </cell>
          <cell r="H4419" t="str">
            <v>Tidak</v>
          </cell>
          <cell r="I4419" t="str">
            <v>Bandar Judol Depo</v>
          </cell>
          <cell r="J4419">
            <v>50</v>
          </cell>
          <cell r="K4419" t="str">
            <v>86,74,87</v>
          </cell>
          <cell r="L4419" t="str">
            <v>Judi Online</v>
          </cell>
          <cell r="M4419" t="str">
            <v xml:space="preserve">Kas Kanpus                              </v>
          </cell>
          <cell r="N4419" t="str">
            <v xml:space="preserve">Kas Kanpus                              </v>
          </cell>
          <cell r="O4419" t="str">
            <v xml:space="preserve">KAS KANPUS                              </v>
          </cell>
          <cell r="P4419" t="str">
            <v>Ya</v>
          </cell>
          <cell r="Q4419" t="str">
            <v>Tidak</v>
          </cell>
          <cell r="R4419" t="str">
            <v>Done</v>
          </cell>
          <cell r="S4419" t="str">
            <v>Approved</v>
          </cell>
          <cell r="T4419" t="str">
            <v>90171841 - Rifqi Aziz</v>
          </cell>
          <cell r="U4419" t="str">
            <v>"-"</v>
          </cell>
        </row>
        <row r="4420">
          <cell r="A4420">
            <v>46265</v>
          </cell>
          <cell r="B4420" t="str">
            <v xml:space="preserve">SIPA PAUZIAH                            </v>
          </cell>
          <cell r="C4420" t="str">
            <v>SHGVN17</v>
          </cell>
          <cell r="D4420">
            <v>182201017721509</v>
          </cell>
          <cell r="E4420" t="str">
            <v>SEDANG</v>
          </cell>
          <cell r="F4420" t="str">
            <v>Tidak</v>
          </cell>
          <cell r="G4420" t="str">
            <v>Tidak</v>
          </cell>
          <cell r="H4420" t="str">
            <v>Tidak</v>
          </cell>
          <cell r="I4420" t="str">
            <v>Bandar Judol Withdrawal</v>
          </cell>
          <cell r="J4420">
            <v>50</v>
          </cell>
          <cell r="K4420" t="str">
            <v>86,88,87</v>
          </cell>
          <cell r="L4420" t="str">
            <v>Judi Online</v>
          </cell>
          <cell r="M4420" t="str">
            <v xml:space="preserve">Kas Kanpus                              </v>
          </cell>
          <cell r="N4420" t="str">
            <v xml:space="preserve">Kas Kanpus                              </v>
          </cell>
          <cell r="O4420" t="str">
            <v xml:space="preserve">KAS KANPUS                              </v>
          </cell>
          <cell r="P4420" t="str">
            <v>Ya</v>
          </cell>
          <cell r="Q4420" t="str">
            <v>Ya</v>
          </cell>
          <cell r="R4420" t="str">
            <v>Done</v>
          </cell>
          <cell r="S4420" t="str">
            <v>Approved</v>
          </cell>
          <cell r="T4420" t="str">
            <v>00394521 - Muhammad Hibbanduta</v>
          </cell>
          <cell r="U4420" t="str">
            <v>"-"</v>
          </cell>
        </row>
        <row r="4421">
          <cell r="A4421">
            <v>46265</v>
          </cell>
          <cell r="B4421" t="str">
            <v xml:space="preserve">SUWITO                                  </v>
          </cell>
          <cell r="C4421" t="str">
            <v>SHIEN21</v>
          </cell>
          <cell r="D4421">
            <v>108601022248504</v>
          </cell>
          <cell r="E4421" t="str">
            <v>SEDANG</v>
          </cell>
          <cell r="F4421" t="str">
            <v>Tidak</v>
          </cell>
          <cell r="G4421" t="str">
            <v>Tidak</v>
          </cell>
          <cell r="H4421" t="str">
            <v>Ya</v>
          </cell>
          <cell r="I4421" t="str">
            <v>Bandar Judol Withdrawal</v>
          </cell>
          <cell r="J4421">
            <v>50</v>
          </cell>
          <cell r="K4421" t="str">
            <v>86,88,87</v>
          </cell>
          <cell r="L4421" t="str">
            <v>Judi Online</v>
          </cell>
          <cell r="M4421" t="str">
            <v xml:space="preserve">Kas Kanpus                              </v>
          </cell>
          <cell r="N4421" t="str">
            <v xml:space="preserve">Kas Kanpus                              </v>
          </cell>
          <cell r="O4421" t="str">
            <v xml:space="preserve">KAS KANPUS                              </v>
          </cell>
          <cell r="P4421" t="str">
            <v>Ya</v>
          </cell>
          <cell r="Q4421" t="str">
            <v>Ya</v>
          </cell>
          <cell r="R4421" t="str">
            <v>Done</v>
          </cell>
          <cell r="S4421" t="str">
            <v>Approved</v>
          </cell>
          <cell r="T4421" t="str">
            <v>90170665 - Mutiara Ayuningtyas</v>
          </cell>
          <cell r="U4421" t="str">
            <v>"-"</v>
          </cell>
        </row>
        <row r="4422">
          <cell r="A4422">
            <v>46265</v>
          </cell>
          <cell r="B4422" t="str">
            <v xml:space="preserve">SITI AISIYEH                            </v>
          </cell>
          <cell r="C4422" t="str">
            <v>SHKZQ73</v>
          </cell>
          <cell r="D4422">
            <v>1701004645566</v>
          </cell>
          <cell r="E4422" t="str">
            <v>SEDANG</v>
          </cell>
          <cell r="F4422" t="str">
            <v>Tidak</v>
          </cell>
          <cell r="G4422" t="str">
            <v>Tidak</v>
          </cell>
          <cell r="H4422" t="str">
            <v>Tidak</v>
          </cell>
          <cell r="I4422" t="str">
            <v>Judi Online</v>
          </cell>
          <cell r="J4422">
            <v>50</v>
          </cell>
          <cell r="K4422" t="str">
            <v>73,76,34,74,6</v>
          </cell>
          <cell r="L4422" t="str">
            <v>Judi Online</v>
          </cell>
          <cell r="M4422" t="str">
            <v xml:space="preserve">Kas Kanpus                              </v>
          </cell>
          <cell r="N4422" t="str">
            <v xml:space="preserve">Kas Kanpus                              </v>
          </cell>
          <cell r="O4422" t="str">
            <v xml:space="preserve">KAS KANPUS                              </v>
          </cell>
          <cell r="P4422" t="str">
            <v>Ya</v>
          </cell>
          <cell r="Q4422" t="str">
            <v>Ya</v>
          </cell>
          <cell r="R4422" t="str">
            <v>Done</v>
          </cell>
          <cell r="S4422" t="str">
            <v>Approved</v>
          </cell>
          <cell r="T4422" t="str">
            <v>90186790 - Muhammad Alfin Farha</v>
          </cell>
          <cell r="U4422" t="str">
            <v>"-"</v>
          </cell>
        </row>
        <row r="4423">
          <cell r="A4423">
            <v>46265</v>
          </cell>
          <cell r="B4423" t="str">
            <v xml:space="preserve">SITI AISIYEH                            </v>
          </cell>
          <cell r="C4423" t="str">
            <v>SHKZQ73</v>
          </cell>
          <cell r="D4423">
            <v>1701004645566</v>
          </cell>
          <cell r="E4423" t="str">
            <v>SEDANG</v>
          </cell>
          <cell r="F4423" t="str">
            <v>Tidak</v>
          </cell>
          <cell r="G4423" t="str">
            <v>Tidak</v>
          </cell>
          <cell r="H4423" t="str">
            <v>Tidak</v>
          </cell>
          <cell r="I4423" t="str">
            <v>Bandar Judol Depo</v>
          </cell>
          <cell r="J4423">
            <v>50</v>
          </cell>
          <cell r="K4423" t="str">
            <v>86,74,87</v>
          </cell>
          <cell r="L4423" t="str">
            <v>Judi Online</v>
          </cell>
          <cell r="M4423" t="str">
            <v xml:space="preserve">Kas Kanpus                              </v>
          </cell>
          <cell r="N4423" t="str">
            <v xml:space="preserve">Kas Kanpus                              </v>
          </cell>
          <cell r="O4423" t="str">
            <v xml:space="preserve">KAS KANPUS                              </v>
          </cell>
          <cell r="P4423" t="str">
            <v>Ya</v>
          </cell>
          <cell r="Q4423" t="str">
            <v>Ya</v>
          </cell>
          <cell r="R4423" t="str">
            <v>Done</v>
          </cell>
          <cell r="S4423" t="str">
            <v>Approved</v>
          </cell>
          <cell r="T4423" t="str">
            <v>90186790 - Muhammad Alfin Farha</v>
          </cell>
          <cell r="U4423" t="str">
            <v>"-"</v>
          </cell>
        </row>
        <row r="4424">
          <cell r="A4424">
            <v>46265</v>
          </cell>
          <cell r="B4424" t="str">
            <v xml:space="preserve">SUWINDI JULYANI                         </v>
          </cell>
          <cell r="C4424" t="str">
            <v>SHKFR89</v>
          </cell>
          <cell r="D4424">
            <v>112901008160530</v>
          </cell>
          <cell r="E4424" t="str">
            <v>SEDANG</v>
          </cell>
          <cell r="F4424" t="str">
            <v>Tidak</v>
          </cell>
          <cell r="G4424" t="str">
            <v>Tidak</v>
          </cell>
          <cell r="H4424" t="str">
            <v>Tidak</v>
          </cell>
          <cell r="I4424" t="str">
            <v>Bandar Judol Withdrawal</v>
          </cell>
          <cell r="J4424">
            <v>50</v>
          </cell>
          <cell r="K4424" t="str">
            <v>86,88,87</v>
          </cell>
          <cell r="L4424" t="str">
            <v>Judi Online</v>
          </cell>
          <cell r="M4424" t="str">
            <v xml:space="preserve">Kas Kanpus                              </v>
          </cell>
          <cell r="N4424" t="str">
            <v xml:space="preserve">Kas Kanpus                              </v>
          </cell>
          <cell r="O4424" t="str">
            <v xml:space="preserve">KAS KANPUS                              </v>
          </cell>
          <cell r="P4424" t="str">
            <v>Ya</v>
          </cell>
          <cell r="Q4424" t="str">
            <v>Ya</v>
          </cell>
          <cell r="R4424" t="str">
            <v>Done</v>
          </cell>
          <cell r="S4424" t="str">
            <v>Approved</v>
          </cell>
          <cell r="T4424" t="str">
            <v>90150130 - Intan Aida Pratiwi</v>
          </cell>
          <cell r="U4424" t="str">
            <v>"-"</v>
          </cell>
        </row>
        <row r="4425">
          <cell r="A4425">
            <v>46265</v>
          </cell>
          <cell r="B4425" t="str">
            <v xml:space="preserve">SITI AISAH                              </v>
          </cell>
          <cell r="C4425" t="str">
            <v>SHOJK25</v>
          </cell>
          <cell r="D4425">
            <v>182201017736504</v>
          </cell>
          <cell r="E4425" t="str">
            <v>SEDANG</v>
          </cell>
          <cell r="F4425" t="str">
            <v>Tidak</v>
          </cell>
          <cell r="G4425" t="str">
            <v>Tidak</v>
          </cell>
          <cell r="H4425" t="str">
            <v>Tidak</v>
          </cell>
          <cell r="I4425" t="str">
            <v>Bandar Judol Withdrawal</v>
          </cell>
          <cell r="J4425">
            <v>50</v>
          </cell>
          <cell r="K4425" t="str">
            <v>86,88,87</v>
          </cell>
          <cell r="L4425" t="str">
            <v>Judi Online</v>
          </cell>
          <cell r="M4425" t="str">
            <v xml:space="preserve">Kas Kanpus                              </v>
          </cell>
          <cell r="N4425" t="str">
            <v xml:space="preserve">Kas Kanpus                              </v>
          </cell>
          <cell r="O4425" t="str">
            <v xml:space="preserve">KAS KANPUS                              </v>
          </cell>
          <cell r="P4425" t="str">
            <v>Ya</v>
          </cell>
          <cell r="Q4425" t="str">
            <v>Ya</v>
          </cell>
          <cell r="R4425" t="str">
            <v>Done</v>
          </cell>
          <cell r="S4425" t="str">
            <v>Approved</v>
          </cell>
          <cell r="T4425" t="str">
            <v>90170665 - Mutiara Ayuningtyas</v>
          </cell>
          <cell r="U4425" t="str">
            <v>"-"</v>
          </cell>
        </row>
        <row r="4426">
          <cell r="A4426">
            <v>46265</v>
          </cell>
          <cell r="B4426" t="str">
            <v xml:space="preserve">SAEFUL                                  </v>
          </cell>
          <cell r="C4426" t="str">
            <v>SHMXW42</v>
          </cell>
          <cell r="D4426">
            <v>112901008271535</v>
          </cell>
          <cell r="E4426" t="str">
            <v>SEDANG</v>
          </cell>
          <cell r="F4426" t="str">
            <v>Tidak</v>
          </cell>
          <cell r="G4426" t="str">
            <v>Tidak</v>
          </cell>
          <cell r="H4426" t="str">
            <v>Ya</v>
          </cell>
          <cell r="I4426" t="str">
            <v>Bandar Judol Depo</v>
          </cell>
          <cell r="J4426">
            <v>50</v>
          </cell>
          <cell r="K4426" t="str">
            <v>86,74,87</v>
          </cell>
          <cell r="L4426" t="str">
            <v>Judi Online</v>
          </cell>
          <cell r="M4426" t="str">
            <v xml:space="preserve">Kas Kanpus                              </v>
          </cell>
          <cell r="N4426" t="str">
            <v xml:space="preserve">Kas Kanpus                              </v>
          </cell>
          <cell r="O4426" t="str">
            <v xml:space="preserve">KAS KANPUS                              </v>
          </cell>
          <cell r="P4426" t="str">
            <v>Ya</v>
          </cell>
          <cell r="Q4426" t="str">
            <v>Ya</v>
          </cell>
          <cell r="R4426" t="str">
            <v>Done</v>
          </cell>
          <cell r="S4426" t="str">
            <v>Approved</v>
          </cell>
          <cell r="T4426" t="str">
            <v>90186796 - Devito Arya Wiradila</v>
          </cell>
          <cell r="U4426" t="str">
            <v>"-"</v>
          </cell>
        </row>
        <row r="4427">
          <cell r="A4427">
            <v>46265</v>
          </cell>
          <cell r="B4427" t="str">
            <v xml:space="preserve">SELLA FAHTUL AZIZAH                     </v>
          </cell>
          <cell r="C4427" t="str">
            <v>SJIVA54</v>
          </cell>
          <cell r="D4427">
            <v>731101003069504</v>
          </cell>
          <cell r="F4427" t="str">
            <v>Tidak</v>
          </cell>
          <cell r="G4427" t="str">
            <v>Tidak</v>
          </cell>
          <cell r="H4427" t="str">
            <v>Tidak</v>
          </cell>
          <cell r="I4427" t="str">
            <v>Bandar Judol Withdrawal</v>
          </cell>
          <cell r="J4427">
            <v>35</v>
          </cell>
          <cell r="K4427" t="str">
            <v>86,88,87</v>
          </cell>
          <cell r="L4427" t="str">
            <v>Judi Online</v>
          </cell>
          <cell r="M4427" t="str">
            <v xml:space="preserve">Kas Kanpus                              </v>
          </cell>
          <cell r="N4427" t="str">
            <v xml:space="preserve">Kas Kanpus                              </v>
          </cell>
          <cell r="O4427" t="str">
            <v xml:space="preserve">KAS KANPUS                              </v>
          </cell>
          <cell r="P4427" t="str">
            <v>Ya</v>
          </cell>
          <cell r="Q4427" t="str">
            <v>Tidak</v>
          </cell>
          <cell r="R4427" t="str">
            <v>Done</v>
          </cell>
          <cell r="S4427" t="str">
            <v>Approved</v>
          </cell>
          <cell r="T4427" t="str">
            <v>00394521 - Muhammad Hibbanduta</v>
          </cell>
          <cell r="U4427" t="str">
            <v>"-"</v>
          </cell>
        </row>
        <row r="4428">
          <cell r="A4428">
            <v>46265</v>
          </cell>
          <cell r="B4428" t="str">
            <v xml:space="preserve">SUGENG PRAYITNO                         </v>
          </cell>
          <cell r="C4428" t="str">
            <v>SJJFN95</v>
          </cell>
          <cell r="D4428">
            <v>43801003899562</v>
          </cell>
          <cell r="F4428" t="str">
            <v>Tidak</v>
          </cell>
          <cell r="G4428" t="str">
            <v>Tidak</v>
          </cell>
          <cell r="H4428" t="str">
            <v>Tidak</v>
          </cell>
          <cell r="I4428" t="str">
            <v>Bandar Judol Depo</v>
          </cell>
          <cell r="J4428">
            <v>35</v>
          </cell>
          <cell r="K4428" t="str">
            <v>86,74,87</v>
          </cell>
          <cell r="L4428" t="str">
            <v>Judi Online</v>
          </cell>
          <cell r="M4428" t="str">
            <v xml:space="preserve">Kas Kanpus                              </v>
          </cell>
          <cell r="N4428" t="str">
            <v xml:space="preserve">Kas Kanpus                              </v>
          </cell>
          <cell r="O4428" t="str">
            <v xml:space="preserve">KAS KANPUS                              </v>
          </cell>
          <cell r="P4428" t="str">
            <v>Ya</v>
          </cell>
          <cell r="Q4428" t="str">
            <v>Ya</v>
          </cell>
          <cell r="R4428" t="str">
            <v>Done</v>
          </cell>
          <cell r="S4428" t="str">
            <v>Approved</v>
          </cell>
          <cell r="T4428" t="str">
            <v>00394520 - Frida Akbar Rani</v>
          </cell>
          <cell r="U4428" t="str">
            <v>"-"</v>
          </cell>
        </row>
        <row r="4429">
          <cell r="A4429">
            <v>46265</v>
          </cell>
          <cell r="B4429" t="str">
            <v xml:space="preserve">SAIFUL ANWAR                            </v>
          </cell>
          <cell r="C4429" t="str">
            <v>SJIRN83</v>
          </cell>
          <cell r="D4429">
            <v>44401050941503</v>
          </cell>
          <cell r="F4429" t="str">
            <v>Tidak</v>
          </cell>
          <cell r="G4429" t="str">
            <v>Tidak</v>
          </cell>
          <cell r="H4429" t="str">
            <v>Tidak</v>
          </cell>
          <cell r="I4429" t="str">
            <v>Bandar Judol Withdrawal</v>
          </cell>
          <cell r="J4429">
            <v>35</v>
          </cell>
          <cell r="K4429" t="str">
            <v>86,88,87</v>
          </cell>
          <cell r="L4429" t="str">
            <v>Judi Online</v>
          </cell>
          <cell r="M4429" t="str">
            <v xml:space="preserve">Kas Kanpus                              </v>
          </cell>
          <cell r="N4429" t="str">
            <v xml:space="preserve">Kas Kanpus                              </v>
          </cell>
          <cell r="O4429" t="str">
            <v xml:space="preserve">KAS KANPUS                              </v>
          </cell>
          <cell r="P4429" t="str">
            <v>Ya</v>
          </cell>
          <cell r="Q4429" t="str">
            <v>Ya</v>
          </cell>
          <cell r="R4429" t="str">
            <v>Done</v>
          </cell>
          <cell r="S4429" t="str">
            <v>Approved</v>
          </cell>
          <cell r="T4429" t="str">
            <v>00394520 - Frida Akbar Rani</v>
          </cell>
          <cell r="U4429" t="str">
            <v>"-"</v>
          </cell>
        </row>
        <row r="4430">
          <cell r="A4430">
            <v>46265</v>
          </cell>
          <cell r="B4430" t="str">
            <v xml:space="preserve">SULTAN ALIP ISKANDAR                    </v>
          </cell>
          <cell r="C4430" t="str">
            <v>SJHCR08</v>
          </cell>
          <cell r="D4430">
            <v>37901054683506</v>
          </cell>
          <cell r="F4430" t="str">
            <v>Tidak</v>
          </cell>
          <cell r="G4430" t="str">
            <v>Tidak</v>
          </cell>
          <cell r="H4430" t="str">
            <v>Tidak</v>
          </cell>
          <cell r="I4430" t="str">
            <v>Bandar Judol Depo</v>
          </cell>
          <cell r="J4430">
            <v>35</v>
          </cell>
          <cell r="K4430" t="str">
            <v>86,74,87</v>
          </cell>
          <cell r="L4430" t="str">
            <v>Judi Online</v>
          </cell>
          <cell r="M4430" t="str">
            <v xml:space="preserve">Kas Kanpus                              </v>
          </cell>
          <cell r="N4430" t="str">
            <v xml:space="preserve">Kas Kanpus                              </v>
          </cell>
          <cell r="O4430" t="str">
            <v xml:space="preserve">KAS KANPUS                              </v>
          </cell>
          <cell r="P4430" t="str">
            <v>Ya</v>
          </cell>
          <cell r="Q4430" t="str">
            <v>Ya</v>
          </cell>
          <cell r="R4430" t="str">
            <v>Done</v>
          </cell>
          <cell r="S4430" t="str">
            <v>Approved</v>
          </cell>
          <cell r="T4430" t="str">
            <v>90150130 - Intan Aida Pratiwi</v>
          </cell>
          <cell r="U4430" t="str">
            <v>"-"</v>
          </cell>
        </row>
        <row r="4431">
          <cell r="A4431">
            <v>46265</v>
          </cell>
          <cell r="B4431" t="str">
            <v xml:space="preserve">SITI HAPSAH                             </v>
          </cell>
          <cell r="C4431" t="str">
            <v>SJHFI48</v>
          </cell>
          <cell r="D4431">
            <v>53101015464507</v>
          </cell>
          <cell r="F4431" t="str">
            <v>Tidak</v>
          </cell>
          <cell r="G4431" t="str">
            <v>Tidak</v>
          </cell>
          <cell r="H4431" t="str">
            <v>Tidak</v>
          </cell>
          <cell r="I4431" t="str">
            <v>Bandar Judol Withdrawal</v>
          </cell>
          <cell r="J4431">
            <v>35</v>
          </cell>
          <cell r="K4431" t="str">
            <v>86,88,87</v>
          </cell>
          <cell r="L4431" t="str">
            <v>Judi Online</v>
          </cell>
          <cell r="M4431" t="str">
            <v xml:space="preserve">Kas Kanpus                              </v>
          </cell>
          <cell r="N4431" t="str">
            <v xml:space="preserve">Kas Kanpus                              </v>
          </cell>
          <cell r="O4431" t="str">
            <v xml:space="preserve">KAS KANPUS                              </v>
          </cell>
          <cell r="P4431" t="str">
            <v>Ya</v>
          </cell>
          <cell r="Q4431" t="str">
            <v>Ya</v>
          </cell>
          <cell r="R4431" t="str">
            <v>Done</v>
          </cell>
          <cell r="S4431" t="str">
            <v>Approved</v>
          </cell>
          <cell r="T4431" t="str">
            <v>90171841 - Rifqi Aziz</v>
          </cell>
          <cell r="U4431" t="str">
            <v>"-"</v>
          </cell>
        </row>
        <row r="4432">
          <cell r="A4432">
            <v>46265</v>
          </cell>
          <cell r="B4432" t="str">
            <v xml:space="preserve">SAFNITA                                 </v>
          </cell>
          <cell r="C4432" t="str">
            <v>SJHY827</v>
          </cell>
          <cell r="D4432">
            <v>108601000469564</v>
          </cell>
          <cell r="E4432" t="str">
            <v>SEDANG</v>
          </cell>
          <cell r="F4432" t="str">
            <v>Tidak</v>
          </cell>
          <cell r="G4432" t="str">
            <v>Tidak</v>
          </cell>
          <cell r="H4432" t="str">
            <v>Tidak</v>
          </cell>
          <cell r="I4432" t="str">
            <v>Bandar Judol Depo</v>
          </cell>
          <cell r="J4432">
            <v>50</v>
          </cell>
          <cell r="K4432" t="str">
            <v>86,74,87</v>
          </cell>
          <cell r="L4432" t="str">
            <v>Judi Online</v>
          </cell>
          <cell r="M4432" t="str">
            <v xml:space="preserve">Kas Kanpus                              </v>
          </cell>
          <cell r="N4432" t="str">
            <v xml:space="preserve">Kas Kanpus                              </v>
          </cell>
          <cell r="O4432" t="str">
            <v xml:space="preserve">KAS KANPUS                              </v>
          </cell>
          <cell r="P4432" t="str">
            <v>Ya</v>
          </cell>
          <cell r="Q4432" t="str">
            <v>Ya</v>
          </cell>
          <cell r="R4432" t="str">
            <v>Done</v>
          </cell>
          <cell r="S4432" t="str">
            <v>Approved</v>
          </cell>
          <cell r="T4432" t="str">
            <v>00336949 - Mochammad Al Farabi</v>
          </cell>
          <cell r="U4432" t="str">
            <v>"-"</v>
          </cell>
        </row>
        <row r="4433">
          <cell r="A4433">
            <v>46265</v>
          </cell>
          <cell r="B4433" t="str">
            <v xml:space="preserve">SUHENDI                                 </v>
          </cell>
          <cell r="C4433" t="str">
            <v>SJILF62</v>
          </cell>
          <cell r="D4433">
            <v>721101000043569</v>
          </cell>
          <cell r="F4433" t="str">
            <v>Tidak</v>
          </cell>
          <cell r="G4433" t="str">
            <v>Tidak</v>
          </cell>
          <cell r="H4433" t="str">
            <v>Tidak</v>
          </cell>
          <cell r="I4433" t="str">
            <v>Bandar Judol Withdrawal</v>
          </cell>
          <cell r="J4433">
            <v>35</v>
          </cell>
          <cell r="K4433" t="str">
            <v>86,88,87</v>
          </cell>
          <cell r="L4433" t="str">
            <v>Judi Online</v>
          </cell>
          <cell r="M4433" t="str">
            <v xml:space="preserve">Kas Kanpus                              </v>
          </cell>
          <cell r="N4433" t="str">
            <v xml:space="preserve">Kas Kanpus                              </v>
          </cell>
          <cell r="O4433" t="str">
            <v xml:space="preserve">KAS KANPUS                              </v>
          </cell>
          <cell r="P4433" t="str">
            <v>Ya</v>
          </cell>
          <cell r="Q4433" t="str">
            <v>Tidak</v>
          </cell>
          <cell r="R4433" t="str">
            <v>Done</v>
          </cell>
          <cell r="S4433" t="str">
            <v>Approved</v>
          </cell>
          <cell r="T4433" t="str">
            <v>90170665 - Mutiara Ayuningtyas</v>
          </cell>
          <cell r="U4433" t="str">
            <v>"-"</v>
          </cell>
        </row>
        <row r="4434">
          <cell r="A4434">
            <v>46265</v>
          </cell>
          <cell r="B4434" t="str">
            <v xml:space="preserve">SYAHRIZAL                               </v>
          </cell>
          <cell r="C4434" t="str">
            <v>SJIOS89</v>
          </cell>
          <cell r="D4434">
            <v>217801047428503</v>
          </cell>
          <cell r="F4434" t="str">
            <v>Tidak</v>
          </cell>
          <cell r="G4434" t="str">
            <v>Tidak</v>
          </cell>
          <cell r="H4434" t="str">
            <v>Tidak</v>
          </cell>
          <cell r="I4434" t="str">
            <v>Bandar Judol Withdrawal</v>
          </cell>
          <cell r="J4434">
            <v>35</v>
          </cell>
          <cell r="K4434" t="str">
            <v>86,88,87</v>
          </cell>
          <cell r="L4434" t="str">
            <v>Judi Online</v>
          </cell>
          <cell r="M4434" t="str">
            <v xml:space="preserve">Kas Kanpus                              </v>
          </cell>
          <cell r="N4434" t="str">
            <v xml:space="preserve">Kas Kanpus                              </v>
          </cell>
          <cell r="O4434" t="str">
            <v xml:space="preserve">KAS KANPUS                              </v>
          </cell>
          <cell r="P4434" t="str">
            <v>Ya</v>
          </cell>
          <cell r="Q4434" t="str">
            <v>Ya</v>
          </cell>
          <cell r="R4434" t="str">
            <v>Done</v>
          </cell>
          <cell r="S4434" t="str">
            <v>Approved</v>
          </cell>
          <cell r="T4434" t="str">
            <v>90170665 - Mutiara Ayuningtyas</v>
          </cell>
          <cell r="U4434" t="str">
            <v>"-"</v>
          </cell>
        </row>
        <row r="4435">
          <cell r="A4435">
            <v>46265</v>
          </cell>
          <cell r="B4435" t="str">
            <v xml:space="preserve">SLAMAT KURNIAWAN                        </v>
          </cell>
          <cell r="C4435" t="str">
            <v>SJEAH29</v>
          </cell>
          <cell r="D4435">
            <v>763401039328538</v>
          </cell>
          <cell r="F4435" t="str">
            <v>Tidak</v>
          </cell>
          <cell r="G4435" t="str">
            <v>Tidak</v>
          </cell>
          <cell r="H4435" t="str">
            <v>Tidak</v>
          </cell>
          <cell r="I4435" t="str">
            <v>Bandar Judol Withdrawal</v>
          </cell>
          <cell r="J4435">
            <v>35</v>
          </cell>
          <cell r="K4435" t="str">
            <v>86,88,87</v>
          </cell>
          <cell r="L4435" t="str">
            <v>Judi Online</v>
          </cell>
          <cell r="M4435" t="str">
            <v xml:space="preserve">Kas Kanpus                              </v>
          </cell>
          <cell r="N4435" t="str">
            <v xml:space="preserve">Kas Kanpus                              </v>
          </cell>
          <cell r="O4435" t="str">
            <v xml:space="preserve">KAS KANPUS                              </v>
          </cell>
          <cell r="P4435" t="str">
            <v>Ya</v>
          </cell>
          <cell r="Q4435" t="str">
            <v>Ya</v>
          </cell>
          <cell r="R4435" t="str">
            <v>Done</v>
          </cell>
          <cell r="S4435" t="str">
            <v>Approved</v>
          </cell>
          <cell r="T4435" t="str">
            <v>00394521 - Muhammad Hibbanduta</v>
          </cell>
          <cell r="U4435" t="str">
            <v>"-"</v>
          </cell>
        </row>
        <row r="4436">
          <cell r="A4436">
            <v>46265</v>
          </cell>
          <cell r="B4436" t="str">
            <v xml:space="preserve">SYARIF HIDAYATULLAH                     </v>
          </cell>
          <cell r="C4436" t="str">
            <v>SJEET78</v>
          </cell>
          <cell r="D4436">
            <v>33201168736500</v>
          </cell>
          <cell r="F4436" t="str">
            <v>Tidak</v>
          </cell>
          <cell r="G4436" t="str">
            <v>Tidak</v>
          </cell>
          <cell r="H4436" t="str">
            <v>Tidak</v>
          </cell>
          <cell r="I4436" t="str">
            <v>Bandar Judol Withdrawal</v>
          </cell>
          <cell r="J4436">
            <v>35</v>
          </cell>
          <cell r="K4436" t="str">
            <v>86,88,87</v>
          </cell>
          <cell r="L4436" t="str">
            <v>Judi Online</v>
          </cell>
          <cell r="M4436" t="str">
            <v xml:space="preserve">Kas Kanpus                              </v>
          </cell>
          <cell r="N4436" t="str">
            <v xml:space="preserve">Kas Kanpus                              </v>
          </cell>
          <cell r="O4436" t="str">
            <v xml:space="preserve">KAS KANPUS                              </v>
          </cell>
          <cell r="P4436" t="str">
            <v>Ya</v>
          </cell>
          <cell r="Q4436" t="str">
            <v>Ya</v>
          </cell>
          <cell r="R4436" t="str">
            <v>Done</v>
          </cell>
          <cell r="S4436" t="str">
            <v>Approved</v>
          </cell>
          <cell r="T4436" t="str">
            <v>90170665 - Mutiara Ayuningtyas</v>
          </cell>
          <cell r="U4436" t="str">
            <v>"-"</v>
          </cell>
        </row>
        <row r="4437">
          <cell r="A4437">
            <v>46265</v>
          </cell>
          <cell r="B4437" t="str">
            <v xml:space="preserve">SINDI DWI NADAA                         </v>
          </cell>
          <cell r="C4437" t="str">
            <v>SJDJL44</v>
          </cell>
          <cell r="D4437">
            <v>572201025231530</v>
          </cell>
          <cell r="F4437" t="str">
            <v>Tidak</v>
          </cell>
          <cell r="G4437" t="str">
            <v>Tidak</v>
          </cell>
          <cell r="H4437" t="str">
            <v>Ya</v>
          </cell>
          <cell r="I4437" t="str">
            <v>Narkotika - Area Lapas</v>
          </cell>
          <cell r="J4437">
            <v>33</v>
          </cell>
          <cell r="K4437">
            <v>48</v>
          </cell>
          <cell r="L4437" t="str">
            <v>Narkotika</v>
          </cell>
          <cell r="M4437" t="str">
            <v>UNIT UNIJA JAMBI</v>
          </cell>
          <cell r="N4437" t="str">
            <v>KC Jambi</v>
          </cell>
          <cell r="O4437" t="str">
            <v>Palembang</v>
          </cell>
          <cell r="P4437" t="str">
            <v>Tidak</v>
          </cell>
          <cell r="Q4437" t="str">
            <v>Tidak</v>
          </cell>
          <cell r="R4437" t="str">
            <v>Done</v>
          </cell>
          <cell r="S4437" t="str">
            <v>Approved</v>
          </cell>
          <cell r="T4437" t="str">
            <v>90171841 - Rifqi Aziz</v>
          </cell>
          <cell r="U4437" t="str">
            <v>"-"</v>
          </cell>
        </row>
        <row r="4438">
          <cell r="A4438">
            <v>46265</v>
          </cell>
          <cell r="B4438" t="str">
            <v xml:space="preserve">SABAR GANDA AND PARTNERS LAW OFFICE     </v>
          </cell>
          <cell r="C4438" t="str">
            <v>SJDRM20</v>
          </cell>
          <cell r="D4438">
            <v>36701002831306</v>
          </cell>
          <cell r="F4438" t="str">
            <v>Tidak</v>
          </cell>
          <cell r="G4438" t="str">
            <v>Tidak</v>
          </cell>
          <cell r="H4438" t="str">
            <v>Tidak</v>
          </cell>
          <cell r="I4438" t="str">
            <v>Perpajakan</v>
          </cell>
          <cell r="J4438">
            <v>33</v>
          </cell>
          <cell r="K4438">
            <v>41</v>
          </cell>
          <cell r="L4438" t="str">
            <v>Perpajakan</v>
          </cell>
          <cell r="M4438" t="str">
            <v xml:space="preserve">KC Medan Sisingamangaraja               </v>
          </cell>
          <cell r="N4438" t="str">
            <v xml:space="preserve">KC Medan Sisingamangaraja               </v>
          </cell>
          <cell r="O4438" t="str">
            <v xml:space="preserve">Medan                                   </v>
          </cell>
          <cell r="P4438" t="str">
            <v>Tidak</v>
          </cell>
          <cell r="Q4438" t="str">
            <v>Tidak</v>
          </cell>
          <cell r="R4438" t="str">
            <v>Done</v>
          </cell>
          <cell r="S4438" t="str">
            <v>Approved</v>
          </cell>
          <cell r="T4438" t="str">
            <v>90185538 - Muhammad Fahikal Auz</v>
          </cell>
          <cell r="U4438" t="str">
            <v>"-"</v>
          </cell>
        </row>
        <row r="4439">
          <cell r="A4439">
            <v>46265</v>
          </cell>
          <cell r="B4439" t="str">
            <v xml:space="preserve">SUGITO                                  </v>
          </cell>
          <cell r="C4439" t="str">
            <v>SJMDD05</v>
          </cell>
          <cell r="D4439">
            <v>13601059294506</v>
          </cell>
          <cell r="F4439" t="str">
            <v>Tidak</v>
          </cell>
          <cell r="G4439" t="str">
            <v>Tidak</v>
          </cell>
          <cell r="H4439" t="str">
            <v>Tidak</v>
          </cell>
          <cell r="I4439" t="str">
            <v>Bandar Judol Withdrawal</v>
          </cell>
          <cell r="J4439">
            <v>35</v>
          </cell>
          <cell r="K4439" t="str">
            <v>86,88,87</v>
          </cell>
          <cell r="L4439" t="str">
            <v>Judi Online</v>
          </cell>
          <cell r="M4439" t="str">
            <v xml:space="preserve">Kas Kanpus                              </v>
          </cell>
          <cell r="N4439" t="str">
            <v xml:space="preserve">Kas Kanpus                              </v>
          </cell>
          <cell r="O4439" t="str">
            <v xml:space="preserve">KAS KANPUS                              </v>
          </cell>
          <cell r="P4439" t="str">
            <v>Ya</v>
          </cell>
          <cell r="Q4439" t="str">
            <v>Ya</v>
          </cell>
          <cell r="R4439" t="str">
            <v>Done</v>
          </cell>
          <cell r="S4439" t="str">
            <v>Approved</v>
          </cell>
          <cell r="T4439" t="str">
            <v>90186790 - Muhammad Alfin Farha</v>
          </cell>
          <cell r="U4439" t="str">
            <v>"-"</v>
          </cell>
        </row>
        <row r="4440">
          <cell r="A4440">
            <v>46265</v>
          </cell>
          <cell r="B4440" t="str">
            <v xml:space="preserve">SLAMET ARYADI                           </v>
          </cell>
          <cell r="C4440" t="str">
            <v>SJNK410</v>
          </cell>
          <cell r="D4440">
            <v>333401037236539</v>
          </cell>
          <cell r="E4440" t="str">
            <v>SEDANG</v>
          </cell>
          <cell r="F4440" t="str">
            <v>Tidak</v>
          </cell>
          <cell r="G4440" t="str">
            <v>Tidak</v>
          </cell>
          <cell r="H4440" t="str">
            <v>Tidak</v>
          </cell>
          <cell r="I4440" t="str">
            <v>Narkotika - Area Lapas</v>
          </cell>
          <cell r="J4440">
            <v>60</v>
          </cell>
          <cell r="K4440">
            <v>48</v>
          </cell>
          <cell r="L4440" t="str">
            <v>Narkotika</v>
          </cell>
          <cell r="M4440" t="str">
            <v>UNIT MANONDA PALU</v>
          </cell>
          <cell r="N4440" t="str">
            <v>KC Palu</v>
          </cell>
          <cell r="O4440" t="str">
            <v>Manado</v>
          </cell>
          <cell r="P4440" t="str">
            <v>Tidak</v>
          </cell>
          <cell r="Q4440" t="str">
            <v>Tidak</v>
          </cell>
          <cell r="R4440" t="str">
            <v>Done</v>
          </cell>
          <cell r="S4440" t="str">
            <v>Approved</v>
          </cell>
          <cell r="T4440" t="str">
            <v>90171841 - Rifqi Aziz</v>
          </cell>
          <cell r="U4440" t="str">
            <v>"-"</v>
          </cell>
        </row>
        <row r="4441">
          <cell r="A4441">
            <v>46265</v>
          </cell>
          <cell r="B4441" t="str">
            <v xml:space="preserve">SAIFUL                                  </v>
          </cell>
          <cell r="C4441" t="str">
            <v>SJPB851</v>
          </cell>
          <cell r="D4441">
            <v>112901001115568</v>
          </cell>
          <cell r="E4441" t="str">
            <v>SEDANG</v>
          </cell>
          <cell r="F4441" t="str">
            <v>Tidak</v>
          </cell>
          <cell r="G4441" t="str">
            <v>Tidak</v>
          </cell>
          <cell r="H4441" t="str">
            <v>Tidak</v>
          </cell>
          <cell r="I4441" t="str">
            <v>Bandar Judol Withdrawal</v>
          </cell>
          <cell r="J4441">
            <v>50</v>
          </cell>
          <cell r="K4441" t="str">
            <v>86,88,87</v>
          </cell>
          <cell r="L4441" t="str">
            <v>Judi Online</v>
          </cell>
          <cell r="M4441" t="str">
            <v xml:space="preserve">Kas Kanpus                              </v>
          </cell>
          <cell r="N4441" t="str">
            <v xml:space="preserve">Kas Kanpus                              </v>
          </cell>
          <cell r="O4441" t="str">
            <v xml:space="preserve">KAS KANPUS                              </v>
          </cell>
          <cell r="P4441" t="str">
            <v>Ya</v>
          </cell>
          <cell r="Q4441" t="str">
            <v>Ya</v>
          </cell>
          <cell r="R4441" t="str">
            <v>Done</v>
          </cell>
          <cell r="S4441" t="str">
            <v>Approved</v>
          </cell>
          <cell r="T4441" t="str">
            <v>90186790 - Muhammad Alfin Farha</v>
          </cell>
          <cell r="U4441" t="str">
            <v>"-"</v>
          </cell>
        </row>
        <row r="4442">
          <cell r="A4442">
            <v>46265</v>
          </cell>
          <cell r="B4442" t="str">
            <v xml:space="preserve">SARIPADA HARAP                          </v>
          </cell>
          <cell r="C4442" t="str">
            <v>SJLLP69</v>
          </cell>
          <cell r="D4442">
            <v>224901001163562</v>
          </cell>
          <cell r="F4442" t="str">
            <v>Tidak</v>
          </cell>
          <cell r="G4442" t="str">
            <v>Tidak</v>
          </cell>
          <cell r="H4442" t="str">
            <v>Tidak</v>
          </cell>
          <cell r="I4442" t="str">
            <v>Bandar Judol Withdrawal</v>
          </cell>
          <cell r="J4442">
            <v>35</v>
          </cell>
          <cell r="K4442" t="str">
            <v>86,88,87</v>
          </cell>
          <cell r="L4442" t="str">
            <v>Judi Online</v>
          </cell>
          <cell r="M4442" t="str">
            <v xml:space="preserve">Kas Kanpus                              </v>
          </cell>
          <cell r="N4442" t="str">
            <v xml:space="preserve">Kas Kanpus                              </v>
          </cell>
          <cell r="O4442" t="str">
            <v xml:space="preserve">KAS KANPUS                              </v>
          </cell>
          <cell r="P4442" t="str">
            <v>Ya</v>
          </cell>
          <cell r="Q4442" t="str">
            <v>Ya</v>
          </cell>
          <cell r="R4442" t="str">
            <v>Done</v>
          </cell>
          <cell r="S4442" t="str">
            <v>Approved</v>
          </cell>
          <cell r="T4442" t="str">
            <v>00336949 - Mochammad Al Farabi</v>
          </cell>
          <cell r="U4442" t="str">
            <v>"-"</v>
          </cell>
        </row>
        <row r="4443">
          <cell r="A4443">
            <v>46265</v>
          </cell>
          <cell r="B4443" t="str">
            <v xml:space="preserve">SAIFUL ULYA                             </v>
          </cell>
          <cell r="C4443" t="str">
            <v>SJJXG02</v>
          </cell>
          <cell r="D4443">
            <v>50901005505560</v>
          </cell>
          <cell r="F4443" t="str">
            <v>Tidak</v>
          </cell>
          <cell r="G4443" t="str">
            <v>Tidak</v>
          </cell>
          <cell r="H4443" t="str">
            <v>Tidak</v>
          </cell>
          <cell r="I4443" t="str">
            <v>Bandar Judol Depo</v>
          </cell>
          <cell r="J4443">
            <v>35</v>
          </cell>
          <cell r="K4443" t="str">
            <v>86,74,87</v>
          </cell>
          <cell r="L4443" t="str">
            <v>Judi Online</v>
          </cell>
          <cell r="M4443" t="str">
            <v xml:space="preserve">Kas Kanpus                              </v>
          </cell>
          <cell r="N4443" t="str">
            <v xml:space="preserve">Kas Kanpus                              </v>
          </cell>
          <cell r="O4443" t="str">
            <v xml:space="preserve">KAS KANPUS                              </v>
          </cell>
          <cell r="P4443" t="str">
            <v>Ya</v>
          </cell>
          <cell r="Q4443" t="str">
            <v>Ya</v>
          </cell>
          <cell r="R4443" t="str">
            <v>Done</v>
          </cell>
          <cell r="S4443" t="str">
            <v>Approved</v>
          </cell>
          <cell r="T4443" t="str">
            <v>00336949 - Mochammad Al Farabi</v>
          </cell>
          <cell r="U4443" t="str">
            <v>"-"</v>
          </cell>
        </row>
        <row r="4444">
          <cell r="A4444">
            <v>46265</v>
          </cell>
          <cell r="B4444" t="str">
            <v xml:space="preserve">SITI KHOTIJAH                           </v>
          </cell>
          <cell r="C4444" t="str">
            <v>SJJYI66</v>
          </cell>
          <cell r="D4444">
            <v>43401041208509</v>
          </cell>
          <cell r="F4444" t="str">
            <v>Tidak</v>
          </cell>
          <cell r="G4444" t="str">
            <v>Tidak</v>
          </cell>
          <cell r="H4444" t="str">
            <v>Tidak</v>
          </cell>
          <cell r="I4444" t="str">
            <v>Bandar Judol Withdrawal</v>
          </cell>
          <cell r="J4444">
            <v>35</v>
          </cell>
          <cell r="K4444" t="str">
            <v>86,88,87</v>
          </cell>
          <cell r="L4444" t="str">
            <v>Judi Online</v>
          </cell>
          <cell r="M4444" t="str">
            <v xml:space="preserve">Kas Kanpus                              </v>
          </cell>
          <cell r="N4444" t="str">
            <v xml:space="preserve">Kas Kanpus                              </v>
          </cell>
          <cell r="O4444" t="str">
            <v xml:space="preserve">KAS KANPUS                              </v>
          </cell>
          <cell r="P4444" t="str">
            <v>Ya</v>
          </cell>
          <cell r="Q4444" t="str">
            <v>Ya</v>
          </cell>
          <cell r="R4444" t="str">
            <v>Done</v>
          </cell>
          <cell r="S4444" t="str">
            <v>Approved</v>
          </cell>
          <cell r="T4444" t="str">
            <v>00336949 - Mochammad Al Farabi</v>
          </cell>
          <cell r="U4444" t="str">
            <v>"-"</v>
          </cell>
        </row>
        <row r="4445">
          <cell r="A4445">
            <v>46265</v>
          </cell>
          <cell r="B4445" t="str">
            <v xml:space="preserve">SUCI RAHMADHANI                         </v>
          </cell>
          <cell r="C4445" t="str">
            <v>SJKZD04</v>
          </cell>
          <cell r="D4445">
            <v>525801017944508</v>
          </cell>
          <cell r="F4445" t="str">
            <v>Tidak</v>
          </cell>
          <cell r="G4445" t="str">
            <v>Tidak</v>
          </cell>
          <cell r="H4445" t="str">
            <v>Tidak</v>
          </cell>
          <cell r="I4445" t="str">
            <v>Bandar Judol Depo</v>
          </cell>
          <cell r="J4445">
            <v>35</v>
          </cell>
          <cell r="K4445" t="str">
            <v>86,74,87</v>
          </cell>
          <cell r="L4445" t="str">
            <v>Judi Online</v>
          </cell>
          <cell r="M4445" t="str">
            <v xml:space="preserve">Kas Kanpus                              </v>
          </cell>
          <cell r="N4445" t="str">
            <v xml:space="preserve">Kas Kanpus                              </v>
          </cell>
          <cell r="O4445" t="str">
            <v xml:space="preserve">KAS KANPUS                              </v>
          </cell>
          <cell r="P4445" t="str">
            <v>Ya</v>
          </cell>
          <cell r="Q4445" t="str">
            <v>Ya</v>
          </cell>
          <cell r="R4445" t="str">
            <v>Done</v>
          </cell>
          <cell r="S4445" t="str">
            <v>Approved</v>
          </cell>
          <cell r="T4445" t="str">
            <v>00394520 - Frida Akbar Rani</v>
          </cell>
          <cell r="U4445" t="str">
            <v>"-"</v>
          </cell>
        </row>
        <row r="4446">
          <cell r="A4446">
            <v>46265</v>
          </cell>
          <cell r="B4446" t="str">
            <v xml:space="preserve">SUTRIYANTI                              </v>
          </cell>
          <cell r="C4446" t="str">
            <v>SJJOD24</v>
          </cell>
          <cell r="D4446">
            <v>110601000812567</v>
          </cell>
          <cell r="F4446" t="str">
            <v>Tidak</v>
          </cell>
          <cell r="G4446" t="str">
            <v>Tidak</v>
          </cell>
          <cell r="H4446" t="str">
            <v>Tidak</v>
          </cell>
          <cell r="I4446" t="str">
            <v>Bandar Judol Depo</v>
          </cell>
          <cell r="J4446">
            <v>35</v>
          </cell>
          <cell r="K4446" t="str">
            <v>86,74,87</v>
          </cell>
          <cell r="L4446" t="str">
            <v>Judi Online</v>
          </cell>
          <cell r="M4446" t="str">
            <v xml:space="preserve">Kas Kanpus                              </v>
          </cell>
          <cell r="N4446" t="str">
            <v xml:space="preserve">Kas Kanpus                              </v>
          </cell>
          <cell r="O4446" t="str">
            <v xml:space="preserve">KAS KANPUS                              </v>
          </cell>
          <cell r="P4446" t="str">
            <v>Ya</v>
          </cell>
          <cell r="Q4446" t="str">
            <v>Ya</v>
          </cell>
          <cell r="R4446" t="str">
            <v>Done</v>
          </cell>
          <cell r="S4446" t="str">
            <v>Approved</v>
          </cell>
          <cell r="T4446" t="str">
            <v>90185537 - Moh.Khoerul Fajar Ar</v>
          </cell>
          <cell r="U4446" t="str">
            <v>"-"</v>
          </cell>
        </row>
        <row r="4447">
          <cell r="A4447">
            <v>46265</v>
          </cell>
          <cell r="B4447" t="str">
            <v xml:space="preserve">SAEPUDIN                                </v>
          </cell>
          <cell r="C4447" t="str">
            <v>SJJHP77</v>
          </cell>
          <cell r="D4447">
            <v>8001367067507</v>
          </cell>
          <cell r="F4447" t="str">
            <v>Tidak</v>
          </cell>
          <cell r="G4447" t="str">
            <v>Tidak</v>
          </cell>
          <cell r="H4447" t="str">
            <v>Tidak</v>
          </cell>
          <cell r="I4447" t="str">
            <v>Bandar Judol Depo</v>
          </cell>
          <cell r="J4447">
            <v>35</v>
          </cell>
          <cell r="K4447" t="str">
            <v>86,74,87</v>
          </cell>
          <cell r="L4447" t="str">
            <v>Judi Online</v>
          </cell>
          <cell r="M4447" t="str">
            <v xml:space="preserve">Kas Kanpus                              </v>
          </cell>
          <cell r="N4447" t="str">
            <v xml:space="preserve">Kas Kanpus                              </v>
          </cell>
          <cell r="O4447" t="str">
            <v xml:space="preserve">KAS KANPUS                              </v>
          </cell>
          <cell r="P4447" t="str">
            <v>Ya</v>
          </cell>
          <cell r="Q4447" t="str">
            <v>Ya</v>
          </cell>
          <cell r="R4447" t="str">
            <v>Done</v>
          </cell>
          <cell r="S4447" t="str">
            <v>Approved</v>
          </cell>
          <cell r="T4447" t="str">
            <v>90171841 - Rifqi Aziz</v>
          </cell>
          <cell r="U4447" t="str">
            <v>"-"</v>
          </cell>
        </row>
        <row r="4448">
          <cell r="A4448">
            <v>46265</v>
          </cell>
          <cell r="B4448" t="str">
            <v xml:space="preserve">SHINTIA CHEN                            </v>
          </cell>
          <cell r="C4448" t="str">
            <v>SJRJI50</v>
          </cell>
          <cell r="D4448">
            <v>40501003660564</v>
          </cell>
          <cell r="F4448" t="str">
            <v>Tidak</v>
          </cell>
          <cell r="G4448" t="str">
            <v>Tidak</v>
          </cell>
          <cell r="H4448" t="str">
            <v>Tidak</v>
          </cell>
          <cell r="I4448" t="str">
            <v>Bandar Judol Withdrawal</v>
          </cell>
          <cell r="J4448">
            <v>35</v>
          </cell>
          <cell r="K4448" t="str">
            <v>86,88,87</v>
          </cell>
          <cell r="L4448" t="str">
            <v>Judi Online</v>
          </cell>
          <cell r="M4448" t="str">
            <v xml:space="preserve">Kas Kanpus                              </v>
          </cell>
          <cell r="N4448" t="str">
            <v xml:space="preserve">Kas Kanpus                              </v>
          </cell>
          <cell r="O4448" t="str">
            <v xml:space="preserve">KAS KANPUS                              </v>
          </cell>
          <cell r="P4448" t="str">
            <v>Tidak</v>
          </cell>
          <cell r="Q4448" t="str">
            <v>Ya</v>
          </cell>
          <cell r="R4448" t="str">
            <v>Done</v>
          </cell>
          <cell r="S4448" t="str">
            <v>Approved</v>
          </cell>
          <cell r="T4448" t="str">
            <v>90171841 - Rifqi Aziz</v>
          </cell>
          <cell r="U4448" t="str">
            <v>"-"</v>
          </cell>
        </row>
        <row r="4449">
          <cell r="A4449">
            <v>46265</v>
          </cell>
          <cell r="B4449" t="str">
            <v xml:space="preserve">SUPARDI                                 </v>
          </cell>
          <cell r="C4449" t="str">
            <v>SJRMW33</v>
          </cell>
          <cell r="D4449">
            <v>714401016406504</v>
          </cell>
          <cell r="F4449" t="str">
            <v>Tidak</v>
          </cell>
          <cell r="G4449" t="str">
            <v>Tidak</v>
          </cell>
          <cell r="H4449" t="str">
            <v>Tidak</v>
          </cell>
          <cell r="I4449" t="str">
            <v>Bandar Judol Withdrawal</v>
          </cell>
          <cell r="J4449">
            <v>35</v>
          </cell>
          <cell r="K4449" t="str">
            <v>86,88,87</v>
          </cell>
          <cell r="L4449" t="str">
            <v>Judi Online</v>
          </cell>
          <cell r="M4449" t="str">
            <v xml:space="preserve">Kas Kanpus                              </v>
          </cell>
          <cell r="N4449" t="str">
            <v xml:space="preserve">Kas Kanpus                              </v>
          </cell>
          <cell r="O4449" t="str">
            <v xml:space="preserve">KAS KANPUS                              </v>
          </cell>
          <cell r="P4449" t="str">
            <v>Ya</v>
          </cell>
          <cell r="Q4449" t="str">
            <v>Ya</v>
          </cell>
          <cell r="R4449" t="str">
            <v>Done</v>
          </cell>
          <cell r="S4449" t="str">
            <v>Approved</v>
          </cell>
          <cell r="T4449" t="str">
            <v>90185537 - Moh.Khoerul Fajar Ar</v>
          </cell>
          <cell r="U4449" t="str">
            <v>"-"</v>
          </cell>
        </row>
        <row r="4450">
          <cell r="A4450">
            <v>46265</v>
          </cell>
          <cell r="B4450" t="str">
            <v xml:space="preserve">SRI KURNIA HARAHAP                      </v>
          </cell>
          <cell r="C4450" t="str">
            <v>SJQZU08</v>
          </cell>
          <cell r="D4450">
            <v>525901012850504</v>
          </cell>
          <cell r="F4450" t="str">
            <v>Tidak</v>
          </cell>
          <cell r="G4450" t="str">
            <v>Tidak</v>
          </cell>
          <cell r="H4450" t="str">
            <v>Tidak</v>
          </cell>
          <cell r="I4450" t="str">
            <v>Bandar Judol Withdrawal</v>
          </cell>
          <cell r="J4450">
            <v>35</v>
          </cell>
          <cell r="K4450" t="str">
            <v>86,88,87</v>
          </cell>
          <cell r="L4450" t="str">
            <v>Judi Online</v>
          </cell>
          <cell r="M4450" t="str">
            <v xml:space="preserve">Kas Kanpus                              </v>
          </cell>
          <cell r="N4450" t="str">
            <v xml:space="preserve">Kas Kanpus                              </v>
          </cell>
          <cell r="O4450" t="str">
            <v xml:space="preserve">KAS KANPUS                              </v>
          </cell>
          <cell r="P4450" t="str">
            <v>Ya</v>
          </cell>
          <cell r="Q4450" t="str">
            <v>Ya</v>
          </cell>
          <cell r="R4450" t="str">
            <v>Done</v>
          </cell>
          <cell r="S4450" t="str">
            <v>Approved</v>
          </cell>
          <cell r="T4450" t="str">
            <v>90150130 - Intan Aida Pratiwi</v>
          </cell>
          <cell r="U4450" t="str">
            <v>"-"</v>
          </cell>
        </row>
        <row r="4451">
          <cell r="A4451">
            <v>46265</v>
          </cell>
          <cell r="B4451" t="str">
            <v xml:space="preserve">SAEPUDIN                                </v>
          </cell>
          <cell r="C4451" t="str">
            <v>SJPUP13</v>
          </cell>
          <cell r="D4451">
            <v>42101005253567</v>
          </cell>
          <cell r="F4451" t="str">
            <v>Tidak</v>
          </cell>
          <cell r="G4451" t="str">
            <v>Tidak</v>
          </cell>
          <cell r="H4451" t="str">
            <v>Tidak</v>
          </cell>
          <cell r="I4451" t="str">
            <v>Bandar Judol Withdrawal</v>
          </cell>
          <cell r="J4451">
            <v>35</v>
          </cell>
          <cell r="K4451" t="str">
            <v>86,88,87</v>
          </cell>
          <cell r="L4451" t="str">
            <v>Judi Online</v>
          </cell>
          <cell r="M4451" t="str">
            <v xml:space="preserve">Kas Kanpus                              </v>
          </cell>
          <cell r="N4451" t="str">
            <v xml:space="preserve">Kas Kanpus                              </v>
          </cell>
          <cell r="O4451" t="str">
            <v xml:space="preserve">KAS KANPUS                              </v>
          </cell>
          <cell r="P4451" t="str">
            <v>Ya</v>
          </cell>
          <cell r="Q4451" t="str">
            <v>Ya</v>
          </cell>
          <cell r="R4451" t="str">
            <v>Done</v>
          </cell>
          <cell r="S4451" t="str">
            <v>Approved</v>
          </cell>
          <cell r="T4451" t="str">
            <v>90171841 - Rifqi Aziz</v>
          </cell>
          <cell r="U4451" t="str">
            <v>"-"</v>
          </cell>
        </row>
        <row r="4452">
          <cell r="A4452">
            <v>46265</v>
          </cell>
          <cell r="B4452" t="str">
            <v xml:space="preserve">SERUNI PERMATASARI                      </v>
          </cell>
          <cell r="C4452" t="str">
            <v>SJQBF47</v>
          </cell>
          <cell r="D4452">
            <v>334201038382508</v>
          </cell>
          <cell r="F4452" t="str">
            <v>Tidak</v>
          </cell>
          <cell r="G4452" t="str">
            <v>Tidak</v>
          </cell>
          <cell r="H4452" t="str">
            <v>Tidak</v>
          </cell>
          <cell r="I4452" t="str">
            <v>Bandar Judol Withdrawal</v>
          </cell>
          <cell r="J4452">
            <v>35</v>
          </cell>
          <cell r="K4452" t="str">
            <v>86,88,87</v>
          </cell>
          <cell r="L4452" t="str">
            <v>Judi Online</v>
          </cell>
          <cell r="M4452" t="str">
            <v xml:space="preserve">Kas Kanpus                              </v>
          </cell>
          <cell r="N4452" t="str">
            <v xml:space="preserve">Kas Kanpus                              </v>
          </cell>
          <cell r="O4452" t="str">
            <v xml:space="preserve">KAS KANPUS                              </v>
          </cell>
          <cell r="P4452" t="str">
            <v>Ya</v>
          </cell>
          <cell r="Q4452" t="str">
            <v>Ya</v>
          </cell>
          <cell r="R4452" t="str">
            <v>Done</v>
          </cell>
          <cell r="S4452" t="str">
            <v>Approved</v>
          </cell>
          <cell r="T4452" t="str">
            <v>00394521 - Muhammad Hibbanduta</v>
          </cell>
          <cell r="U4452" t="str">
            <v>"-"</v>
          </cell>
        </row>
        <row r="4453">
          <cell r="A4453">
            <v>46265</v>
          </cell>
          <cell r="B4453" t="str">
            <v xml:space="preserve">SRI JAYA GEMAH RIPAH                    </v>
          </cell>
          <cell r="C4453" t="str">
            <v>SJLYQ75</v>
          </cell>
          <cell r="D4453">
            <v>36001888168305</v>
          </cell>
          <cell r="F4453" t="str">
            <v>Tidak</v>
          </cell>
          <cell r="G4453" t="str">
            <v>Tidak</v>
          </cell>
          <cell r="H4453" t="str">
            <v>Tidak</v>
          </cell>
          <cell r="I4453" t="str">
            <v>Perpajakan</v>
          </cell>
          <cell r="J4453">
            <v>33</v>
          </cell>
          <cell r="K4453">
            <v>41</v>
          </cell>
          <cell r="L4453" t="str">
            <v>Perpajakan</v>
          </cell>
          <cell r="M4453" t="str">
            <v xml:space="preserve">KC Surabaya Kusuma bangsa               </v>
          </cell>
          <cell r="N4453" t="str">
            <v xml:space="preserve">KC Surabaya Kusuma bangsa               </v>
          </cell>
          <cell r="O4453" t="str">
            <v xml:space="preserve">Surabaya                                </v>
          </cell>
          <cell r="P4453" t="str">
            <v>Tidak</v>
          </cell>
          <cell r="Q4453" t="str">
            <v>Tidak</v>
          </cell>
          <cell r="R4453" t="str">
            <v>Done</v>
          </cell>
          <cell r="S4453" t="str">
            <v>Approved</v>
          </cell>
          <cell r="T4453" t="str">
            <v>90185538 - Muhammad Fahikal Auz</v>
          </cell>
          <cell r="U4453" t="str">
            <v>"-"</v>
          </cell>
        </row>
        <row r="4454">
          <cell r="A4454">
            <v>46265</v>
          </cell>
          <cell r="B4454" t="str">
            <v xml:space="preserve">SITIMAIMUNAH                            </v>
          </cell>
          <cell r="C4454" t="str">
            <v>SJRSI60</v>
          </cell>
          <cell r="D4454">
            <v>762601002045504</v>
          </cell>
          <cell r="F4454" t="str">
            <v>Tidak</v>
          </cell>
          <cell r="G4454" t="str">
            <v>Tidak</v>
          </cell>
          <cell r="H4454" t="str">
            <v>Tidak</v>
          </cell>
          <cell r="I4454" t="str">
            <v>Bandar Judol Withdrawal</v>
          </cell>
          <cell r="J4454">
            <v>35</v>
          </cell>
          <cell r="K4454" t="str">
            <v>86,88,87</v>
          </cell>
          <cell r="L4454" t="str">
            <v>Judi Online</v>
          </cell>
          <cell r="M4454" t="str">
            <v xml:space="preserve">Kas Kanpus                              </v>
          </cell>
          <cell r="N4454" t="str">
            <v xml:space="preserve">Kas Kanpus                              </v>
          </cell>
          <cell r="O4454" t="str">
            <v xml:space="preserve">KAS KANPUS                              </v>
          </cell>
          <cell r="P4454" t="str">
            <v>Ya</v>
          </cell>
          <cell r="Q4454" t="str">
            <v>Ya</v>
          </cell>
          <cell r="R4454" t="str">
            <v>Done</v>
          </cell>
          <cell r="S4454" t="str">
            <v>Approved</v>
          </cell>
          <cell r="T4454" t="str">
            <v>90170665 - Mutiara Ayuningtyas</v>
          </cell>
          <cell r="U4454" t="str">
            <v>"-"</v>
          </cell>
        </row>
        <row r="4455">
          <cell r="A4455">
            <v>46265</v>
          </cell>
          <cell r="B4455" t="str">
            <v xml:space="preserve">SYAHRUL PUTRA PRATAMA                   </v>
          </cell>
          <cell r="C4455" t="str">
            <v>SJSHT59</v>
          </cell>
          <cell r="D4455">
            <v>134201004008502</v>
          </cell>
          <cell r="F4455" t="str">
            <v>Tidak</v>
          </cell>
          <cell r="G4455" t="str">
            <v>Tidak</v>
          </cell>
          <cell r="H4455" t="str">
            <v>Tidak</v>
          </cell>
          <cell r="I4455" t="str">
            <v>Bandar Judol Withdrawal</v>
          </cell>
          <cell r="J4455">
            <v>35</v>
          </cell>
          <cell r="K4455" t="str">
            <v>86,88,87</v>
          </cell>
          <cell r="L4455" t="str">
            <v>Judi Online</v>
          </cell>
          <cell r="M4455" t="str">
            <v xml:space="preserve">Kas Kanpus                              </v>
          </cell>
          <cell r="N4455" t="str">
            <v xml:space="preserve">Kas Kanpus                              </v>
          </cell>
          <cell r="O4455" t="str">
            <v xml:space="preserve">KAS KANPUS                              </v>
          </cell>
          <cell r="P4455" t="str">
            <v>Ya</v>
          </cell>
          <cell r="Q4455" t="str">
            <v>Ya</v>
          </cell>
          <cell r="R4455" t="str">
            <v>Done</v>
          </cell>
          <cell r="S4455" t="str">
            <v>Approved</v>
          </cell>
          <cell r="T4455" t="str">
            <v>90186790 - Muhammad Alfin Farha</v>
          </cell>
          <cell r="U4455" t="str">
            <v>"-"</v>
          </cell>
        </row>
        <row r="4456">
          <cell r="A4456">
            <v>46265</v>
          </cell>
          <cell r="B4456" t="str">
            <v xml:space="preserve">SYAQILLA                                </v>
          </cell>
          <cell r="C4456" t="str">
            <v>SJSJG92</v>
          </cell>
          <cell r="D4456">
            <v>723801000012562</v>
          </cell>
          <cell r="F4456" t="str">
            <v>Tidak</v>
          </cell>
          <cell r="G4456" t="str">
            <v>Tidak</v>
          </cell>
          <cell r="H4456" t="str">
            <v>Tidak</v>
          </cell>
          <cell r="I4456" t="str">
            <v>Bandar Judol Withdrawal</v>
          </cell>
          <cell r="J4456">
            <v>35</v>
          </cell>
          <cell r="K4456" t="str">
            <v>86,88,87</v>
          </cell>
          <cell r="L4456" t="str">
            <v>Judi Online</v>
          </cell>
          <cell r="M4456" t="str">
            <v xml:space="preserve">Kas Kanpus                              </v>
          </cell>
          <cell r="N4456" t="str">
            <v xml:space="preserve">Kas Kanpus                              </v>
          </cell>
          <cell r="O4456" t="str">
            <v xml:space="preserve">KAS KANPUS                              </v>
          </cell>
          <cell r="P4456" t="str">
            <v>Ya</v>
          </cell>
          <cell r="Q4456" t="str">
            <v>Ya</v>
          </cell>
          <cell r="R4456" t="str">
            <v>Done</v>
          </cell>
          <cell r="S4456" t="str">
            <v>Approved</v>
          </cell>
          <cell r="T4456" t="str">
            <v>00394520 - Frida Akbar Rani</v>
          </cell>
          <cell r="U4456" t="str">
            <v>"-"</v>
          </cell>
        </row>
        <row r="4457">
          <cell r="A4457">
            <v>46265</v>
          </cell>
          <cell r="B4457" t="str">
            <v xml:space="preserve">SEPTIAN DWI PUTRA                       </v>
          </cell>
          <cell r="C4457" t="str">
            <v>SJSKM74</v>
          </cell>
          <cell r="D4457">
            <v>204001000524569</v>
          </cell>
          <cell r="F4457" t="str">
            <v>Tidak</v>
          </cell>
          <cell r="G4457" t="str">
            <v>Tidak</v>
          </cell>
          <cell r="H4457" t="str">
            <v>Tidak</v>
          </cell>
          <cell r="I4457" t="str">
            <v>Bandar Judol Depo</v>
          </cell>
          <cell r="J4457">
            <v>35</v>
          </cell>
          <cell r="K4457" t="str">
            <v>86,74,87</v>
          </cell>
          <cell r="L4457" t="str">
            <v>Judi Online</v>
          </cell>
          <cell r="M4457" t="str">
            <v xml:space="preserve">Kas Kanpus                              </v>
          </cell>
          <cell r="N4457" t="str">
            <v xml:space="preserve">Kas Kanpus                              </v>
          </cell>
          <cell r="O4457" t="str">
            <v xml:space="preserve">KAS KANPUS                              </v>
          </cell>
          <cell r="P4457" t="str">
            <v>Ya</v>
          </cell>
          <cell r="Q4457" t="str">
            <v>Ya</v>
          </cell>
          <cell r="R4457" t="str">
            <v>Done</v>
          </cell>
          <cell r="S4457" t="str">
            <v>Approved</v>
          </cell>
          <cell r="T4457" t="str">
            <v>00394520 - Frida Akbar Rani</v>
          </cell>
          <cell r="U4457" t="str">
            <v>"-"</v>
          </cell>
        </row>
        <row r="4458">
          <cell r="A4458">
            <v>46265</v>
          </cell>
          <cell r="B4458" t="str">
            <v xml:space="preserve">SOPIAN SAORI                            </v>
          </cell>
          <cell r="C4458" t="str">
            <v>SJUHI08</v>
          </cell>
          <cell r="D4458">
            <v>53101016000500</v>
          </cell>
          <cell r="F4458" t="str">
            <v>Tidak</v>
          </cell>
          <cell r="G4458" t="str">
            <v>Tidak</v>
          </cell>
          <cell r="H4458" t="str">
            <v>Tidak</v>
          </cell>
          <cell r="I4458" t="str">
            <v>Bandar Judol Withdrawal</v>
          </cell>
          <cell r="J4458">
            <v>35</v>
          </cell>
          <cell r="K4458" t="str">
            <v>86,88,87</v>
          </cell>
          <cell r="L4458" t="str">
            <v>Judi Online</v>
          </cell>
          <cell r="M4458" t="str">
            <v xml:space="preserve">Kas Kanpus                              </v>
          </cell>
          <cell r="N4458" t="str">
            <v xml:space="preserve">Kas Kanpus                              </v>
          </cell>
          <cell r="O4458" t="str">
            <v xml:space="preserve">KAS KANPUS                              </v>
          </cell>
          <cell r="P4458" t="str">
            <v>Ya</v>
          </cell>
          <cell r="Q4458" t="str">
            <v>Ya</v>
          </cell>
          <cell r="R4458" t="str">
            <v>Done</v>
          </cell>
          <cell r="S4458" t="str">
            <v>Approved</v>
          </cell>
          <cell r="T4458" t="str">
            <v>90185537 - Moh.Khoerul Fajar Ar</v>
          </cell>
          <cell r="U4458" t="str">
            <v>"-"</v>
          </cell>
        </row>
        <row r="4459">
          <cell r="A4459">
            <v>46265</v>
          </cell>
          <cell r="B4459" t="str">
            <v xml:space="preserve">SARIPAH BINTI INANG                     </v>
          </cell>
          <cell r="C4459" t="str">
            <v>SJUNW21</v>
          </cell>
          <cell r="D4459">
            <v>82701047419507</v>
          </cell>
          <cell r="F4459" t="str">
            <v>Tidak</v>
          </cell>
          <cell r="G4459" t="str">
            <v>Tidak</v>
          </cell>
          <cell r="H4459" t="str">
            <v>Tidak</v>
          </cell>
          <cell r="I4459" t="str">
            <v>Bandar Judol Withdrawal</v>
          </cell>
          <cell r="J4459">
            <v>35</v>
          </cell>
          <cell r="K4459" t="str">
            <v>86,88,87</v>
          </cell>
          <cell r="L4459" t="str">
            <v>Judi Online</v>
          </cell>
          <cell r="M4459" t="str">
            <v xml:space="preserve">Kas Kanpus                              </v>
          </cell>
          <cell r="N4459" t="str">
            <v xml:space="preserve">Kas Kanpus                              </v>
          </cell>
          <cell r="O4459" t="str">
            <v xml:space="preserve">KAS KANPUS                              </v>
          </cell>
          <cell r="P4459" t="str">
            <v>Ya</v>
          </cell>
          <cell r="Q4459" t="str">
            <v>Ya</v>
          </cell>
          <cell r="R4459" t="str">
            <v>Done</v>
          </cell>
          <cell r="S4459" t="str">
            <v>Approved</v>
          </cell>
          <cell r="T4459" t="str">
            <v>00336949 - Mochammad Al Farabi</v>
          </cell>
          <cell r="U4459" t="str">
            <v>"-"</v>
          </cell>
        </row>
        <row r="4460">
          <cell r="A4460">
            <v>46265</v>
          </cell>
          <cell r="B4460" t="str">
            <v xml:space="preserve">SABRINA EKA JULIANA                     </v>
          </cell>
          <cell r="C4460" t="str">
            <v>SJUOC54</v>
          </cell>
          <cell r="D4460">
            <v>26101147010504</v>
          </cell>
          <cell r="F4460" t="str">
            <v>Tidak</v>
          </cell>
          <cell r="G4460" t="str">
            <v>Tidak</v>
          </cell>
          <cell r="H4460" t="str">
            <v>Tidak</v>
          </cell>
          <cell r="I4460" t="str">
            <v>Bandar Judol Withdrawal</v>
          </cell>
          <cell r="J4460">
            <v>35</v>
          </cell>
          <cell r="K4460" t="str">
            <v>86,88,87</v>
          </cell>
          <cell r="L4460" t="str">
            <v>Judi Online</v>
          </cell>
          <cell r="M4460" t="str">
            <v xml:space="preserve">Kas Kanpus                              </v>
          </cell>
          <cell r="N4460" t="str">
            <v xml:space="preserve">Kas Kanpus                              </v>
          </cell>
          <cell r="O4460" t="str">
            <v xml:space="preserve">KAS KANPUS                              </v>
          </cell>
          <cell r="P4460" t="str">
            <v>Ya</v>
          </cell>
          <cell r="Q4460" t="str">
            <v>Ya</v>
          </cell>
          <cell r="R4460" t="str">
            <v>Done</v>
          </cell>
          <cell r="S4460" t="str">
            <v>Approved</v>
          </cell>
          <cell r="T4460" t="str">
            <v>90186790 - Muhammad Alfin Farha</v>
          </cell>
          <cell r="U4460" t="str">
            <v>"-"</v>
          </cell>
        </row>
        <row r="4461">
          <cell r="A4461">
            <v>46265</v>
          </cell>
          <cell r="B4461" t="str">
            <v xml:space="preserve">SULTHON                                 </v>
          </cell>
          <cell r="C4461" t="str">
            <v>SJUOO62</v>
          </cell>
          <cell r="D4461">
            <v>43801004125568</v>
          </cell>
          <cell r="F4461" t="str">
            <v>Tidak</v>
          </cell>
          <cell r="G4461" t="str">
            <v>Tidak</v>
          </cell>
          <cell r="H4461" t="str">
            <v>Tidak</v>
          </cell>
          <cell r="I4461" t="str">
            <v>Bandar Judol Withdrawal</v>
          </cell>
          <cell r="J4461">
            <v>35</v>
          </cell>
          <cell r="K4461" t="str">
            <v>86,88,87</v>
          </cell>
          <cell r="L4461" t="str">
            <v>Judi Online</v>
          </cell>
          <cell r="M4461" t="str">
            <v xml:space="preserve">Kas Kanpus                              </v>
          </cell>
          <cell r="N4461" t="str">
            <v xml:space="preserve">Kas Kanpus                              </v>
          </cell>
          <cell r="O4461" t="str">
            <v xml:space="preserve">KAS KANPUS                              </v>
          </cell>
          <cell r="P4461" t="str">
            <v>Ya</v>
          </cell>
          <cell r="Q4461" t="str">
            <v>Ya</v>
          </cell>
          <cell r="R4461" t="str">
            <v>Done</v>
          </cell>
          <cell r="S4461" t="str">
            <v>Approved</v>
          </cell>
          <cell r="T4461" t="str">
            <v>00394521 - Muhammad Hibbanduta</v>
          </cell>
          <cell r="U4461" t="str">
            <v>"-"</v>
          </cell>
        </row>
        <row r="4462">
          <cell r="A4462">
            <v>46265</v>
          </cell>
          <cell r="B4462" t="str">
            <v xml:space="preserve">SEMPA KATA SITEPU                       </v>
          </cell>
          <cell r="C4462" t="str">
            <v>SKBNC69</v>
          </cell>
          <cell r="D4462">
            <v>782801019040531</v>
          </cell>
          <cell r="F4462" t="str">
            <v>Tidak</v>
          </cell>
          <cell r="G4462" t="str">
            <v>Tidak</v>
          </cell>
          <cell r="H4462" t="str">
            <v>Tidak</v>
          </cell>
          <cell r="I4462" t="str">
            <v>Bandar Judol Withdrawal</v>
          </cell>
          <cell r="J4462">
            <v>35</v>
          </cell>
          <cell r="K4462" t="str">
            <v>86,88,87</v>
          </cell>
          <cell r="L4462" t="str">
            <v>Judi Online</v>
          </cell>
          <cell r="M4462" t="str">
            <v xml:space="preserve">Kas Kanpus                              </v>
          </cell>
          <cell r="N4462" t="str">
            <v xml:space="preserve">Kas Kanpus                              </v>
          </cell>
          <cell r="O4462" t="str">
            <v xml:space="preserve">KAS KANPUS                              </v>
          </cell>
          <cell r="P4462" t="str">
            <v>Ya</v>
          </cell>
          <cell r="Q4462" t="str">
            <v>Ya</v>
          </cell>
          <cell r="R4462" t="str">
            <v>Done</v>
          </cell>
          <cell r="S4462" t="str">
            <v>Approved</v>
          </cell>
          <cell r="T4462" t="str">
            <v>90186796 - Devito Arya Wiradila</v>
          </cell>
          <cell r="U4462" t="str">
            <v>"-"</v>
          </cell>
        </row>
        <row r="4463">
          <cell r="A4463">
            <v>46265</v>
          </cell>
          <cell r="B4463" t="str">
            <v xml:space="preserve">SANGKOT MT SITOHANG                     </v>
          </cell>
          <cell r="C4463" t="str">
            <v>SKBNE63</v>
          </cell>
          <cell r="D4463">
            <v>544301010897509</v>
          </cell>
          <cell r="F4463" t="str">
            <v>Tidak</v>
          </cell>
          <cell r="G4463" t="str">
            <v>Tidak</v>
          </cell>
          <cell r="H4463" t="str">
            <v>Tidak</v>
          </cell>
          <cell r="I4463" t="str">
            <v>Bandar Judol Depo</v>
          </cell>
          <cell r="J4463">
            <v>35</v>
          </cell>
          <cell r="K4463" t="str">
            <v>86,74,87</v>
          </cell>
          <cell r="L4463" t="str">
            <v>Judi Online</v>
          </cell>
          <cell r="M4463" t="str">
            <v xml:space="preserve">Kas Kanpus                              </v>
          </cell>
          <cell r="N4463" t="str">
            <v xml:space="preserve">Kas Kanpus                              </v>
          </cell>
          <cell r="O4463" t="str">
            <v xml:space="preserve">KAS KANPUS                              </v>
          </cell>
          <cell r="P4463" t="str">
            <v>Ya</v>
          </cell>
          <cell r="Q4463" t="str">
            <v>Tidak</v>
          </cell>
          <cell r="R4463" t="str">
            <v>Done</v>
          </cell>
          <cell r="S4463" t="str">
            <v>Approved</v>
          </cell>
          <cell r="T4463" t="str">
            <v>90185537 - Moh.Khoerul Fajar Ar</v>
          </cell>
          <cell r="U4463" t="str">
            <v>"-"</v>
          </cell>
        </row>
        <row r="4464">
          <cell r="A4464">
            <v>46265</v>
          </cell>
          <cell r="B4464" t="str">
            <v xml:space="preserve">SURYA ADE DARMA                         </v>
          </cell>
          <cell r="C4464" t="str">
            <v>SKBWG36</v>
          </cell>
          <cell r="D4464">
            <v>33201173849500</v>
          </cell>
          <cell r="F4464" t="str">
            <v>Tidak</v>
          </cell>
          <cell r="G4464" t="str">
            <v>Tidak</v>
          </cell>
          <cell r="H4464" t="str">
            <v>Tidak</v>
          </cell>
          <cell r="I4464" t="str">
            <v>Bandar Judol Withdrawal</v>
          </cell>
          <cell r="J4464">
            <v>35</v>
          </cell>
          <cell r="K4464" t="str">
            <v>86,88,87</v>
          </cell>
          <cell r="L4464" t="str">
            <v>Judi Online</v>
          </cell>
          <cell r="M4464" t="str">
            <v xml:space="preserve">Kas Kanpus                              </v>
          </cell>
          <cell r="N4464" t="str">
            <v xml:space="preserve">Kas Kanpus                              </v>
          </cell>
          <cell r="O4464" t="str">
            <v xml:space="preserve">KAS KANPUS                              </v>
          </cell>
          <cell r="P4464" t="str">
            <v>Ya</v>
          </cell>
          <cell r="Q4464" t="str">
            <v>Ya</v>
          </cell>
          <cell r="R4464" t="str">
            <v>Done</v>
          </cell>
          <cell r="S4464" t="str">
            <v>Approved</v>
          </cell>
          <cell r="T4464" t="str">
            <v>90185537 - Moh.Khoerul Fajar Ar</v>
          </cell>
          <cell r="U4464" t="str">
            <v>"-"</v>
          </cell>
        </row>
        <row r="4465">
          <cell r="A4465">
            <v>46265</v>
          </cell>
          <cell r="B4465" t="str">
            <v xml:space="preserve">SARIF HIDAYATULLAH                      </v>
          </cell>
          <cell r="C4465" t="str">
            <v>SKBZY53</v>
          </cell>
          <cell r="D4465">
            <v>721101025911501</v>
          </cell>
          <cell r="F4465" t="str">
            <v>Tidak</v>
          </cell>
          <cell r="G4465" t="str">
            <v>Tidak</v>
          </cell>
          <cell r="H4465" t="str">
            <v>Tidak</v>
          </cell>
          <cell r="I4465" t="str">
            <v>Bandar Judol Withdrawal</v>
          </cell>
          <cell r="J4465">
            <v>35</v>
          </cell>
          <cell r="K4465" t="str">
            <v>86,88,87</v>
          </cell>
          <cell r="L4465" t="str">
            <v>Judi Online</v>
          </cell>
          <cell r="M4465" t="str">
            <v xml:space="preserve">Kas Kanpus                              </v>
          </cell>
          <cell r="N4465" t="str">
            <v xml:space="preserve">Kas Kanpus                              </v>
          </cell>
          <cell r="O4465" t="str">
            <v xml:space="preserve">KAS KANPUS                              </v>
          </cell>
          <cell r="P4465" t="str">
            <v>Ya</v>
          </cell>
          <cell r="Q4465" t="str">
            <v>Ya</v>
          </cell>
          <cell r="R4465" t="str">
            <v>Done</v>
          </cell>
          <cell r="S4465" t="str">
            <v>Approved</v>
          </cell>
          <cell r="T4465" t="str">
            <v>00336949 - Mochammad Al Farabi</v>
          </cell>
          <cell r="U4465" t="str">
            <v>"-"</v>
          </cell>
        </row>
        <row r="4466">
          <cell r="A4466">
            <v>46265</v>
          </cell>
          <cell r="B4466" t="str">
            <v xml:space="preserve">SUDARMAN NAINGGOLAN                     </v>
          </cell>
          <cell r="C4466" t="str">
            <v>SKCFF49</v>
          </cell>
          <cell r="D4466">
            <v>734701012793509</v>
          </cell>
          <cell r="F4466" t="str">
            <v>Tidak</v>
          </cell>
          <cell r="G4466" t="str">
            <v>Tidak</v>
          </cell>
          <cell r="H4466" t="str">
            <v>Tidak</v>
          </cell>
          <cell r="I4466" t="str">
            <v>Bandar Judol Depo</v>
          </cell>
          <cell r="J4466">
            <v>35</v>
          </cell>
          <cell r="K4466" t="str">
            <v>86,74,87</v>
          </cell>
          <cell r="L4466" t="str">
            <v>Judi Online</v>
          </cell>
          <cell r="M4466" t="str">
            <v xml:space="preserve">Kas Kanpus                              </v>
          </cell>
          <cell r="N4466" t="str">
            <v xml:space="preserve">Kas Kanpus                              </v>
          </cell>
          <cell r="O4466" t="str">
            <v xml:space="preserve">KAS KANPUS                              </v>
          </cell>
          <cell r="P4466" t="str">
            <v>Tidak</v>
          </cell>
          <cell r="Q4466" t="str">
            <v>Ya</v>
          </cell>
          <cell r="R4466" t="str">
            <v>Done</v>
          </cell>
          <cell r="S4466" t="str">
            <v>Approved</v>
          </cell>
          <cell r="T4466" t="str">
            <v>90185537 - Moh.Khoerul Fajar Ar</v>
          </cell>
          <cell r="U4466" t="str">
            <v>"-"</v>
          </cell>
        </row>
        <row r="4467">
          <cell r="A4467">
            <v>46265</v>
          </cell>
          <cell r="B4467" t="str">
            <v xml:space="preserve">SAEKHON                                 </v>
          </cell>
          <cell r="C4467" t="str">
            <v>SKCHI53</v>
          </cell>
          <cell r="D4467">
            <v>43801004180568</v>
          </cell>
          <cell r="F4467" t="str">
            <v>Tidak</v>
          </cell>
          <cell r="G4467" t="str">
            <v>Tidak</v>
          </cell>
          <cell r="H4467" t="str">
            <v>Tidak</v>
          </cell>
          <cell r="I4467" t="str">
            <v>Bandar Judol Withdrawal</v>
          </cell>
          <cell r="J4467">
            <v>35</v>
          </cell>
          <cell r="K4467" t="str">
            <v>86,88,87</v>
          </cell>
          <cell r="L4467" t="str">
            <v>Judi Online</v>
          </cell>
          <cell r="M4467" t="str">
            <v xml:space="preserve">Kas Kanpus                              </v>
          </cell>
          <cell r="N4467" t="str">
            <v xml:space="preserve">Kas Kanpus                              </v>
          </cell>
          <cell r="O4467" t="str">
            <v xml:space="preserve">KAS KANPUS                              </v>
          </cell>
          <cell r="P4467" t="str">
            <v>Ya</v>
          </cell>
          <cell r="Q4467" t="str">
            <v>Ya</v>
          </cell>
          <cell r="R4467" t="str">
            <v>Done</v>
          </cell>
          <cell r="S4467" t="str">
            <v>Approved</v>
          </cell>
          <cell r="T4467" t="str">
            <v>90186796 - Devito Arya Wiradila</v>
          </cell>
          <cell r="U4467" t="str">
            <v>"-"</v>
          </cell>
        </row>
        <row r="4468">
          <cell r="A4468">
            <v>46265</v>
          </cell>
          <cell r="B4468" t="str">
            <v xml:space="preserve">SOLEHUDIN                               </v>
          </cell>
          <cell r="C4468" t="str">
            <v>SKCHU09</v>
          </cell>
          <cell r="D4468">
            <v>121201011057503</v>
          </cell>
          <cell r="F4468" t="str">
            <v>Tidak</v>
          </cell>
          <cell r="G4468" t="str">
            <v>Tidak</v>
          </cell>
          <cell r="H4468" t="str">
            <v>Tidak</v>
          </cell>
          <cell r="I4468" t="str">
            <v>Bandar Judol Withdrawal</v>
          </cell>
          <cell r="J4468">
            <v>35</v>
          </cell>
          <cell r="K4468" t="str">
            <v>86,88,87</v>
          </cell>
          <cell r="L4468" t="str">
            <v>Judi Online</v>
          </cell>
          <cell r="M4468" t="str">
            <v xml:space="preserve">Kas Kanpus                              </v>
          </cell>
          <cell r="N4468" t="str">
            <v xml:space="preserve">Kas Kanpus                              </v>
          </cell>
          <cell r="O4468" t="str">
            <v xml:space="preserve">KAS KANPUS                              </v>
          </cell>
          <cell r="P4468" t="str">
            <v>Ya</v>
          </cell>
          <cell r="Q4468" t="str">
            <v>Ya</v>
          </cell>
          <cell r="R4468" t="str">
            <v>Done</v>
          </cell>
          <cell r="S4468" t="str">
            <v>Approved</v>
          </cell>
          <cell r="T4468" t="str">
            <v>00336949 - Mochammad Al Farabi</v>
          </cell>
          <cell r="U4468" t="str">
            <v>"-"</v>
          </cell>
        </row>
        <row r="4469">
          <cell r="A4469">
            <v>46265</v>
          </cell>
          <cell r="B4469" t="str">
            <v xml:space="preserve">SUSANTI                                 </v>
          </cell>
          <cell r="C4469" t="str">
            <v>SSUW873</v>
          </cell>
          <cell r="D4469">
            <v>182201017787505</v>
          </cell>
          <cell r="E4469" t="str">
            <v>SEDANG</v>
          </cell>
          <cell r="F4469" t="str">
            <v>Tidak</v>
          </cell>
          <cell r="G4469" t="str">
            <v>Tidak</v>
          </cell>
          <cell r="H4469" t="str">
            <v>Tidak</v>
          </cell>
          <cell r="I4469" t="str">
            <v>Bandar Judol Withdrawal</v>
          </cell>
          <cell r="J4469">
            <v>50</v>
          </cell>
          <cell r="K4469" t="str">
            <v>86,88,87</v>
          </cell>
          <cell r="L4469" t="str">
            <v>Judi Online</v>
          </cell>
          <cell r="M4469" t="str">
            <v xml:space="preserve">Kas Kanpus                              </v>
          </cell>
          <cell r="N4469" t="str">
            <v xml:space="preserve">Kas Kanpus                              </v>
          </cell>
          <cell r="O4469" t="str">
            <v xml:space="preserve">KAS KANPUS                              </v>
          </cell>
          <cell r="P4469" t="str">
            <v>Ya</v>
          </cell>
          <cell r="Q4469" t="str">
            <v>Tidak</v>
          </cell>
          <cell r="R4469" t="str">
            <v>Done</v>
          </cell>
          <cell r="S4469" t="str">
            <v>Approved</v>
          </cell>
          <cell r="T4469" t="str">
            <v>00394521 - Muhammad Hibbanduta</v>
          </cell>
          <cell r="U4469" t="str">
            <v>"-"</v>
          </cell>
        </row>
        <row r="4470">
          <cell r="A4470">
            <v>46265</v>
          </cell>
          <cell r="B4470" t="str">
            <v xml:space="preserve">SRI DEWI KARTIKA SARI                   </v>
          </cell>
          <cell r="C4470" t="str">
            <v>STAJ217</v>
          </cell>
          <cell r="D4470">
            <v>108601000316567</v>
          </cell>
          <cell r="E4470" t="str">
            <v>TINGGI</v>
          </cell>
          <cell r="F4470" t="str">
            <v>Tidak</v>
          </cell>
          <cell r="G4470" t="str">
            <v>Tidak</v>
          </cell>
          <cell r="H4470" t="str">
            <v>Ya</v>
          </cell>
          <cell r="I4470" t="str">
            <v>Bandar Judol Withdrawal</v>
          </cell>
          <cell r="J4470">
            <v>65</v>
          </cell>
          <cell r="K4470" t="str">
            <v>86,88,87</v>
          </cell>
          <cell r="L4470" t="str">
            <v>Judi Online</v>
          </cell>
          <cell r="M4470" t="str">
            <v xml:space="preserve">Kas Kanpus                              </v>
          </cell>
          <cell r="N4470" t="str">
            <v xml:space="preserve">Kas Kanpus                              </v>
          </cell>
          <cell r="O4470" t="str">
            <v xml:space="preserve">KAS KANPUS                              </v>
          </cell>
          <cell r="P4470" t="str">
            <v>Ya</v>
          </cell>
          <cell r="Q4470" t="str">
            <v>Ya</v>
          </cell>
          <cell r="R4470" t="str">
            <v>Done</v>
          </cell>
          <cell r="S4470" t="str">
            <v>Approved</v>
          </cell>
          <cell r="T4470" t="str">
            <v>00394520 - Frida Akbar Rani</v>
          </cell>
          <cell r="U4470" t="str">
            <v>"-"</v>
          </cell>
        </row>
        <row r="4471">
          <cell r="A4471">
            <v>46265</v>
          </cell>
          <cell r="B4471" t="str">
            <v xml:space="preserve">SYAHLUFI                                </v>
          </cell>
          <cell r="C4471" t="str">
            <v>STRW309</v>
          </cell>
          <cell r="D4471">
            <v>39801038654505</v>
          </cell>
          <cell r="E4471" t="str">
            <v>SEDANG</v>
          </cell>
          <cell r="F4471" t="str">
            <v>Tidak</v>
          </cell>
          <cell r="G4471" t="str">
            <v>Tidak</v>
          </cell>
          <cell r="H4471" t="str">
            <v>Tidak</v>
          </cell>
          <cell r="I4471" t="str">
            <v>Bandar Judol Withdrawal</v>
          </cell>
          <cell r="J4471">
            <v>50</v>
          </cell>
          <cell r="K4471" t="str">
            <v>86,88,87</v>
          </cell>
          <cell r="L4471" t="str">
            <v>Judi Online</v>
          </cell>
          <cell r="M4471" t="str">
            <v xml:space="preserve">Kas Kanpus                              </v>
          </cell>
          <cell r="N4471" t="str">
            <v xml:space="preserve">Kas Kanpus                              </v>
          </cell>
          <cell r="O4471" t="str">
            <v xml:space="preserve">KAS KANPUS                              </v>
          </cell>
          <cell r="P4471" t="str">
            <v>Ya</v>
          </cell>
          <cell r="Q4471" t="str">
            <v>Ya</v>
          </cell>
          <cell r="R4471" t="str">
            <v>Done</v>
          </cell>
          <cell r="S4471" t="str">
            <v>Approved</v>
          </cell>
          <cell r="T4471" t="str">
            <v>90171841 - Rifqi Aziz</v>
          </cell>
          <cell r="U4471" t="str">
            <v>"-"</v>
          </cell>
        </row>
        <row r="4472">
          <cell r="A4472">
            <v>46265</v>
          </cell>
          <cell r="B4472" t="str">
            <v xml:space="preserve">SURYA PRIMA                             </v>
          </cell>
          <cell r="C4472" t="str">
            <v>STX9022</v>
          </cell>
          <cell r="D4472">
            <v>17201003080303</v>
          </cell>
          <cell r="E4472" t="str">
            <v>SEDANG</v>
          </cell>
          <cell r="F4472" t="str">
            <v>Tidak</v>
          </cell>
          <cell r="G4472" t="str">
            <v>Tidak</v>
          </cell>
          <cell r="H4472" t="str">
            <v>Tidak</v>
          </cell>
          <cell r="I4472" t="str">
            <v>Perpajakan</v>
          </cell>
          <cell r="J4472">
            <v>50</v>
          </cell>
          <cell r="K4472">
            <v>1.33</v>
          </cell>
          <cell r="L4472" t="str">
            <v>Perpajakan</v>
          </cell>
          <cell r="M4472" t="str">
            <v xml:space="preserve">KC Surabaya Rajawali                    </v>
          </cell>
          <cell r="N4472" t="str">
            <v xml:space="preserve">KC Surabaya Rajawali                    </v>
          </cell>
          <cell r="O4472" t="str">
            <v xml:space="preserve">Surabaya                                </v>
          </cell>
          <cell r="P4472" t="str">
            <v>Tidak</v>
          </cell>
          <cell r="Q4472" t="str">
            <v>Tidak</v>
          </cell>
          <cell r="R4472" t="str">
            <v>Done</v>
          </cell>
          <cell r="S4472" t="str">
            <v>Approved</v>
          </cell>
          <cell r="T4472" t="str">
            <v>00394520 - Frida Akbar Rani</v>
          </cell>
          <cell r="U4472" t="str">
            <v>"-"</v>
          </cell>
        </row>
        <row r="4473">
          <cell r="A4473">
            <v>46265</v>
          </cell>
          <cell r="B4473" t="str">
            <v xml:space="preserve">SYAEKHONI                               </v>
          </cell>
          <cell r="C4473" t="str">
            <v>SX23108</v>
          </cell>
          <cell r="D4473">
            <v>13001001676564</v>
          </cell>
          <cell r="E4473" t="str">
            <v>SEDANG</v>
          </cell>
          <cell r="F4473" t="str">
            <v>Tidak</v>
          </cell>
          <cell r="G4473" t="str">
            <v>Tidak</v>
          </cell>
          <cell r="H4473" t="str">
            <v>Tidak</v>
          </cell>
          <cell r="I4473" t="str">
            <v>Pencurian Rekening</v>
          </cell>
          <cell r="J4473">
            <v>47</v>
          </cell>
          <cell r="K4473">
            <v>59</v>
          </cell>
          <cell r="L4473" t="str">
            <v>Perbankan</v>
          </cell>
          <cell r="M4473" t="str">
            <v xml:space="preserve">KC Metro                                </v>
          </cell>
          <cell r="N4473" t="str">
            <v xml:space="preserve">KC Metro                                </v>
          </cell>
          <cell r="O4473" t="str">
            <v xml:space="preserve">KANWIL BANDAR LAMPUNG                   </v>
          </cell>
          <cell r="P4473" t="str">
            <v>Tidak</v>
          </cell>
          <cell r="Q4473" t="str">
            <v>Ya</v>
          </cell>
          <cell r="R4473" t="str">
            <v>Done</v>
          </cell>
          <cell r="S4473" t="str">
            <v>Approved</v>
          </cell>
          <cell r="T4473" t="str">
            <v>00336949 - Mochammad Al Farabi</v>
          </cell>
          <cell r="U4473" t="str">
            <v>"-"</v>
          </cell>
        </row>
        <row r="4474">
          <cell r="A4474">
            <v>46265</v>
          </cell>
          <cell r="B4474" t="str">
            <v xml:space="preserve">SLAMET GINTING                          </v>
          </cell>
          <cell r="C4474" t="str">
            <v>SPJO473</v>
          </cell>
          <cell r="D4474">
            <v>708501007899530</v>
          </cell>
          <cell r="E4474" t="str">
            <v>SEDANG</v>
          </cell>
          <cell r="F4474" t="str">
            <v>Tidak</v>
          </cell>
          <cell r="G4474" t="str">
            <v>Tidak</v>
          </cell>
          <cell r="H4474" t="str">
            <v>Tidak</v>
          </cell>
          <cell r="I4474" t="str">
            <v>Bandar Judol Withdrawal</v>
          </cell>
          <cell r="J4474">
            <v>50</v>
          </cell>
          <cell r="K4474" t="str">
            <v>86,88,87</v>
          </cell>
          <cell r="L4474" t="str">
            <v>Judi Online</v>
          </cell>
          <cell r="M4474" t="str">
            <v xml:space="preserve">Kas Kanpus                              </v>
          </cell>
          <cell r="N4474" t="str">
            <v xml:space="preserve">Kas Kanpus                              </v>
          </cell>
          <cell r="O4474" t="str">
            <v xml:space="preserve">KAS KANPUS                              </v>
          </cell>
          <cell r="P4474" t="str">
            <v>Ya</v>
          </cell>
          <cell r="Q4474" t="str">
            <v>Ya</v>
          </cell>
          <cell r="R4474" t="str">
            <v>Done</v>
          </cell>
          <cell r="S4474" t="str">
            <v>Approved</v>
          </cell>
          <cell r="T4474" t="str">
            <v>90171841 - Rifqi Aziz</v>
          </cell>
          <cell r="U4474" t="str">
            <v>"-"</v>
          </cell>
        </row>
        <row r="4475">
          <cell r="A4475">
            <v>46265</v>
          </cell>
          <cell r="B4475" t="str">
            <v xml:space="preserve">SRI SUYATI                              </v>
          </cell>
          <cell r="C4475" t="str">
            <v>SPPL035</v>
          </cell>
          <cell r="D4475">
            <v>310101029653538</v>
          </cell>
          <cell r="E4475" t="str">
            <v>SEDANG</v>
          </cell>
          <cell r="F4475" t="str">
            <v>Tidak</v>
          </cell>
          <cell r="G4475" t="str">
            <v>Tidak</v>
          </cell>
          <cell r="H4475" t="str">
            <v>Tidak</v>
          </cell>
          <cell r="I4475" t="str">
            <v>Bandar Judol Withdrawal</v>
          </cell>
          <cell r="J4475">
            <v>50</v>
          </cell>
          <cell r="K4475" t="str">
            <v>86,88,87</v>
          </cell>
          <cell r="L4475" t="str">
            <v>Judi Online</v>
          </cell>
          <cell r="M4475" t="str">
            <v xml:space="preserve">Kas Kanpus                              </v>
          </cell>
          <cell r="N4475" t="str">
            <v xml:space="preserve">Kas Kanpus                              </v>
          </cell>
          <cell r="O4475" t="str">
            <v xml:space="preserve">KAS KANPUS                              </v>
          </cell>
          <cell r="P4475" t="str">
            <v>Ya</v>
          </cell>
          <cell r="Q4475" t="str">
            <v>Ya</v>
          </cell>
          <cell r="R4475" t="str">
            <v>Done</v>
          </cell>
          <cell r="S4475" t="str">
            <v>Approved</v>
          </cell>
          <cell r="T4475" t="str">
            <v>90186796 - Devito Arya Wiradila</v>
          </cell>
          <cell r="U4475" t="str">
            <v>"-"</v>
          </cell>
        </row>
        <row r="4476">
          <cell r="A4476">
            <v>46265</v>
          </cell>
          <cell r="B4476" t="str">
            <v xml:space="preserve">SAMSUL                                  </v>
          </cell>
          <cell r="C4476" t="str">
            <v>SPWL298</v>
          </cell>
          <cell r="D4476">
            <v>3501029644535</v>
          </cell>
          <cell r="E4476" t="str">
            <v>SEDANG</v>
          </cell>
          <cell r="F4476" t="str">
            <v>Tidak</v>
          </cell>
          <cell r="G4476" t="str">
            <v>Tidak</v>
          </cell>
          <cell r="H4476" t="str">
            <v>Tidak</v>
          </cell>
          <cell r="I4476" t="str">
            <v>Bandar Judol Depo</v>
          </cell>
          <cell r="J4476">
            <v>50</v>
          </cell>
          <cell r="K4476" t="str">
            <v>86,74,87</v>
          </cell>
          <cell r="L4476" t="str">
            <v>Judi Online</v>
          </cell>
          <cell r="M4476" t="str">
            <v xml:space="preserve">Kas Kanpus                              </v>
          </cell>
          <cell r="N4476" t="str">
            <v xml:space="preserve">Kas Kanpus                              </v>
          </cell>
          <cell r="O4476" t="str">
            <v xml:space="preserve">KAS KANPUS                              </v>
          </cell>
          <cell r="P4476" t="str">
            <v>Tidak</v>
          </cell>
          <cell r="Q4476" t="str">
            <v>Ya</v>
          </cell>
          <cell r="R4476" t="str">
            <v>Done</v>
          </cell>
          <cell r="S4476" t="str">
            <v>Approved</v>
          </cell>
          <cell r="T4476" t="str">
            <v>00394520 - Frida Akbar Rani</v>
          </cell>
          <cell r="U4476" t="str">
            <v>"-"</v>
          </cell>
        </row>
        <row r="4477">
          <cell r="A4477">
            <v>46265</v>
          </cell>
          <cell r="B4477" t="str">
            <v xml:space="preserve">SINDI AMELIA                            </v>
          </cell>
          <cell r="C4477" t="str">
            <v>SSUF859</v>
          </cell>
          <cell r="D4477">
            <v>5301148202501</v>
          </cell>
          <cell r="E4477" t="str">
            <v>SEDANG</v>
          </cell>
          <cell r="F4477" t="str">
            <v>Tidak</v>
          </cell>
          <cell r="G4477" t="str">
            <v>Tidak</v>
          </cell>
          <cell r="H4477" t="str">
            <v>Tidak</v>
          </cell>
          <cell r="I4477" t="str">
            <v>Bandar Judol Withdrawal</v>
          </cell>
          <cell r="J4477">
            <v>50</v>
          </cell>
          <cell r="K4477" t="str">
            <v>86,88,87</v>
          </cell>
          <cell r="L4477" t="str">
            <v>Judi Online</v>
          </cell>
          <cell r="M4477" t="str">
            <v xml:space="preserve">Kas Kanpus                              </v>
          </cell>
          <cell r="N4477" t="str">
            <v xml:space="preserve">Kas Kanpus                              </v>
          </cell>
          <cell r="O4477" t="str">
            <v xml:space="preserve">KAS KANPUS                              </v>
          </cell>
          <cell r="P4477" t="str">
            <v>Ya</v>
          </cell>
          <cell r="Q4477" t="str">
            <v>Ya</v>
          </cell>
          <cell r="R4477" t="str">
            <v>Done</v>
          </cell>
          <cell r="S4477" t="str">
            <v>Approved</v>
          </cell>
          <cell r="T4477" t="str">
            <v>90170665 - Mutiara Ayuningtyas</v>
          </cell>
          <cell r="U4477" t="str">
            <v>"-"</v>
          </cell>
        </row>
        <row r="4478">
          <cell r="A4478">
            <v>46265</v>
          </cell>
          <cell r="B4478" t="str">
            <v xml:space="preserve">SERBA GUNA SEJATI                       </v>
          </cell>
          <cell r="C4478" t="str">
            <v>SLEEI36</v>
          </cell>
          <cell r="D4478">
            <v>5101035000567</v>
          </cell>
          <cell r="F4478" t="str">
            <v>Tidak</v>
          </cell>
          <cell r="G4478" t="str">
            <v>Tidak</v>
          </cell>
          <cell r="H4478" t="str">
            <v>Tidak</v>
          </cell>
          <cell r="I4478" t="str">
            <v>Perpajakan</v>
          </cell>
          <cell r="J4478">
            <v>33</v>
          </cell>
          <cell r="K4478">
            <v>41</v>
          </cell>
          <cell r="L4478" t="str">
            <v>Perpajakan</v>
          </cell>
          <cell r="M4478" t="str">
            <v xml:space="preserve">KC Malang Kawi                          </v>
          </cell>
          <cell r="N4478" t="str">
            <v xml:space="preserve">KC Malang Kawi                          </v>
          </cell>
          <cell r="O4478" t="str">
            <v xml:space="preserve">KANWIL MALANG                           </v>
          </cell>
          <cell r="P4478" t="str">
            <v>Tidak</v>
          </cell>
          <cell r="Q4478" t="str">
            <v>Tidak</v>
          </cell>
          <cell r="R4478" t="str">
            <v>Done</v>
          </cell>
          <cell r="S4478" t="str">
            <v>Approved</v>
          </cell>
          <cell r="T4478" t="str">
            <v>90150130 - Intan Aida Pratiwi</v>
          </cell>
          <cell r="U4478" t="str">
            <v>"-"</v>
          </cell>
        </row>
        <row r="4479">
          <cell r="A4479">
            <v>46265</v>
          </cell>
          <cell r="B4479" t="str">
            <v xml:space="preserve">SIHAR P H SITORUS                       </v>
          </cell>
          <cell r="C4479" t="str">
            <v>SLBD282</v>
          </cell>
          <cell r="D4479">
            <v>44301888887563</v>
          </cell>
          <cell r="E4479" t="str">
            <v>TINGGI</v>
          </cell>
          <cell r="F4479" t="str">
            <v>Tidak</v>
          </cell>
          <cell r="G4479" t="str">
            <v>Tidak</v>
          </cell>
          <cell r="H4479" t="str">
            <v>Tidak</v>
          </cell>
          <cell r="I4479" t="str">
            <v>Private or Priority Customer Investment</v>
          </cell>
          <cell r="J4479">
            <v>78</v>
          </cell>
          <cell r="K4479">
            <v>93</v>
          </cell>
          <cell r="L4479" t="str">
            <v>Pasar Modal</v>
          </cell>
          <cell r="M4479" t="str">
            <v xml:space="preserve">KCP TELKOM LANDMARK TOWER               </v>
          </cell>
          <cell r="N4479" t="str">
            <v xml:space="preserve">KC Jakarta Gatot Subroto                </v>
          </cell>
          <cell r="O4479" t="str">
            <v xml:space="preserve">DKI2                                    </v>
          </cell>
          <cell r="P4479" t="str">
            <v>Tidak</v>
          </cell>
          <cell r="Q4479" t="str">
            <v>Tidak</v>
          </cell>
          <cell r="R4479" t="str">
            <v>Done</v>
          </cell>
          <cell r="S4479" t="str">
            <v>Approved</v>
          </cell>
          <cell r="T4479" t="str">
            <v>90171841 - Rifqi Aziz</v>
          </cell>
          <cell r="U4479" t="str">
            <v>"-"</v>
          </cell>
        </row>
        <row r="4480">
          <cell r="A4480">
            <v>46265</v>
          </cell>
          <cell r="B4480" t="str">
            <v xml:space="preserve">SULAIMAN                                </v>
          </cell>
          <cell r="C4480" t="str">
            <v>SOVJ389</v>
          </cell>
          <cell r="D4480">
            <v>53001000649566</v>
          </cell>
          <cell r="E4480" t="str">
            <v>SEDANG</v>
          </cell>
          <cell r="F4480" t="str">
            <v>Tidak</v>
          </cell>
          <cell r="G4480" t="str">
            <v>Tidak</v>
          </cell>
          <cell r="H4480" t="str">
            <v>Tidak</v>
          </cell>
          <cell r="I4480" t="str">
            <v>Bandar Judol Withdrawal</v>
          </cell>
          <cell r="J4480">
            <v>50</v>
          </cell>
          <cell r="K4480" t="str">
            <v>86,88,87</v>
          </cell>
          <cell r="L4480" t="str">
            <v>Judi Online</v>
          </cell>
          <cell r="M4480" t="str">
            <v xml:space="preserve">Kas Kanpus                              </v>
          </cell>
          <cell r="N4480" t="str">
            <v xml:space="preserve">Kas Kanpus                              </v>
          </cell>
          <cell r="O4480" t="str">
            <v xml:space="preserve">KAS KANPUS                              </v>
          </cell>
          <cell r="P4480" t="str">
            <v>Ya</v>
          </cell>
          <cell r="Q4480" t="str">
            <v>Ya</v>
          </cell>
          <cell r="R4480" t="str">
            <v>Done</v>
          </cell>
          <cell r="S4480" t="str">
            <v>Approved</v>
          </cell>
          <cell r="T4480" t="str">
            <v>90185537 - Moh.Khoerul Fajar Ar</v>
          </cell>
          <cell r="U4480" t="str">
            <v>"-"</v>
          </cell>
        </row>
        <row r="4481">
          <cell r="A4481">
            <v>46265</v>
          </cell>
          <cell r="B4481" t="str">
            <v xml:space="preserve">SUMBER URIP SEJATI                      </v>
          </cell>
          <cell r="C4481" t="str">
            <v>SOZA826</v>
          </cell>
          <cell r="D4481">
            <v>21101001971300</v>
          </cell>
          <cell r="E4481" t="str">
            <v>SEDANG</v>
          </cell>
          <cell r="F4481" t="str">
            <v>Tidak</v>
          </cell>
          <cell r="G4481" t="str">
            <v>Tidak</v>
          </cell>
          <cell r="H4481" t="str">
            <v>Tidak</v>
          </cell>
          <cell r="I4481" t="str">
            <v>Perpajakan</v>
          </cell>
          <cell r="J4481">
            <v>48</v>
          </cell>
          <cell r="K4481">
            <v>1.33</v>
          </cell>
          <cell r="L4481" t="str">
            <v>Perpajakan</v>
          </cell>
          <cell r="M4481" t="str">
            <v xml:space="preserve">KC Surabaya Pahlawan                    </v>
          </cell>
          <cell r="N4481" t="str">
            <v xml:space="preserve">KC Surabaya Pahlawan                    </v>
          </cell>
          <cell r="O4481" t="str">
            <v xml:space="preserve">Surabaya                                </v>
          </cell>
          <cell r="P4481" t="str">
            <v>Tidak</v>
          </cell>
          <cell r="Q4481" t="str">
            <v>Tidak</v>
          </cell>
          <cell r="R4481" t="str">
            <v>Done</v>
          </cell>
          <cell r="S4481" t="str">
            <v>Approved</v>
          </cell>
          <cell r="T4481" t="str">
            <v>90171841 - Rifqi Aziz</v>
          </cell>
          <cell r="U4481" t="str">
            <v>"-"</v>
          </cell>
        </row>
        <row r="4482">
          <cell r="A4482">
            <v>46265</v>
          </cell>
          <cell r="B4482" t="str">
            <v xml:space="preserve">SARDIANTO                               </v>
          </cell>
          <cell r="C4482" t="str">
            <v>SPGX774</v>
          </cell>
          <cell r="D4482">
            <v>218101000223565</v>
          </cell>
          <cell r="E4482" t="str">
            <v>SEDANG</v>
          </cell>
          <cell r="F4482" t="str">
            <v>Ya</v>
          </cell>
          <cell r="G4482" t="str">
            <v>Tidak</v>
          </cell>
          <cell r="H4482" t="str">
            <v>Tidak</v>
          </cell>
          <cell r="I4482" t="str">
            <v>Bandar Judol Depo</v>
          </cell>
          <cell r="J4482">
            <v>50</v>
          </cell>
          <cell r="K4482" t="str">
            <v>86,74,87</v>
          </cell>
          <cell r="L4482" t="str">
            <v>Judi Online</v>
          </cell>
          <cell r="M4482" t="str">
            <v xml:space="preserve">Kas Kanpus                              </v>
          </cell>
          <cell r="N4482" t="str">
            <v xml:space="preserve">Kas Kanpus                              </v>
          </cell>
          <cell r="O4482" t="str">
            <v xml:space="preserve">KAS KANPUS                              </v>
          </cell>
          <cell r="P4482" t="str">
            <v>Tidak</v>
          </cell>
          <cell r="Q4482" t="str">
            <v>Ya</v>
          </cell>
          <cell r="R4482" t="str">
            <v>Done</v>
          </cell>
          <cell r="S4482" t="str">
            <v>Approved</v>
          </cell>
          <cell r="T4482" t="str">
            <v>00336949 - Mochammad Al Farabi</v>
          </cell>
          <cell r="U4482" t="str">
            <v>"-"</v>
          </cell>
        </row>
        <row r="4483">
          <cell r="A4483">
            <v>46265</v>
          </cell>
          <cell r="B4483" t="str">
            <v xml:space="preserve">SETIA JULIANA                           </v>
          </cell>
          <cell r="C4483" t="str">
            <v>SOCX587</v>
          </cell>
          <cell r="D4483">
            <v>63501000924566</v>
          </cell>
          <cell r="E4483" t="str">
            <v>SEDANG</v>
          </cell>
          <cell r="F4483" t="str">
            <v>Tidak</v>
          </cell>
          <cell r="G4483" t="str">
            <v>Tidak</v>
          </cell>
          <cell r="H4483" t="str">
            <v>Tidak</v>
          </cell>
          <cell r="I4483" t="str">
            <v>Bandar Judol Withdrawal</v>
          </cell>
          <cell r="J4483">
            <v>50</v>
          </cell>
          <cell r="K4483" t="str">
            <v>86,88,87</v>
          </cell>
          <cell r="L4483" t="str">
            <v>Judi Online</v>
          </cell>
          <cell r="M4483" t="str">
            <v xml:space="preserve">Kas Kanpus                              </v>
          </cell>
          <cell r="N4483" t="str">
            <v xml:space="preserve">Kas Kanpus                              </v>
          </cell>
          <cell r="O4483" t="str">
            <v xml:space="preserve">KAS KANPUS                              </v>
          </cell>
          <cell r="P4483" t="str">
            <v>Ya</v>
          </cell>
          <cell r="Q4483" t="str">
            <v>Ya</v>
          </cell>
          <cell r="R4483" t="str">
            <v>Done</v>
          </cell>
          <cell r="S4483" t="str">
            <v>Approved</v>
          </cell>
          <cell r="T4483" t="str">
            <v>00336949 - Mochammad Al Farabi</v>
          </cell>
          <cell r="U4483" t="str">
            <v>"-"</v>
          </cell>
        </row>
        <row r="4484">
          <cell r="A4484">
            <v>46265</v>
          </cell>
          <cell r="B4484" t="str">
            <v xml:space="preserve">SHELLA FEBRI YANTI                      </v>
          </cell>
          <cell r="C4484" t="str">
            <v>SNLP264</v>
          </cell>
          <cell r="D4484">
            <v>1901163007506</v>
          </cell>
          <cell r="E4484" t="str">
            <v>SEDANG</v>
          </cell>
          <cell r="F4484" t="str">
            <v>Tidak</v>
          </cell>
          <cell r="G4484" t="str">
            <v>Tidak</v>
          </cell>
          <cell r="H4484" t="str">
            <v>Tidak</v>
          </cell>
          <cell r="I4484" t="str">
            <v>Bandar Judol Withdrawal</v>
          </cell>
          <cell r="J4484">
            <v>50</v>
          </cell>
          <cell r="K4484" t="str">
            <v>86,88,87</v>
          </cell>
          <cell r="L4484" t="str">
            <v>Judi Online</v>
          </cell>
          <cell r="M4484" t="str">
            <v xml:space="preserve">Kas Kanpus                              </v>
          </cell>
          <cell r="N4484" t="str">
            <v xml:space="preserve">Kas Kanpus                              </v>
          </cell>
          <cell r="O4484" t="str">
            <v xml:space="preserve">KAS KANPUS                              </v>
          </cell>
          <cell r="P4484" t="str">
            <v>Ya</v>
          </cell>
          <cell r="Q4484" t="str">
            <v>Ya</v>
          </cell>
          <cell r="R4484" t="str">
            <v>Done</v>
          </cell>
          <cell r="S4484" t="str">
            <v>Approved</v>
          </cell>
          <cell r="T4484" t="str">
            <v>00394521 - Muhammad Hibbanduta</v>
          </cell>
          <cell r="U4484" t="str">
            <v>"-"</v>
          </cell>
        </row>
        <row r="4485">
          <cell r="A4485">
            <v>46265</v>
          </cell>
          <cell r="B4485" t="str">
            <v xml:space="preserve">SUMAYA SYAHIDAH                         </v>
          </cell>
          <cell r="C4485" t="str">
            <v>SNBR144</v>
          </cell>
          <cell r="D4485">
            <v>2201084042503</v>
          </cell>
          <cell r="E4485" t="str">
            <v>SEDANG</v>
          </cell>
          <cell r="F4485" t="str">
            <v>Tidak</v>
          </cell>
          <cell r="G4485" t="str">
            <v>Tidak</v>
          </cell>
          <cell r="H4485" t="str">
            <v>Tidak</v>
          </cell>
          <cell r="I4485" t="str">
            <v>Perikanan dan Kelautan</v>
          </cell>
          <cell r="J4485">
            <v>48</v>
          </cell>
          <cell r="K4485">
            <v>101</v>
          </cell>
          <cell r="L4485" t="str">
            <v>Perikanan dan Kelautan</v>
          </cell>
          <cell r="M4485" t="str">
            <v xml:space="preserve">UNIT SLAWI                              </v>
          </cell>
          <cell r="N4485" t="str">
            <v xml:space="preserve">KC Slawi                                </v>
          </cell>
          <cell r="O4485" t="str">
            <v xml:space="preserve">Semarang                                </v>
          </cell>
          <cell r="P4485" t="str">
            <v>Tidak</v>
          </cell>
          <cell r="Q4485" t="str">
            <v>Tidak</v>
          </cell>
          <cell r="R4485" t="str">
            <v>Done</v>
          </cell>
          <cell r="S4485" t="str">
            <v>Approved</v>
          </cell>
          <cell r="T4485" t="str">
            <v>90150130 - Intan Aida Pratiwi</v>
          </cell>
          <cell r="U4485" t="str">
            <v>"-"</v>
          </cell>
        </row>
        <row r="4486">
          <cell r="A4486">
            <v>46265</v>
          </cell>
          <cell r="B4486" t="str">
            <v xml:space="preserve">SURIYANDA                               </v>
          </cell>
          <cell r="C4486" t="str">
            <v>SNDJ328</v>
          </cell>
          <cell r="D4486">
            <v>762101002192505</v>
          </cell>
          <cell r="E4486" t="str">
            <v>SEDANG</v>
          </cell>
          <cell r="F4486" t="str">
            <v>Tidak</v>
          </cell>
          <cell r="G4486" t="str">
            <v>Tidak</v>
          </cell>
          <cell r="H4486" t="str">
            <v>Tidak</v>
          </cell>
          <cell r="I4486" t="str">
            <v>Bandar Judol Withdrawal</v>
          </cell>
          <cell r="J4486">
            <v>50</v>
          </cell>
          <cell r="K4486" t="str">
            <v>86,88,87</v>
          </cell>
          <cell r="L4486" t="str">
            <v>Judi Online</v>
          </cell>
          <cell r="M4486" t="str">
            <v xml:space="preserve">Kas Kanpus                              </v>
          </cell>
          <cell r="N4486" t="str">
            <v xml:space="preserve">Kas Kanpus                              </v>
          </cell>
          <cell r="O4486" t="str">
            <v xml:space="preserve">KAS KANPUS                              </v>
          </cell>
          <cell r="P4486" t="str">
            <v>Ya</v>
          </cell>
          <cell r="Q4486" t="str">
            <v>Ya</v>
          </cell>
          <cell r="R4486" t="str">
            <v>Done</v>
          </cell>
          <cell r="S4486" t="str">
            <v>Approved</v>
          </cell>
          <cell r="T4486" t="str">
            <v>00394521 - Muhammad Hibbanduta</v>
          </cell>
          <cell r="U4486" t="str">
            <v>"-"</v>
          </cell>
        </row>
        <row r="4487">
          <cell r="A4487">
            <v>46265</v>
          </cell>
          <cell r="B4487" t="str">
            <v xml:space="preserve">SITI NAFIAH                             </v>
          </cell>
          <cell r="C4487" t="str">
            <v>SMCD671</v>
          </cell>
          <cell r="D4487">
            <v>599401038106533</v>
          </cell>
          <cell r="E4487" t="str">
            <v>TINGGI</v>
          </cell>
          <cell r="F4487" t="str">
            <v>Ya</v>
          </cell>
          <cell r="G4487" t="str">
            <v>Tidak</v>
          </cell>
          <cell r="H4487" t="str">
            <v>Tidak</v>
          </cell>
          <cell r="I4487" t="str">
            <v>Terorisme - SIPENDAR</v>
          </cell>
          <cell r="J4487">
            <v>185</v>
          </cell>
          <cell r="K4487">
            <v>36</v>
          </cell>
          <cell r="L4487" t="str">
            <v>Terorisme</v>
          </cell>
          <cell r="M4487" t="str">
            <v xml:space="preserve">Kas Kanpus                              </v>
          </cell>
          <cell r="N4487" t="str">
            <v xml:space="preserve">Kas Kanpus                              </v>
          </cell>
          <cell r="O4487" t="str">
            <v xml:space="preserve">KAS KANPUS                              </v>
          </cell>
          <cell r="P4487" t="str">
            <v>Tidak</v>
          </cell>
          <cell r="Q4487" t="str">
            <v>Tidak</v>
          </cell>
          <cell r="R4487" t="str">
            <v>Done</v>
          </cell>
          <cell r="S4487" t="str">
            <v>Approved</v>
          </cell>
          <cell r="T4487" t="str">
            <v>00394521 - Muhammad Hibbanduta</v>
          </cell>
          <cell r="U4487" t="str">
            <v>"-"</v>
          </cell>
        </row>
        <row r="4488">
          <cell r="A4488">
            <v>46265</v>
          </cell>
          <cell r="B4488" t="str">
            <v xml:space="preserve">SRIADI PRIHANDOYO PRABOWO               </v>
          </cell>
          <cell r="C4488" t="str">
            <v>SMJG456</v>
          </cell>
          <cell r="D4488">
            <v>5326590003298980</v>
          </cell>
          <cell r="E4488" t="str">
            <v>TINGGI</v>
          </cell>
          <cell r="F4488" t="str">
            <v>Tidak</v>
          </cell>
          <cell r="G4488" t="str">
            <v>Tidak</v>
          </cell>
          <cell r="H4488" t="str">
            <v>Tidak</v>
          </cell>
          <cell r="I4488" t="str">
            <v>Private or Priority Customer Investment</v>
          </cell>
          <cell r="J4488">
            <v>73</v>
          </cell>
          <cell r="K4488">
            <v>93</v>
          </cell>
          <cell r="L4488" t="str">
            <v>Pasar Modal</v>
          </cell>
          <cell r="M4488" t="str">
            <v xml:space="preserve">Jkt KCK                                 </v>
          </cell>
          <cell r="N4488" t="str">
            <v xml:space="preserve">Jkt KCK                                 </v>
          </cell>
          <cell r="O4488" t="str">
            <v xml:space="preserve">DKI                                     </v>
          </cell>
          <cell r="P4488" t="str">
            <v>Tidak</v>
          </cell>
          <cell r="Q4488" t="str">
            <v>Tidak</v>
          </cell>
          <cell r="R4488" t="str">
            <v>Done</v>
          </cell>
          <cell r="S4488" t="str">
            <v>Approved</v>
          </cell>
          <cell r="T4488" t="str">
            <v>90171841 - Rifqi Aziz</v>
          </cell>
          <cell r="U4488" t="str">
            <v>"-"</v>
          </cell>
        </row>
        <row r="4489">
          <cell r="A4489">
            <v>46265</v>
          </cell>
          <cell r="B4489" t="str">
            <v xml:space="preserve">SULANDRA IBRAHIM                        </v>
          </cell>
          <cell r="C4489" t="str">
            <v>SMLE164</v>
          </cell>
          <cell r="D4489">
            <v>717401000037560</v>
          </cell>
          <cell r="E4489" t="str">
            <v>SEDANG</v>
          </cell>
          <cell r="F4489" t="str">
            <v>Tidak</v>
          </cell>
          <cell r="G4489" t="str">
            <v>Ya</v>
          </cell>
          <cell r="H4489" t="str">
            <v>Tidak</v>
          </cell>
          <cell r="I4489" t="str">
            <v>Bandar Judol Withdrawal</v>
          </cell>
          <cell r="J4489">
            <v>60</v>
          </cell>
          <cell r="K4489" t="str">
            <v>86,88,87</v>
          </cell>
          <cell r="L4489" t="str">
            <v>Judi Online</v>
          </cell>
          <cell r="M4489" t="str">
            <v xml:space="preserve">Kas Kanpus                              </v>
          </cell>
          <cell r="N4489" t="str">
            <v xml:space="preserve">Kas Kanpus                              </v>
          </cell>
          <cell r="O4489" t="str">
            <v xml:space="preserve">KAS KANPUS                              </v>
          </cell>
          <cell r="P4489" t="str">
            <v>Tidak</v>
          </cell>
          <cell r="Q4489" t="str">
            <v>Ya</v>
          </cell>
          <cell r="R4489" t="str">
            <v>Done</v>
          </cell>
          <cell r="S4489" t="str">
            <v>Approved</v>
          </cell>
          <cell r="T4489" t="str">
            <v>90170665 - Mutiara Ayuningtyas</v>
          </cell>
          <cell r="U4489" t="str">
            <v>"-"</v>
          </cell>
        </row>
        <row r="4490">
          <cell r="A4490">
            <v>46265</v>
          </cell>
          <cell r="B4490" t="str">
            <v xml:space="preserve">SAPADIA WISATA                          </v>
          </cell>
          <cell r="C4490" t="str">
            <v>SMPT441</v>
          </cell>
          <cell r="D4490">
            <v>11301000823300</v>
          </cell>
          <cell r="E4490" t="str">
            <v>SEDANG</v>
          </cell>
          <cell r="F4490" t="str">
            <v>Tidak</v>
          </cell>
          <cell r="G4490" t="str">
            <v>Tidak</v>
          </cell>
          <cell r="H4490" t="str">
            <v>Tidak</v>
          </cell>
          <cell r="I4490" t="str">
            <v>Perpajakan</v>
          </cell>
          <cell r="J4490">
            <v>48</v>
          </cell>
          <cell r="K4490">
            <v>41</v>
          </cell>
          <cell r="L4490" t="str">
            <v>Perpajakan</v>
          </cell>
          <cell r="M4490" t="str">
            <v xml:space="preserve">KC Pematang Siantar                     </v>
          </cell>
          <cell r="N4490" t="str">
            <v xml:space="preserve">KC Pematang Siantar                     </v>
          </cell>
          <cell r="O4490" t="str">
            <v xml:space="preserve">Medan                                   </v>
          </cell>
          <cell r="P4490" t="str">
            <v>Tidak</v>
          </cell>
          <cell r="Q4490" t="str">
            <v>Ya</v>
          </cell>
          <cell r="R4490" t="str">
            <v>Done</v>
          </cell>
          <cell r="S4490" t="str">
            <v>Approved</v>
          </cell>
          <cell r="T4490" t="str">
            <v>00394520 - Frida Akbar Rani</v>
          </cell>
          <cell r="U4490" t="str">
            <v>"-"</v>
          </cell>
        </row>
        <row r="4491">
          <cell r="A4491">
            <v>46265</v>
          </cell>
          <cell r="B4491" t="str">
            <v xml:space="preserve">SANTI SRI AGUSTIANI                     </v>
          </cell>
          <cell r="C4491" t="str">
            <v>SKEAK59</v>
          </cell>
          <cell r="D4491">
            <v>91201019443503</v>
          </cell>
          <cell r="F4491" t="str">
            <v>Tidak</v>
          </cell>
          <cell r="G4491" t="str">
            <v>Tidak</v>
          </cell>
          <cell r="H4491" t="str">
            <v>Tidak</v>
          </cell>
          <cell r="I4491" t="str">
            <v>Bandar Judol Depo</v>
          </cell>
          <cell r="J4491">
            <v>35</v>
          </cell>
          <cell r="K4491" t="str">
            <v>86,74,87</v>
          </cell>
          <cell r="L4491" t="str">
            <v>Judi Online</v>
          </cell>
          <cell r="M4491" t="str">
            <v xml:space="preserve">Kas Kanpus                              </v>
          </cell>
          <cell r="N4491" t="str">
            <v xml:space="preserve">Kas Kanpus                              </v>
          </cell>
          <cell r="O4491" t="str">
            <v xml:space="preserve">KAS KANPUS                              </v>
          </cell>
          <cell r="P4491" t="str">
            <v>Ya</v>
          </cell>
          <cell r="Q4491" t="str">
            <v>Ya</v>
          </cell>
          <cell r="R4491" t="str">
            <v>Done</v>
          </cell>
          <cell r="S4491" t="str">
            <v>Approved</v>
          </cell>
          <cell r="T4491" t="str">
            <v>00394520 - Frida Akbar Rani</v>
          </cell>
          <cell r="U4491" t="str">
            <v>"-"</v>
          </cell>
        </row>
        <row r="4492">
          <cell r="A4492">
            <v>46265</v>
          </cell>
          <cell r="B4492" t="str">
            <v xml:space="preserve">SOFIAN                                  </v>
          </cell>
          <cell r="C4492" t="str">
            <v>SKDMR25</v>
          </cell>
          <cell r="D4492">
            <v>525901013615509</v>
          </cell>
          <cell r="F4492" t="str">
            <v>Tidak</v>
          </cell>
          <cell r="G4492" t="str">
            <v>Tidak</v>
          </cell>
          <cell r="H4492" t="str">
            <v>Tidak</v>
          </cell>
          <cell r="I4492" t="str">
            <v>Bandar Judol Depo</v>
          </cell>
          <cell r="J4492">
            <v>35</v>
          </cell>
          <cell r="K4492" t="str">
            <v>86,74,87</v>
          </cell>
          <cell r="L4492" t="str">
            <v>Judi Online</v>
          </cell>
          <cell r="M4492" t="str">
            <v xml:space="preserve">Kas Kanpus                              </v>
          </cell>
          <cell r="N4492" t="str">
            <v xml:space="preserve">Kas Kanpus                              </v>
          </cell>
          <cell r="O4492" t="str">
            <v xml:space="preserve">KAS KANPUS                              </v>
          </cell>
          <cell r="P4492" t="str">
            <v>Ya</v>
          </cell>
          <cell r="Q4492" t="str">
            <v>Ya</v>
          </cell>
          <cell r="R4492" t="str">
            <v>Done</v>
          </cell>
          <cell r="S4492" t="str">
            <v>Approved</v>
          </cell>
          <cell r="T4492" t="str">
            <v>90186790 - Muhammad Alfin Farha</v>
          </cell>
          <cell r="U4492" t="str">
            <v>"-"</v>
          </cell>
        </row>
        <row r="4493">
          <cell r="A4493">
            <v>46265</v>
          </cell>
          <cell r="B4493" t="str">
            <v xml:space="preserve">SUSILO ARDI                             </v>
          </cell>
          <cell r="C4493" t="str">
            <v>SJVBB02</v>
          </cell>
          <cell r="D4493">
            <v>530101024788508</v>
          </cell>
          <cell r="F4493" t="str">
            <v>Tidak</v>
          </cell>
          <cell r="G4493" t="str">
            <v>Tidak</v>
          </cell>
          <cell r="H4493" t="str">
            <v>Tidak</v>
          </cell>
          <cell r="I4493" t="str">
            <v>Bandar Judol Withdrawal</v>
          </cell>
          <cell r="J4493">
            <v>35</v>
          </cell>
          <cell r="K4493" t="str">
            <v>86,88,87</v>
          </cell>
          <cell r="L4493" t="str">
            <v>Judi Online</v>
          </cell>
          <cell r="M4493" t="str">
            <v xml:space="preserve">Kas Kanpus                              </v>
          </cell>
          <cell r="N4493" t="str">
            <v xml:space="preserve">Kas Kanpus                              </v>
          </cell>
          <cell r="O4493" t="str">
            <v xml:space="preserve">KAS KANPUS                              </v>
          </cell>
          <cell r="P4493" t="str">
            <v>Ya</v>
          </cell>
          <cell r="Q4493" t="str">
            <v>Ya</v>
          </cell>
          <cell r="R4493" t="str">
            <v>Done</v>
          </cell>
          <cell r="S4493" t="str">
            <v>Approved</v>
          </cell>
          <cell r="T4493" t="str">
            <v>00394520 - Frida Akbar Rani</v>
          </cell>
          <cell r="U4493" t="str">
            <v>"-"</v>
          </cell>
        </row>
        <row r="4494">
          <cell r="A4494">
            <v>46265</v>
          </cell>
          <cell r="B4494" t="str">
            <v xml:space="preserve">SULAEMAN                                </v>
          </cell>
          <cell r="C4494" t="str">
            <v>SJVOF73</v>
          </cell>
          <cell r="D4494">
            <v>722301018122502</v>
          </cell>
          <cell r="F4494" t="str">
            <v>Tidak</v>
          </cell>
          <cell r="G4494" t="str">
            <v>Tidak</v>
          </cell>
          <cell r="H4494" t="str">
            <v>Tidak</v>
          </cell>
          <cell r="I4494" t="str">
            <v>Bandar Judol Depo</v>
          </cell>
          <cell r="J4494">
            <v>35</v>
          </cell>
          <cell r="K4494" t="str">
            <v>86,74,87</v>
          </cell>
          <cell r="L4494" t="str">
            <v>Judi Online</v>
          </cell>
          <cell r="M4494" t="str">
            <v xml:space="preserve">Kas Kanpus                              </v>
          </cell>
          <cell r="N4494" t="str">
            <v xml:space="preserve">Kas Kanpus                              </v>
          </cell>
          <cell r="O4494" t="str">
            <v xml:space="preserve">KAS KANPUS                              </v>
          </cell>
          <cell r="P4494" t="str">
            <v>Ya</v>
          </cell>
          <cell r="Q4494" t="str">
            <v>Ya</v>
          </cell>
          <cell r="R4494" t="str">
            <v>Done</v>
          </cell>
          <cell r="S4494" t="str">
            <v>Approved</v>
          </cell>
          <cell r="T4494" t="str">
            <v>90171841 - Rifqi Aziz</v>
          </cell>
          <cell r="U4494" t="str">
            <v>"-"</v>
          </cell>
        </row>
        <row r="4495">
          <cell r="A4495">
            <v>46265</v>
          </cell>
          <cell r="B4495" t="str">
            <v xml:space="preserve">SITI HALIMATUSADIAH                     </v>
          </cell>
          <cell r="C4495" t="str">
            <v>SKCQM68</v>
          </cell>
          <cell r="D4495">
            <v>44501078303505</v>
          </cell>
          <cell r="F4495" t="str">
            <v>Tidak</v>
          </cell>
          <cell r="G4495" t="str">
            <v>Tidak</v>
          </cell>
          <cell r="H4495" t="str">
            <v>Tidak</v>
          </cell>
          <cell r="I4495" t="str">
            <v>Bandar Judol Withdrawal</v>
          </cell>
          <cell r="J4495">
            <v>35</v>
          </cell>
          <cell r="K4495" t="str">
            <v>86,88,87</v>
          </cell>
          <cell r="L4495" t="str">
            <v>Judi Online</v>
          </cell>
          <cell r="M4495" t="str">
            <v xml:space="preserve">Kas Kanpus                              </v>
          </cell>
          <cell r="N4495" t="str">
            <v xml:space="preserve">Kas Kanpus                              </v>
          </cell>
          <cell r="O4495" t="str">
            <v xml:space="preserve">KAS KANPUS                              </v>
          </cell>
          <cell r="P4495" t="str">
            <v>Ya</v>
          </cell>
          <cell r="Q4495" t="str">
            <v>Ya</v>
          </cell>
          <cell r="R4495" t="str">
            <v>Done</v>
          </cell>
          <cell r="S4495" t="str">
            <v>Approved</v>
          </cell>
          <cell r="T4495" t="str">
            <v>90150130 - Intan Aida Pratiwi</v>
          </cell>
          <cell r="U4495" t="str">
            <v>"-"</v>
          </cell>
        </row>
        <row r="4496">
          <cell r="A4496">
            <v>46265</v>
          </cell>
          <cell r="B4496" t="str">
            <v xml:space="preserve">SITI FATIMAH SAGALA                     </v>
          </cell>
          <cell r="C4496" t="str">
            <v>SKCTX37</v>
          </cell>
          <cell r="D4496">
            <v>531001000047563</v>
          </cell>
          <cell r="F4496" t="str">
            <v>Tidak</v>
          </cell>
          <cell r="G4496" t="str">
            <v>Tidak</v>
          </cell>
          <cell r="H4496" t="str">
            <v>Tidak</v>
          </cell>
          <cell r="I4496" t="str">
            <v>Bandar Judol Withdrawal</v>
          </cell>
          <cell r="J4496">
            <v>35</v>
          </cell>
          <cell r="K4496" t="str">
            <v>86,88,87</v>
          </cell>
          <cell r="L4496" t="str">
            <v>Judi Online</v>
          </cell>
          <cell r="M4496" t="str">
            <v xml:space="preserve">Kas Kanpus                              </v>
          </cell>
          <cell r="N4496" t="str">
            <v xml:space="preserve">Kas Kanpus                              </v>
          </cell>
          <cell r="O4496" t="str">
            <v xml:space="preserve">KAS KANPUS                              </v>
          </cell>
          <cell r="P4496" t="str">
            <v>Tidak</v>
          </cell>
          <cell r="Q4496" t="str">
            <v>Ya</v>
          </cell>
          <cell r="R4496" t="str">
            <v>Done</v>
          </cell>
          <cell r="S4496" t="str">
            <v>Approved</v>
          </cell>
          <cell r="T4496" t="str">
            <v>90186796 - Devito Arya Wiradila</v>
          </cell>
          <cell r="U4496" t="str">
            <v>"-"</v>
          </cell>
        </row>
        <row r="4497">
          <cell r="A4497">
            <v>46265</v>
          </cell>
          <cell r="B4497" t="str">
            <v xml:space="preserve">SAMSUL MAARIIP                          </v>
          </cell>
          <cell r="C4497" t="str">
            <v>SKDII12</v>
          </cell>
          <cell r="D4497">
            <v>719501013398507</v>
          </cell>
          <cell r="F4497" t="str">
            <v>Tidak</v>
          </cell>
          <cell r="G4497" t="str">
            <v>Tidak</v>
          </cell>
          <cell r="H4497" t="str">
            <v>Tidak</v>
          </cell>
          <cell r="I4497" t="str">
            <v>Bandar Judol Withdrawal</v>
          </cell>
          <cell r="J4497">
            <v>35</v>
          </cell>
          <cell r="K4497" t="str">
            <v>86,88,87</v>
          </cell>
          <cell r="L4497" t="str">
            <v>Judi Online</v>
          </cell>
          <cell r="M4497" t="str">
            <v xml:space="preserve">Kas Kanpus                              </v>
          </cell>
          <cell r="N4497" t="str">
            <v xml:space="preserve">Kas Kanpus                              </v>
          </cell>
          <cell r="O4497" t="str">
            <v xml:space="preserve">KAS KANPUS                              </v>
          </cell>
          <cell r="P4497" t="str">
            <v>Ya</v>
          </cell>
          <cell r="Q4497" t="str">
            <v>Tidak</v>
          </cell>
          <cell r="R4497" t="str">
            <v>Done</v>
          </cell>
          <cell r="S4497" t="str">
            <v>Approved</v>
          </cell>
          <cell r="T4497" t="str">
            <v>00394521 - Muhammad Hibbanduta</v>
          </cell>
          <cell r="U4497" t="str">
            <v>"-"</v>
          </cell>
        </row>
        <row r="4498">
          <cell r="A4498">
            <v>46265</v>
          </cell>
          <cell r="B4498" t="str">
            <v xml:space="preserve">SUNJANI                                 </v>
          </cell>
          <cell r="C4498" t="str">
            <v>SJWCG54</v>
          </cell>
          <cell r="D4498">
            <v>207201019062501</v>
          </cell>
          <cell r="F4498" t="str">
            <v>Tidak</v>
          </cell>
          <cell r="G4498" t="str">
            <v>Tidak</v>
          </cell>
          <cell r="H4498" t="str">
            <v>Tidak</v>
          </cell>
          <cell r="I4498" t="str">
            <v>Bandar Judol Withdrawal</v>
          </cell>
          <cell r="J4498">
            <v>35</v>
          </cell>
          <cell r="K4498" t="str">
            <v>86,88,87</v>
          </cell>
          <cell r="L4498" t="str">
            <v>Judi Online</v>
          </cell>
          <cell r="M4498" t="str">
            <v xml:space="preserve">Kas Kanpus                              </v>
          </cell>
          <cell r="N4498" t="str">
            <v xml:space="preserve">Kas Kanpus                              </v>
          </cell>
          <cell r="O4498" t="str">
            <v xml:space="preserve">KAS KANPUS                              </v>
          </cell>
          <cell r="P4498" t="str">
            <v>Ya</v>
          </cell>
          <cell r="Q4498" t="str">
            <v>Tidak</v>
          </cell>
          <cell r="R4498" t="str">
            <v>Done</v>
          </cell>
          <cell r="S4498" t="str">
            <v>Approved</v>
          </cell>
          <cell r="T4498" t="str">
            <v>90186790 - Muhammad Alfin Farha</v>
          </cell>
          <cell r="U4498" t="str">
            <v>"-"</v>
          </cell>
        </row>
        <row r="4499">
          <cell r="A4499">
            <v>46265</v>
          </cell>
          <cell r="B4499" t="str">
            <v xml:space="preserve">SURYA RASA ABADI                        </v>
          </cell>
          <cell r="C4499" t="str">
            <v>SKHOB58</v>
          </cell>
          <cell r="D4499">
            <v>13101002357303</v>
          </cell>
          <cell r="F4499" t="str">
            <v>Tidak</v>
          </cell>
          <cell r="G4499" t="str">
            <v>Tidak</v>
          </cell>
          <cell r="H4499" t="str">
            <v>Tidak</v>
          </cell>
          <cell r="I4499" t="str">
            <v>Perpajakan</v>
          </cell>
          <cell r="J4499">
            <v>33</v>
          </cell>
          <cell r="K4499">
            <v>41</v>
          </cell>
          <cell r="L4499" t="str">
            <v>Perpajakan</v>
          </cell>
          <cell r="M4499" t="str">
            <v xml:space="preserve">KC Tanjung Pandan                       </v>
          </cell>
          <cell r="N4499" t="str">
            <v xml:space="preserve">KC Tanjung Pandan                       </v>
          </cell>
          <cell r="O4499" t="str">
            <v xml:space="preserve">Palembang                               </v>
          </cell>
          <cell r="P4499" t="str">
            <v>Tidak</v>
          </cell>
          <cell r="Q4499" t="str">
            <v>Tidak</v>
          </cell>
          <cell r="R4499" t="str">
            <v>Done</v>
          </cell>
          <cell r="S4499" t="str">
            <v>Approved</v>
          </cell>
          <cell r="T4499" t="str">
            <v>90186796 - Devito Arya Wiradila</v>
          </cell>
          <cell r="U4499" t="str">
            <v>"-"</v>
          </cell>
        </row>
        <row r="4500">
          <cell r="A4500">
            <v>46265</v>
          </cell>
          <cell r="B4500" t="str">
            <v xml:space="preserve">SOLEHAH                                 </v>
          </cell>
          <cell r="C4500" t="str">
            <v>SKGIV91</v>
          </cell>
          <cell r="D4500">
            <v>112901038955507</v>
          </cell>
          <cell r="F4500" t="str">
            <v>Tidak</v>
          </cell>
          <cell r="G4500" t="str">
            <v>Tidak</v>
          </cell>
          <cell r="H4500" t="str">
            <v>Tidak</v>
          </cell>
          <cell r="I4500" t="str">
            <v>Bandar Judol Depo</v>
          </cell>
          <cell r="J4500">
            <v>35</v>
          </cell>
          <cell r="K4500" t="str">
            <v>86,74,87</v>
          </cell>
          <cell r="L4500" t="str">
            <v>Judi Online</v>
          </cell>
          <cell r="M4500" t="str">
            <v xml:space="preserve">Kas Kanpus                              </v>
          </cell>
          <cell r="N4500" t="str">
            <v xml:space="preserve">Kas Kanpus                              </v>
          </cell>
          <cell r="O4500" t="str">
            <v xml:space="preserve">KAS KANPUS                              </v>
          </cell>
          <cell r="P4500" t="str">
            <v>Ya</v>
          </cell>
          <cell r="Q4500" t="str">
            <v>Ya</v>
          </cell>
          <cell r="R4500" t="str">
            <v>Done</v>
          </cell>
          <cell r="S4500" t="str">
            <v>Approved</v>
          </cell>
          <cell r="T4500" t="str">
            <v>90171841 - Rifqi Aziz</v>
          </cell>
          <cell r="U4500" t="str">
            <v>"-"</v>
          </cell>
        </row>
        <row r="4501">
          <cell r="A4501">
            <v>46265</v>
          </cell>
          <cell r="B4501" t="str">
            <v xml:space="preserve">SEHATI                                  </v>
          </cell>
          <cell r="C4501" t="str">
            <v>SKFLS21</v>
          </cell>
          <cell r="D4501">
            <v>217101013060505</v>
          </cell>
          <cell r="F4501" t="str">
            <v>Tidak</v>
          </cell>
          <cell r="G4501" t="str">
            <v>Tidak</v>
          </cell>
          <cell r="H4501" t="str">
            <v>Tidak</v>
          </cell>
          <cell r="I4501" t="str">
            <v>Bandar Judol Withdrawal</v>
          </cell>
          <cell r="J4501">
            <v>35</v>
          </cell>
          <cell r="K4501" t="str">
            <v>86,88,87</v>
          </cell>
          <cell r="L4501" t="str">
            <v>Judi Online</v>
          </cell>
          <cell r="M4501" t="str">
            <v xml:space="preserve">Kas Kanpus                              </v>
          </cell>
          <cell r="N4501" t="str">
            <v xml:space="preserve">Kas Kanpus                              </v>
          </cell>
          <cell r="O4501" t="str">
            <v xml:space="preserve">KAS KANPUS                              </v>
          </cell>
          <cell r="P4501" t="str">
            <v>Ya</v>
          </cell>
          <cell r="Q4501" t="str">
            <v>Ya</v>
          </cell>
          <cell r="R4501" t="str">
            <v>Done</v>
          </cell>
          <cell r="S4501" t="str">
            <v>Approved</v>
          </cell>
          <cell r="T4501" t="str">
            <v>90186796 - Devito Arya Wiradila</v>
          </cell>
          <cell r="U4501" t="str">
            <v>"-"</v>
          </cell>
        </row>
        <row r="4502">
          <cell r="A4502">
            <v>46265</v>
          </cell>
          <cell r="B4502" t="str">
            <v xml:space="preserve">SEEFANY RAHMADANI                       </v>
          </cell>
          <cell r="C4502" t="str">
            <v>SKFYR83</v>
          </cell>
          <cell r="D4502">
            <v>324101004844502</v>
          </cell>
          <cell r="F4502" t="str">
            <v>Tidak</v>
          </cell>
          <cell r="G4502" t="str">
            <v>Tidak</v>
          </cell>
          <cell r="H4502" t="str">
            <v>Tidak</v>
          </cell>
          <cell r="I4502" t="str">
            <v>Bandar Judol Withdrawal</v>
          </cell>
          <cell r="J4502">
            <v>35</v>
          </cell>
          <cell r="K4502" t="str">
            <v>86,88,87</v>
          </cell>
          <cell r="L4502" t="str">
            <v>Judi Online</v>
          </cell>
          <cell r="M4502" t="str">
            <v xml:space="preserve">Kas Kanpus                              </v>
          </cell>
          <cell r="N4502" t="str">
            <v xml:space="preserve">Kas Kanpus                              </v>
          </cell>
          <cell r="O4502" t="str">
            <v xml:space="preserve">KAS KANPUS                              </v>
          </cell>
          <cell r="P4502" t="str">
            <v>Ya</v>
          </cell>
          <cell r="Q4502" t="str">
            <v>Ya</v>
          </cell>
          <cell r="R4502" t="str">
            <v>Done</v>
          </cell>
          <cell r="S4502" t="str">
            <v>Approved</v>
          </cell>
          <cell r="T4502" t="str">
            <v>90150130 - Intan Aida Pratiwi</v>
          </cell>
          <cell r="U4502" t="str">
            <v>"-"</v>
          </cell>
        </row>
        <row r="4503">
          <cell r="A4503">
            <v>46265</v>
          </cell>
          <cell r="B4503" t="str">
            <v xml:space="preserve">STEVANUS LOETANTO PUTRA                 </v>
          </cell>
          <cell r="C4503" t="str">
            <v>SKHWC12</v>
          </cell>
          <cell r="D4503">
            <v>82201006086503</v>
          </cell>
          <cell r="F4503" t="str">
            <v>Tidak</v>
          </cell>
          <cell r="G4503" t="str">
            <v>Tidak</v>
          </cell>
          <cell r="H4503" t="str">
            <v>Tidak</v>
          </cell>
          <cell r="I4503" t="str">
            <v>Bandar Judol Withdrawal</v>
          </cell>
          <cell r="J4503">
            <v>35</v>
          </cell>
          <cell r="K4503" t="str">
            <v>86,88,87</v>
          </cell>
          <cell r="L4503" t="str">
            <v>Judi Online</v>
          </cell>
          <cell r="M4503" t="str">
            <v xml:space="preserve">Kas Kanpus                              </v>
          </cell>
          <cell r="N4503" t="str">
            <v xml:space="preserve">Kas Kanpus                              </v>
          </cell>
          <cell r="O4503" t="str">
            <v xml:space="preserve">KAS KANPUS                              </v>
          </cell>
          <cell r="P4503" t="str">
            <v>Ya</v>
          </cell>
          <cell r="Q4503" t="str">
            <v>Ya</v>
          </cell>
          <cell r="R4503" t="str">
            <v>Done</v>
          </cell>
          <cell r="S4503" t="str">
            <v>Approved</v>
          </cell>
          <cell r="T4503" t="str">
            <v>90185538 - Muhammad Fahikal Auz</v>
          </cell>
          <cell r="U4503" t="str">
            <v>"-"</v>
          </cell>
        </row>
        <row r="4504">
          <cell r="A4504">
            <v>46265</v>
          </cell>
          <cell r="B4504" t="str">
            <v xml:space="preserve">SITI NUR HALISAH                        </v>
          </cell>
          <cell r="C4504" t="str">
            <v>SKHSX41</v>
          </cell>
          <cell r="D4504">
            <v>1901202003508</v>
          </cell>
          <cell r="F4504" t="str">
            <v>Tidak</v>
          </cell>
          <cell r="G4504" t="str">
            <v>Tidak</v>
          </cell>
          <cell r="H4504" t="str">
            <v>Tidak</v>
          </cell>
          <cell r="I4504" t="str">
            <v>Bandar Judol Withdrawal</v>
          </cell>
          <cell r="J4504">
            <v>35</v>
          </cell>
          <cell r="K4504" t="str">
            <v>86,88,87</v>
          </cell>
          <cell r="L4504" t="str">
            <v>Judi Online</v>
          </cell>
          <cell r="M4504" t="str">
            <v xml:space="preserve">Kas Kanpus                              </v>
          </cell>
          <cell r="N4504" t="str">
            <v xml:space="preserve">Kas Kanpus                              </v>
          </cell>
          <cell r="O4504" t="str">
            <v xml:space="preserve">KAS KANPUS                              </v>
          </cell>
          <cell r="P4504" t="str">
            <v>Ya</v>
          </cell>
          <cell r="Q4504" t="str">
            <v>Ya</v>
          </cell>
          <cell r="R4504" t="str">
            <v>Done</v>
          </cell>
          <cell r="S4504" t="str">
            <v>Approved</v>
          </cell>
          <cell r="T4504" t="str">
            <v>00394521 - Muhammad Hibbanduta</v>
          </cell>
          <cell r="U4504" t="str">
            <v>"-"</v>
          </cell>
        </row>
        <row r="4505">
          <cell r="A4505">
            <v>46265</v>
          </cell>
          <cell r="B4505" t="str">
            <v xml:space="preserve">SYAMSUL                                 </v>
          </cell>
          <cell r="C4505" t="str">
            <v>SKIPK64</v>
          </cell>
          <cell r="D4505">
            <v>532101024104506</v>
          </cell>
          <cell r="F4505" t="str">
            <v>Tidak</v>
          </cell>
          <cell r="G4505" t="str">
            <v>Tidak</v>
          </cell>
          <cell r="H4505" t="str">
            <v>Tidak</v>
          </cell>
          <cell r="I4505" t="str">
            <v>Bandar Judol Withdrawal</v>
          </cell>
          <cell r="J4505">
            <v>35</v>
          </cell>
          <cell r="K4505" t="str">
            <v>86,88,87</v>
          </cell>
          <cell r="L4505" t="str">
            <v>Judi Online</v>
          </cell>
          <cell r="M4505" t="str">
            <v xml:space="preserve">Kas Kanpus                              </v>
          </cell>
          <cell r="N4505" t="str">
            <v xml:space="preserve">Kas Kanpus                              </v>
          </cell>
          <cell r="O4505" t="str">
            <v xml:space="preserve">KAS KANPUS                              </v>
          </cell>
          <cell r="P4505" t="str">
            <v>Ya</v>
          </cell>
          <cell r="Q4505" t="str">
            <v>Ya</v>
          </cell>
          <cell r="R4505" t="str">
            <v>Done</v>
          </cell>
          <cell r="S4505" t="str">
            <v>Approved</v>
          </cell>
          <cell r="T4505" t="str">
            <v>00336949 - Mochammad Al Farabi</v>
          </cell>
          <cell r="U4505" t="str">
            <v>"-"</v>
          </cell>
        </row>
        <row r="4506">
          <cell r="A4506">
            <v>46265</v>
          </cell>
          <cell r="B4506" t="str">
            <v xml:space="preserve">SUNARNO                                 </v>
          </cell>
          <cell r="C4506" t="str">
            <v>SLAG458</v>
          </cell>
          <cell r="D4506">
            <v>685401012881534</v>
          </cell>
          <cell r="E4506" t="str">
            <v>SEDANG</v>
          </cell>
          <cell r="F4506" t="str">
            <v>Tidak</v>
          </cell>
          <cell r="G4506" t="str">
            <v>Tidak</v>
          </cell>
          <cell r="H4506" t="str">
            <v>Tidak</v>
          </cell>
          <cell r="I4506" t="str">
            <v>Bandar Judol Depo</v>
          </cell>
          <cell r="J4506">
            <v>50</v>
          </cell>
          <cell r="K4506" t="str">
            <v>86,74,87</v>
          </cell>
          <cell r="L4506" t="str">
            <v>Judi Online</v>
          </cell>
          <cell r="M4506" t="str">
            <v xml:space="preserve">Kas Kanpus                              </v>
          </cell>
          <cell r="N4506" t="str">
            <v xml:space="preserve">Kas Kanpus                              </v>
          </cell>
          <cell r="O4506" t="str">
            <v xml:space="preserve">KAS KANPUS                              </v>
          </cell>
          <cell r="P4506" t="str">
            <v>Tidak</v>
          </cell>
          <cell r="Q4506" t="str">
            <v>Ya</v>
          </cell>
          <cell r="R4506" t="str">
            <v>Done</v>
          </cell>
          <cell r="S4506" t="str">
            <v>Approved</v>
          </cell>
          <cell r="T4506" t="str">
            <v>00394520 - Frida Akbar Rani</v>
          </cell>
          <cell r="U4506" t="str">
            <v>"-"</v>
          </cell>
        </row>
        <row r="4507">
          <cell r="A4507">
            <v>46265</v>
          </cell>
          <cell r="B4507" t="str">
            <v xml:space="preserve">PT SIDOGIRI MITRA UTAMA                 </v>
          </cell>
          <cell r="C4507" t="str">
            <v>PEC7409</v>
          </cell>
          <cell r="D4507">
            <v>6501001583306</v>
          </cell>
          <cell r="E4507" t="str">
            <v>TINGGI</v>
          </cell>
          <cell r="F4507" t="str">
            <v>Tidak</v>
          </cell>
          <cell r="G4507" t="str">
            <v>Tidak</v>
          </cell>
          <cell r="H4507" t="str">
            <v>Tidak</v>
          </cell>
          <cell r="I4507" t="str">
            <v>Perpajakan</v>
          </cell>
          <cell r="J4507">
            <v>65</v>
          </cell>
          <cell r="K4507">
            <v>1.33</v>
          </cell>
          <cell r="L4507" t="str">
            <v>Perpajakan</v>
          </cell>
          <cell r="M4507" t="str">
            <v xml:space="preserve">KC Pasuruan                             </v>
          </cell>
          <cell r="N4507" t="str">
            <v xml:space="preserve">KC Pasuruan                             </v>
          </cell>
          <cell r="O4507" t="str">
            <v xml:space="preserve">KANWIL MALANG                           </v>
          </cell>
          <cell r="P4507" t="str">
            <v>Tidak</v>
          </cell>
          <cell r="Q4507" t="str">
            <v>Tidak</v>
          </cell>
          <cell r="R4507" t="str">
            <v>Done</v>
          </cell>
          <cell r="S4507" t="str">
            <v>Approved</v>
          </cell>
          <cell r="T4507" t="str">
            <v>90185538 - Muhammad Fahikal Auz</v>
          </cell>
          <cell r="U4507" t="str">
            <v>"-"</v>
          </cell>
        </row>
        <row r="4508">
          <cell r="A4508">
            <v>46265</v>
          </cell>
          <cell r="B4508" t="str">
            <v xml:space="preserve">PT LOMBOK GANDARIA                      </v>
          </cell>
          <cell r="C4508" t="str">
            <v>PDV4789</v>
          </cell>
          <cell r="D4508">
            <v>33401001688301</v>
          </cell>
          <cell r="E4508" t="str">
            <v>SEDANG</v>
          </cell>
          <cell r="F4508" t="str">
            <v>Tidak</v>
          </cell>
          <cell r="G4508" t="str">
            <v>Tidak</v>
          </cell>
          <cell r="H4508" t="str">
            <v>Tidak</v>
          </cell>
          <cell r="I4508" t="str">
            <v>Perpajakan</v>
          </cell>
          <cell r="J4508">
            <v>48</v>
          </cell>
          <cell r="K4508">
            <v>41</v>
          </cell>
          <cell r="L4508" t="str">
            <v>Perpajakan</v>
          </cell>
          <cell r="M4508" t="str">
            <v xml:space="preserve">KC Solo Slamet Riyadi                   </v>
          </cell>
          <cell r="N4508" t="str">
            <v xml:space="preserve">KC Solo Slamet Riyadi                   </v>
          </cell>
          <cell r="O4508" t="str">
            <v xml:space="preserve">Yogyakarta                              </v>
          </cell>
          <cell r="P4508" t="str">
            <v>Tidak</v>
          </cell>
          <cell r="Q4508" t="str">
            <v>Tidak</v>
          </cell>
          <cell r="R4508" t="str">
            <v>Done</v>
          </cell>
          <cell r="S4508" t="str">
            <v>Approved</v>
          </cell>
          <cell r="T4508" t="str">
            <v>90170665 - Mutiara Ayuningtyas</v>
          </cell>
          <cell r="U4508" t="str">
            <v>"-"</v>
          </cell>
        </row>
        <row r="4509">
          <cell r="A4509">
            <v>46265</v>
          </cell>
          <cell r="B4509" t="str">
            <v xml:space="preserve">PANJI PANGESTU                          </v>
          </cell>
          <cell r="C4509" t="str">
            <v>PDW2369</v>
          </cell>
          <cell r="D4509">
            <v>60001000745565</v>
          </cell>
          <cell r="E4509" t="str">
            <v>SEDANG</v>
          </cell>
          <cell r="F4509" t="str">
            <v>Tidak</v>
          </cell>
          <cell r="G4509" t="str">
            <v>Tidak</v>
          </cell>
          <cell r="H4509" t="str">
            <v>Tidak</v>
          </cell>
          <cell r="I4509" t="str">
            <v>Bandar Judol Depo</v>
          </cell>
          <cell r="J4509">
            <v>50</v>
          </cell>
          <cell r="K4509" t="str">
            <v>86,74,87</v>
          </cell>
          <cell r="L4509" t="str">
            <v>Judi Online</v>
          </cell>
          <cell r="M4509" t="str">
            <v xml:space="preserve">Kas Kanpus                              </v>
          </cell>
          <cell r="N4509" t="str">
            <v xml:space="preserve">Kas Kanpus                              </v>
          </cell>
          <cell r="O4509" t="str">
            <v xml:space="preserve">KAS KANPUS                              </v>
          </cell>
          <cell r="P4509" t="str">
            <v>Ya</v>
          </cell>
          <cell r="Q4509" t="str">
            <v>Tidak</v>
          </cell>
          <cell r="R4509" t="str">
            <v>Done</v>
          </cell>
          <cell r="S4509" t="str">
            <v>Approved</v>
          </cell>
          <cell r="T4509" t="str">
            <v>00336949 - Mochammad Al Farabi</v>
          </cell>
          <cell r="U4509" t="str">
            <v>"-"</v>
          </cell>
        </row>
        <row r="4510">
          <cell r="A4510">
            <v>46265</v>
          </cell>
          <cell r="B4510" t="str">
            <v xml:space="preserve">PT PRIMA MAJU TRI KENCANA               </v>
          </cell>
          <cell r="C4510" t="str">
            <v>PDW9052</v>
          </cell>
          <cell r="D4510">
            <v>61901000331307</v>
          </cell>
          <cell r="E4510" t="str">
            <v>SEDANG</v>
          </cell>
          <cell r="F4510" t="str">
            <v>Tidak</v>
          </cell>
          <cell r="G4510" t="str">
            <v>Tidak</v>
          </cell>
          <cell r="H4510" t="str">
            <v>Tidak</v>
          </cell>
          <cell r="I4510" t="str">
            <v>Perpajakan</v>
          </cell>
          <cell r="J4510">
            <v>50</v>
          </cell>
          <cell r="K4510">
            <v>1.33</v>
          </cell>
          <cell r="L4510" t="str">
            <v>Perpajakan</v>
          </cell>
          <cell r="M4510" t="str">
            <v xml:space="preserve">KC Bagan Batu                           </v>
          </cell>
          <cell r="N4510" t="str">
            <v xml:space="preserve">KC Bagan Batu                           </v>
          </cell>
          <cell r="O4510" t="str">
            <v xml:space="preserve">KANWIL PEKANBARU                        </v>
          </cell>
          <cell r="P4510" t="str">
            <v>Tidak</v>
          </cell>
          <cell r="Q4510" t="str">
            <v>Tidak</v>
          </cell>
          <cell r="R4510" t="str">
            <v>Done</v>
          </cell>
          <cell r="S4510" t="str">
            <v>Approved</v>
          </cell>
          <cell r="T4510" t="str">
            <v>90150130 - Intan Aida Pratiwi</v>
          </cell>
          <cell r="U4510" t="str">
            <v>"-"</v>
          </cell>
        </row>
        <row r="4511">
          <cell r="A4511">
            <v>46265</v>
          </cell>
          <cell r="B4511" t="str">
            <v xml:space="preserve">PT RODA MULIA ABADI                     </v>
          </cell>
          <cell r="C4511" t="str">
            <v>PFK7831</v>
          </cell>
          <cell r="D4511">
            <v>5101003235308</v>
          </cell>
          <cell r="E4511" t="str">
            <v>SEDANG</v>
          </cell>
          <cell r="F4511" t="str">
            <v>Tidak</v>
          </cell>
          <cell r="G4511" t="str">
            <v>Tidak</v>
          </cell>
          <cell r="H4511" t="str">
            <v>Tidak</v>
          </cell>
          <cell r="I4511" t="str">
            <v>Perpajakan</v>
          </cell>
          <cell r="J4511">
            <v>48</v>
          </cell>
          <cell r="K4511">
            <v>41</v>
          </cell>
          <cell r="L4511" t="str">
            <v>Perpajakan</v>
          </cell>
          <cell r="M4511" t="str">
            <v xml:space="preserve">KC Malang Kawi                          </v>
          </cell>
          <cell r="N4511" t="str">
            <v xml:space="preserve">KC Malang Kawi                          </v>
          </cell>
          <cell r="O4511" t="str">
            <v xml:space="preserve">KANWIL MALANG                           </v>
          </cell>
          <cell r="P4511" t="str">
            <v>Tidak</v>
          </cell>
          <cell r="Q4511" t="str">
            <v>Tidak</v>
          </cell>
          <cell r="R4511" t="str">
            <v>Done</v>
          </cell>
          <cell r="S4511" t="str">
            <v>Approved</v>
          </cell>
          <cell r="T4511" t="str">
            <v>90185537 - Moh.Khoerul Fajar Ar</v>
          </cell>
          <cell r="U4511" t="str">
            <v>"-"</v>
          </cell>
        </row>
        <row r="4512">
          <cell r="A4512">
            <v>46265</v>
          </cell>
          <cell r="B4512" t="str">
            <v xml:space="preserve">PARYADI                                 </v>
          </cell>
          <cell r="C4512" t="str">
            <v>PFT0943</v>
          </cell>
          <cell r="D4512">
            <v>384101041430532</v>
          </cell>
          <cell r="E4512" t="str">
            <v>SEDANG</v>
          </cell>
          <cell r="F4512" t="str">
            <v>Tidak</v>
          </cell>
          <cell r="G4512" t="str">
            <v>Tidak</v>
          </cell>
          <cell r="H4512" t="str">
            <v>Tidak</v>
          </cell>
          <cell r="I4512" t="str">
            <v>Bandar Judol Depo</v>
          </cell>
          <cell r="J4512">
            <v>50</v>
          </cell>
          <cell r="K4512" t="str">
            <v>86,74,87</v>
          </cell>
          <cell r="L4512" t="str">
            <v>Judi Online</v>
          </cell>
          <cell r="M4512" t="str">
            <v xml:space="preserve">Kas Kanpus                              </v>
          </cell>
          <cell r="N4512" t="str">
            <v xml:space="preserve">Kas Kanpus                              </v>
          </cell>
          <cell r="O4512" t="str">
            <v xml:space="preserve">KAS KANPUS                              </v>
          </cell>
          <cell r="P4512" t="str">
            <v>Tidak</v>
          </cell>
          <cell r="Q4512" t="str">
            <v>Ya</v>
          </cell>
          <cell r="R4512" t="str">
            <v>Done</v>
          </cell>
          <cell r="S4512" t="str">
            <v>Approved</v>
          </cell>
          <cell r="T4512" t="str">
            <v>00394520 - Frida Akbar Rani</v>
          </cell>
          <cell r="U4512" t="str">
            <v>"-"</v>
          </cell>
        </row>
        <row r="4513">
          <cell r="A4513">
            <v>46265</v>
          </cell>
          <cell r="B4513" t="str">
            <v xml:space="preserve">PT INDOMARCO ADI PRIMA                  </v>
          </cell>
          <cell r="C4513" t="str">
            <v>PFX2861</v>
          </cell>
          <cell r="D4513">
            <v>1701000338303</v>
          </cell>
          <cell r="E4513" t="str">
            <v>SEDANG</v>
          </cell>
          <cell r="F4513" t="str">
            <v>Tidak</v>
          </cell>
          <cell r="G4513" t="str">
            <v>Tidak</v>
          </cell>
          <cell r="H4513" t="str">
            <v>Tidak</v>
          </cell>
          <cell r="I4513" t="str">
            <v>Narkotika - Area Lapas</v>
          </cell>
          <cell r="J4513">
            <v>50</v>
          </cell>
          <cell r="K4513">
            <v>46</v>
          </cell>
          <cell r="L4513" t="str">
            <v>Narkotika</v>
          </cell>
          <cell r="M4513" t="str">
            <v>KC Denpasar Gajah Mada</v>
          </cell>
          <cell r="N4513" t="str">
            <v>KC Denpasar Gajah Mada</v>
          </cell>
          <cell r="O4513" t="str">
            <v>Denpasar</v>
          </cell>
          <cell r="P4513" t="str">
            <v>Tidak</v>
          </cell>
          <cell r="Q4513" t="str">
            <v>Tidak</v>
          </cell>
          <cell r="R4513" t="str">
            <v>Done</v>
          </cell>
          <cell r="S4513" t="str">
            <v>Approved</v>
          </cell>
          <cell r="T4513" t="str">
            <v>90170665 - Mutiara Ayuningtyas</v>
          </cell>
          <cell r="U4513" t="str">
            <v>"-"</v>
          </cell>
        </row>
        <row r="4514">
          <cell r="A4514">
            <v>46265</v>
          </cell>
          <cell r="B4514" t="str">
            <v xml:space="preserve">PENJAMINAN INFRASTRUKTUR INDONESIA      </v>
          </cell>
          <cell r="C4514" t="str">
            <v>PG23434</v>
          </cell>
          <cell r="D4514">
            <v>20601003875303</v>
          </cell>
          <cell r="E4514" t="str">
            <v>SEDANG</v>
          </cell>
          <cell r="F4514" t="str">
            <v>Tidak</v>
          </cell>
          <cell r="G4514" t="str">
            <v>Tidak</v>
          </cell>
          <cell r="H4514" t="str">
            <v>Tidak</v>
          </cell>
          <cell r="I4514" t="str">
            <v>High Transaction Custodian</v>
          </cell>
          <cell r="J4514">
            <v>46</v>
          </cell>
          <cell r="K4514">
            <v>32</v>
          </cell>
          <cell r="L4514" t="str">
            <v>Kustodian</v>
          </cell>
          <cell r="M4514" t="str">
            <v>Kas Kanpus</v>
          </cell>
          <cell r="N4514" t="str">
            <v>Kas Kanpus</v>
          </cell>
          <cell r="O4514" t="str">
            <v>KAS KANPUS</v>
          </cell>
          <cell r="P4514" t="str">
            <v>Tidak</v>
          </cell>
          <cell r="Q4514" t="str">
            <v>Tidak</v>
          </cell>
          <cell r="R4514" t="str">
            <v>Done</v>
          </cell>
          <cell r="S4514" t="str">
            <v>Approved</v>
          </cell>
          <cell r="T4514" t="str">
            <v>90171841 - Rifqi Aziz</v>
          </cell>
          <cell r="U4514" t="str">
            <v>"-"</v>
          </cell>
        </row>
        <row r="4515">
          <cell r="A4515">
            <v>46265</v>
          </cell>
          <cell r="B4515" t="str">
            <v xml:space="preserve">PT ANDERSON UNEDO                       </v>
          </cell>
          <cell r="C4515" t="str">
            <v>PEK8876</v>
          </cell>
          <cell r="D4515">
            <v>107901000934306</v>
          </cell>
          <cell r="E4515" t="str">
            <v>TINGGI</v>
          </cell>
          <cell r="F4515" t="str">
            <v>Tidak</v>
          </cell>
          <cell r="G4515" t="str">
            <v>Tidak</v>
          </cell>
          <cell r="H4515" t="str">
            <v>Tidak</v>
          </cell>
          <cell r="I4515" t="str">
            <v>Green Financial Crime (GFC)</v>
          </cell>
          <cell r="J4515">
            <v>65</v>
          </cell>
          <cell r="K4515">
            <v>45</v>
          </cell>
          <cell r="L4515" t="str">
            <v>Green Financial Crime</v>
          </cell>
          <cell r="M4515" t="str">
            <v xml:space="preserve">KC Pekanbaru Lancang Kuning             </v>
          </cell>
          <cell r="N4515" t="str">
            <v xml:space="preserve">KC Pekanbaru Lancang Kuning             </v>
          </cell>
          <cell r="O4515" t="str">
            <v xml:space="preserve">KANWIL PEKANBARU                        </v>
          </cell>
          <cell r="P4515" t="str">
            <v>Tidak</v>
          </cell>
          <cell r="Q4515" t="str">
            <v>Tidak</v>
          </cell>
          <cell r="R4515" t="str">
            <v>Done</v>
          </cell>
          <cell r="S4515" t="str">
            <v>Approved</v>
          </cell>
          <cell r="T4515" t="str">
            <v>90186796 - Devito Arya Wiradila</v>
          </cell>
          <cell r="U4515" t="str">
            <v>PEP :AWIYANTO</v>
          </cell>
        </row>
        <row r="4516">
          <cell r="A4516">
            <v>46265</v>
          </cell>
          <cell r="B4516" t="str">
            <v xml:space="preserve">PUTRI RAHMAWATI                         </v>
          </cell>
          <cell r="C4516" t="str">
            <v>PGP3936</v>
          </cell>
          <cell r="D4516">
            <v>34501053331509</v>
          </cell>
          <cell r="E4516" t="str">
            <v>SEDANG</v>
          </cell>
          <cell r="F4516" t="str">
            <v>Tidak</v>
          </cell>
          <cell r="G4516" t="str">
            <v>Tidak</v>
          </cell>
          <cell r="H4516" t="str">
            <v>Tidak</v>
          </cell>
          <cell r="I4516" t="str">
            <v>Bandar Judol Withdrawal</v>
          </cell>
          <cell r="J4516">
            <v>50</v>
          </cell>
          <cell r="K4516" t="str">
            <v>86,88,87</v>
          </cell>
          <cell r="L4516" t="str">
            <v>Judi Online</v>
          </cell>
          <cell r="M4516" t="str">
            <v xml:space="preserve">Kas Kanpus                              </v>
          </cell>
          <cell r="N4516" t="str">
            <v xml:space="preserve">Kas Kanpus                              </v>
          </cell>
          <cell r="O4516" t="str">
            <v xml:space="preserve">KAS KANPUS                              </v>
          </cell>
          <cell r="P4516" t="str">
            <v>Ya</v>
          </cell>
          <cell r="Q4516" t="str">
            <v>Ya</v>
          </cell>
          <cell r="R4516" t="str">
            <v>Done</v>
          </cell>
          <cell r="S4516" t="str">
            <v>Approved</v>
          </cell>
          <cell r="T4516" t="str">
            <v>90150130 - Intan Aida Pratiwi</v>
          </cell>
          <cell r="U4516" t="str">
            <v>"-"</v>
          </cell>
        </row>
        <row r="4517">
          <cell r="A4517">
            <v>46265</v>
          </cell>
          <cell r="B4517" t="str">
            <v xml:space="preserve">PATRINO                                 </v>
          </cell>
          <cell r="C4517" t="str">
            <v>PIU7464</v>
          </cell>
          <cell r="D4517">
            <v>203801010611509</v>
          </cell>
          <cell r="E4517" t="str">
            <v>SEDANG</v>
          </cell>
          <cell r="F4517" t="str">
            <v>Tidak</v>
          </cell>
          <cell r="G4517" t="str">
            <v>Tidak</v>
          </cell>
          <cell r="H4517" t="str">
            <v>Tidak</v>
          </cell>
          <cell r="I4517" t="str">
            <v>Bandar Judol Withdrawal</v>
          </cell>
          <cell r="J4517">
            <v>50</v>
          </cell>
          <cell r="K4517" t="str">
            <v>86,88,87</v>
          </cell>
          <cell r="L4517" t="str">
            <v>Judi Online</v>
          </cell>
          <cell r="M4517" t="str">
            <v xml:space="preserve">Kas Kanpus                              </v>
          </cell>
          <cell r="N4517" t="str">
            <v xml:space="preserve">Kas Kanpus                              </v>
          </cell>
          <cell r="O4517" t="str">
            <v xml:space="preserve">KAS KANPUS                              </v>
          </cell>
          <cell r="P4517" t="str">
            <v>Ya</v>
          </cell>
          <cell r="Q4517" t="str">
            <v>Ya</v>
          </cell>
          <cell r="R4517" t="str">
            <v>Done</v>
          </cell>
          <cell r="S4517" t="str">
            <v>Approved</v>
          </cell>
          <cell r="T4517" t="str">
            <v>00336949 - Mochammad Al Farabi</v>
          </cell>
          <cell r="U4517" t="str">
            <v>"-"</v>
          </cell>
        </row>
        <row r="4518">
          <cell r="A4518">
            <v>46265</v>
          </cell>
          <cell r="B4518" t="str">
            <v xml:space="preserve">PT ELSHADDAI BAHAGIA SEJAHTERA          </v>
          </cell>
          <cell r="C4518" t="str">
            <v>PIU8927</v>
          </cell>
          <cell r="D4518">
            <v>7701002144300</v>
          </cell>
          <cell r="E4518" t="str">
            <v>TINGGI</v>
          </cell>
          <cell r="F4518" t="str">
            <v>Tidak</v>
          </cell>
          <cell r="G4518" t="str">
            <v>Tidak</v>
          </cell>
          <cell r="H4518" t="str">
            <v>Tidak</v>
          </cell>
          <cell r="I4518" t="str">
            <v>Perpajakan</v>
          </cell>
          <cell r="J4518">
            <v>63</v>
          </cell>
          <cell r="K4518">
            <v>41</v>
          </cell>
          <cell r="L4518" t="str">
            <v>Perpajakan</v>
          </cell>
          <cell r="M4518" t="str">
            <v xml:space="preserve">KC Purwokerto                           </v>
          </cell>
          <cell r="N4518" t="str">
            <v xml:space="preserve">KC Purwokerto                           </v>
          </cell>
          <cell r="O4518" t="str">
            <v xml:space="preserve">Yogyakarta                              </v>
          </cell>
          <cell r="P4518" t="str">
            <v>Tidak</v>
          </cell>
          <cell r="Q4518" t="str">
            <v>Tidak</v>
          </cell>
          <cell r="R4518" t="str">
            <v>Done</v>
          </cell>
          <cell r="S4518" t="str">
            <v>Approved</v>
          </cell>
          <cell r="T4518" t="str">
            <v>90171841 - Rifqi Aziz</v>
          </cell>
          <cell r="U4518" t="str">
            <v>"-"</v>
          </cell>
        </row>
        <row r="4519">
          <cell r="A4519">
            <v>46265</v>
          </cell>
          <cell r="B4519" t="str">
            <v xml:space="preserve">FRANSISKA  MALAU,A.MD                   </v>
          </cell>
          <cell r="C4519" t="str">
            <v>PJ59238</v>
          </cell>
          <cell r="D4519">
            <v>5301014635531</v>
          </cell>
          <cell r="E4519" t="str">
            <v>SEDANG</v>
          </cell>
          <cell r="F4519" t="str">
            <v>Tidak</v>
          </cell>
          <cell r="G4519" t="str">
            <v>Tidak</v>
          </cell>
          <cell r="H4519" t="str">
            <v>Tidak</v>
          </cell>
          <cell r="I4519" t="str">
            <v>Bandar Judol Depo</v>
          </cell>
          <cell r="J4519">
            <v>50</v>
          </cell>
          <cell r="K4519" t="str">
            <v>86,74,87</v>
          </cell>
          <cell r="L4519" t="str">
            <v>Judi Online</v>
          </cell>
          <cell r="M4519" t="str">
            <v xml:space="preserve">Kas Kanpus                              </v>
          </cell>
          <cell r="N4519" t="str">
            <v xml:space="preserve">Kas Kanpus                              </v>
          </cell>
          <cell r="O4519" t="str">
            <v xml:space="preserve">KAS KANPUS                              </v>
          </cell>
          <cell r="P4519" t="str">
            <v>Ya</v>
          </cell>
          <cell r="Q4519" t="str">
            <v>Ya</v>
          </cell>
          <cell r="R4519" t="str">
            <v>Done</v>
          </cell>
          <cell r="S4519" t="str">
            <v>Approved</v>
          </cell>
          <cell r="T4519" t="str">
            <v>90185538 - Muhammad Fahikal Auz</v>
          </cell>
          <cell r="U4519" t="str">
            <v>"-"</v>
          </cell>
        </row>
        <row r="4520">
          <cell r="A4520">
            <v>46265</v>
          </cell>
          <cell r="B4520" t="str">
            <v xml:space="preserve">PAMI                                    </v>
          </cell>
          <cell r="C4520" t="str">
            <v>PJP4263</v>
          </cell>
          <cell r="D4520">
            <v>5301148401503</v>
          </cell>
          <cell r="E4520" t="str">
            <v>SEDANG</v>
          </cell>
          <cell r="F4520" t="str">
            <v>Tidak</v>
          </cell>
          <cell r="G4520" t="str">
            <v>Tidak</v>
          </cell>
          <cell r="H4520" t="str">
            <v>Tidak</v>
          </cell>
          <cell r="I4520" t="str">
            <v>Bandar Judol Withdrawal</v>
          </cell>
          <cell r="J4520">
            <v>50</v>
          </cell>
          <cell r="K4520" t="str">
            <v>86,88,87</v>
          </cell>
          <cell r="L4520" t="str">
            <v>Judi Online</v>
          </cell>
          <cell r="M4520" t="str">
            <v xml:space="preserve">Kas Kanpus                              </v>
          </cell>
          <cell r="N4520" t="str">
            <v xml:space="preserve">Kas Kanpus                              </v>
          </cell>
          <cell r="O4520" t="str">
            <v xml:space="preserve">KAS KANPUS                              </v>
          </cell>
          <cell r="P4520" t="str">
            <v>Ya</v>
          </cell>
          <cell r="Q4520" t="str">
            <v>Ya</v>
          </cell>
          <cell r="R4520" t="str">
            <v>Done</v>
          </cell>
          <cell r="S4520" t="str">
            <v>Approved</v>
          </cell>
          <cell r="T4520" t="str">
            <v>90185538 - Muhammad Fahikal Auz</v>
          </cell>
          <cell r="U4520" t="str">
            <v>"-"</v>
          </cell>
        </row>
        <row r="4521">
          <cell r="A4521">
            <v>46265</v>
          </cell>
          <cell r="B4521" t="str">
            <v xml:space="preserve">PANJI ANGGONO                           </v>
          </cell>
          <cell r="C4521" t="str">
            <v>PJG3238</v>
          </cell>
          <cell r="D4521">
            <v>6001002170562</v>
          </cell>
          <cell r="E4521" t="str">
            <v>SEDANG</v>
          </cell>
          <cell r="F4521" t="str">
            <v>Tidak</v>
          </cell>
          <cell r="G4521" t="str">
            <v>Tidak</v>
          </cell>
          <cell r="H4521" t="str">
            <v>Tidak</v>
          </cell>
          <cell r="I4521" t="str">
            <v>Bandar Judol Depo</v>
          </cell>
          <cell r="J4521">
            <v>50</v>
          </cell>
          <cell r="K4521" t="str">
            <v>86,74,87</v>
          </cell>
          <cell r="L4521" t="str">
            <v>Judi Online</v>
          </cell>
          <cell r="M4521" t="str">
            <v xml:space="preserve">Kas Kanpus                              </v>
          </cell>
          <cell r="N4521" t="str">
            <v xml:space="preserve">Kas Kanpus                              </v>
          </cell>
          <cell r="O4521" t="str">
            <v xml:space="preserve">KAS KANPUS                              </v>
          </cell>
          <cell r="P4521" t="str">
            <v>Tidak</v>
          </cell>
          <cell r="Q4521" t="str">
            <v>Ya</v>
          </cell>
          <cell r="R4521" t="str">
            <v>Done</v>
          </cell>
          <cell r="S4521" t="str">
            <v>Approved</v>
          </cell>
          <cell r="T4521" t="str">
            <v>90150130 - Intan Aida Pratiwi</v>
          </cell>
          <cell r="U4521" t="str">
            <v>"-"</v>
          </cell>
        </row>
        <row r="4522">
          <cell r="A4522">
            <v>46265</v>
          </cell>
          <cell r="B4522" t="str">
            <v xml:space="preserve">PT MITRA GADING MAS                     </v>
          </cell>
          <cell r="C4522" t="str">
            <v>PMY9403</v>
          </cell>
          <cell r="D4522">
            <v>61601001430306</v>
          </cell>
          <cell r="F4522" t="str">
            <v>Tidak</v>
          </cell>
          <cell r="G4522" t="str">
            <v>Tidak</v>
          </cell>
          <cell r="H4522" t="str">
            <v>Tidak</v>
          </cell>
          <cell r="I4522" t="str">
            <v>Green Financial Crime (GFC)</v>
          </cell>
          <cell r="J4522">
            <v>34</v>
          </cell>
          <cell r="K4522">
            <v>45</v>
          </cell>
          <cell r="L4522" t="str">
            <v>Green Financial Crime</v>
          </cell>
          <cell r="M4522" t="str">
            <v xml:space="preserve">KC Dharmasraya                          </v>
          </cell>
          <cell r="N4522" t="str">
            <v xml:space="preserve">KC Dharmasraya                          </v>
          </cell>
          <cell r="O4522" t="str">
            <v xml:space="preserve">Padang                                  </v>
          </cell>
          <cell r="P4522" t="str">
            <v>Tidak</v>
          </cell>
          <cell r="Q4522" t="str">
            <v>Ya</v>
          </cell>
          <cell r="R4522" t="str">
            <v>Done</v>
          </cell>
          <cell r="S4522" t="str">
            <v>Approved</v>
          </cell>
          <cell r="T4522" t="str">
            <v>00336949 - Mochammad Al Farabi</v>
          </cell>
          <cell r="U4522" t="str">
            <v>PEP :-</v>
          </cell>
        </row>
        <row r="4523">
          <cell r="A4523">
            <v>46265</v>
          </cell>
          <cell r="B4523" t="str">
            <v xml:space="preserve">PERKASA SEJATI INDONESIA                </v>
          </cell>
          <cell r="C4523" t="str">
            <v>PMZ3768</v>
          </cell>
          <cell r="D4523">
            <v>21101003261303</v>
          </cell>
          <cell r="F4523" t="str">
            <v>Tidak</v>
          </cell>
          <cell r="G4523" t="str">
            <v>Tidak</v>
          </cell>
          <cell r="H4523" t="str">
            <v>Tidak</v>
          </cell>
          <cell r="I4523" t="str">
            <v>Perpajakan</v>
          </cell>
          <cell r="J4523">
            <v>33</v>
          </cell>
          <cell r="K4523">
            <v>1.33</v>
          </cell>
          <cell r="L4523" t="str">
            <v>Perpajakan</v>
          </cell>
          <cell r="M4523" t="str">
            <v xml:space="preserve">KC Surabaya Pahlawan                    </v>
          </cell>
          <cell r="N4523" t="str">
            <v xml:space="preserve">KC Surabaya Pahlawan                    </v>
          </cell>
          <cell r="O4523" t="str">
            <v xml:space="preserve">Surabaya                                </v>
          </cell>
          <cell r="P4523" t="str">
            <v>Tidak</v>
          </cell>
          <cell r="Q4523" t="str">
            <v>Ya</v>
          </cell>
          <cell r="R4523" t="str">
            <v>Done</v>
          </cell>
          <cell r="S4523" t="str">
            <v>Approved</v>
          </cell>
          <cell r="T4523" t="str">
            <v>00394520 - Frida Akbar Rani</v>
          </cell>
          <cell r="U4523" t="str">
            <v>"-"</v>
          </cell>
        </row>
        <row r="4524">
          <cell r="A4524">
            <v>46265</v>
          </cell>
          <cell r="B4524" t="str">
            <v xml:space="preserve">PUTRA MARIANUS TARIGAN                  </v>
          </cell>
          <cell r="C4524" t="str">
            <v>PN04131</v>
          </cell>
          <cell r="D4524">
            <v>15401042614501</v>
          </cell>
          <cell r="E4524" t="str">
            <v>SEDANG</v>
          </cell>
          <cell r="F4524" t="str">
            <v>Tidak</v>
          </cell>
          <cell r="G4524" t="str">
            <v>Tidak</v>
          </cell>
          <cell r="H4524" t="str">
            <v>Tidak</v>
          </cell>
          <cell r="I4524" t="str">
            <v>Narkotika - Area Lapas</v>
          </cell>
          <cell r="J4524">
            <v>51</v>
          </cell>
          <cell r="K4524">
            <v>48</v>
          </cell>
          <cell r="L4524" t="str">
            <v>Narkotika</v>
          </cell>
          <cell r="M4524" t="str">
            <v>KC Tanjung Balai</v>
          </cell>
          <cell r="N4524" t="str">
            <v>KC Tanjung Balai</v>
          </cell>
          <cell r="O4524" t="str">
            <v>Medan</v>
          </cell>
          <cell r="P4524" t="str">
            <v>Tidak</v>
          </cell>
          <cell r="Q4524" t="str">
            <v>Ya</v>
          </cell>
          <cell r="R4524" t="str">
            <v>Done</v>
          </cell>
          <cell r="S4524" t="str">
            <v>Approved</v>
          </cell>
          <cell r="T4524" t="str">
            <v>90185537 - Moh.Khoerul Fajar Ar</v>
          </cell>
          <cell r="U4524" t="str">
            <v>"-"</v>
          </cell>
        </row>
        <row r="4525">
          <cell r="A4525">
            <v>46265</v>
          </cell>
          <cell r="B4525" t="str">
            <v xml:space="preserve">PT GLOBAL TEKNOLOGI CATV INDONESIA      </v>
          </cell>
          <cell r="C4525" t="str">
            <v>PMS3178</v>
          </cell>
          <cell r="D4525">
            <v>67701000526562</v>
          </cell>
          <cell r="E4525" t="str">
            <v>TINGGI</v>
          </cell>
          <cell r="F4525" t="str">
            <v>Tidak</v>
          </cell>
          <cell r="G4525" t="str">
            <v>Tidak</v>
          </cell>
          <cell r="H4525" t="str">
            <v>Tidak</v>
          </cell>
          <cell r="I4525" t="str">
            <v>Perpajakan</v>
          </cell>
          <cell r="J4525">
            <v>63</v>
          </cell>
          <cell r="K4525">
            <v>41</v>
          </cell>
          <cell r="L4525" t="str">
            <v>Perpajakan</v>
          </cell>
          <cell r="M4525" t="str">
            <v xml:space="preserve">KCP PIERE TENDEAN                       </v>
          </cell>
          <cell r="N4525" t="str">
            <v xml:space="preserve">KC Semarang Pandanaran                  </v>
          </cell>
          <cell r="O4525" t="str">
            <v xml:space="preserve">Semarang                                </v>
          </cell>
          <cell r="P4525" t="str">
            <v>Tidak</v>
          </cell>
          <cell r="Q4525" t="str">
            <v>Tidak</v>
          </cell>
          <cell r="R4525" t="str">
            <v>Done</v>
          </cell>
          <cell r="S4525" t="str">
            <v>Approved</v>
          </cell>
          <cell r="T4525" t="str">
            <v>00394520 - Frida Akbar Rani</v>
          </cell>
          <cell r="U4525" t="str">
            <v>"-"</v>
          </cell>
        </row>
        <row r="4526">
          <cell r="A4526">
            <v>46265</v>
          </cell>
          <cell r="B4526" t="str">
            <v xml:space="preserve">PUTRI CANDRA DEWI                       </v>
          </cell>
          <cell r="C4526" t="str">
            <v>PMA0939</v>
          </cell>
          <cell r="D4526">
            <v>721101022935506</v>
          </cell>
          <cell r="E4526" t="str">
            <v>SEDANG</v>
          </cell>
          <cell r="F4526" t="str">
            <v>Tidak</v>
          </cell>
          <cell r="G4526" t="str">
            <v>Tidak</v>
          </cell>
          <cell r="H4526" t="str">
            <v>Tidak</v>
          </cell>
          <cell r="I4526" t="str">
            <v>Bandar Judol Withdrawal</v>
          </cell>
          <cell r="J4526">
            <v>50</v>
          </cell>
          <cell r="K4526" t="str">
            <v>86,88,87</v>
          </cell>
          <cell r="L4526" t="str">
            <v>Judi Online</v>
          </cell>
          <cell r="M4526" t="str">
            <v xml:space="preserve">Kas Kanpus                              </v>
          </cell>
          <cell r="N4526" t="str">
            <v xml:space="preserve">Kas Kanpus                              </v>
          </cell>
          <cell r="O4526" t="str">
            <v xml:space="preserve">KAS KANPUS                              </v>
          </cell>
          <cell r="P4526" t="str">
            <v>Ya</v>
          </cell>
          <cell r="Q4526" t="str">
            <v>Ya</v>
          </cell>
          <cell r="R4526" t="str">
            <v>Done</v>
          </cell>
          <cell r="S4526" t="str">
            <v>Approved</v>
          </cell>
          <cell r="T4526" t="str">
            <v>00394521 - Muhammad Hibbanduta</v>
          </cell>
          <cell r="U4526" t="str">
            <v>"-"</v>
          </cell>
        </row>
        <row r="4527">
          <cell r="A4527">
            <v>46265</v>
          </cell>
          <cell r="B4527" t="str">
            <v xml:space="preserve">PELITA AGRO LESTARI                     </v>
          </cell>
          <cell r="C4527" t="str">
            <v>PKY5217</v>
          </cell>
          <cell r="D4527">
            <v>2001006560301</v>
          </cell>
          <cell r="E4527" t="str">
            <v>SEDANG</v>
          </cell>
          <cell r="F4527" t="str">
            <v>Tidak</v>
          </cell>
          <cell r="G4527" t="str">
            <v>Tidak</v>
          </cell>
          <cell r="H4527" t="str">
            <v>Tidak</v>
          </cell>
          <cell r="I4527" t="str">
            <v>Perpajakan</v>
          </cell>
          <cell r="J4527">
            <v>50</v>
          </cell>
          <cell r="K4527">
            <v>41</v>
          </cell>
          <cell r="L4527" t="str">
            <v>Perpajakan</v>
          </cell>
          <cell r="M4527" t="str">
            <v xml:space="preserve">KC Jambi                                </v>
          </cell>
          <cell r="N4527" t="str">
            <v xml:space="preserve">KC Jambi                                </v>
          </cell>
          <cell r="O4527" t="str">
            <v xml:space="preserve">Palembang                               </v>
          </cell>
          <cell r="P4527" t="str">
            <v>Tidak</v>
          </cell>
          <cell r="Q4527" t="str">
            <v>Tidak</v>
          </cell>
          <cell r="R4527" t="str">
            <v>Done</v>
          </cell>
          <cell r="S4527" t="str">
            <v>Approved</v>
          </cell>
          <cell r="T4527" t="str">
            <v>00394520 - Frida Akbar Rani</v>
          </cell>
          <cell r="U4527" t="str">
            <v>"-"</v>
          </cell>
        </row>
        <row r="4528">
          <cell r="A4528">
            <v>46265</v>
          </cell>
          <cell r="B4528" t="str">
            <v xml:space="preserve">PT SUNGAI BUDI                          </v>
          </cell>
          <cell r="C4528" t="str">
            <v>PLL6209</v>
          </cell>
          <cell r="D4528">
            <v>28501002787303</v>
          </cell>
          <cell r="E4528" t="str">
            <v>SEDANG</v>
          </cell>
          <cell r="F4528" t="str">
            <v>Tidak</v>
          </cell>
          <cell r="G4528" t="str">
            <v>Tidak</v>
          </cell>
          <cell r="H4528" t="str">
            <v>Tidak</v>
          </cell>
          <cell r="I4528" t="str">
            <v>Perpajakan</v>
          </cell>
          <cell r="J4528">
            <v>48</v>
          </cell>
          <cell r="K4528">
            <v>1.33</v>
          </cell>
          <cell r="L4528" t="str">
            <v>Perpajakan</v>
          </cell>
          <cell r="M4528" t="str">
            <v xml:space="preserve">KC Teluk Betung                         </v>
          </cell>
          <cell r="N4528" t="str">
            <v xml:space="preserve">KC Teluk Betung                         </v>
          </cell>
          <cell r="O4528" t="str">
            <v xml:space="preserve">KANWIL BANDAR LAMPUNG                   </v>
          </cell>
          <cell r="P4528" t="str">
            <v>Ya</v>
          </cell>
          <cell r="Q4528" t="str">
            <v>Tidak</v>
          </cell>
          <cell r="R4528" t="str">
            <v>Done</v>
          </cell>
          <cell r="S4528" t="str">
            <v>Approved</v>
          </cell>
          <cell r="T4528" t="str">
            <v>00336949 - Mochammad Al Farabi</v>
          </cell>
          <cell r="U4528" t="str">
            <v>"-"</v>
          </cell>
        </row>
        <row r="4529">
          <cell r="A4529">
            <v>46265</v>
          </cell>
          <cell r="B4529" t="str">
            <v xml:space="preserve">PEBRIYANTI                              </v>
          </cell>
          <cell r="C4529" t="str">
            <v>PLE1031</v>
          </cell>
          <cell r="D4529">
            <v>1901129138507</v>
          </cell>
          <cell r="E4529" t="str">
            <v>SEDANG</v>
          </cell>
          <cell r="F4529" t="str">
            <v>Tidak</v>
          </cell>
          <cell r="G4529" t="str">
            <v>Tidak</v>
          </cell>
          <cell r="H4529" t="str">
            <v>Tidak</v>
          </cell>
          <cell r="I4529" t="str">
            <v>Bandar Judol Withdrawal</v>
          </cell>
          <cell r="J4529">
            <v>50</v>
          </cell>
          <cell r="K4529" t="str">
            <v>86,88,87</v>
          </cell>
          <cell r="L4529" t="str">
            <v>Judi Online</v>
          </cell>
          <cell r="M4529" t="str">
            <v xml:space="preserve">Kas Kanpus                              </v>
          </cell>
          <cell r="N4529" t="str">
            <v xml:space="preserve">Kas Kanpus                              </v>
          </cell>
          <cell r="O4529" t="str">
            <v xml:space="preserve">KAS KANPUS                              </v>
          </cell>
          <cell r="P4529" t="str">
            <v>Ya</v>
          </cell>
          <cell r="Q4529" t="str">
            <v>Ya</v>
          </cell>
          <cell r="R4529" t="str">
            <v>Done</v>
          </cell>
          <cell r="S4529" t="str">
            <v>Approved</v>
          </cell>
          <cell r="T4529" t="str">
            <v>00394520 - Frida Akbar Rani</v>
          </cell>
          <cell r="U4529" t="str">
            <v>"-"</v>
          </cell>
        </row>
        <row r="4530">
          <cell r="A4530">
            <v>46265</v>
          </cell>
          <cell r="B4530" t="str">
            <v xml:space="preserve">PUTRA RENGAS BERJAYA                    </v>
          </cell>
          <cell r="C4530" t="str">
            <v>PJU0023</v>
          </cell>
          <cell r="D4530">
            <v>31501000647562</v>
          </cell>
          <cell r="E4530" t="str">
            <v>SEDANG</v>
          </cell>
          <cell r="F4530" t="str">
            <v>Tidak</v>
          </cell>
          <cell r="G4530" t="str">
            <v>Tidak</v>
          </cell>
          <cell r="H4530" t="str">
            <v>Tidak</v>
          </cell>
          <cell r="I4530" t="str">
            <v>Green Financial Crime (GFC)</v>
          </cell>
          <cell r="J4530">
            <v>50</v>
          </cell>
          <cell r="K4530">
            <v>45</v>
          </cell>
          <cell r="L4530" t="str">
            <v>Green Financial Crime</v>
          </cell>
          <cell r="M4530" t="str">
            <v xml:space="preserve">KC Muara Bulian                         </v>
          </cell>
          <cell r="N4530" t="str">
            <v xml:space="preserve">KC Muara Bulian                         </v>
          </cell>
          <cell r="O4530" t="str">
            <v xml:space="preserve">Palembang                               </v>
          </cell>
          <cell r="P4530" t="str">
            <v>Tidak</v>
          </cell>
          <cell r="Q4530" t="str">
            <v>Tidak</v>
          </cell>
          <cell r="R4530" t="str">
            <v>Done</v>
          </cell>
          <cell r="S4530" t="str">
            <v>Approved</v>
          </cell>
          <cell r="T4530" t="str">
            <v>00336949 - Mochammad Al Farabi</v>
          </cell>
          <cell r="U4530" t="str">
            <v>PEP :-</v>
          </cell>
        </row>
        <row r="4531">
          <cell r="A4531">
            <v>46265</v>
          </cell>
          <cell r="B4531" t="str">
            <v xml:space="preserve">PRATAMA ABIMANYU                        </v>
          </cell>
          <cell r="C4531" t="str">
            <v>PJY1114</v>
          </cell>
          <cell r="D4531">
            <v>42601001949564</v>
          </cell>
          <cell r="E4531" t="str">
            <v>SEDANG</v>
          </cell>
          <cell r="F4531" t="str">
            <v>Tidak</v>
          </cell>
          <cell r="G4531" t="str">
            <v>Tidak</v>
          </cell>
          <cell r="H4531" t="str">
            <v>Tidak</v>
          </cell>
          <cell r="I4531" t="str">
            <v>Bandar Judol Depo</v>
          </cell>
          <cell r="J4531">
            <v>50</v>
          </cell>
          <cell r="K4531" t="str">
            <v>86,74,87</v>
          </cell>
          <cell r="L4531" t="str">
            <v>Judi Online</v>
          </cell>
          <cell r="M4531" t="str">
            <v xml:space="preserve">Kas Kanpus                              </v>
          </cell>
          <cell r="N4531" t="str">
            <v xml:space="preserve">Kas Kanpus                              </v>
          </cell>
          <cell r="O4531" t="str">
            <v xml:space="preserve">KAS KANPUS                              </v>
          </cell>
          <cell r="P4531" t="str">
            <v>Ya</v>
          </cell>
          <cell r="Q4531" t="str">
            <v>Ya</v>
          </cell>
          <cell r="R4531" t="str">
            <v>Done</v>
          </cell>
          <cell r="S4531" t="str">
            <v>Approved</v>
          </cell>
          <cell r="T4531" t="str">
            <v>00394521 - Muhammad Hibbanduta</v>
          </cell>
          <cell r="U4531" t="str">
            <v>"-"</v>
          </cell>
        </row>
        <row r="4532">
          <cell r="A4532">
            <v>46265</v>
          </cell>
          <cell r="B4532" t="str">
            <v xml:space="preserve">POETRA SAKTI MAKMUR                     </v>
          </cell>
          <cell r="C4532" t="str">
            <v>PKQ9443</v>
          </cell>
          <cell r="D4532">
            <v>34401118899309</v>
          </cell>
          <cell r="E4532" t="str">
            <v>TINGGI</v>
          </cell>
          <cell r="F4532" t="str">
            <v>Tidak</v>
          </cell>
          <cell r="G4532" t="str">
            <v>Tidak</v>
          </cell>
          <cell r="H4532" t="str">
            <v>Tidak</v>
          </cell>
          <cell r="I4532" t="str">
            <v>Perpajakan</v>
          </cell>
          <cell r="J4532">
            <v>64</v>
          </cell>
          <cell r="K4532">
            <v>1.33</v>
          </cell>
          <cell r="L4532" t="str">
            <v>Perpajakan</v>
          </cell>
          <cell r="M4532" t="str">
            <v xml:space="preserve">KC Malang Martadinata                   </v>
          </cell>
          <cell r="N4532" t="str">
            <v xml:space="preserve">KC Malang Martadinata                   </v>
          </cell>
          <cell r="O4532" t="str">
            <v xml:space="preserve">KANWIL MALANG                           </v>
          </cell>
          <cell r="P4532" t="str">
            <v>Tidak</v>
          </cell>
          <cell r="Q4532" t="str">
            <v>Tidak</v>
          </cell>
          <cell r="R4532" t="str">
            <v>Done</v>
          </cell>
          <cell r="S4532" t="str">
            <v>Approved</v>
          </cell>
          <cell r="T4532" t="str">
            <v>90185537 - Moh.Khoerul Fajar Ar</v>
          </cell>
          <cell r="U4532" t="str">
            <v>"-"</v>
          </cell>
        </row>
        <row r="4533">
          <cell r="A4533">
            <v>46265</v>
          </cell>
          <cell r="B4533" t="str">
            <v xml:space="preserve">POS INDONESIA                           </v>
          </cell>
          <cell r="C4533" t="str">
            <v>P020200</v>
          </cell>
          <cell r="D4533">
            <v>501004063307</v>
          </cell>
          <cell r="E4533" t="str">
            <v>SEDANG</v>
          </cell>
          <cell r="F4533" t="str">
            <v>Tidak</v>
          </cell>
          <cell r="G4533" t="str">
            <v>Tidak</v>
          </cell>
          <cell r="H4533" t="str">
            <v>Tidak</v>
          </cell>
          <cell r="I4533" t="str">
            <v>Narkotika - Area Lapas</v>
          </cell>
          <cell r="J4533">
            <v>50</v>
          </cell>
          <cell r="K4533">
            <v>46</v>
          </cell>
          <cell r="L4533" t="str">
            <v>Narkotika</v>
          </cell>
          <cell r="M4533" t="str">
            <v>KC Bandung AA</v>
          </cell>
          <cell r="N4533" t="str">
            <v>KC Bandung AA</v>
          </cell>
          <cell r="O4533" t="str">
            <v>Bandung</v>
          </cell>
          <cell r="P4533" t="str">
            <v>Tidak</v>
          </cell>
          <cell r="Q4533" t="str">
            <v>Tidak</v>
          </cell>
          <cell r="R4533" t="str">
            <v>Done</v>
          </cell>
          <cell r="S4533" t="str">
            <v>Approved</v>
          </cell>
          <cell r="T4533" t="str">
            <v>00394521 - Muhammad Hibbanduta</v>
          </cell>
          <cell r="U4533" t="str">
            <v>"-"</v>
          </cell>
        </row>
        <row r="4534">
          <cell r="A4534">
            <v>46265</v>
          </cell>
          <cell r="B4534" t="str">
            <v xml:space="preserve">PT. PUPUK KUJANG                        </v>
          </cell>
          <cell r="C4534" t="str">
            <v>P030226</v>
          </cell>
          <cell r="D4534">
            <v>30201000055304</v>
          </cell>
          <cell r="E4534" t="str">
            <v>SEDANG</v>
          </cell>
          <cell r="F4534" t="str">
            <v>Tidak</v>
          </cell>
          <cell r="G4534" t="str">
            <v>Tidak</v>
          </cell>
          <cell r="H4534" t="str">
            <v>Tidak</v>
          </cell>
          <cell r="I4534" t="str">
            <v>Green Financial Crime (GFC)</v>
          </cell>
          <cell r="J4534">
            <v>50</v>
          </cell>
          <cell r="K4534">
            <v>45</v>
          </cell>
          <cell r="L4534" t="str">
            <v>Green Financial Crime</v>
          </cell>
          <cell r="M4534" t="str">
            <v xml:space="preserve">KC Cikampek                             </v>
          </cell>
          <cell r="N4534" t="str">
            <v xml:space="preserve">KC Cikampek                             </v>
          </cell>
          <cell r="O4534" t="str">
            <v xml:space="preserve">DKI2                                    </v>
          </cell>
          <cell r="P4534" t="str">
            <v>Tidak</v>
          </cell>
          <cell r="Q4534" t="str">
            <v>Tidak</v>
          </cell>
          <cell r="R4534" t="str">
            <v>Done</v>
          </cell>
          <cell r="S4534" t="str">
            <v>Approved</v>
          </cell>
          <cell r="T4534" t="str">
            <v>90150130 - Intan Aida Pratiwi</v>
          </cell>
          <cell r="U4534" t="str">
            <v>PEP :IDA ROCHANNA</v>
          </cell>
        </row>
        <row r="4535">
          <cell r="A4535">
            <v>46265</v>
          </cell>
          <cell r="B4535" t="str">
            <v xml:space="preserve">PT PEGADAIAN                            </v>
          </cell>
          <cell r="C4535" t="str">
            <v>P003770</v>
          </cell>
          <cell r="D4535">
            <v>33501001948307</v>
          </cell>
          <cell r="E4535" t="str">
            <v>SEDANG</v>
          </cell>
          <cell r="F4535" t="str">
            <v>Tidak</v>
          </cell>
          <cell r="G4535" t="str">
            <v>Tidak</v>
          </cell>
          <cell r="H4535" t="str">
            <v>Tidak</v>
          </cell>
          <cell r="I4535" t="str">
            <v>Narkotika - Area Lapas</v>
          </cell>
          <cell r="J4535">
            <v>50</v>
          </cell>
          <cell r="K4535">
            <v>46</v>
          </cell>
          <cell r="L4535" t="str">
            <v>Narkotika</v>
          </cell>
          <cell r="M4535" t="str">
            <v>KC Jakarta Kramat</v>
          </cell>
          <cell r="N4535" t="str">
            <v>KC Jakarta Kramat</v>
          </cell>
          <cell r="O4535" t="str">
            <v>DKI</v>
          </cell>
          <cell r="P4535" t="str">
            <v>Tidak</v>
          </cell>
          <cell r="Q4535" t="str">
            <v>Tidak</v>
          </cell>
          <cell r="R4535" t="str">
            <v>Done</v>
          </cell>
          <cell r="S4535" t="str">
            <v>Approved</v>
          </cell>
          <cell r="T4535" t="str">
            <v>00394521 - Muhammad Hibbanduta</v>
          </cell>
          <cell r="U4535" t="str">
            <v>"-"</v>
          </cell>
        </row>
        <row r="4536">
          <cell r="A4536">
            <v>46265</v>
          </cell>
          <cell r="B4536" t="str">
            <v xml:space="preserve">BRI ASURANSI INDONESIA                  </v>
          </cell>
          <cell r="C4536" t="str">
            <v>P042557</v>
          </cell>
          <cell r="D4536">
            <v>24501000627301</v>
          </cell>
          <cell r="E4536" t="str">
            <v>SEDANG</v>
          </cell>
          <cell r="F4536" t="str">
            <v>Tidak</v>
          </cell>
          <cell r="G4536" t="str">
            <v>Tidak</v>
          </cell>
          <cell r="H4536" t="str">
            <v>Tidak</v>
          </cell>
          <cell r="I4536" t="str">
            <v>Bandar Judol Depo</v>
          </cell>
          <cell r="J4536">
            <v>50</v>
          </cell>
          <cell r="K4536" t="str">
            <v>86,74,87</v>
          </cell>
          <cell r="L4536" t="str">
            <v>Judi Online</v>
          </cell>
          <cell r="M4536" t="str">
            <v xml:space="preserve">Kas Kanpus                              </v>
          </cell>
          <cell r="N4536" t="str">
            <v xml:space="preserve">Kas Kanpus                              </v>
          </cell>
          <cell r="O4536" t="str">
            <v xml:space="preserve">KAS KANPUS                              </v>
          </cell>
          <cell r="P4536" t="str">
            <v>Tidak</v>
          </cell>
          <cell r="Q4536" t="str">
            <v>Tidak</v>
          </cell>
          <cell r="R4536" t="str">
            <v>Done</v>
          </cell>
          <cell r="S4536" t="str">
            <v>Approved</v>
          </cell>
          <cell r="T4536" t="str">
            <v>00336949 - Mochammad Al Farabi</v>
          </cell>
          <cell r="U4536" t="str">
            <v>"-"</v>
          </cell>
        </row>
        <row r="4537">
          <cell r="A4537">
            <v>46265</v>
          </cell>
          <cell r="B4537" t="str">
            <v xml:space="preserve">PETROKIMIA GRESIK PT.                   </v>
          </cell>
          <cell r="C4537" t="str">
            <v>P080012</v>
          </cell>
          <cell r="D4537">
            <v>2601000101307</v>
          </cell>
          <cell r="E4537" t="str">
            <v>TINGGI</v>
          </cell>
          <cell r="F4537" t="str">
            <v>Tidak</v>
          </cell>
          <cell r="G4537" t="str">
            <v>Tidak</v>
          </cell>
          <cell r="H4537" t="str">
            <v>Tidak</v>
          </cell>
          <cell r="I4537" t="str">
            <v>Green Financial Crime (GFC)</v>
          </cell>
          <cell r="J4537">
            <v>65</v>
          </cell>
          <cell r="K4537">
            <v>45</v>
          </cell>
          <cell r="L4537" t="str">
            <v>Green Financial Crime</v>
          </cell>
          <cell r="M4537" t="str">
            <v xml:space="preserve">KC Gresik                               </v>
          </cell>
          <cell r="N4537" t="str">
            <v xml:space="preserve">KC Gresik                               </v>
          </cell>
          <cell r="O4537" t="str">
            <v xml:space="preserve">Surabaya                                </v>
          </cell>
          <cell r="P4537" t="str">
            <v>Tidak</v>
          </cell>
          <cell r="Q4537" t="str">
            <v>Tidak</v>
          </cell>
          <cell r="R4537" t="str">
            <v>Done</v>
          </cell>
          <cell r="S4537" t="str">
            <v>Approved</v>
          </cell>
          <cell r="T4537" t="str">
            <v>90186790 - Muhammad Alfin Farha</v>
          </cell>
          <cell r="U4537" t="str">
            <v>PEP :-</v>
          </cell>
        </row>
        <row r="4538">
          <cell r="A4538">
            <v>46265</v>
          </cell>
          <cell r="B4538" t="str">
            <v xml:space="preserve">PUPUK KALIMANTAN TIMUR,Tbk              </v>
          </cell>
          <cell r="C4538" t="str">
            <v>P224714</v>
          </cell>
          <cell r="D4538">
            <v>56501000006301</v>
          </cell>
          <cell r="E4538" t="str">
            <v>SEDANG</v>
          </cell>
          <cell r="F4538" t="str">
            <v>Tidak</v>
          </cell>
          <cell r="G4538" t="str">
            <v>Tidak</v>
          </cell>
          <cell r="H4538" t="str">
            <v>Tidak</v>
          </cell>
          <cell r="I4538" t="str">
            <v>Green Financial Crime (GFC)</v>
          </cell>
          <cell r="J4538">
            <v>50</v>
          </cell>
          <cell r="K4538">
            <v>45</v>
          </cell>
          <cell r="L4538" t="str">
            <v>Green Financial Crime</v>
          </cell>
          <cell r="M4538" t="str">
            <v xml:space="preserve">KCP PT PUPUK KALTIM                     </v>
          </cell>
          <cell r="N4538" t="str">
            <v xml:space="preserve">KC Bontang                              </v>
          </cell>
          <cell r="O4538" t="str">
            <v xml:space="preserve">Banjarmasin                             </v>
          </cell>
          <cell r="P4538" t="str">
            <v>Tidak</v>
          </cell>
          <cell r="Q4538" t="str">
            <v>Tidak</v>
          </cell>
          <cell r="R4538" t="str">
            <v>Done</v>
          </cell>
          <cell r="S4538" t="str">
            <v>Approved</v>
          </cell>
          <cell r="T4538" t="str">
            <v>90150130 - Intan Aida Pratiwi</v>
          </cell>
          <cell r="U4538" t="str">
            <v>PEP :IQBAL CHAIRIL PRATAM</v>
          </cell>
        </row>
        <row r="4539">
          <cell r="A4539">
            <v>46265</v>
          </cell>
          <cell r="B4539" t="str">
            <v xml:space="preserve">PT INDOMARCO ADI PRIMA                  </v>
          </cell>
          <cell r="C4539" t="str">
            <v>P595578</v>
          </cell>
          <cell r="D4539">
            <v>34401000123301</v>
          </cell>
          <cell r="E4539" t="str">
            <v>SEDANG</v>
          </cell>
          <cell r="F4539" t="str">
            <v>Tidak</v>
          </cell>
          <cell r="G4539" t="str">
            <v>Tidak</v>
          </cell>
          <cell r="H4539" t="str">
            <v>Tidak</v>
          </cell>
          <cell r="I4539" t="str">
            <v>Narkotika - Area Lapas</v>
          </cell>
          <cell r="J4539">
            <v>50</v>
          </cell>
          <cell r="K4539">
            <v>46</v>
          </cell>
          <cell r="L4539" t="str">
            <v>Narkotika</v>
          </cell>
          <cell r="M4539" t="str">
            <v>KC Malang Martadinata</v>
          </cell>
          <cell r="N4539" t="str">
            <v>KC Malang Martadinata</v>
          </cell>
          <cell r="O4539" t="str">
            <v>KANWIL MALANG</v>
          </cell>
          <cell r="P4539" t="str">
            <v>Tidak</v>
          </cell>
          <cell r="Q4539" t="str">
            <v>Tidak</v>
          </cell>
          <cell r="R4539" t="str">
            <v>Done</v>
          </cell>
          <cell r="S4539" t="str">
            <v>Approved</v>
          </cell>
          <cell r="T4539" t="str">
            <v>90185537 - Moh.Khoerul Fajar Ar</v>
          </cell>
          <cell r="U4539" t="str">
            <v>"-"</v>
          </cell>
        </row>
        <row r="4540">
          <cell r="A4540">
            <v>46265</v>
          </cell>
          <cell r="B4540" t="str">
            <v xml:space="preserve">BINTANG SAYAP UTAMA                     </v>
          </cell>
          <cell r="C4540" t="str">
            <v>PCP8289</v>
          </cell>
          <cell r="D4540">
            <v>5101004191303</v>
          </cell>
          <cell r="E4540" t="str">
            <v>TINGGI</v>
          </cell>
          <cell r="F4540" t="str">
            <v>Tidak</v>
          </cell>
          <cell r="G4540" t="str">
            <v>Tidak</v>
          </cell>
          <cell r="H4540" t="str">
            <v>Tidak</v>
          </cell>
          <cell r="I4540" t="str">
            <v>Perpajakan</v>
          </cell>
          <cell r="J4540">
            <v>65</v>
          </cell>
          <cell r="K4540">
            <v>1.33</v>
          </cell>
          <cell r="L4540" t="str">
            <v>Perpajakan</v>
          </cell>
          <cell r="M4540" t="str">
            <v xml:space="preserve">KC Malang Kawi                          </v>
          </cell>
          <cell r="N4540" t="str">
            <v xml:space="preserve">KC Malang Kawi                          </v>
          </cell>
          <cell r="O4540" t="str">
            <v xml:space="preserve">KANWIL MALANG                           </v>
          </cell>
          <cell r="P4540" t="str">
            <v>Tidak</v>
          </cell>
          <cell r="Q4540" t="str">
            <v>Tidak</v>
          </cell>
          <cell r="R4540" t="str">
            <v>Done</v>
          </cell>
          <cell r="S4540" t="str">
            <v>Approved</v>
          </cell>
          <cell r="T4540" t="str">
            <v>90185538 - Muhammad Fahikal Auz</v>
          </cell>
          <cell r="U4540" t="str">
            <v>"-"</v>
          </cell>
        </row>
        <row r="4541">
          <cell r="A4541">
            <v>46265</v>
          </cell>
          <cell r="B4541" t="str">
            <v xml:space="preserve">BINTANG SAYAP UTAMA                     </v>
          </cell>
          <cell r="C4541" t="str">
            <v>PCP8289</v>
          </cell>
          <cell r="D4541">
            <v>51601000736303</v>
          </cell>
          <cell r="E4541" t="str">
            <v>TINGGI</v>
          </cell>
          <cell r="F4541" t="str">
            <v>Tidak</v>
          </cell>
          <cell r="G4541" t="str">
            <v>Tidak</v>
          </cell>
          <cell r="H4541" t="str">
            <v>Tidak</v>
          </cell>
          <cell r="I4541" t="str">
            <v>Narkotika - Area Lapas</v>
          </cell>
          <cell r="J4541">
            <v>65</v>
          </cell>
          <cell r="K4541">
            <v>46</v>
          </cell>
          <cell r="L4541" t="str">
            <v>Narkotika</v>
          </cell>
          <cell r="M4541" t="str">
            <v>KC Kepanjen</v>
          </cell>
          <cell r="N4541" t="str">
            <v>KC Kepanjen</v>
          </cell>
          <cell r="O4541" t="str">
            <v>KANWIL MALANG</v>
          </cell>
          <cell r="P4541" t="str">
            <v>Tidak</v>
          </cell>
          <cell r="Q4541" t="str">
            <v>Tidak</v>
          </cell>
          <cell r="R4541" t="str">
            <v>Done</v>
          </cell>
          <cell r="S4541" t="str">
            <v>Approved</v>
          </cell>
          <cell r="T4541" t="str">
            <v>00336949 - Mochammad Al Farabi</v>
          </cell>
          <cell r="U4541" t="str">
            <v>"-"</v>
          </cell>
        </row>
        <row r="4542">
          <cell r="A4542">
            <v>46265</v>
          </cell>
          <cell r="B4542" t="str">
            <v xml:space="preserve">PRIDA PUTRA PRATAMA                     </v>
          </cell>
          <cell r="C4542" t="str">
            <v>PCQ2778</v>
          </cell>
          <cell r="D4542">
            <v>69401028110501</v>
          </cell>
          <cell r="E4542" t="str">
            <v>SEDANG</v>
          </cell>
          <cell r="F4542" t="str">
            <v>Tidak</v>
          </cell>
          <cell r="G4542" t="str">
            <v>Tidak</v>
          </cell>
          <cell r="H4542" t="str">
            <v>Tidak</v>
          </cell>
          <cell r="I4542" t="str">
            <v>Bandar Judol Depo</v>
          </cell>
          <cell r="J4542">
            <v>50</v>
          </cell>
          <cell r="K4542" t="str">
            <v>86,74,87</v>
          </cell>
          <cell r="L4542" t="str">
            <v>Judi Online</v>
          </cell>
          <cell r="M4542" t="str">
            <v xml:space="preserve">Kas Kanpus                              </v>
          </cell>
          <cell r="N4542" t="str">
            <v xml:space="preserve">Kas Kanpus                              </v>
          </cell>
          <cell r="O4542" t="str">
            <v xml:space="preserve">KAS KANPUS                              </v>
          </cell>
          <cell r="P4542" t="str">
            <v>Ya</v>
          </cell>
          <cell r="Q4542" t="str">
            <v>Ya</v>
          </cell>
          <cell r="R4542" t="str">
            <v>Done</v>
          </cell>
          <cell r="S4542" t="str">
            <v>Approved</v>
          </cell>
          <cell r="T4542" t="str">
            <v>90150130 - Intan Aida Pratiwi</v>
          </cell>
          <cell r="U4542" t="str">
            <v>"-"</v>
          </cell>
        </row>
        <row r="4543">
          <cell r="A4543">
            <v>46265</v>
          </cell>
          <cell r="B4543" t="str">
            <v xml:space="preserve">PT SUMBAWA BANGKIT SEJAHTERA            </v>
          </cell>
          <cell r="C4543" t="str">
            <v>PAV7505</v>
          </cell>
          <cell r="D4543">
            <v>9301001108301</v>
          </cell>
          <cell r="E4543" t="str">
            <v>SEDANG</v>
          </cell>
          <cell r="F4543" t="str">
            <v>Tidak</v>
          </cell>
          <cell r="G4543" t="str">
            <v>Tidak</v>
          </cell>
          <cell r="H4543" t="str">
            <v>Tidak</v>
          </cell>
          <cell r="I4543" t="str">
            <v>Perpajakan</v>
          </cell>
          <cell r="J4543">
            <v>50</v>
          </cell>
          <cell r="K4543">
            <v>41</v>
          </cell>
          <cell r="L4543" t="str">
            <v>Perpajakan</v>
          </cell>
          <cell r="M4543" t="str">
            <v xml:space="preserve">KC Sumbawa Besar                        </v>
          </cell>
          <cell r="N4543" t="str">
            <v xml:space="preserve">KC Sumbawa Besar                        </v>
          </cell>
          <cell r="O4543" t="str">
            <v xml:space="preserve">Denpasar                                </v>
          </cell>
          <cell r="P4543" t="str">
            <v>Tidak</v>
          </cell>
          <cell r="Q4543" t="str">
            <v>Ya</v>
          </cell>
          <cell r="R4543" t="str">
            <v>Done</v>
          </cell>
          <cell r="S4543" t="str">
            <v>Approved</v>
          </cell>
          <cell r="T4543" t="str">
            <v>90185537 - Moh.Khoerul Fajar Ar</v>
          </cell>
          <cell r="U4543" t="str">
            <v>"-"</v>
          </cell>
        </row>
        <row r="4544">
          <cell r="A4544">
            <v>46265</v>
          </cell>
          <cell r="B4544" t="str">
            <v xml:space="preserve">PINA SELVIA OKTARINA                    </v>
          </cell>
          <cell r="C4544" t="str">
            <v>PBW9905</v>
          </cell>
          <cell r="D4544">
            <v>12001002297564</v>
          </cell>
          <cell r="E4544" t="str">
            <v>SEDANG</v>
          </cell>
          <cell r="F4544" t="str">
            <v>Tidak</v>
          </cell>
          <cell r="G4544" t="str">
            <v>Tidak</v>
          </cell>
          <cell r="H4544" t="str">
            <v>Tidak</v>
          </cell>
          <cell r="I4544" t="str">
            <v>Bandar Judol Withdrawal</v>
          </cell>
          <cell r="J4544">
            <v>50</v>
          </cell>
          <cell r="K4544" t="str">
            <v>86,88,87</v>
          </cell>
          <cell r="L4544" t="str">
            <v>Judi Online</v>
          </cell>
          <cell r="M4544" t="str">
            <v xml:space="preserve">Kas Kanpus                              </v>
          </cell>
          <cell r="N4544" t="str">
            <v xml:space="preserve">Kas Kanpus                              </v>
          </cell>
          <cell r="O4544" t="str">
            <v xml:space="preserve">KAS KANPUS                              </v>
          </cell>
          <cell r="P4544" t="str">
            <v>Ya</v>
          </cell>
          <cell r="Q4544" t="str">
            <v>Ya</v>
          </cell>
          <cell r="R4544" t="str">
            <v>Done</v>
          </cell>
          <cell r="S4544" t="str">
            <v>Approved</v>
          </cell>
          <cell r="T4544" t="str">
            <v>00394520 - Frida Akbar Rani</v>
          </cell>
          <cell r="U4544" t="str">
            <v>"-"</v>
          </cell>
        </row>
        <row r="4545">
          <cell r="A4545">
            <v>46265</v>
          </cell>
          <cell r="B4545" t="str">
            <v xml:space="preserve">PERMODALAN NASIONAL MADANI              </v>
          </cell>
          <cell r="C4545" t="str">
            <v>PA08878</v>
          </cell>
          <cell r="D4545">
            <v>37601001262309</v>
          </cell>
          <cell r="E4545" t="str">
            <v>TINGGI</v>
          </cell>
          <cell r="F4545" t="str">
            <v>Tidak</v>
          </cell>
          <cell r="G4545" t="str">
            <v>Tidak</v>
          </cell>
          <cell r="H4545" t="str">
            <v>Tidak</v>
          </cell>
          <cell r="I4545" t="str">
            <v>Narkotika - Area Lapas</v>
          </cell>
          <cell r="J4545">
            <v>65</v>
          </cell>
          <cell r="K4545">
            <v>46</v>
          </cell>
          <cell r="L4545" t="str">
            <v>Narkotika</v>
          </cell>
          <cell r="M4545" t="str">
            <v>KC Jakarta Sudirman 1</v>
          </cell>
          <cell r="N4545" t="str">
            <v>KC Jakarta Sudirman 1</v>
          </cell>
          <cell r="O4545" t="str">
            <v>DKI2</v>
          </cell>
          <cell r="P4545" t="str">
            <v>Tidak</v>
          </cell>
          <cell r="Q4545" t="str">
            <v>Tidak</v>
          </cell>
          <cell r="R4545" t="str">
            <v>Done</v>
          </cell>
          <cell r="S4545" t="str">
            <v>Approved</v>
          </cell>
          <cell r="T4545" t="str">
            <v>90150130 - Intan Aida Pratiwi</v>
          </cell>
          <cell r="U4545" t="str">
            <v>"-"</v>
          </cell>
        </row>
        <row r="4546">
          <cell r="A4546">
            <v>46265</v>
          </cell>
          <cell r="B4546" t="str">
            <v xml:space="preserve">PT.BPR MITRA BALI MUKTIJAYA MANDIRI     </v>
          </cell>
          <cell r="C4546" t="str">
            <v>PA37556</v>
          </cell>
          <cell r="D4546">
            <v>462601000001309</v>
          </cell>
          <cell r="E4546" t="str">
            <v>SEDANG</v>
          </cell>
          <cell r="F4546" t="str">
            <v>Tidak</v>
          </cell>
          <cell r="G4546" t="str">
            <v>Tidak</v>
          </cell>
          <cell r="H4546" t="str">
            <v>Tidak</v>
          </cell>
          <cell r="I4546" t="str">
            <v>Narkotika - Area Lapas</v>
          </cell>
          <cell r="J4546">
            <v>48</v>
          </cell>
          <cell r="K4546">
            <v>47</v>
          </cell>
          <cell r="L4546" t="str">
            <v>Narkotika</v>
          </cell>
          <cell r="M4546" t="str">
            <v>UNIT KAYUAMBA BANGLI</v>
          </cell>
          <cell r="N4546" t="str">
            <v>KC Bangli</v>
          </cell>
          <cell r="O4546" t="str">
            <v>Denpasar</v>
          </cell>
          <cell r="P4546" t="str">
            <v>Tidak</v>
          </cell>
          <cell r="Q4546" t="str">
            <v>Tidak</v>
          </cell>
          <cell r="R4546" t="str">
            <v>Done</v>
          </cell>
          <cell r="S4546" t="str">
            <v>Approved</v>
          </cell>
          <cell r="T4546" t="str">
            <v>90150130 - Intan Aida Pratiwi</v>
          </cell>
          <cell r="U4546" t="str">
            <v>"-"</v>
          </cell>
        </row>
        <row r="4547">
          <cell r="A4547">
            <v>46265</v>
          </cell>
          <cell r="B4547" t="str">
            <v xml:space="preserve">ORDER KUOTA EVOLUSI DIGITAL             </v>
          </cell>
          <cell r="C4547" t="str">
            <v>OA87329</v>
          </cell>
          <cell r="D4547">
            <v>5501002452301</v>
          </cell>
          <cell r="E4547" t="str">
            <v>SEDANG</v>
          </cell>
          <cell r="F4547" t="str">
            <v>Tidak</v>
          </cell>
          <cell r="G4547" t="str">
            <v>Tidak</v>
          </cell>
          <cell r="H4547" t="str">
            <v>Tidak</v>
          </cell>
          <cell r="I4547" t="str">
            <v>Narkotika - Area Lapas</v>
          </cell>
          <cell r="J4547">
            <v>50</v>
          </cell>
          <cell r="K4547">
            <v>46</v>
          </cell>
          <cell r="L4547" t="str">
            <v>Narkotika</v>
          </cell>
          <cell r="M4547" t="str">
            <v>KC Mojokerto</v>
          </cell>
          <cell r="N4547" t="str">
            <v>KC Mojokerto</v>
          </cell>
          <cell r="O4547" t="str">
            <v>Surabaya</v>
          </cell>
          <cell r="P4547" t="str">
            <v>Tidak</v>
          </cell>
          <cell r="Q4547" t="str">
            <v>Tidak</v>
          </cell>
          <cell r="R4547" t="str">
            <v>Done</v>
          </cell>
          <cell r="S4547" t="str">
            <v>Approved</v>
          </cell>
          <cell r="T4547" t="str">
            <v>00394521 - Muhammad Hibbanduta</v>
          </cell>
          <cell r="U4547" t="str">
            <v>"-"</v>
          </cell>
        </row>
        <row r="4548">
          <cell r="A4548">
            <v>46265</v>
          </cell>
          <cell r="B4548" t="str">
            <v xml:space="preserve">OPIK SUMARDIANA                         </v>
          </cell>
          <cell r="C4548" t="str">
            <v>O888834</v>
          </cell>
          <cell r="D4548">
            <v>437801037210538</v>
          </cell>
          <cell r="E4548" t="str">
            <v>SEDANG</v>
          </cell>
          <cell r="F4548" t="str">
            <v>Tidak</v>
          </cell>
          <cell r="G4548" t="str">
            <v>Tidak</v>
          </cell>
          <cell r="H4548" t="str">
            <v>Tidak</v>
          </cell>
          <cell r="I4548" t="str">
            <v>Bandar Judol Depo</v>
          </cell>
          <cell r="J4548">
            <v>50</v>
          </cell>
          <cell r="K4548" t="str">
            <v>86,74,87</v>
          </cell>
          <cell r="L4548" t="str">
            <v>Judi Online</v>
          </cell>
          <cell r="M4548" t="str">
            <v xml:space="preserve">Kas Kanpus                              </v>
          </cell>
          <cell r="N4548" t="str">
            <v xml:space="preserve">Kas Kanpus                              </v>
          </cell>
          <cell r="O4548" t="str">
            <v xml:space="preserve">KAS KANPUS                              </v>
          </cell>
          <cell r="P4548" t="str">
            <v>Tidak</v>
          </cell>
          <cell r="Q4548" t="str">
            <v>Ya</v>
          </cell>
          <cell r="R4548" t="str">
            <v>Done</v>
          </cell>
          <cell r="S4548" t="str">
            <v>Approved</v>
          </cell>
          <cell r="T4548" t="str">
            <v>90185537 - Moh.Khoerul Fajar Ar</v>
          </cell>
          <cell r="U4548" t="str">
            <v>"-"</v>
          </cell>
        </row>
        <row r="4549">
          <cell r="A4549">
            <v>46265</v>
          </cell>
          <cell r="B4549" t="str">
            <v xml:space="preserve">OLIMVIA HALIM                           </v>
          </cell>
          <cell r="C4549" t="str">
            <v>OA72838</v>
          </cell>
          <cell r="D4549">
            <v>332201025975536</v>
          </cell>
          <cell r="E4549" t="str">
            <v>SEDANG</v>
          </cell>
          <cell r="F4549" t="str">
            <v>Tidak</v>
          </cell>
          <cell r="G4549" t="str">
            <v>Tidak</v>
          </cell>
          <cell r="H4549" t="str">
            <v>Tidak</v>
          </cell>
          <cell r="I4549" t="str">
            <v>Bandar Judol Withdrawal</v>
          </cell>
          <cell r="J4549">
            <v>50</v>
          </cell>
          <cell r="K4549" t="str">
            <v>86,88,87</v>
          </cell>
          <cell r="L4549" t="str">
            <v>Judi Online</v>
          </cell>
          <cell r="M4549" t="str">
            <v xml:space="preserve">Kas Kanpus                              </v>
          </cell>
          <cell r="N4549" t="str">
            <v xml:space="preserve">Kas Kanpus                              </v>
          </cell>
          <cell r="O4549" t="str">
            <v xml:space="preserve">KAS KANPUS                              </v>
          </cell>
          <cell r="P4549" t="str">
            <v>Ya</v>
          </cell>
          <cell r="Q4549" t="str">
            <v>Ya</v>
          </cell>
          <cell r="R4549" t="str">
            <v>Done</v>
          </cell>
          <cell r="S4549" t="str">
            <v>Approved</v>
          </cell>
          <cell r="T4549" t="str">
            <v>90170665 - Mutiara Ayuningtyas</v>
          </cell>
          <cell r="U4549" t="str">
            <v>"-"</v>
          </cell>
        </row>
        <row r="4550">
          <cell r="A4550">
            <v>46265</v>
          </cell>
          <cell r="B4550" t="str">
            <v xml:space="preserve">OKTAVIA NOVITASARI                      </v>
          </cell>
          <cell r="C4550" t="str">
            <v>OD19026</v>
          </cell>
          <cell r="D4550">
            <v>332401003325509</v>
          </cell>
          <cell r="E4550" t="str">
            <v>SEDANG</v>
          </cell>
          <cell r="F4550" t="str">
            <v>Tidak</v>
          </cell>
          <cell r="G4550" t="str">
            <v>Tidak</v>
          </cell>
          <cell r="H4550" t="str">
            <v>Ya</v>
          </cell>
          <cell r="I4550" t="str">
            <v>Bandar Judol Withdrawal</v>
          </cell>
          <cell r="J4550">
            <v>50</v>
          </cell>
          <cell r="K4550" t="str">
            <v>86,88,87</v>
          </cell>
          <cell r="L4550" t="str">
            <v>Judi Online</v>
          </cell>
          <cell r="M4550" t="str">
            <v xml:space="preserve">Kas Kanpus                              </v>
          </cell>
          <cell r="N4550" t="str">
            <v xml:space="preserve">Kas Kanpus                              </v>
          </cell>
          <cell r="O4550" t="str">
            <v xml:space="preserve">KAS KANPUS                              </v>
          </cell>
          <cell r="P4550" t="str">
            <v>Ya</v>
          </cell>
          <cell r="Q4550" t="str">
            <v>Ya</v>
          </cell>
          <cell r="R4550" t="str">
            <v>Done</v>
          </cell>
          <cell r="S4550" t="str">
            <v>Approved</v>
          </cell>
          <cell r="T4550" t="str">
            <v>00394521 - Muhammad Hibbanduta</v>
          </cell>
          <cell r="U4550" t="str">
            <v>"-"</v>
          </cell>
        </row>
        <row r="4551">
          <cell r="A4551">
            <v>46265</v>
          </cell>
          <cell r="B4551" t="str">
            <v xml:space="preserve">OKAN DWI RAMDANI                        </v>
          </cell>
          <cell r="C4551" t="str">
            <v>OC82015</v>
          </cell>
          <cell r="D4551">
            <v>112201011586507</v>
          </cell>
          <cell r="E4551" t="str">
            <v>SEDANG</v>
          </cell>
          <cell r="F4551" t="str">
            <v>Tidak</v>
          </cell>
          <cell r="G4551" t="str">
            <v>Tidak</v>
          </cell>
          <cell r="H4551" t="str">
            <v>Ya</v>
          </cell>
          <cell r="I4551" t="str">
            <v>Bandar Judol Withdrawal</v>
          </cell>
          <cell r="J4551">
            <v>50</v>
          </cell>
          <cell r="K4551" t="str">
            <v>86,88,87</v>
          </cell>
          <cell r="L4551" t="str">
            <v>Judi Online</v>
          </cell>
          <cell r="M4551" t="str">
            <v xml:space="preserve">Kas Kanpus                              </v>
          </cell>
          <cell r="N4551" t="str">
            <v xml:space="preserve">Kas Kanpus                              </v>
          </cell>
          <cell r="O4551" t="str">
            <v xml:space="preserve">KAS KANPUS                              </v>
          </cell>
          <cell r="P4551" t="str">
            <v>Ya</v>
          </cell>
          <cell r="Q4551" t="str">
            <v>Ya</v>
          </cell>
          <cell r="R4551" t="str">
            <v>Done</v>
          </cell>
          <cell r="S4551" t="str">
            <v>Approved</v>
          </cell>
          <cell r="T4551" t="str">
            <v>90171841 - Rifqi Aziz</v>
          </cell>
          <cell r="U4551" t="str">
            <v>"-"</v>
          </cell>
        </row>
        <row r="4552">
          <cell r="A4552">
            <v>46265</v>
          </cell>
          <cell r="B4552" t="str">
            <v xml:space="preserve">ORTJE HIMPONAN                          </v>
          </cell>
          <cell r="C4552" t="str">
            <v>O488636</v>
          </cell>
          <cell r="D4552">
            <v>511801022600539</v>
          </cell>
          <cell r="E4552" t="str">
            <v>RENDAH</v>
          </cell>
          <cell r="F4552" t="str">
            <v>Tidak</v>
          </cell>
          <cell r="G4552" t="str">
            <v>Tidak</v>
          </cell>
          <cell r="H4552" t="str">
            <v>Tidak</v>
          </cell>
          <cell r="I4552" t="str">
            <v>Bandar Judol Depo</v>
          </cell>
          <cell r="J4552">
            <v>35</v>
          </cell>
          <cell r="K4552" t="str">
            <v>86,74,87</v>
          </cell>
          <cell r="L4552" t="str">
            <v>Judi Online</v>
          </cell>
          <cell r="M4552" t="str">
            <v xml:space="preserve">Kas Kanpus                              </v>
          </cell>
          <cell r="N4552" t="str">
            <v xml:space="preserve">Kas Kanpus                              </v>
          </cell>
          <cell r="O4552" t="str">
            <v xml:space="preserve">KAS KANPUS                              </v>
          </cell>
          <cell r="P4552" t="str">
            <v>Ya</v>
          </cell>
          <cell r="Q4552" t="str">
            <v>Tidak</v>
          </cell>
          <cell r="R4552" t="str">
            <v>Done</v>
          </cell>
          <cell r="S4552" t="str">
            <v>Approved</v>
          </cell>
          <cell r="T4552" t="str">
            <v>90170665 - Mutiara Ayuningtyas</v>
          </cell>
          <cell r="U4552" t="str">
            <v>"-"</v>
          </cell>
        </row>
        <row r="4553">
          <cell r="A4553">
            <v>46265</v>
          </cell>
          <cell r="B4553" t="str">
            <v xml:space="preserve">ORIENTINA LIDIAWATI                     </v>
          </cell>
          <cell r="C4553" t="str">
            <v>O565774</v>
          </cell>
          <cell r="D4553">
            <v>117201000686563</v>
          </cell>
          <cell r="E4553" t="str">
            <v>SEDANG</v>
          </cell>
          <cell r="F4553" t="str">
            <v>Tidak</v>
          </cell>
          <cell r="G4553" t="str">
            <v>Tidak</v>
          </cell>
          <cell r="H4553" t="str">
            <v>Tidak</v>
          </cell>
          <cell r="I4553" t="str">
            <v>Judi Online</v>
          </cell>
          <cell r="J4553">
            <v>50</v>
          </cell>
          <cell r="K4553" t="str">
            <v>73,76,34,74,6</v>
          </cell>
          <cell r="L4553" t="str">
            <v>Judi Online</v>
          </cell>
          <cell r="M4553" t="str">
            <v xml:space="preserve">Kas Kanpus                              </v>
          </cell>
          <cell r="N4553" t="str">
            <v xml:space="preserve">Kas Kanpus                              </v>
          </cell>
          <cell r="O4553" t="str">
            <v xml:space="preserve">KAS KANPUS                              </v>
          </cell>
          <cell r="P4553" t="str">
            <v>Ya</v>
          </cell>
          <cell r="Q4553" t="str">
            <v>Ya</v>
          </cell>
          <cell r="R4553" t="str">
            <v>Done</v>
          </cell>
          <cell r="S4553" t="str">
            <v>Approved</v>
          </cell>
          <cell r="T4553" t="str">
            <v>00336949 - Mochammad Al Farabi</v>
          </cell>
          <cell r="U4553" t="str">
            <v>"-"</v>
          </cell>
        </row>
        <row r="4554">
          <cell r="A4554">
            <v>46265</v>
          </cell>
          <cell r="B4554" t="str">
            <v xml:space="preserve">ORIENTINA LIDIAWATI                     </v>
          </cell>
          <cell r="C4554" t="str">
            <v>O565774</v>
          </cell>
          <cell r="D4554">
            <v>117201000686563</v>
          </cell>
          <cell r="E4554" t="str">
            <v>SEDANG</v>
          </cell>
          <cell r="F4554" t="str">
            <v>Tidak</v>
          </cell>
          <cell r="G4554" t="str">
            <v>Tidak</v>
          </cell>
          <cell r="H4554" t="str">
            <v>Tidak</v>
          </cell>
          <cell r="I4554" t="str">
            <v>Bandar Judol Depo</v>
          </cell>
          <cell r="J4554">
            <v>50</v>
          </cell>
          <cell r="K4554" t="str">
            <v>86,74,87</v>
          </cell>
          <cell r="L4554" t="str">
            <v>Judi Online</v>
          </cell>
          <cell r="M4554" t="str">
            <v xml:space="preserve">Kas Kanpus                              </v>
          </cell>
          <cell r="N4554" t="str">
            <v xml:space="preserve">Kas Kanpus                              </v>
          </cell>
          <cell r="O4554" t="str">
            <v xml:space="preserve">KAS KANPUS                              </v>
          </cell>
          <cell r="P4554" t="str">
            <v>Ya</v>
          </cell>
          <cell r="Q4554" t="str">
            <v>Ya</v>
          </cell>
          <cell r="R4554" t="str">
            <v>Done</v>
          </cell>
          <cell r="S4554" t="str">
            <v>Approved</v>
          </cell>
          <cell r="T4554" t="str">
            <v>00336949 - Mochammad Al Farabi</v>
          </cell>
          <cell r="U4554" t="str">
            <v>"-"</v>
          </cell>
        </row>
        <row r="4555">
          <cell r="A4555">
            <v>46265</v>
          </cell>
          <cell r="B4555" t="str">
            <v xml:space="preserve">NATALIA PADOMA                          </v>
          </cell>
          <cell r="C4555" t="str">
            <v>NZA0530</v>
          </cell>
          <cell r="D4555">
            <v>226001020411502</v>
          </cell>
          <cell r="E4555" t="str">
            <v>RENDAH</v>
          </cell>
          <cell r="F4555" t="str">
            <v>Tidak</v>
          </cell>
          <cell r="G4555" t="str">
            <v>Tidak</v>
          </cell>
          <cell r="H4555" t="str">
            <v>Tidak</v>
          </cell>
          <cell r="I4555" t="str">
            <v>Bandar Judol Withdrawal</v>
          </cell>
          <cell r="J4555">
            <v>35</v>
          </cell>
          <cell r="K4555" t="str">
            <v>86,88,87</v>
          </cell>
          <cell r="L4555" t="str">
            <v>Judi Online</v>
          </cell>
          <cell r="M4555" t="str">
            <v xml:space="preserve">Kas Kanpus                              </v>
          </cell>
          <cell r="N4555" t="str">
            <v xml:space="preserve">Kas Kanpus                              </v>
          </cell>
          <cell r="O4555" t="str">
            <v xml:space="preserve">KAS KANPUS                              </v>
          </cell>
          <cell r="P4555" t="str">
            <v>Ya</v>
          </cell>
          <cell r="Q4555" t="str">
            <v>Tidak</v>
          </cell>
          <cell r="R4555" t="str">
            <v>Done</v>
          </cell>
          <cell r="S4555" t="str">
            <v>Approved</v>
          </cell>
          <cell r="T4555" t="str">
            <v>00394521 - Muhammad Hibbanduta</v>
          </cell>
          <cell r="U4555" t="str">
            <v>"-"</v>
          </cell>
        </row>
        <row r="4556">
          <cell r="A4556">
            <v>46265</v>
          </cell>
          <cell r="B4556" t="str">
            <v xml:space="preserve">NAUFAL IMTIYAZ WIJAYA                   </v>
          </cell>
          <cell r="C4556" t="str">
            <v>NZS4814</v>
          </cell>
          <cell r="D4556">
            <v>303901007313503</v>
          </cell>
          <cell r="E4556" t="str">
            <v>TINGGI</v>
          </cell>
          <cell r="F4556" t="str">
            <v>Tidak</v>
          </cell>
          <cell r="G4556" t="str">
            <v>Tidak</v>
          </cell>
          <cell r="H4556" t="str">
            <v>Tidak</v>
          </cell>
          <cell r="I4556" t="str">
            <v>Bandar Judol Depo</v>
          </cell>
          <cell r="J4556">
            <v>65</v>
          </cell>
          <cell r="K4556" t="str">
            <v>86,74,87</v>
          </cell>
          <cell r="L4556" t="str">
            <v>Judi Online</v>
          </cell>
          <cell r="M4556" t="str">
            <v xml:space="preserve">Kas Kanpus                              </v>
          </cell>
          <cell r="N4556" t="str">
            <v xml:space="preserve">Kas Kanpus                              </v>
          </cell>
          <cell r="O4556" t="str">
            <v xml:space="preserve">KAS KANPUS                              </v>
          </cell>
          <cell r="P4556" t="str">
            <v>Ya</v>
          </cell>
          <cell r="Q4556" t="str">
            <v>Ya</v>
          </cell>
          <cell r="R4556" t="str">
            <v>Done</v>
          </cell>
          <cell r="S4556" t="str">
            <v>Approved</v>
          </cell>
          <cell r="T4556" t="str">
            <v>00336949 - Mochammad Al Farabi</v>
          </cell>
          <cell r="U4556" t="str">
            <v>"-"</v>
          </cell>
        </row>
        <row r="4557">
          <cell r="A4557">
            <v>46265</v>
          </cell>
          <cell r="B4557" t="str">
            <v xml:space="preserve">NURHAYATI                               </v>
          </cell>
          <cell r="C4557" t="str">
            <v>NNF2292</v>
          </cell>
          <cell r="D4557">
            <v>334501000049560</v>
          </cell>
          <cell r="E4557" t="str">
            <v>SEDANG</v>
          </cell>
          <cell r="F4557" t="str">
            <v>Tidak</v>
          </cell>
          <cell r="G4557" t="str">
            <v>Tidak</v>
          </cell>
          <cell r="H4557" t="str">
            <v>Tidak</v>
          </cell>
          <cell r="I4557" t="str">
            <v>Bandar Judol Withdrawal</v>
          </cell>
          <cell r="J4557">
            <v>50</v>
          </cell>
          <cell r="K4557" t="str">
            <v>86,88,87</v>
          </cell>
          <cell r="L4557" t="str">
            <v>Judi Online</v>
          </cell>
          <cell r="M4557" t="str">
            <v xml:space="preserve">Kas Kanpus                              </v>
          </cell>
          <cell r="N4557" t="str">
            <v xml:space="preserve">Kas Kanpus                              </v>
          </cell>
          <cell r="O4557" t="str">
            <v xml:space="preserve">KAS KANPUS                              </v>
          </cell>
          <cell r="P4557" t="str">
            <v>Ya</v>
          </cell>
          <cell r="Q4557" t="str">
            <v>Ya</v>
          </cell>
          <cell r="R4557" t="str">
            <v>Done</v>
          </cell>
          <cell r="S4557" t="str">
            <v>Approved</v>
          </cell>
          <cell r="T4557" t="str">
            <v>00336949 - Mochammad Al Farabi</v>
          </cell>
          <cell r="U4557" t="str">
            <v>"-"</v>
          </cell>
        </row>
        <row r="4558">
          <cell r="A4558">
            <v>46265</v>
          </cell>
          <cell r="B4558" t="str">
            <v xml:space="preserve">NUH ASGAR                               </v>
          </cell>
          <cell r="C4558" t="str">
            <v>NP55289</v>
          </cell>
          <cell r="D4558">
            <v>8801026455502</v>
          </cell>
          <cell r="E4558" t="str">
            <v>TINGGI</v>
          </cell>
          <cell r="F4558" t="str">
            <v>Tidak</v>
          </cell>
          <cell r="G4558" t="str">
            <v>Tidak</v>
          </cell>
          <cell r="H4558" t="str">
            <v>Tidak</v>
          </cell>
          <cell r="I4558" t="str">
            <v>Perikanan dan Kelautan</v>
          </cell>
          <cell r="J4558">
            <v>70</v>
          </cell>
          <cell r="K4558">
            <v>101</v>
          </cell>
          <cell r="L4558" t="str">
            <v>Perikanan dan Kelautan</v>
          </cell>
          <cell r="M4558" t="str">
            <v xml:space="preserve">KC Singaraja                            </v>
          </cell>
          <cell r="N4558" t="str">
            <v xml:space="preserve">KC Singaraja                            </v>
          </cell>
          <cell r="O4558" t="str">
            <v xml:space="preserve">Denpasar                                </v>
          </cell>
          <cell r="P4558" t="str">
            <v>Tidak</v>
          </cell>
          <cell r="Q4558" t="str">
            <v>Tidak</v>
          </cell>
          <cell r="R4558" t="str">
            <v>Done</v>
          </cell>
          <cell r="S4558" t="str">
            <v>Approved</v>
          </cell>
          <cell r="T4558" t="str">
            <v>90171841 - Rifqi Aziz</v>
          </cell>
          <cell r="U4558" t="str">
            <v>"-"</v>
          </cell>
        </row>
        <row r="4559">
          <cell r="A4559">
            <v>46265</v>
          </cell>
          <cell r="B4559" t="str">
            <v xml:space="preserve">NICHOLAS VENTOLA                        </v>
          </cell>
          <cell r="C4559" t="str">
            <v>NWW9272</v>
          </cell>
          <cell r="D4559">
            <v>173101008457504</v>
          </cell>
          <cell r="E4559" t="str">
            <v>SEDANG</v>
          </cell>
          <cell r="F4559" t="str">
            <v>Tidak</v>
          </cell>
          <cell r="G4559" t="str">
            <v>Tidak</v>
          </cell>
          <cell r="H4559" t="str">
            <v>Tidak</v>
          </cell>
          <cell r="I4559" t="str">
            <v>Bandar Judol Withdrawal</v>
          </cell>
          <cell r="J4559">
            <v>50</v>
          </cell>
          <cell r="K4559" t="str">
            <v>86,88,87</v>
          </cell>
          <cell r="L4559" t="str">
            <v>Judi Online</v>
          </cell>
          <cell r="M4559" t="str">
            <v xml:space="preserve">Kas Kanpus                              </v>
          </cell>
          <cell r="N4559" t="str">
            <v xml:space="preserve">Kas Kanpus                              </v>
          </cell>
          <cell r="O4559" t="str">
            <v xml:space="preserve">KAS KANPUS                              </v>
          </cell>
          <cell r="P4559" t="str">
            <v>Ya</v>
          </cell>
          <cell r="Q4559" t="str">
            <v>Ya</v>
          </cell>
          <cell r="R4559" t="str">
            <v>Done</v>
          </cell>
          <cell r="S4559" t="str">
            <v>Approved</v>
          </cell>
          <cell r="T4559" t="str">
            <v>00394520 - Frida Akbar Rani</v>
          </cell>
          <cell r="U4559" t="str">
            <v>"-"</v>
          </cell>
        </row>
        <row r="4560">
          <cell r="A4560">
            <v>46265</v>
          </cell>
          <cell r="B4560" t="str">
            <v xml:space="preserve">NGATINEM                                </v>
          </cell>
          <cell r="C4560" t="str">
            <v>NXA1933</v>
          </cell>
          <cell r="D4560">
            <v>11301148294504</v>
          </cell>
          <cell r="E4560" t="str">
            <v>SEDANG</v>
          </cell>
          <cell r="F4560" t="str">
            <v>Tidak</v>
          </cell>
          <cell r="G4560" t="str">
            <v>Tidak</v>
          </cell>
          <cell r="H4560" t="str">
            <v>Tidak</v>
          </cell>
          <cell r="I4560" t="str">
            <v>Bandar Judol Depo</v>
          </cell>
          <cell r="J4560">
            <v>50</v>
          </cell>
          <cell r="K4560" t="str">
            <v>86,74,87</v>
          </cell>
          <cell r="L4560" t="str">
            <v>Judi Online</v>
          </cell>
          <cell r="M4560" t="str">
            <v xml:space="preserve">Kas Kanpus                              </v>
          </cell>
          <cell r="N4560" t="str">
            <v xml:space="preserve">Kas Kanpus                              </v>
          </cell>
          <cell r="O4560" t="str">
            <v xml:space="preserve">KAS KANPUS                              </v>
          </cell>
          <cell r="P4560" t="str">
            <v>Ya</v>
          </cell>
          <cell r="Q4560" t="str">
            <v>Ya</v>
          </cell>
          <cell r="R4560" t="str">
            <v>Done</v>
          </cell>
          <cell r="S4560" t="str">
            <v>Approved</v>
          </cell>
          <cell r="T4560" t="str">
            <v>90170665 - Mutiara Ayuningtyas</v>
          </cell>
          <cell r="U4560" t="str">
            <v>"-"</v>
          </cell>
        </row>
        <row r="4561">
          <cell r="A4561">
            <v>46265</v>
          </cell>
          <cell r="B4561" t="str">
            <v xml:space="preserve">NINING PUJI ASTUTIK                     </v>
          </cell>
          <cell r="C4561" t="str">
            <v>NXK2975</v>
          </cell>
          <cell r="D4561">
            <v>59101025892502</v>
          </cell>
          <cell r="E4561" t="str">
            <v>SEDANG</v>
          </cell>
          <cell r="F4561" t="str">
            <v>Tidak</v>
          </cell>
          <cell r="G4561" t="str">
            <v>Tidak</v>
          </cell>
          <cell r="H4561" t="str">
            <v>Tidak</v>
          </cell>
          <cell r="I4561" t="str">
            <v>Bandar Judol Withdrawal</v>
          </cell>
          <cell r="J4561">
            <v>50</v>
          </cell>
          <cell r="K4561" t="str">
            <v>86,88,87</v>
          </cell>
          <cell r="L4561" t="str">
            <v>Judi Online</v>
          </cell>
          <cell r="M4561" t="str">
            <v xml:space="preserve">Kas Kanpus                              </v>
          </cell>
          <cell r="N4561" t="str">
            <v xml:space="preserve">Kas Kanpus                              </v>
          </cell>
          <cell r="O4561" t="str">
            <v xml:space="preserve">KAS KANPUS                              </v>
          </cell>
          <cell r="P4561" t="str">
            <v>Ya</v>
          </cell>
          <cell r="Q4561" t="str">
            <v>Ya</v>
          </cell>
          <cell r="R4561" t="str">
            <v>Done</v>
          </cell>
          <cell r="S4561" t="str">
            <v>Approved</v>
          </cell>
          <cell r="T4561" t="str">
            <v>90185537 - Moh.Khoerul Fajar Ar</v>
          </cell>
          <cell r="U4561" t="str">
            <v>"-"</v>
          </cell>
        </row>
        <row r="4562">
          <cell r="A4562">
            <v>46265</v>
          </cell>
          <cell r="B4562" t="str">
            <v xml:space="preserve">NICO                                    </v>
          </cell>
          <cell r="C4562" t="str">
            <v>NUG5283</v>
          </cell>
          <cell r="D4562">
            <v>115101000677564</v>
          </cell>
          <cell r="E4562" t="str">
            <v>SEDANG</v>
          </cell>
          <cell r="F4562" t="str">
            <v>Tidak</v>
          </cell>
          <cell r="G4562" t="str">
            <v>Tidak</v>
          </cell>
          <cell r="H4562" t="str">
            <v>Tidak</v>
          </cell>
          <cell r="I4562" t="str">
            <v>Bandar Judol Withdrawal</v>
          </cell>
          <cell r="J4562">
            <v>50</v>
          </cell>
          <cell r="K4562" t="str">
            <v>86,88,87</v>
          </cell>
          <cell r="L4562" t="str">
            <v>Judi Online</v>
          </cell>
          <cell r="M4562" t="str">
            <v xml:space="preserve">Kas Kanpus                              </v>
          </cell>
          <cell r="N4562" t="str">
            <v xml:space="preserve">Kas Kanpus                              </v>
          </cell>
          <cell r="O4562" t="str">
            <v xml:space="preserve">KAS KANPUS                              </v>
          </cell>
          <cell r="P4562" t="str">
            <v>Ya</v>
          </cell>
          <cell r="Q4562" t="str">
            <v>Ya</v>
          </cell>
          <cell r="R4562" t="str">
            <v>Done</v>
          </cell>
          <cell r="S4562" t="str">
            <v>Approved</v>
          </cell>
          <cell r="T4562" t="str">
            <v>00336949 - Mochammad Al Farabi</v>
          </cell>
          <cell r="U4562" t="str">
            <v>"-"</v>
          </cell>
        </row>
        <row r="4563">
          <cell r="A4563">
            <v>46265</v>
          </cell>
          <cell r="B4563" t="str">
            <v xml:space="preserve">NOFENDRA HARIADI                        </v>
          </cell>
          <cell r="C4563" t="str">
            <v>NUZ1140</v>
          </cell>
          <cell r="D4563">
            <v>66801034861503</v>
          </cell>
          <cell r="E4563" t="str">
            <v>SEDANG</v>
          </cell>
          <cell r="F4563" t="str">
            <v>Tidak</v>
          </cell>
          <cell r="G4563" t="str">
            <v>Tidak</v>
          </cell>
          <cell r="H4563" t="str">
            <v>Tidak</v>
          </cell>
          <cell r="I4563" t="str">
            <v>Narkotika - Area Lapas</v>
          </cell>
          <cell r="J4563">
            <v>60</v>
          </cell>
          <cell r="K4563">
            <v>48</v>
          </cell>
          <cell r="L4563" t="str">
            <v>Narkotika</v>
          </cell>
          <cell r="M4563" t="str">
            <v>KC Teluk Kuantan</v>
          </cell>
          <cell r="N4563" t="str">
            <v>KC Teluk Kuantan</v>
          </cell>
          <cell r="O4563" t="str">
            <v>KANWIL PEKANBARU</v>
          </cell>
          <cell r="P4563" t="str">
            <v>Ya</v>
          </cell>
          <cell r="Q4563" t="str">
            <v>Tidak</v>
          </cell>
          <cell r="R4563" t="str">
            <v>Done</v>
          </cell>
          <cell r="S4563" t="str">
            <v>Approved</v>
          </cell>
          <cell r="T4563" t="str">
            <v>90170665 - Mutiara Ayuningtyas</v>
          </cell>
          <cell r="U4563" t="str">
            <v>"-"</v>
          </cell>
        </row>
        <row r="4564">
          <cell r="A4564">
            <v>46265</v>
          </cell>
          <cell r="B4564" t="str">
            <v xml:space="preserve">NI KETUT DESY PARTIWI                   </v>
          </cell>
          <cell r="C4564" t="str">
            <v>NTC3427</v>
          </cell>
          <cell r="D4564">
            <v>213201000848568</v>
          </cell>
          <cell r="E4564" t="str">
            <v>RENDAH</v>
          </cell>
          <cell r="F4564" t="str">
            <v>Tidak</v>
          </cell>
          <cell r="G4564" t="str">
            <v>Tidak</v>
          </cell>
          <cell r="H4564" t="str">
            <v>Tidak</v>
          </cell>
          <cell r="I4564" t="str">
            <v>Bandar Judol Depo</v>
          </cell>
          <cell r="J4564">
            <v>35</v>
          </cell>
          <cell r="K4564" t="str">
            <v>86,74,87</v>
          </cell>
          <cell r="L4564" t="str">
            <v>Judi Online</v>
          </cell>
          <cell r="M4564" t="str">
            <v xml:space="preserve">Kas Kanpus                              </v>
          </cell>
          <cell r="N4564" t="str">
            <v xml:space="preserve">Kas Kanpus                              </v>
          </cell>
          <cell r="O4564" t="str">
            <v xml:space="preserve">KAS KANPUS                              </v>
          </cell>
          <cell r="P4564" t="str">
            <v>Ya</v>
          </cell>
          <cell r="Q4564" t="str">
            <v>Ya</v>
          </cell>
          <cell r="R4564" t="str">
            <v>Done</v>
          </cell>
          <cell r="S4564" t="str">
            <v>Approved</v>
          </cell>
          <cell r="T4564" t="str">
            <v>00394520 - Frida Akbar Rani</v>
          </cell>
          <cell r="U4564" t="str">
            <v>"-"</v>
          </cell>
        </row>
        <row r="4565">
          <cell r="A4565">
            <v>46265</v>
          </cell>
          <cell r="B4565" t="str">
            <v xml:space="preserve">NURDIN HIDAYAT                          </v>
          </cell>
          <cell r="C4565" t="str">
            <v>NJDG806</v>
          </cell>
          <cell r="D4565">
            <v>50901004766561</v>
          </cell>
          <cell r="E4565" t="str">
            <v>SEDANG</v>
          </cell>
          <cell r="F4565" t="str">
            <v>Tidak</v>
          </cell>
          <cell r="G4565" t="str">
            <v>Tidak</v>
          </cell>
          <cell r="H4565" t="str">
            <v>Tidak</v>
          </cell>
          <cell r="I4565" t="str">
            <v>Bandar Judol Withdrawal</v>
          </cell>
          <cell r="J4565">
            <v>50</v>
          </cell>
          <cell r="K4565" t="str">
            <v>86,88,87</v>
          </cell>
          <cell r="L4565" t="str">
            <v>Judi Online</v>
          </cell>
          <cell r="M4565" t="str">
            <v xml:space="preserve">Kas Kanpus                              </v>
          </cell>
          <cell r="N4565" t="str">
            <v xml:space="preserve">Kas Kanpus                              </v>
          </cell>
          <cell r="O4565" t="str">
            <v xml:space="preserve">KAS KANPUS                              </v>
          </cell>
          <cell r="P4565" t="str">
            <v>Ya</v>
          </cell>
          <cell r="Q4565" t="str">
            <v>Ya</v>
          </cell>
          <cell r="R4565" t="str">
            <v>Done</v>
          </cell>
          <cell r="S4565" t="str">
            <v>Approved</v>
          </cell>
          <cell r="T4565" t="str">
            <v>00394521 - Muhammad Hibbanduta</v>
          </cell>
          <cell r="U4565" t="str">
            <v>"-"</v>
          </cell>
        </row>
        <row r="4566">
          <cell r="A4566">
            <v>46265</v>
          </cell>
          <cell r="B4566" t="str">
            <v xml:space="preserve">NIA ROSITA                              </v>
          </cell>
          <cell r="C4566" t="str">
            <v>NJFC475</v>
          </cell>
          <cell r="D4566">
            <v>112901024581502</v>
          </cell>
          <cell r="E4566" t="str">
            <v>SEDANG</v>
          </cell>
          <cell r="F4566" t="str">
            <v>Tidak</v>
          </cell>
          <cell r="G4566" t="str">
            <v>Tidak</v>
          </cell>
          <cell r="H4566" t="str">
            <v>Tidak</v>
          </cell>
          <cell r="I4566" t="str">
            <v>Bandar Judol Withdrawal</v>
          </cell>
          <cell r="J4566">
            <v>50</v>
          </cell>
          <cell r="K4566" t="str">
            <v>86,88,87</v>
          </cell>
          <cell r="L4566" t="str">
            <v>Judi Online</v>
          </cell>
          <cell r="M4566" t="str">
            <v xml:space="preserve">Kas Kanpus                              </v>
          </cell>
          <cell r="N4566" t="str">
            <v xml:space="preserve">Kas Kanpus                              </v>
          </cell>
          <cell r="O4566" t="str">
            <v xml:space="preserve">KAS KANPUS                              </v>
          </cell>
          <cell r="P4566" t="str">
            <v>Ya</v>
          </cell>
          <cell r="Q4566" t="str">
            <v>Ya</v>
          </cell>
          <cell r="R4566" t="str">
            <v>Done</v>
          </cell>
          <cell r="S4566" t="str">
            <v>Approved</v>
          </cell>
          <cell r="T4566" t="str">
            <v>90186790 - Muhammad Alfin Farha</v>
          </cell>
          <cell r="U4566" t="str">
            <v>"-"</v>
          </cell>
        </row>
        <row r="4567">
          <cell r="A4567">
            <v>46265</v>
          </cell>
          <cell r="B4567" t="str">
            <v xml:space="preserve">NELIS                                   </v>
          </cell>
          <cell r="C4567" t="str">
            <v>NKTF700</v>
          </cell>
          <cell r="D4567">
            <v>78701012945509</v>
          </cell>
          <cell r="F4567" t="str">
            <v>Tidak</v>
          </cell>
          <cell r="G4567" t="str">
            <v>Tidak</v>
          </cell>
          <cell r="H4567" t="str">
            <v>Tidak</v>
          </cell>
          <cell r="I4567" t="str">
            <v>Bandar Judol Depo</v>
          </cell>
          <cell r="J4567">
            <v>35</v>
          </cell>
          <cell r="K4567" t="str">
            <v>86,74,87</v>
          </cell>
          <cell r="L4567" t="str">
            <v>Judi Online</v>
          </cell>
          <cell r="M4567" t="str">
            <v xml:space="preserve">Kas Kanpus                              </v>
          </cell>
          <cell r="N4567" t="str">
            <v xml:space="preserve">Kas Kanpus                              </v>
          </cell>
          <cell r="O4567" t="str">
            <v xml:space="preserve">KAS KANPUS                              </v>
          </cell>
          <cell r="P4567" t="str">
            <v>Ya</v>
          </cell>
          <cell r="Q4567" t="str">
            <v>Ya</v>
          </cell>
          <cell r="R4567" t="str">
            <v>Done</v>
          </cell>
          <cell r="S4567" t="str">
            <v>Approved</v>
          </cell>
          <cell r="T4567" t="str">
            <v>90150130 - Intan Aida Pratiwi</v>
          </cell>
          <cell r="U4567" t="str">
            <v>"-"</v>
          </cell>
        </row>
        <row r="4568">
          <cell r="A4568">
            <v>46265</v>
          </cell>
          <cell r="B4568" t="str">
            <v xml:space="preserve">NI LUH ERNAWATI                         </v>
          </cell>
          <cell r="C4568" t="str">
            <v>NKTT418</v>
          </cell>
          <cell r="D4568">
            <v>1701005296564</v>
          </cell>
          <cell r="F4568" t="str">
            <v>Tidak</v>
          </cell>
          <cell r="G4568" t="str">
            <v>Tidak</v>
          </cell>
          <cell r="H4568" t="str">
            <v>Tidak</v>
          </cell>
          <cell r="I4568" t="str">
            <v>Bandar Judol Withdrawal</v>
          </cell>
          <cell r="J4568">
            <v>35</v>
          </cell>
          <cell r="K4568" t="str">
            <v>86,88,87</v>
          </cell>
          <cell r="L4568" t="str">
            <v>Judi Online</v>
          </cell>
          <cell r="M4568" t="str">
            <v xml:space="preserve">Kas Kanpus                              </v>
          </cell>
          <cell r="N4568" t="str">
            <v xml:space="preserve">Kas Kanpus                              </v>
          </cell>
          <cell r="O4568" t="str">
            <v xml:space="preserve">KAS KANPUS                              </v>
          </cell>
          <cell r="P4568" t="str">
            <v>Ya</v>
          </cell>
          <cell r="Q4568" t="str">
            <v>Ya</v>
          </cell>
          <cell r="R4568" t="str">
            <v>Done</v>
          </cell>
          <cell r="S4568" t="str">
            <v>Approved</v>
          </cell>
          <cell r="T4568" t="str">
            <v>90171841 - Rifqi Aziz</v>
          </cell>
          <cell r="U4568" t="str">
            <v>"-"</v>
          </cell>
        </row>
        <row r="4569">
          <cell r="A4569">
            <v>46265</v>
          </cell>
          <cell r="B4569" t="str">
            <v xml:space="preserve">NATALIA TIO SETIAWAN                    </v>
          </cell>
          <cell r="C4569" t="str">
            <v>NKZN338</v>
          </cell>
          <cell r="D4569">
            <v>8601004200567</v>
          </cell>
          <cell r="F4569" t="str">
            <v>Tidak</v>
          </cell>
          <cell r="G4569" t="str">
            <v>Tidak</v>
          </cell>
          <cell r="H4569" t="str">
            <v>Tidak</v>
          </cell>
          <cell r="I4569" t="str">
            <v>Bandar Judol Withdrawal</v>
          </cell>
          <cell r="J4569">
            <v>35</v>
          </cell>
          <cell r="K4569" t="str">
            <v>86,88,87</v>
          </cell>
          <cell r="L4569" t="str">
            <v>Judi Online</v>
          </cell>
          <cell r="M4569" t="str">
            <v xml:space="preserve">Kas Kanpus                              </v>
          </cell>
          <cell r="N4569" t="str">
            <v xml:space="preserve">Kas Kanpus                              </v>
          </cell>
          <cell r="O4569" t="str">
            <v xml:space="preserve">KAS KANPUS                              </v>
          </cell>
          <cell r="P4569" t="str">
            <v>Ya</v>
          </cell>
          <cell r="Q4569" t="str">
            <v>Tidak</v>
          </cell>
          <cell r="R4569" t="str">
            <v>Done</v>
          </cell>
          <cell r="S4569" t="str">
            <v>Approved</v>
          </cell>
          <cell r="T4569" t="str">
            <v>90185538 - Muhammad Fahikal Auz</v>
          </cell>
          <cell r="U4569" t="str">
            <v>"-"</v>
          </cell>
        </row>
        <row r="4570">
          <cell r="A4570">
            <v>46265</v>
          </cell>
          <cell r="B4570" t="str">
            <v xml:space="preserve">NUR OKTAVIANA                           </v>
          </cell>
          <cell r="C4570" t="str">
            <v>NKNS835</v>
          </cell>
          <cell r="D4570">
            <v>96301015846504</v>
          </cell>
          <cell r="F4570" t="str">
            <v>Tidak</v>
          </cell>
          <cell r="G4570" t="str">
            <v>Tidak</v>
          </cell>
          <cell r="H4570" t="str">
            <v>Tidak</v>
          </cell>
          <cell r="I4570" t="str">
            <v>Bandar Judol Withdrawal</v>
          </cell>
          <cell r="J4570">
            <v>35</v>
          </cell>
          <cell r="K4570" t="str">
            <v>86,88,87</v>
          </cell>
          <cell r="L4570" t="str">
            <v>Judi Online</v>
          </cell>
          <cell r="M4570" t="str">
            <v xml:space="preserve">Kas Kanpus                              </v>
          </cell>
          <cell r="N4570" t="str">
            <v xml:space="preserve">Kas Kanpus                              </v>
          </cell>
          <cell r="O4570" t="str">
            <v xml:space="preserve">KAS KANPUS                              </v>
          </cell>
          <cell r="P4570" t="str">
            <v>Ya</v>
          </cell>
          <cell r="Q4570" t="str">
            <v>Ya</v>
          </cell>
          <cell r="R4570" t="str">
            <v>Done</v>
          </cell>
          <cell r="S4570" t="str">
            <v>Approved</v>
          </cell>
          <cell r="T4570" t="str">
            <v>90185537 - Moh.Khoerul Fajar Ar</v>
          </cell>
          <cell r="U4570" t="str">
            <v>"-"</v>
          </cell>
        </row>
        <row r="4571">
          <cell r="A4571">
            <v>46265</v>
          </cell>
          <cell r="B4571" t="str">
            <v xml:space="preserve">NANDA SYAHPUTRA                         </v>
          </cell>
          <cell r="C4571" t="str">
            <v>NKOH313</v>
          </cell>
          <cell r="D4571">
            <v>33601033098538</v>
          </cell>
          <cell r="F4571" t="str">
            <v>Tidak</v>
          </cell>
          <cell r="G4571" t="str">
            <v>Tidak</v>
          </cell>
          <cell r="H4571" t="str">
            <v>Tidak</v>
          </cell>
          <cell r="I4571" t="str">
            <v>Bandar Judol Withdrawal</v>
          </cell>
          <cell r="J4571">
            <v>35</v>
          </cell>
          <cell r="K4571" t="str">
            <v>86,88,87</v>
          </cell>
          <cell r="L4571" t="str">
            <v>Judi Online</v>
          </cell>
          <cell r="M4571" t="str">
            <v xml:space="preserve">Kas Kanpus                              </v>
          </cell>
          <cell r="N4571" t="str">
            <v xml:space="preserve">Kas Kanpus                              </v>
          </cell>
          <cell r="O4571" t="str">
            <v xml:space="preserve">KAS KANPUS                              </v>
          </cell>
          <cell r="P4571" t="str">
            <v>Ya</v>
          </cell>
          <cell r="Q4571" t="str">
            <v>Ya</v>
          </cell>
          <cell r="R4571" t="str">
            <v>Done</v>
          </cell>
          <cell r="S4571" t="str">
            <v>Approved</v>
          </cell>
          <cell r="T4571" t="str">
            <v>00394521 - Muhammad Hibbanduta</v>
          </cell>
          <cell r="U4571" t="str">
            <v>"-"</v>
          </cell>
        </row>
        <row r="4572">
          <cell r="A4572">
            <v>46265</v>
          </cell>
          <cell r="B4572" t="str">
            <v xml:space="preserve">NI KETUT PUTRI DEWI                     </v>
          </cell>
          <cell r="C4572" t="str">
            <v>NKPG210</v>
          </cell>
          <cell r="D4572">
            <v>1701005179568</v>
          </cell>
          <cell r="F4572" t="str">
            <v>Tidak</v>
          </cell>
          <cell r="G4572" t="str">
            <v>Tidak</v>
          </cell>
          <cell r="H4572" t="str">
            <v>Tidak</v>
          </cell>
          <cell r="I4572" t="str">
            <v>Bandar Judol Withdrawal</v>
          </cell>
          <cell r="J4572">
            <v>35</v>
          </cell>
          <cell r="K4572" t="str">
            <v>86,88,87</v>
          </cell>
          <cell r="L4572" t="str">
            <v>Judi Online</v>
          </cell>
          <cell r="M4572" t="str">
            <v xml:space="preserve">Kas Kanpus                              </v>
          </cell>
          <cell r="N4572" t="str">
            <v xml:space="preserve">Kas Kanpus                              </v>
          </cell>
          <cell r="O4572" t="str">
            <v xml:space="preserve">KAS KANPUS                              </v>
          </cell>
          <cell r="P4572" t="str">
            <v>Ya</v>
          </cell>
          <cell r="Q4572" t="str">
            <v>Ya</v>
          </cell>
          <cell r="R4572" t="str">
            <v>Done</v>
          </cell>
          <cell r="S4572" t="str">
            <v>Approved</v>
          </cell>
          <cell r="T4572" t="str">
            <v>90171841 - Rifqi Aziz</v>
          </cell>
          <cell r="U4572" t="str">
            <v>"-"</v>
          </cell>
        </row>
        <row r="4573">
          <cell r="A4573">
            <v>46265</v>
          </cell>
          <cell r="B4573" t="str">
            <v xml:space="preserve">NUR AMELIA SAHPITRI                     </v>
          </cell>
          <cell r="C4573" t="str">
            <v>NKPZ165</v>
          </cell>
          <cell r="D4573">
            <v>134201003237506</v>
          </cell>
          <cell r="F4573" t="str">
            <v>Tidak</v>
          </cell>
          <cell r="G4573" t="str">
            <v>Tidak</v>
          </cell>
          <cell r="H4573" t="str">
            <v>Tidak</v>
          </cell>
          <cell r="I4573" t="str">
            <v>Bandar Judol Withdrawal</v>
          </cell>
          <cell r="J4573">
            <v>35</v>
          </cell>
          <cell r="K4573" t="str">
            <v>86,88,87</v>
          </cell>
          <cell r="L4573" t="str">
            <v>Judi Online</v>
          </cell>
          <cell r="M4573" t="str">
            <v xml:space="preserve">Kas Kanpus                              </v>
          </cell>
          <cell r="N4573" t="str">
            <v xml:space="preserve">Kas Kanpus                              </v>
          </cell>
          <cell r="O4573" t="str">
            <v xml:space="preserve">KAS KANPUS                              </v>
          </cell>
          <cell r="P4573" t="str">
            <v>Ya</v>
          </cell>
          <cell r="Q4573" t="str">
            <v>Ya</v>
          </cell>
          <cell r="R4573" t="str">
            <v>Done</v>
          </cell>
          <cell r="S4573" t="str">
            <v>Approved</v>
          </cell>
          <cell r="T4573" t="str">
            <v>90186790 - Muhammad Alfin Farha</v>
          </cell>
          <cell r="U4573" t="str">
            <v>"-"</v>
          </cell>
        </row>
        <row r="4574">
          <cell r="A4574">
            <v>46265</v>
          </cell>
          <cell r="B4574" t="str">
            <v xml:space="preserve">NENI MASNIAH                            </v>
          </cell>
          <cell r="C4574" t="str">
            <v>NKQZ530</v>
          </cell>
          <cell r="D4574">
            <v>113201000965567</v>
          </cell>
          <cell r="F4574" t="str">
            <v>Tidak</v>
          </cell>
          <cell r="G4574" t="str">
            <v>Tidak</v>
          </cell>
          <cell r="H4574" t="str">
            <v>Tidak</v>
          </cell>
          <cell r="I4574" t="str">
            <v>Bandar Judol Withdrawal</v>
          </cell>
          <cell r="J4574">
            <v>35</v>
          </cell>
          <cell r="K4574" t="str">
            <v>86,88,87</v>
          </cell>
          <cell r="L4574" t="str">
            <v>Judi Online</v>
          </cell>
          <cell r="M4574" t="str">
            <v xml:space="preserve">Kas Kanpus                              </v>
          </cell>
          <cell r="N4574" t="str">
            <v xml:space="preserve">Kas Kanpus                              </v>
          </cell>
          <cell r="O4574" t="str">
            <v xml:space="preserve">KAS KANPUS                              </v>
          </cell>
          <cell r="P4574" t="str">
            <v>Ya</v>
          </cell>
          <cell r="Q4574" t="str">
            <v>Ya</v>
          </cell>
          <cell r="R4574" t="str">
            <v>Done</v>
          </cell>
          <cell r="S4574" t="str">
            <v>Approved</v>
          </cell>
          <cell r="T4574" t="str">
            <v>90186790 - Muhammad Alfin Farha</v>
          </cell>
          <cell r="U4574" t="str">
            <v>"-"</v>
          </cell>
        </row>
        <row r="4575">
          <cell r="A4575">
            <v>46265</v>
          </cell>
          <cell r="B4575" t="str">
            <v xml:space="preserve">NURASMI                                 </v>
          </cell>
          <cell r="C4575" t="str">
            <v>NKRD514</v>
          </cell>
          <cell r="D4575">
            <v>23801091290506</v>
          </cell>
          <cell r="F4575" t="str">
            <v>Tidak</v>
          </cell>
          <cell r="G4575" t="str">
            <v>Tidak</v>
          </cell>
          <cell r="H4575" t="str">
            <v>Tidak</v>
          </cell>
          <cell r="I4575" t="str">
            <v>Bandar Judol Withdrawal</v>
          </cell>
          <cell r="J4575">
            <v>35</v>
          </cell>
          <cell r="K4575" t="str">
            <v>86,88,87</v>
          </cell>
          <cell r="L4575" t="str">
            <v>Judi Online</v>
          </cell>
          <cell r="M4575" t="str">
            <v xml:space="preserve">Kas Kanpus                              </v>
          </cell>
          <cell r="N4575" t="str">
            <v xml:space="preserve">Kas Kanpus                              </v>
          </cell>
          <cell r="O4575" t="str">
            <v xml:space="preserve">KAS KANPUS                              </v>
          </cell>
          <cell r="P4575" t="str">
            <v>Ya</v>
          </cell>
          <cell r="Q4575" t="str">
            <v>Ya</v>
          </cell>
          <cell r="R4575" t="str">
            <v>Done</v>
          </cell>
          <cell r="S4575" t="str">
            <v>Approved</v>
          </cell>
          <cell r="T4575" t="str">
            <v>00394520 - Frida Akbar Rani</v>
          </cell>
          <cell r="U4575" t="str">
            <v>"-"</v>
          </cell>
        </row>
        <row r="4576">
          <cell r="A4576">
            <v>46265</v>
          </cell>
          <cell r="B4576" t="str">
            <v xml:space="preserve">NAUFAL ZULRI DHARMA PUTRA               </v>
          </cell>
          <cell r="C4576" t="str">
            <v>NKRI874</v>
          </cell>
          <cell r="D4576">
            <v>43801003936568</v>
          </cell>
          <cell r="F4576" t="str">
            <v>Tidak</v>
          </cell>
          <cell r="G4576" t="str">
            <v>Tidak</v>
          </cell>
          <cell r="H4576" t="str">
            <v>Tidak</v>
          </cell>
          <cell r="I4576" t="str">
            <v>Bandar Judol Withdrawal</v>
          </cell>
          <cell r="J4576">
            <v>35</v>
          </cell>
          <cell r="K4576" t="str">
            <v>86,88,87</v>
          </cell>
          <cell r="L4576" t="str">
            <v>Judi Online</v>
          </cell>
          <cell r="M4576" t="str">
            <v xml:space="preserve">Kas Kanpus                              </v>
          </cell>
          <cell r="N4576" t="str">
            <v xml:space="preserve">Kas Kanpus                              </v>
          </cell>
          <cell r="O4576" t="str">
            <v xml:space="preserve">KAS KANPUS                              </v>
          </cell>
          <cell r="P4576" t="str">
            <v>Ya</v>
          </cell>
          <cell r="Q4576" t="str">
            <v>Ya</v>
          </cell>
          <cell r="R4576" t="str">
            <v>Done</v>
          </cell>
          <cell r="S4576" t="str">
            <v>Approved</v>
          </cell>
          <cell r="T4576" t="str">
            <v>90171841 - Rifqi Aziz</v>
          </cell>
          <cell r="U4576" t="str">
            <v>"-"</v>
          </cell>
        </row>
        <row r="4577">
          <cell r="A4577">
            <v>46265</v>
          </cell>
          <cell r="B4577" t="str">
            <v xml:space="preserve">NABILA AJENG NOER AMELIA                </v>
          </cell>
          <cell r="C4577" t="str">
            <v>NKRK229</v>
          </cell>
          <cell r="D4577">
            <v>50901005506566</v>
          </cell>
          <cell r="F4577" t="str">
            <v>Tidak</v>
          </cell>
          <cell r="G4577" t="str">
            <v>Tidak</v>
          </cell>
          <cell r="H4577" t="str">
            <v>Tidak</v>
          </cell>
          <cell r="I4577" t="str">
            <v>Bandar Judol Depo</v>
          </cell>
          <cell r="J4577">
            <v>35</v>
          </cell>
          <cell r="K4577" t="str">
            <v>86,74,87</v>
          </cell>
          <cell r="L4577" t="str">
            <v>Judi Online</v>
          </cell>
          <cell r="M4577" t="str">
            <v xml:space="preserve">Kas Kanpus                              </v>
          </cell>
          <cell r="N4577" t="str">
            <v xml:space="preserve">Kas Kanpus                              </v>
          </cell>
          <cell r="O4577" t="str">
            <v xml:space="preserve">KAS KANPUS                              </v>
          </cell>
          <cell r="P4577" t="str">
            <v>Ya</v>
          </cell>
          <cell r="Q4577" t="str">
            <v>Ya</v>
          </cell>
          <cell r="R4577" t="str">
            <v>Done</v>
          </cell>
          <cell r="S4577" t="str">
            <v>Approved</v>
          </cell>
          <cell r="T4577" t="str">
            <v>00394521 - Muhammad Hibbanduta</v>
          </cell>
          <cell r="U4577" t="str">
            <v>"-"</v>
          </cell>
        </row>
        <row r="4578">
          <cell r="A4578">
            <v>46265</v>
          </cell>
          <cell r="B4578" t="str">
            <v xml:space="preserve">NAILA SARI                              </v>
          </cell>
          <cell r="C4578" t="str">
            <v>NKGW999</v>
          </cell>
          <cell r="D4578">
            <v>59501000771565</v>
          </cell>
          <cell r="F4578" t="str">
            <v>Tidak</v>
          </cell>
          <cell r="G4578" t="str">
            <v>Tidak</v>
          </cell>
          <cell r="H4578" t="str">
            <v>Tidak</v>
          </cell>
          <cell r="I4578" t="str">
            <v>Bandar Judol Withdrawal</v>
          </cell>
          <cell r="J4578">
            <v>35</v>
          </cell>
          <cell r="K4578" t="str">
            <v>86,88,87</v>
          </cell>
          <cell r="L4578" t="str">
            <v>Judi Online</v>
          </cell>
          <cell r="M4578" t="str">
            <v xml:space="preserve">Kas Kanpus                              </v>
          </cell>
          <cell r="N4578" t="str">
            <v xml:space="preserve">Kas Kanpus                              </v>
          </cell>
          <cell r="O4578" t="str">
            <v xml:space="preserve">KAS KANPUS                              </v>
          </cell>
          <cell r="P4578" t="str">
            <v>Ya</v>
          </cell>
          <cell r="Q4578" t="str">
            <v>Ya</v>
          </cell>
          <cell r="R4578" t="str">
            <v>Done</v>
          </cell>
          <cell r="S4578" t="str">
            <v>Approved</v>
          </cell>
          <cell r="T4578" t="str">
            <v>90171841 - Rifqi Aziz</v>
          </cell>
          <cell r="U4578" t="str">
            <v>"-"</v>
          </cell>
        </row>
        <row r="4579">
          <cell r="A4579">
            <v>46265</v>
          </cell>
          <cell r="B4579" t="str">
            <v xml:space="preserve">NURSIFA FAUZIAH                         </v>
          </cell>
          <cell r="C4579" t="str">
            <v>NKJK934</v>
          </cell>
          <cell r="D4579">
            <v>330501006530509</v>
          </cell>
          <cell r="F4579" t="str">
            <v>Tidak</v>
          </cell>
          <cell r="G4579" t="str">
            <v>Tidak</v>
          </cell>
          <cell r="H4579" t="str">
            <v>Tidak</v>
          </cell>
          <cell r="I4579" t="str">
            <v>Bandar Judol Withdrawal</v>
          </cell>
          <cell r="J4579">
            <v>35</v>
          </cell>
          <cell r="K4579" t="str">
            <v>86,88,87</v>
          </cell>
          <cell r="L4579" t="str">
            <v>Judi Online</v>
          </cell>
          <cell r="M4579" t="str">
            <v xml:space="preserve">Kas Kanpus                              </v>
          </cell>
          <cell r="N4579" t="str">
            <v xml:space="preserve">Kas Kanpus                              </v>
          </cell>
          <cell r="O4579" t="str">
            <v xml:space="preserve">KAS KANPUS                              </v>
          </cell>
          <cell r="P4579" t="str">
            <v>Ya</v>
          </cell>
          <cell r="Q4579" t="str">
            <v>Ya</v>
          </cell>
          <cell r="R4579" t="str">
            <v>Done</v>
          </cell>
          <cell r="S4579" t="str">
            <v>Approved</v>
          </cell>
          <cell r="T4579" t="str">
            <v>90150130 - Intan Aida Pratiwi</v>
          </cell>
          <cell r="U4579" t="str">
            <v>"-"</v>
          </cell>
        </row>
        <row r="4580">
          <cell r="A4580">
            <v>46265</v>
          </cell>
          <cell r="B4580" t="str">
            <v xml:space="preserve">NURDIAH                                 </v>
          </cell>
          <cell r="C4580" t="str">
            <v>NJWW164</v>
          </cell>
          <cell r="D4580">
            <v>43701002634567</v>
          </cell>
          <cell r="E4580" t="str">
            <v>SEDANG</v>
          </cell>
          <cell r="F4580" t="str">
            <v>Tidak</v>
          </cell>
          <cell r="G4580" t="str">
            <v>Tidak</v>
          </cell>
          <cell r="H4580" t="str">
            <v>Tidak</v>
          </cell>
          <cell r="I4580" t="str">
            <v>Bandar Judol Depo</v>
          </cell>
          <cell r="J4580">
            <v>50</v>
          </cell>
          <cell r="K4580" t="str">
            <v>86,74,87</v>
          </cell>
          <cell r="L4580" t="str">
            <v>Judi Online</v>
          </cell>
          <cell r="M4580" t="str">
            <v xml:space="preserve">Kas Kanpus                              </v>
          </cell>
          <cell r="N4580" t="str">
            <v xml:space="preserve">Kas Kanpus                              </v>
          </cell>
          <cell r="O4580" t="str">
            <v xml:space="preserve">KAS KANPUS                              </v>
          </cell>
          <cell r="P4580" t="str">
            <v>Ya</v>
          </cell>
          <cell r="Q4580" t="str">
            <v>Ya</v>
          </cell>
          <cell r="R4580" t="str">
            <v>Done</v>
          </cell>
          <cell r="S4580" t="str">
            <v>Approved</v>
          </cell>
          <cell r="T4580" t="str">
            <v>90186796 - Devito Arya Wiradila</v>
          </cell>
          <cell r="U4580" t="str">
            <v>"-"</v>
          </cell>
        </row>
        <row r="4581">
          <cell r="A4581">
            <v>46265</v>
          </cell>
          <cell r="B4581" t="str">
            <v xml:space="preserve">NUUR JANNAH HASAN                       </v>
          </cell>
          <cell r="C4581" t="str">
            <v>NJX1948</v>
          </cell>
          <cell r="D4581">
            <v>810201008808531</v>
          </cell>
          <cell r="E4581" t="str">
            <v>TINGGI</v>
          </cell>
          <cell r="F4581" t="str">
            <v>Tidak</v>
          </cell>
          <cell r="G4581" t="str">
            <v>Tidak</v>
          </cell>
          <cell r="H4581" t="str">
            <v>Tidak</v>
          </cell>
          <cell r="I4581" t="str">
            <v>Terorisme - SIPENDAR</v>
          </cell>
          <cell r="J4581">
            <v>185</v>
          </cell>
          <cell r="K4581">
            <v>36</v>
          </cell>
          <cell r="L4581" t="str">
            <v>Terorisme</v>
          </cell>
          <cell r="M4581" t="str">
            <v xml:space="preserve">Kas Kanpus                              </v>
          </cell>
          <cell r="N4581" t="str">
            <v xml:space="preserve">Kas Kanpus                              </v>
          </cell>
          <cell r="O4581" t="str">
            <v xml:space="preserve">KAS KANPUS                              </v>
          </cell>
          <cell r="P4581" t="str">
            <v>Ya</v>
          </cell>
          <cell r="Q4581" t="str">
            <v>Tidak</v>
          </cell>
          <cell r="R4581" t="str">
            <v>Done</v>
          </cell>
          <cell r="S4581" t="str">
            <v>Approved</v>
          </cell>
          <cell r="T4581" t="str">
            <v>00336949 - Mochammad Al Farabi</v>
          </cell>
          <cell r="U4581" t="str">
            <v>"-"</v>
          </cell>
        </row>
        <row r="4582">
          <cell r="A4582">
            <v>46265</v>
          </cell>
          <cell r="B4582" t="str">
            <v xml:space="preserve">NAISA ARMELIANI                         </v>
          </cell>
          <cell r="C4582" t="str">
            <v>NJXD866</v>
          </cell>
          <cell r="D4582">
            <v>113201018089509</v>
          </cell>
          <cell r="F4582" t="str">
            <v>Tidak</v>
          </cell>
          <cell r="G4582" t="str">
            <v>Tidak</v>
          </cell>
          <cell r="H4582" t="str">
            <v>Tidak</v>
          </cell>
          <cell r="I4582" t="str">
            <v>Bandar Judol Withdrawal</v>
          </cell>
          <cell r="J4582">
            <v>35</v>
          </cell>
          <cell r="K4582" t="str">
            <v>86,88,87</v>
          </cell>
          <cell r="L4582" t="str">
            <v>Judi Online</v>
          </cell>
          <cell r="M4582" t="str">
            <v xml:space="preserve">Kas Kanpus                              </v>
          </cell>
          <cell r="N4582" t="str">
            <v xml:space="preserve">Kas Kanpus                              </v>
          </cell>
          <cell r="O4582" t="str">
            <v xml:space="preserve">KAS KANPUS                              </v>
          </cell>
          <cell r="P4582" t="str">
            <v>Ya</v>
          </cell>
          <cell r="Q4582" t="str">
            <v>Ya</v>
          </cell>
          <cell r="R4582" t="str">
            <v>Done</v>
          </cell>
          <cell r="S4582" t="str">
            <v>Approved</v>
          </cell>
          <cell r="T4582" t="str">
            <v>90150130 - Intan Aida Pratiwi</v>
          </cell>
          <cell r="U4582" t="str">
            <v>"-"</v>
          </cell>
        </row>
        <row r="4583">
          <cell r="A4583">
            <v>46265</v>
          </cell>
          <cell r="B4583" t="str">
            <v xml:space="preserve">NANDANG                                 </v>
          </cell>
          <cell r="C4583" t="str">
            <v>NKCY979</v>
          </cell>
          <cell r="D4583">
            <v>98801025115509</v>
          </cell>
          <cell r="F4583" t="str">
            <v>Tidak</v>
          </cell>
          <cell r="G4583" t="str">
            <v>Tidak</v>
          </cell>
          <cell r="H4583" t="str">
            <v>Tidak</v>
          </cell>
          <cell r="I4583" t="str">
            <v>Bandar Judol Withdrawal</v>
          </cell>
          <cell r="J4583">
            <v>35</v>
          </cell>
          <cell r="K4583" t="str">
            <v>86,88,87</v>
          </cell>
          <cell r="L4583" t="str">
            <v>Judi Online</v>
          </cell>
          <cell r="M4583" t="str">
            <v xml:space="preserve">Kas Kanpus                              </v>
          </cell>
          <cell r="N4583" t="str">
            <v xml:space="preserve">Kas Kanpus                              </v>
          </cell>
          <cell r="O4583" t="str">
            <v xml:space="preserve">KAS KANPUS                              </v>
          </cell>
          <cell r="P4583" t="str">
            <v>Tidak</v>
          </cell>
          <cell r="Q4583" t="str">
            <v>Ya</v>
          </cell>
          <cell r="R4583" t="str">
            <v>Done</v>
          </cell>
          <cell r="S4583" t="str">
            <v>Approved</v>
          </cell>
          <cell r="T4583" t="str">
            <v>90150130 - Intan Aida Pratiwi</v>
          </cell>
          <cell r="U4583" t="str">
            <v>"-"</v>
          </cell>
        </row>
        <row r="4584">
          <cell r="A4584">
            <v>46265</v>
          </cell>
          <cell r="B4584" t="str">
            <v xml:space="preserve">NENGSIH MANUAIN                         </v>
          </cell>
          <cell r="C4584" t="str">
            <v>NJQH517</v>
          </cell>
          <cell r="D4584">
            <v>114501024167502</v>
          </cell>
          <cell r="E4584" t="str">
            <v>SEDANG</v>
          </cell>
          <cell r="F4584" t="str">
            <v>Tidak</v>
          </cell>
          <cell r="G4584" t="str">
            <v>Tidak</v>
          </cell>
          <cell r="H4584" t="str">
            <v>Tidak</v>
          </cell>
          <cell r="I4584" t="str">
            <v>Bandar Judol Withdrawal</v>
          </cell>
          <cell r="J4584">
            <v>50</v>
          </cell>
          <cell r="K4584" t="str">
            <v>86,88,87</v>
          </cell>
          <cell r="L4584" t="str">
            <v>Judi Online</v>
          </cell>
          <cell r="M4584" t="str">
            <v xml:space="preserve">Kas Kanpus                              </v>
          </cell>
          <cell r="N4584" t="str">
            <v xml:space="preserve">Kas Kanpus                              </v>
          </cell>
          <cell r="O4584" t="str">
            <v xml:space="preserve">KAS KANPUS                              </v>
          </cell>
          <cell r="P4584" t="str">
            <v>Ya</v>
          </cell>
          <cell r="Q4584" t="str">
            <v>Ya</v>
          </cell>
          <cell r="R4584" t="str">
            <v>Done</v>
          </cell>
          <cell r="S4584" t="str">
            <v>Approved</v>
          </cell>
          <cell r="T4584" t="str">
            <v>90171841 - Rifqi Aziz</v>
          </cell>
          <cell r="U4584" t="str">
            <v>"-"</v>
          </cell>
        </row>
        <row r="4585">
          <cell r="A4585">
            <v>46265</v>
          </cell>
          <cell r="B4585" t="str">
            <v xml:space="preserve">NAUFAL ARDIAN NUGROHO                   </v>
          </cell>
          <cell r="C4585" t="str">
            <v>NJSE757</v>
          </cell>
          <cell r="D4585">
            <v>65101021827501</v>
          </cell>
          <cell r="E4585" t="str">
            <v>SEDANG</v>
          </cell>
          <cell r="F4585" t="str">
            <v>Tidak</v>
          </cell>
          <cell r="G4585" t="str">
            <v>Tidak</v>
          </cell>
          <cell r="H4585" t="str">
            <v>Tidak</v>
          </cell>
          <cell r="I4585" t="str">
            <v>Bandar Judol Withdrawal</v>
          </cell>
          <cell r="J4585">
            <v>50</v>
          </cell>
          <cell r="K4585" t="str">
            <v>86,88,87</v>
          </cell>
          <cell r="L4585" t="str">
            <v>Judi Online</v>
          </cell>
          <cell r="M4585" t="str">
            <v xml:space="preserve">Kas Kanpus                              </v>
          </cell>
          <cell r="N4585" t="str">
            <v xml:space="preserve">Kas Kanpus                              </v>
          </cell>
          <cell r="O4585" t="str">
            <v xml:space="preserve">KAS KANPUS                              </v>
          </cell>
          <cell r="P4585" t="str">
            <v>Ya</v>
          </cell>
          <cell r="Q4585" t="str">
            <v>Ya</v>
          </cell>
          <cell r="R4585" t="str">
            <v>Done</v>
          </cell>
          <cell r="S4585" t="str">
            <v>Approved</v>
          </cell>
          <cell r="T4585" t="str">
            <v>90185537 - Moh.Khoerul Fajar Ar</v>
          </cell>
          <cell r="U4585" t="str">
            <v>"-"</v>
          </cell>
        </row>
        <row r="4586">
          <cell r="A4586">
            <v>46265</v>
          </cell>
          <cell r="B4586" t="str">
            <v xml:space="preserve">NATASYA ELISABETH WIJAYA                </v>
          </cell>
          <cell r="C4586" t="str">
            <v>NJUE318</v>
          </cell>
          <cell r="D4586">
            <v>384901000069566</v>
          </cell>
          <cell r="E4586" t="str">
            <v>SEDANG</v>
          </cell>
          <cell r="F4586" t="str">
            <v>Tidak</v>
          </cell>
          <cell r="G4586" t="str">
            <v>Tidak</v>
          </cell>
          <cell r="H4586" t="str">
            <v>Tidak</v>
          </cell>
          <cell r="I4586" t="str">
            <v>Bandar Judol Withdrawal</v>
          </cell>
          <cell r="J4586">
            <v>50</v>
          </cell>
          <cell r="K4586" t="str">
            <v>86,88,87</v>
          </cell>
          <cell r="L4586" t="str">
            <v>Judi Online</v>
          </cell>
          <cell r="M4586" t="str">
            <v xml:space="preserve">Kas Kanpus                              </v>
          </cell>
          <cell r="N4586" t="str">
            <v xml:space="preserve">Kas Kanpus                              </v>
          </cell>
          <cell r="O4586" t="str">
            <v xml:space="preserve">KAS KANPUS                              </v>
          </cell>
          <cell r="P4586" t="str">
            <v>Ya</v>
          </cell>
          <cell r="Q4586" t="str">
            <v>Tidak</v>
          </cell>
          <cell r="R4586" t="str">
            <v>Done</v>
          </cell>
          <cell r="S4586" t="str">
            <v>Approved</v>
          </cell>
          <cell r="T4586" t="str">
            <v>00336949 - Mochammad Al Farabi</v>
          </cell>
          <cell r="U4586" t="str">
            <v>"-"</v>
          </cell>
        </row>
        <row r="4587">
          <cell r="A4587">
            <v>46265</v>
          </cell>
          <cell r="B4587" t="str">
            <v xml:space="preserve">NARSI AYU LESTARI                       </v>
          </cell>
          <cell r="C4587" t="str">
            <v>NJA5019</v>
          </cell>
          <cell r="D4587">
            <v>34301008889533</v>
          </cell>
          <cell r="E4587" t="str">
            <v>SEDANG</v>
          </cell>
          <cell r="F4587" t="str">
            <v>Tidak</v>
          </cell>
          <cell r="G4587" t="str">
            <v>Tidak</v>
          </cell>
          <cell r="I4587" t="str">
            <v>Transaksi Agen BRILink terindikasi Judi Online</v>
          </cell>
          <cell r="J4587">
            <v>50</v>
          </cell>
          <cell r="K4587">
            <v>105</v>
          </cell>
          <cell r="L4587" t="str">
            <v>Agen BRILink</v>
          </cell>
          <cell r="M4587" t="str">
            <v xml:space="preserve">Kas Kanpus                              </v>
          </cell>
          <cell r="N4587" t="str">
            <v xml:space="preserve">Kas Kanpus                              </v>
          </cell>
          <cell r="O4587" t="str">
            <v xml:space="preserve">KAS KANPUS                              </v>
          </cell>
          <cell r="P4587" t="str">
            <v>Tidak</v>
          </cell>
          <cell r="Q4587" t="str">
            <v>Tidak</v>
          </cell>
          <cell r="R4587" t="str">
            <v>Done</v>
          </cell>
          <cell r="S4587" t="str">
            <v>Approved</v>
          </cell>
          <cell r="T4587" t="str">
            <v>90185537 - Moh.Khoerul Fajar Ar</v>
          </cell>
          <cell r="U4587" t="str">
            <v>"-"</v>
          </cell>
        </row>
        <row r="4588">
          <cell r="A4588">
            <v>46265</v>
          </cell>
          <cell r="B4588" t="str">
            <v xml:space="preserve">NUR MUHAMMAD RAFLI                      </v>
          </cell>
          <cell r="C4588" t="str">
            <v>NJAM720</v>
          </cell>
          <cell r="D4588">
            <v>13901002761562</v>
          </cell>
          <cell r="E4588" t="str">
            <v>SEDANG</v>
          </cell>
          <cell r="F4588" t="str">
            <v>Tidak</v>
          </cell>
          <cell r="G4588" t="str">
            <v>Tidak</v>
          </cell>
          <cell r="H4588" t="str">
            <v>Tidak</v>
          </cell>
          <cell r="I4588" t="str">
            <v>Bandar Judol Withdrawal</v>
          </cell>
          <cell r="J4588">
            <v>50</v>
          </cell>
          <cell r="K4588" t="str">
            <v>86,88,87</v>
          </cell>
          <cell r="L4588" t="str">
            <v>Judi Online</v>
          </cell>
          <cell r="M4588" t="str">
            <v xml:space="preserve">Kas Kanpus                              </v>
          </cell>
          <cell r="N4588" t="str">
            <v xml:space="preserve">Kas Kanpus                              </v>
          </cell>
          <cell r="O4588" t="str">
            <v xml:space="preserve">KAS KANPUS                              </v>
          </cell>
          <cell r="P4588" t="str">
            <v>Ya</v>
          </cell>
          <cell r="Q4588" t="str">
            <v>Tidak</v>
          </cell>
          <cell r="R4588" t="str">
            <v>Done</v>
          </cell>
          <cell r="S4588" t="str">
            <v>Approved</v>
          </cell>
          <cell r="T4588" t="str">
            <v>00394521 - Muhammad Hibbanduta</v>
          </cell>
          <cell r="U4588" t="str">
            <v>"-"</v>
          </cell>
        </row>
        <row r="4589">
          <cell r="A4589">
            <v>46265</v>
          </cell>
          <cell r="B4589" t="str">
            <v xml:space="preserve">NUR FADILAH                             </v>
          </cell>
          <cell r="C4589" t="str">
            <v>NLEI398</v>
          </cell>
          <cell r="D4589">
            <v>324901018378503</v>
          </cell>
          <cell r="F4589" t="str">
            <v>Tidak</v>
          </cell>
          <cell r="G4589" t="str">
            <v>Tidak</v>
          </cell>
          <cell r="H4589" t="str">
            <v>Tidak</v>
          </cell>
          <cell r="I4589" t="str">
            <v>Bandar Judol Depo</v>
          </cell>
          <cell r="J4589">
            <v>35</v>
          </cell>
          <cell r="K4589" t="str">
            <v>86,74,87</v>
          </cell>
          <cell r="L4589" t="str">
            <v>Judi Online</v>
          </cell>
          <cell r="M4589" t="str">
            <v xml:space="preserve">Kas Kanpus                              </v>
          </cell>
          <cell r="N4589" t="str">
            <v xml:space="preserve">Kas Kanpus                              </v>
          </cell>
          <cell r="O4589" t="str">
            <v xml:space="preserve">KAS KANPUS                              </v>
          </cell>
          <cell r="P4589" t="str">
            <v>Ya</v>
          </cell>
          <cell r="Q4589" t="str">
            <v>Ya</v>
          </cell>
          <cell r="R4589" t="str">
            <v>Done</v>
          </cell>
          <cell r="S4589" t="str">
            <v>Approved</v>
          </cell>
          <cell r="T4589" t="str">
            <v>00394521 - Muhammad Hibbanduta</v>
          </cell>
          <cell r="U4589" t="str">
            <v>"-"</v>
          </cell>
        </row>
        <row r="4590">
          <cell r="A4590">
            <v>46265</v>
          </cell>
          <cell r="B4590" t="str">
            <v xml:space="preserve">NUR ISDA RAINI                          </v>
          </cell>
          <cell r="C4590" t="str">
            <v>NLF2040</v>
          </cell>
          <cell r="D4590">
            <v>207201000841560</v>
          </cell>
          <cell r="E4590" t="str">
            <v>SEDANG</v>
          </cell>
          <cell r="F4590" t="str">
            <v>Tidak</v>
          </cell>
          <cell r="G4590" t="str">
            <v>Tidak</v>
          </cell>
          <cell r="H4590" t="str">
            <v>Tidak</v>
          </cell>
          <cell r="I4590" t="str">
            <v>Bandar Judol Withdrawal</v>
          </cell>
          <cell r="J4590">
            <v>50</v>
          </cell>
          <cell r="K4590" t="str">
            <v>86,88,87</v>
          </cell>
          <cell r="L4590" t="str">
            <v>Judi Online</v>
          </cell>
          <cell r="M4590" t="str">
            <v xml:space="preserve">Kas Kanpus                              </v>
          </cell>
          <cell r="N4590" t="str">
            <v xml:space="preserve">Kas Kanpus                              </v>
          </cell>
          <cell r="O4590" t="str">
            <v xml:space="preserve">KAS KANPUS                              </v>
          </cell>
          <cell r="P4590" t="str">
            <v>Ya</v>
          </cell>
          <cell r="Q4590" t="str">
            <v>Ya</v>
          </cell>
          <cell r="R4590" t="str">
            <v>Done</v>
          </cell>
          <cell r="S4590" t="str">
            <v>Approved</v>
          </cell>
          <cell r="T4590" t="str">
            <v>90171841 - Rifqi Aziz</v>
          </cell>
          <cell r="U4590" t="str">
            <v>"-"</v>
          </cell>
        </row>
        <row r="4591">
          <cell r="A4591">
            <v>46265</v>
          </cell>
          <cell r="B4591" t="str">
            <v xml:space="preserve">NOVLERY TAKKAS C HUTAPEA                </v>
          </cell>
          <cell r="C4591" t="str">
            <v>NLGO629</v>
          </cell>
          <cell r="D4591">
            <v>334201000249566</v>
          </cell>
          <cell r="F4591" t="str">
            <v>Tidak</v>
          </cell>
          <cell r="G4591" t="str">
            <v>Tidak</v>
          </cell>
          <cell r="H4591" t="str">
            <v>Tidak</v>
          </cell>
          <cell r="I4591" t="str">
            <v>Bandar Judol Withdrawal</v>
          </cell>
          <cell r="J4591">
            <v>35</v>
          </cell>
          <cell r="K4591" t="str">
            <v>86,88,87</v>
          </cell>
          <cell r="L4591" t="str">
            <v>Judi Online</v>
          </cell>
          <cell r="M4591" t="str">
            <v xml:space="preserve">Kas Kanpus                              </v>
          </cell>
          <cell r="N4591" t="str">
            <v xml:space="preserve">Kas Kanpus                              </v>
          </cell>
          <cell r="O4591" t="str">
            <v xml:space="preserve">KAS KANPUS                              </v>
          </cell>
          <cell r="P4591" t="str">
            <v>Ya</v>
          </cell>
          <cell r="Q4591" t="str">
            <v>Ya</v>
          </cell>
          <cell r="R4591" t="str">
            <v>Done</v>
          </cell>
          <cell r="S4591" t="str">
            <v>Approved</v>
          </cell>
          <cell r="T4591" t="str">
            <v>90185537 - Moh.Khoerul Fajar Ar</v>
          </cell>
          <cell r="U4591" t="str">
            <v>"-"</v>
          </cell>
        </row>
        <row r="4592">
          <cell r="A4592">
            <v>46265</v>
          </cell>
          <cell r="B4592" t="str">
            <v xml:space="preserve">NOVITA LIA SAKILA NASUTION              </v>
          </cell>
          <cell r="C4592" t="str">
            <v>NLGP419</v>
          </cell>
          <cell r="D4592">
            <v>173101008754508</v>
          </cell>
          <cell r="F4592" t="str">
            <v>Tidak</v>
          </cell>
          <cell r="G4592" t="str">
            <v>Tidak</v>
          </cell>
          <cell r="H4592" t="str">
            <v>Tidak</v>
          </cell>
          <cell r="I4592" t="str">
            <v>Bandar Judol Withdrawal</v>
          </cell>
          <cell r="J4592">
            <v>35</v>
          </cell>
          <cell r="K4592" t="str">
            <v>86,88,87</v>
          </cell>
          <cell r="L4592" t="str">
            <v>Judi Online</v>
          </cell>
          <cell r="M4592" t="str">
            <v xml:space="preserve">Kas Kanpus                              </v>
          </cell>
          <cell r="N4592" t="str">
            <v xml:space="preserve">Kas Kanpus                              </v>
          </cell>
          <cell r="O4592" t="str">
            <v xml:space="preserve">KAS KANPUS                              </v>
          </cell>
          <cell r="P4592" t="str">
            <v>Ya</v>
          </cell>
          <cell r="Q4592" t="str">
            <v>Tidak</v>
          </cell>
          <cell r="R4592" t="str">
            <v>Done</v>
          </cell>
          <cell r="S4592" t="str">
            <v>Approved</v>
          </cell>
          <cell r="T4592" t="str">
            <v>90150130 - Intan Aida Pratiwi</v>
          </cell>
          <cell r="U4592" t="str">
            <v>"-"</v>
          </cell>
        </row>
        <row r="4593">
          <cell r="A4593">
            <v>46265</v>
          </cell>
          <cell r="B4593" t="str">
            <v xml:space="preserve">NURHAYATI                               </v>
          </cell>
          <cell r="C4593" t="str">
            <v>NLKD284</v>
          </cell>
          <cell r="D4593">
            <v>17901058112501</v>
          </cell>
          <cell r="F4593" t="str">
            <v>Tidak</v>
          </cell>
          <cell r="G4593" t="str">
            <v>Tidak</v>
          </cell>
          <cell r="H4593" t="str">
            <v>Tidak</v>
          </cell>
          <cell r="I4593" t="str">
            <v>Bandar Judol Withdrawal</v>
          </cell>
          <cell r="J4593">
            <v>35</v>
          </cell>
          <cell r="K4593" t="str">
            <v>86,88,87</v>
          </cell>
          <cell r="L4593" t="str">
            <v>Judi Online</v>
          </cell>
          <cell r="M4593" t="str">
            <v xml:space="preserve">Kas Kanpus                              </v>
          </cell>
          <cell r="N4593" t="str">
            <v xml:space="preserve">Kas Kanpus                              </v>
          </cell>
          <cell r="O4593" t="str">
            <v xml:space="preserve">KAS KANPUS                              </v>
          </cell>
          <cell r="P4593" t="str">
            <v>Ya</v>
          </cell>
          <cell r="Q4593" t="str">
            <v>Tidak</v>
          </cell>
          <cell r="R4593" t="str">
            <v>Done</v>
          </cell>
          <cell r="S4593" t="str">
            <v>Approved</v>
          </cell>
          <cell r="T4593" t="str">
            <v>90150130 - Intan Aida Pratiwi</v>
          </cell>
          <cell r="U4593" t="str">
            <v>"-"</v>
          </cell>
        </row>
        <row r="4594">
          <cell r="A4594">
            <v>46265</v>
          </cell>
          <cell r="B4594" t="str">
            <v xml:space="preserve">NORMAYANTI                              </v>
          </cell>
          <cell r="C4594" t="str">
            <v>NLII631</v>
          </cell>
          <cell r="D4594">
            <v>83901007811504</v>
          </cell>
          <cell r="F4594" t="str">
            <v>Tidak</v>
          </cell>
          <cell r="G4594" t="str">
            <v>Tidak</v>
          </cell>
          <cell r="H4594" t="str">
            <v>Tidak</v>
          </cell>
          <cell r="I4594" t="str">
            <v>Bandar Judol Withdrawal</v>
          </cell>
          <cell r="J4594">
            <v>35</v>
          </cell>
          <cell r="K4594" t="str">
            <v>86,88,87</v>
          </cell>
          <cell r="L4594" t="str">
            <v>Judi Online</v>
          </cell>
          <cell r="M4594" t="str">
            <v xml:space="preserve">Kas Kanpus                              </v>
          </cell>
          <cell r="N4594" t="str">
            <v xml:space="preserve">Kas Kanpus                              </v>
          </cell>
          <cell r="O4594" t="str">
            <v xml:space="preserve">KAS KANPUS                              </v>
          </cell>
          <cell r="P4594" t="str">
            <v>Ya</v>
          </cell>
          <cell r="Q4594" t="str">
            <v>Ya</v>
          </cell>
          <cell r="R4594" t="str">
            <v>Done</v>
          </cell>
          <cell r="S4594" t="str">
            <v>Approved</v>
          </cell>
          <cell r="T4594" t="str">
            <v>90150130 - Intan Aida Pratiwi</v>
          </cell>
          <cell r="U4594" t="str">
            <v>"-"</v>
          </cell>
        </row>
        <row r="4595">
          <cell r="A4595">
            <v>46265</v>
          </cell>
          <cell r="B4595" t="str">
            <v xml:space="preserve">NITA RIZKI AMALIAH                      </v>
          </cell>
          <cell r="C4595" t="str">
            <v>NLOD060</v>
          </cell>
          <cell r="D4595">
            <v>385401006483509</v>
          </cell>
          <cell r="F4595" t="str">
            <v>Tidak</v>
          </cell>
          <cell r="G4595" t="str">
            <v>Tidak</v>
          </cell>
          <cell r="H4595" t="str">
            <v>Tidak</v>
          </cell>
          <cell r="I4595" t="str">
            <v>Bandar Judol Withdrawal</v>
          </cell>
          <cell r="J4595">
            <v>35</v>
          </cell>
          <cell r="K4595" t="str">
            <v>86,88,87</v>
          </cell>
          <cell r="L4595" t="str">
            <v>Judi Online</v>
          </cell>
          <cell r="M4595" t="str">
            <v xml:space="preserve">Kas Kanpus                              </v>
          </cell>
          <cell r="N4595" t="str">
            <v xml:space="preserve">Kas Kanpus                              </v>
          </cell>
          <cell r="O4595" t="str">
            <v xml:space="preserve">KAS KANPUS                              </v>
          </cell>
          <cell r="P4595" t="str">
            <v>Ya</v>
          </cell>
          <cell r="Q4595" t="str">
            <v>Ya</v>
          </cell>
          <cell r="R4595" t="str">
            <v>Done</v>
          </cell>
          <cell r="S4595" t="str">
            <v>Approved</v>
          </cell>
          <cell r="T4595" t="str">
            <v>90171841 - Rifqi Aziz</v>
          </cell>
          <cell r="U4595" t="str">
            <v>"-"</v>
          </cell>
        </row>
        <row r="4596">
          <cell r="A4596">
            <v>46265</v>
          </cell>
          <cell r="B4596" t="str">
            <v xml:space="preserve">NURJANAH                                </v>
          </cell>
          <cell r="C4596" t="str">
            <v>NLWO101</v>
          </cell>
          <cell r="D4596">
            <v>82701048085505</v>
          </cell>
          <cell r="F4596" t="str">
            <v>Tidak</v>
          </cell>
          <cell r="G4596" t="str">
            <v>Tidak</v>
          </cell>
          <cell r="H4596" t="str">
            <v>Tidak</v>
          </cell>
          <cell r="I4596" t="str">
            <v>Bandar Judol Withdrawal</v>
          </cell>
          <cell r="J4596">
            <v>35</v>
          </cell>
          <cell r="K4596" t="str">
            <v>86,88,87</v>
          </cell>
          <cell r="L4596" t="str">
            <v>Judi Online</v>
          </cell>
          <cell r="M4596" t="str">
            <v xml:space="preserve">Kas Kanpus                              </v>
          </cell>
          <cell r="N4596" t="str">
            <v xml:space="preserve">Kas Kanpus                              </v>
          </cell>
          <cell r="O4596" t="str">
            <v xml:space="preserve">KAS KANPUS                              </v>
          </cell>
          <cell r="P4596" t="str">
            <v>Ya</v>
          </cell>
          <cell r="Q4596" t="str">
            <v>Ya</v>
          </cell>
          <cell r="R4596" t="str">
            <v>Done</v>
          </cell>
          <cell r="S4596" t="str">
            <v>Approved</v>
          </cell>
          <cell r="T4596" t="str">
            <v>00394520 - Frida Akbar Rani</v>
          </cell>
          <cell r="U4596" t="str">
            <v>"-"</v>
          </cell>
        </row>
        <row r="4597">
          <cell r="A4597">
            <v>46265</v>
          </cell>
          <cell r="B4597" t="str">
            <v xml:space="preserve">NUROHMAT                                </v>
          </cell>
          <cell r="C4597" t="str">
            <v>NLXH316</v>
          </cell>
          <cell r="D4597">
            <v>331001002166505</v>
          </cell>
          <cell r="F4597" t="str">
            <v>Tidak</v>
          </cell>
          <cell r="G4597" t="str">
            <v>Tidak</v>
          </cell>
          <cell r="H4597" t="str">
            <v>Tidak</v>
          </cell>
          <cell r="I4597" t="str">
            <v>Bandar Judol Withdrawal</v>
          </cell>
          <cell r="J4597">
            <v>35</v>
          </cell>
          <cell r="K4597" t="str">
            <v>86,88,87</v>
          </cell>
          <cell r="L4597" t="str">
            <v>Judi Online</v>
          </cell>
          <cell r="M4597" t="str">
            <v xml:space="preserve">Kas Kanpus                              </v>
          </cell>
          <cell r="N4597" t="str">
            <v xml:space="preserve">Kas Kanpus                              </v>
          </cell>
          <cell r="O4597" t="str">
            <v xml:space="preserve">KAS KANPUS                              </v>
          </cell>
          <cell r="P4597" t="str">
            <v>Ya</v>
          </cell>
          <cell r="Q4597" t="str">
            <v>Ya</v>
          </cell>
          <cell r="R4597" t="str">
            <v>Done</v>
          </cell>
          <cell r="S4597" t="str">
            <v>Approved</v>
          </cell>
          <cell r="T4597" t="str">
            <v>00336949 - Mochammad Al Farabi</v>
          </cell>
          <cell r="U4597" t="str">
            <v>"-"</v>
          </cell>
        </row>
        <row r="4598">
          <cell r="A4598">
            <v>46265</v>
          </cell>
          <cell r="B4598" t="str">
            <v xml:space="preserve">NANDA KHAERUDIN                         </v>
          </cell>
          <cell r="C4598" t="str">
            <v>NLXH530</v>
          </cell>
          <cell r="D4598">
            <v>330901004774501</v>
          </cell>
          <cell r="F4598" t="str">
            <v>Tidak</v>
          </cell>
          <cell r="G4598" t="str">
            <v>Tidak</v>
          </cell>
          <cell r="H4598" t="str">
            <v>Tidak</v>
          </cell>
          <cell r="I4598" t="str">
            <v>Bandar Judol Withdrawal</v>
          </cell>
          <cell r="J4598">
            <v>35</v>
          </cell>
          <cell r="K4598" t="str">
            <v>86,88,87</v>
          </cell>
          <cell r="L4598" t="str">
            <v>Judi Online</v>
          </cell>
          <cell r="M4598" t="str">
            <v xml:space="preserve">Kas Kanpus                              </v>
          </cell>
          <cell r="N4598" t="str">
            <v xml:space="preserve">Kas Kanpus                              </v>
          </cell>
          <cell r="O4598" t="str">
            <v xml:space="preserve">KAS KANPUS                              </v>
          </cell>
          <cell r="P4598" t="str">
            <v>Ya</v>
          </cell>
          <cell r="Q4598" t="str">
            <v>Ya</v>
          </cell>
          <cell r="R4598" t="str">
            <v>Done</v>
          </cell>
          <cell r="S4598" t="str">
            <v>Approved</v>
          </cell>
          <cell r="T4598" t="str">
            <v>90150130 - Intan Aida Pratiwi</v>
          </cell>
          <cell r="U4598" t="str">
            <v>"-"</v>
          </cell>
        </row>
        <row r="4599">
          <cell r="A4599">
            <v>46265</v>
          </cell>
          <cell r="B4599" t="str">
            <v xml:space="preserve">NASYWA DIFAKUSUMA                       </v>
          </cell>
          <cell r="C4599" t="str">
            <v>NLXO139</v>
          </cell>
          <cell r="D4599">
            <v>91401047929505</v>
          </cell>
          <cell r="F4599" t="str">
            <v>Tidak</v>
          </cell>
          <cell r="G4599" t="str">
            <v>Tidak</v>
          </cell>
          <cell r="H4599" t="str">
            <v>Tidak</v>
          </cell>
          <cell r="I4599" t="str">
            <v>Bandar Judol Depo</v>
          </cell>
          <cell r="J4599">
            <v>35</v>
          </cell>
          <cell r="K4599" t="str">
            <v>86,74,87</v>
          </cell>
          <cell r="L4599" t="str">
            <v>Judi Online</v>
          </cell>
          <cell r="M4599" t="str">
            <v xml:space="preserve">Kas Kanpus                              </v>
          </cell>
          <cell r="N4599" t="str">
            <v xml:space="preserve">Kas Kanpus                              </v>
          </cell>
          <cell r="O4599" t="str">
            <v xml:space="preserve">KAS KANPUS                              </v>
          </cell>
          <cell r="P4599" t="str">
            <v>Ya</v>
          </cell>
          <cell r="Q4599" t="str">
            <v>Ya</v>
          </cell>
          <cell r="R4599" t="str">
            <v>Done</v>
          </cell>
          <cell r="S4599" t="str">
            <v>Approved</v>
          </cell>
          <cell r="T4599" t="str">
            <v>90171841 - Rifqi Aziz</v>
          </cell>
          <cell r="U4599" t="str">
            <v>"-"</v>
          </cell>
        </row>
        <row r="4600">
          <cell r="A4600">
            <v>46265</v>
          </cell>
          <cell r="B4600" t="str">
            <v xml:space="preserve">NEFERTARI KAMILAH SYAHRAIHAN            </v>
          </cell>
          <cell r="C4600" t="str">
            <v>NLMX614</v>
          </cell>
          <cell r="D4600">
            <v>327501007985506</v>
          </cell>
          <cell r="F4600" t="str">
            <v>Tidak</v>
          </cell>
          <cell r="G4600" t="str">
            <v>Tidak</v>
          </cell>
          <cell r="H4600" t="str">
            <v>Tidak</v>
          </cell>
          <cell r="I4600" t="str">
            <v>Bandar Judol Withdrawal</v>
          </cell>
          <cell r="J4600">
            <v>35</v>
          </cell>
          <cell r="K4600" t="str">
            <v>86,88,87</v>
          </cell>
          <cell r="L4600" t="str">
            <v>Judi Online</v>
          </cell>
          <cell r="M4600" t="str">
            <v xml:space="preserve">Kas Kanpus                              </v>
          </cell>
          <cell r="N4600" t="str">
            <v xml:space="preserve">Kas Kanpus                              </v>
          </cell>
          <cell r="O4600" t="str">
            <v xml:space="preserve">KAS KANPUS                              </v>
          </cell>
          <cell r="P4600" t="str">
            <v>Ya</v>
          </cell>
          <cell r="Q4600" t="str">
            <v>Ya</v>
          </cell>
          <cell r="R4600" t="str">
            <v>Done</v>
          </cell>
          <cell r="S4600" t="str">
            <v>Approved</v>
          </cell>
          <cell r="T4600" t="str">
            <v>90186790 - Muhammad Alfin Farha</v>
          </cell>
          <cell r="U4600" t="str">
            <v>"-"</v>
          </cell>
        </row>
        <row r="4601">
          <cell r="A4601">
            <v>46265</v>
          </cell>
          <cell r="B4601" t="str">
            <v xml:space="preserve">N SURIADI GINTING                       </v>
          </cell>
          <cell r="C4601" t="str">
            <v>NLZY062</v>
          </cell>
          <cell r="D4601">
            <v>530401011263503</v>
          </cell>
          <cell r="F4601" t="str">
            <v>Tidak</v>
          </cell>
          <cell r="G4601" t="str">
            <v>Tidak</v>
          </cell>
          <cell r="H4601" t="str">
            <v>Tidak</v>
          </cell>
          <cell r="I4601" t="str">
            <v>Bandar Judol Depo</v>
          </cell>
          <cell r="J4601">
            <v>35</v>
          </cell>
          <cell r="K4601" t="str">
            <v>86,74,87</v>
          </cell>
          <cell r="L4601" t="str">
            <v>Judi Online</v>
          </cell>
          <cell r="M4601" t="str">
            <v xml:space="preserve">Kas Kanpus                              </v>
          </cell>
          <cell r="N4601" t="str">
            <v xml:space="preserve">Kas Kanpus                              </v>
          </cell>
          <cell r="O4601" t="str">
            <v xml:space="preserve">KAS KANPUS                              </v>
          </cell>
          <cell r="P4601" t="str">
            <v>Ya</v>
          </cell>
          <cell r="Q4601" t="str">
            <v>Ya</v>
          </cell>
          <cell r="R4601" t="str">
            <v>Done</v>
          </cell>
          <cell r="S4601" t="str">
            <v>Approved</v>
          </cell>
          <cell r="T4601" t="str">
            <v>90185537 - Moh.Khoerul Fajar Ar</v>
          </cell>
          <cell r="U4601" t="str">
            <v>"-"</v>
          </cell>
        </row>
        <row r="4602">
          <cell r="A4602">
            <v>46265</v>
          </cell>
          <cell r="B4602" t="str">
            <v xml:space="preserve">NURFITRIYANI                            </v>
          </cell>
          <cell r="C4602" t="str">
            <v>NMAY095</v>
          </cell>
          <cell r="D4602">
            <v>781901004565505</v>
          </cell>
          <cell r="F4602" t="str">
            <v>Tidak</v>
          </cell>
          <cell r="G4602" t="str">
            <v>Tidak</v>
          </cell>
          <cell r="H4602" t="str">
            <v>Tidak</v>
          </cell>
          <cell r="I4602" t="str">
            <v>Bandar Judol Withdrawal</v>
          </cell>
          <cell r="J4602">
            <v>35</v>
          </cell>
          <cell r="K4602" t="str">
            <v>86,88,87</v>
          </cell>
          <cell r="L4602" t="str">
            <v>Judi Online</v>
          </cell>
          <cell r="M4602" t="str">
            <v xml:space="preserve">Kas Kanpus                              </v>
          </cell>
          <cell r="N4602" t="str">
            <v xml:space="preserve">Kas Kanpus                              </v>
          </cell>
          <cell r="O4602" t="str">
            <v xml:space="preserve">KAS KANPUS                              </v>
          </cell>
          <cell r="P4602" t="str">
            <v>Ya</v>
          </cell>
          <cell r="Q4602" t="str">
            <v>Ya</v>
          </cell>
          <cell r="R4602" t="str">
            <v>Done</v>
          </cell>
          <cell r="S4602" t="str">
            <v>Approved</v>
          </cell>
          <cell r="T4602" t="str">
            <v>00336949 - Mochammad Al Farabi</v>
          </cell>
          <cell r="U4602" t="str">
            <v>"-"</v>
          </cell>
        </row>
        <row r="4603">
          <cell r="A4603">
            <v>46265</v>
          </cell>
          <cell r="B4603" t="str">
            <v xml:space="preserve">NURUL.F                                 </v>
          </cell>
          <cell r="C4603" t="str">
            <v>NMFP600</v>
          </cell>
          <cell r="D4603">
            <v>118001021167505</v>
          </cell>
          <cell r="F4603" t="str">
            <v>Tidak</v>
          </cell>
          <cell r="G4603" t="str">
            <v>Tidak</v>
          </cell>
          <cell r="H4603" t="str">
            <v>Tidak</v>
          </cell>
          <cell r="I4603" t="str">
            <v>Bandar Judol Withdrawal</v>
          </cell>
          <cell r="J4603">
            <v>35</v>
          </cell>
          <cell r="K4603" t="str">
            <v>86,88,87</v>
          </cell>
          <cell r="L4603" t="str">
            <v>Judi Online</v>
          </cell>
          <cell r="M4603" t="str">
            <v xml:space="preserve">Kas Kanpus                              </v>
          </cell>
          <cell r="N4603" t="str">
            <v xml:space="preserve">Kas Kanpus                              </v>
          </cell>
          <cell r="O4603" t="str">
            <v xml:space="preserve">KAS KANPUS                              </v>
          </cell>
          <cell r="P4603" t="str">
            <v>Ya</v>
          </cell>
          <cell r="Q4603" t="str">
            <v>Ya</v>
          </cell>
          <cell r="R4603" t="str">
            <v>Done</v>
          </cell>
          <cell r="S4603" t="str">
            <v>Approved</v>
          </cell>
          <cell r="T4603" t="str">
            <v>00394520 - Frida Akbar Rani</v>
          </cell>
          <cell r="U4603" t="str">
            <v>"-"</v>
          </cell>
        </row>
        <row r="4604">
          <cell r="A4604">
            <v>46265</v>
          </cell>
          <cell r="B4604" t="str">
            <v xml:space="preserve">RICKY RAHMAN                            </v>
          </cell>
          <cell r="C4604" t="str">
            <v>RKRA838</v>
          </cell>
          <cell r="D4604">
            <v>781901014063535</v>
          </cell>
          <cell r="E4604" t="str">
            <v>SEDANG</v>
          </cell>
          <cell r="F4604" t="str">
            <v>Tidak</v>
          </cell>
          <cell r="G4604" t="str">
            <v>Tidak</v>
          </cell>
          <cell r="H4604" t="str">
            <v>Tidak</v>
          </cell>
          <cell r="I4604" t="str">
            <v>Bandar Judol Withdrawal</v>
          </cell>
          <cell r="J4604">
            <v>50</v>
          </cell>
          <cell r="K4604" t="str">
            <v>86,88,87</v>
          </cell>
          <cell r="L4604" t="str">
            <v>Judi Online</v>
          </cell>
          <cell r="M4604" t="str">
            <v xml:space="preserve">Kas Kanpus                              </v>
          </cell>
          <cell r="N4604" t="str">
            <v xml:space="preserve">Kas Kanpus                              </v>
          </cell>
          <cell r="O4604" t="str">
            <v xml:space="preserve">KAS KANPUS                              </v>
          </cell>
          <cell r="P4604" t="str">
            <v>Ya</v>
          </cell>
          <cell r="Q4604" t="str">
            <v>Ya</v>
          </cell>
          <cell r="R4604" t="str">
            <v>Done</v>
          </cell>
          <cell r="S4604" t="str">
            <v>Approved</v>
          </cell>
          <cell r="T4604" t="str">
            <v>90150130 - Intan Aida Pratiwi</v>
          </cell>
          <cell r="U4604" t="str">
            <v>"-"</v>
          </cell>
        </row>
        <row r="4605">
          <cell r="A4605">
            <v>46265</v>
          </cell>
          <cell r="B4605" t="str">
            <v xml:space="preserve">REGA DWI ASTIAN                         </v>
          </cell>
          <cell r="C4605" t="str">
            <v>RKOL171</v>
          </cell>
          <cell r="D4605">
            <v>55701000518565</v>
          </cell>
          <cell r="E4605" t="str">
            <v>SEDANG</v>
          </cell>
          <cell r="F4605" t="str">
            <v>Tidak</v>
          </cell>
          <cell r="G4605" t="str">
            <v>Tidak</v>
          </cell>
          <cell r="H4605" t="str">
            <v>Tidak</v>
          </cell>
          <cell r="I4605" t="str">
            <v>Bandar Judol Withdrawal</v>
          </cell>
          <cell r="J4605">
            <v>50</v>
          </cell>
          <cell r="K4605" t="str">
            <v>86,88,87</v>
          </cell>
          <cell r="L4605" t="str">
            <v>Judi Online</v>
          </cell>
          <cell r="M4605" t="str">
            <v xml:space="preserve">Kas Kanpus                              </v>
          </cell>
          <cell r="N4605" t="str">
            <v xml:space="preserve">Kas Kanpus                              </v>
          </cell>
          <cell r="O4605" t="str">
            <v xml:space="preserve">KAS KANPUS                              </v>
          </cell>
          <cell r="P4605" t="str">
            <v>Ya</v>
          </cell>
          <cell r="Q4605" t="str">
            <v>Ya</v>
          </cell>
          <cell r="R4605" t="str">
            <v>Done</v>
          </cell>
          <cell r="S4605" t="str">
            <v>Approved</v>
          </cell>
          <cell r="T4605" t="str">
            <v>00394520 - Frida Akbar Rani</v>
          </cell>
          <cell r="U4605" t="str">
            <v>"-"</v>
          </cell>
        </row>
        <row r="4606">
          <cell r="A4606">
            <v>46265</v>
          </cell>
          <cell r="B4606" t="str">
            <v xml:space="preserve">RATU TAMBANG MANDIRI                    </v>
          </cell>
          <cell r="C4606" t="str">
            <v>RKJU804</v>
          </cell>
          <cell r="D4606">
            <v>6001005078303</v>
          </cell>
          <cell r="E4606" t="str">
            <v>SEDANG</v>
          </cell>
          <cell r="F4606" t="str">
            <v>Tidak</v>
          </cell>
          <cell r="G4606" t="str">
            <v>Tidak</v>
          </cell>
          <cell r="H4606" t="str">
            <v>Tidak</v>
          </cell>
          <cell r="I4606" t="str">
            <v>Perpajakan</v>
          </cell>
          <cell r="J4606">
            <v>48</v>
          </cell>
          <cell r="K4606">
            <v>41</v>
          </cell>
          <cell r="L4606" t="str">
            <v>Perpajakan</v>
          </cell>
          <cell r="M4606" t="str">
            <v xml:space="preserve">KC Palu                                 </v>
          </cell>
          <cell r="N4606" t="str">
            <v xml:space="preserve">KC Palu                                 </v>
          </cell>
          <cell r="O4606" t="str">
            <v xml:space="preserve">Manado                                  </v>
          </cell>
          <cell r="P4606" t="str">
            <v>Tidak</v>
          </cell>
          <cell r="Q4606" t="str">
            <v>Tidak</v>
          </cell>
          <cell r="R4606" t="str">
            <v>Done</v>
          </cell>
          <cell r="S4606" t="str">
            <v>Approved</v>
          </cell>
          <cell r="T4606" t="str">
            <v>90150130 - Intan Aida Pratiwi</v>
          </cell>
          <cell r="U4606" t="str">
            <v>"-"</v>
          </cell>
        </row>
        <row r="4607">
          <cell r="A4607">
            <v>46265</v>
          </cell>
          <cell r="B4607" t="str">
            <v xml:space="preserve">RIZKI ALIA                              </v>
          </cell>
          <cell r="C4607" t="str">
            <v>RLHA536</v>
          </cell>
          <cell r="D4607">
            <v>458201051648530</v>
          </cell>
          <cell r="E4607" t="str">
            <v>SEDANG</v>
          </cell>
          <cell r="F4607" t="str">
            <v>Tidak</v>
          </cell>
          <cell r="G4607" t="str">
            <v>Tidak</v>
          </cell>
          <cell r="H4607" t="str">
            <v>Tidak</v>
          </cell>
          <cell r="I4607" t="str">
            <v>Bandar Judol Depo</v>
          </cell>
          <cell r="J4607">
            <v>50</v>
          </cell>
          <cell r="K4607" t="str">
            <v>86,74,87</v>
          </cell>
          <cell r="L4607" t="str">
            <v>Judi Online</v>
          </cell>
          <cell r="M4607" t="str">
            <v xml:space="preserve">Kas Kanpus                              </v>
          </cell>
          <cell r="N4607" t="str">
            <v xml:space="preserve">Kas Kanpus                              </v>
          </cell>
          <cell r="O4607" t="str">
            <v xml:space="preserve">KAS KANPUS                              </v>
          </cell>
          <cell r="P4607" t="str">
            <v>Tidak</v>
          </cell>
          <cell r="Q4607" t="str">
            <v>Ya</v>
          </cell>
          <cell r="R4607" t="str">
            <v>Done</v>
          </cell>
          <cell r="S4607" t="str">
            <v>Approved</v>
          </cell>
          <cell r="T4607" t="str">
            <v>90186796 - Devito Arya Wiradila</v>
          </cell>
          <cell r="U4607" t="str">
            <v>"-"</v>
          </cell>
        </row>
        <row r="4608">
          <cell r="A4608">
            <v>46265</v>
          </cell>
          <cell r="B4608" t="str">
            <v xml:space="preserve">RIYANTO                                 </v>
          </cell>
          <cell r="C4608" t="str">
            <v>RKT5606</v>
          </cell>
          <cell r="D4608">
            <v>13401000733301</v>
          </cell>
          <cell r="E4608" t="str">
            <v>SEDANG</v>
          </cell>
          <cell r="F4608" t="str">
            <v>Tidak</v>
          </cell>
          <cell r="G4608" t="str">
            <v>Tidak</v>
          </cell>
          <cell r="H4608" t="str">
            <v>Tidak</v>
          </cell>
          <cell r="I4608" t="str">
            <v>Pencurian Rekening</v>
          </cell>
          <cell r="J4608">
            <v>49</v>
          </cell>
          <cell r="K4608">
            <v>59</v>
          </cell>
          <cell r="L4608" t="str">
            <v>Perbankan</v>
          </cell>
          <cell r="M4608" t="str">
            <v xml:space="preserve">KC Gombong                              </v>
          </cell>
          <cell r="N4608" t="str">
            <v xml:space="preserve">KC Gombong                              </v>
          </cell>
          <cell r="O4608" t="str">
            <v xml:space="preserve">Yogyakarta                              </v>
          </cell>
          <cell r="P4608" t="str">
            <v>Tidak</v>
          </cell>
          <cell r="Q4608" t="str">
            <v>Tidak</v>
          </cell>
          <cell r="R4608" t="str">
            <v>Done</v>
          </cell>
          <cell r="S4608" t="str">
            <v>Approved</v>
          </cell>
          <cell r="T4608" t="str">
            <v>00336949 - Mochammad Al Farabi</v>
          </cell>
          <cell r="U4608" t="str">
            <v>"-"</v>
          </cell>
        </row>
        <row r="4609">
          <cell r="A4609">
            <v>46265</v>
          </cell>
          <cell r="B4609" t="str">
            <v xml:space="preserve">RODA JATI MAS                           </v>
          </cell>
          <cell r="C4609" t="str">
            <v>RLBC962</v>
          </cell>
          <cell r="D4609">
            <v>5101909192307</v>
          </cell>
          <cell r="E4609" t="str">
            <v>SEDANG</v>
          </cell>
          <cell r="F4609" t="str">
            <v>Tidak</v>
          </cell>
          <cell r="G4609" t="str">
            <v>Tidak</v>
          </cell>
          <cell r="H4609" t="str">
            <v>Tidak</v>
          </cell>
          <cell r="I4609" t="str">
            <v>Perpajakan</v>
          </cell>
          <cell r="J4609">
            <v>48</v>
          </cell>
          <cell r="K4609">
            <v>41</v>
          </cell>
          <cell r="L4609" t="str">
            <v>Perpajakan</v>
          </cell>
          <cell r="M4609" t="str">
            <v xml:space="preserve">KC Malang Kawi                          </v>
          </cell>
          <cell r="N4609" t="str">
            <v xml:space="preserve">KC Malang Kawi                          </v>
          </cell>
          <cell r="O4609" t="str">
            <v xml:space="preserve">KANWIL MALANG                           </v>
          </cell>
          <cell r="P4609" t="str">
            <v>Tidak</v>
          </cell>
          <cell r="Q4609" t="str">
            <v>Tidak</v>
          </cell>
          <cell r="R4609" t="str">
            <v>Done</v>
          </cell>
          <cell r="S4609" t="str">
            <v>Approved</v>
          </cell>
          <cell r="T4609" t="str">
            <v>00336949 - Mochammad Al Farabi</v>
          </cell>
          <cell r="U4609" t="str">
            <v>"-"</v>
          </cell>
        </row>
        <row r="4610">
          <cell r="A4610">
            <v>46265</v>
          </cell>
          <cell r="B4610" t="str">
            <v xml:space="preserve">REVA MONICA LUBIS                       </v>
          </cell>
          <cell r="C4610" t="str">
            <v>RLCQ894</v>
          </cell>
          <cell r="D4610">
            <v>338001004010507</v>
          </cell>
          <cell r="E4610" t="str">
            <v>SEDANG</v>
          </cell>
          <cell r="F4610" t="str">
            <v>Tidak</v>
          </cell>
          <cell r="G4610" t="str">
            <v>Tidak</v>
          </cell>
          <cell r="H4610" t="str">
            <v>Tidak</v>
          </cell>
          <cell r="I4610" t="str">
            <v>Bandar Judol Withdrawal</v>
          </cell>
          <cell r="J4610">
            <v>50</v>
          </cell>
          <cell r="K4610" t="str">
            <v>86,88,87</v>
          </cell>
          <cell r="L4610" t="str">
            <v>Judi Online</v>
          </cell>
          <cell r="M4610" t="str">
            <v xml:space="preserve">Kas Kanpus                              </v>
          </cell>
          <cell r="N4610" t="str">
            <v xml:space="preserve">Kas Kanpus                              </v>
          </cell>
          <cell r="O4610" t="str">
            <v xml:space="preserve">KAS KANPUS                              </v>
          </cell>
          <cell r="P4610" t="str">
            <v>Ya</v>
          </cell>
          <cell r="Q4610" t="str">
            <v>Tidak</v>
          </cell>
          <cell r="R4610" t="str">
            <v>Done</v>
          </cell>
          <cell r="S4610" t="str">
            <v>Approved</v>
          </cell>
          <cell r="T4610" t="str">
            <v>90186796 - Devito Arya Wiradila</v>
          </cell>
          <cell r="U4610" t="str">
            <v>"-"</v>
          </cell>
        </row>
        <row r="4611">
          <cell r="A4611">
            <v>46265</v>
          </cell>
          <cell r="B4611" t="str">
            <v xml:space="preserve">ROSIDI                                  </v>
          </cell>
          <cell r="C4611" t="str">
            <v>RLEO529</v>
          </cell>
          <cell r="D4611">
            <v>112901008167532</v>
          </cell>
          <cell r="E4611" t="str">
            <v>SEDANG</v>
          </cell>
          <cell r="F4611" t="str">
            <v>Tidak</v>
          </cell>
          <cell r="G4611" t="str">
            <v>Tidak</v>
          </cell>
          <cell r="H4611" t="str">
            <v>Ya</v>
          </cell>
          <cell r="I4611" t="str">
            <v>Bandar Judol Withdrawal</v>
          </cell>
          <cell r="J4611">
            <v>50</v>
          </cell>
          <cell r="K4611" t="str">
            <v>86,88,87</v>
          </cell>
          <cell r="L4611" t="str">
            <v>Judi Online</v>
          </cell>
          <cell r="M4611" t="str">
            <v xml:space="preserve">Kas Kanpus                              </v>
          </cell>
          <cell r="N4611" t="str">
            <v xml:space="preserve">Kas Kanpus                              </v>
          </cell>
          <cell r="O4611" t="str">
            <v xml:space="preserve">KAS KANPUS                              </v>
          </cell>
          <cell r="P4611" t="str">
            <v>Ya</v>
          </cell>
          <cell r="Q4611" t="str">
            <v>Tidak</v>
          </cell>
          <cell r="R4611" t="str">
            <v>Done</v>
          </cell>
          <cell r="S4611" t="str">
            <v>Approved</v>
          </cell>
          <cell r="T4611" t="str">
            <v>00394520 - Frida Akbar Rani</v>
          </cell>
          <cell r="U4611" t="str">
            <v>"-"</v>
          </cell>
        </row>
        <row r="4612">
          <cell r="A4612">
            <v>46265</v>
          </cell>
          <cell r="B4612" t="str">
            <v xml:space="preserve">ROHENDI                                 </v>
          </cell>
          <cell r="C4612" t="str">
            <v>RLFY415</v>
          </cell>
          <cell r="D4612">
            <v>79601003517504</v>
          </cell>
          <cell r="E4612" t="str">
            <v>SEDANG</v>
          </cell>
          <cell r="F4612" t="str">
            <v>Tidak</v>
          </cell>
          <cell r="G4612" t="str">
            <v>Tidak</v>
          </cell>
          <cell r="H4612" t="str">
            <v>Tidak</v>
          </cell>
          <cell r="I4612" t="str">
            <v>Bandar Judol Withdrawal</v>
          </cell>
          <cell r="J4612">
            <v>50</v>
          </cell>
          <cell r="K4612" t="str">
            <v>86,88,87</v>
          </cell>
          <cell r="L4612" t="str">
            <v>Judi Online</v>
          </cell>
          <cell r="M4612" t="str">
            <v xml:space="preserve">Kas Kanpus                              </v>
          </cell>
          <cell r="N4612" t="str">
            <v xml:space="preserve">Kas Kanpus                              </v>
          </cell>
          <cell r="O4612" t="str">
            <v xml:space="preserve">KAS KANPUS                              </v>
          </cell>
          <cell r="P4612" t="str">
            <v>Ya</v>
          </cell>
          <cell r="Q4612" t="str">
            <v>Ya</v>
          </cell>
          <cell r="R4612" t="str">
            <v>Done</v>
          </cell>
          <cell r="S4612" t="str">
            <v>Approved</v>
          </cell>
          <cell r="T4612" t="str">
            <v>90150130 - Intan Aida Pratiwi</v>
          </cell>
          <cell r="U4612" t="str">
            <v>"-"</v>
          </cell>
        </row>
        <row r="4613">
          <cell r="A4613">
            <v>46265</v>
          </cell>
          <cell r="B4613" t="str">
            <v xml:space="preserve">REZA FITRIA                             </v>
          </cell>
          <cell r="C4613" t="str">
            <v>RJWS275</v>
          </cell>
          <cell r="D4613">
            <v>352801073867533</v>
          </cell>
          <cell r="E4613" t="str">
            <v>RENDAH</v>
          </cell>
          <cell r="F4613" t="str">
            <v>Tidak</v>
          </cell>
          <cell r="G4613" t="str">
            <v>Tidak</v>
          </cell>
          <cell r="H4613" t="str">
            <v>Tidak</v>
          </cell>
          <cell r="I4613" t="str">
            <v>Bandar Judol Withdrawal</v>
          </cell>
          <cell r="J4613">
            <v>35</v>
          </cell>
          <cell r="K4613" t="str">
            <v>86,88,87</v>
          </cell>
          <cell r="L4613" t="str">
            <v>Judi Online</v>
          </cell>
          <cell r="M4613" t="str">
            <v xml:space="preserve">Kas Kanpus                              </v>
          </cell>
          <cell r="N4613" t="str">
            <v xml:space="preserve">Kas Kanpus                              </v>
          </cell>
          <cell r="O4613" t="str">
            <v xml:space="preserve">KAS KANPUS                              </v>
          </cell>
          <cell r="P4613" t="str">
            <v>Ya</v>
          </cell>
          <cell r="Q4613" t="str">
            <v>Ya</v>
          </cell>
          <cell r="R4613" t="str">
            <v>Done</v>
          </cell>
          <cell r="S4613" t="str">
            <v>Approved</v>
          </cell>
          <cell r="T4613" t="str">
            <v>90185538 - Muhammad Fahikal Auz</v>
          </cell>
          <cell r="U4613" t="str">
            <v>"-"</v>
          </cell>
        </row>
        <row r="4614">
          <cell r="A4614">
            <v>46265</v>
          </cell>
          <cell r="B4614" t="str">
            <v xml:space="preserve">RUDY JULIANTO                           </v>
          </cell>
          <cell r="C4614" t="str">
            <v>RJT8328</v>
          </cell>
          <cell r="D4614">
            <v>6301001349568</v>
          </cell>
          <cell r="E4614" t="str">
            <v>SEDANG</v>
          </cell>
          <cell r="F4614" t="str">
            <v>Tidak</v>
          </cell>
          <cell r="G4614" t="str">
            <v>Tidak</v>
          </cell>
          <cell r="H4614" t="str">
            <v>Tidak</v>
          </cell>
          <cell r="I4614" t="str">
            <v>Bandar Judol Withdrawal</v>
          </cell>
          <cell r="J4614">
            <v>50</v>
          </cell>
          <cell r="K4614" t="str">
            <v>86,88,87</v>
          </cell>
          <cell r="L4614" t="str">
            <v>Judi Online</v>
          </cell>
          <cell r="M4614" t="str">
            <v xml:space="preserve">Kas Kanpus                              </v>
          </cell>
          <cell r="N4614" t="str">
            <v xml:space="preserve">Kas Kanpus                              </v>
          </cell>
          <cell r="O4614" t="str">
            <v xml:space="preserve">KAS KANPUS                              </v>
          </cell>
          <cell r="P4614" t="str">
            <v>Ya</v>
          </cell>
          <cell r="Q4614" t="str">
            <v>Ya</v>
          </cell>
          <cell r="R4614" t="str">
            <v>Done</v>
          </cell>
          <cell r="S4614" t="str">
            <v>Approved</v>
          </cell>
          <cell r="T4614" t="str">
            <v>90171841 - Rifqi Aziz</v>
          </cell>
          <cell r="U4614" t="str">
            <v>"-"</v>
          </cell>
        </row>
        <row r="4615">
          <cell r="A4615">
            <v>46265</v>
          </cell>
          <cell r="B4615" t="str">
            <v xml:space="preserve">RENIDA PANCA SIMBOLON                   </v>
          </cell>
          <cell r="C4615" t="str">
            <v>RJIN258</v>
          </cell>
          <cell r="D4615">
            <v>11301148362501</v>
          </cell>
          <cell r="E4615" t="str">
            <v>SEDANG</v>
          </cell>
          <cell r="F4615" t="str">
            <v>Tidak</v>
          </cell>
          <cell r="G4615" t="str">
            <v>Tidak</v>
          </cell>
          <cell r="H4615" t="str">
            <v>Tidak</v>
          </cell>
          <cell r="I4615" t="str">
            <v>Bandar Judol Withdrawal</v>
          </cell>
          <cell r="J4615">
            <v>50</v>
          </cell>
          <cell r="K4615" t="str">
            <v>86,88,87</v>
          </cell>
          <cell r="L4615" t="str">
            <v>Judi Online</v>
          </cell>
          <cell r="M4615" t="str">
            <v xml:space="preserve">Kas Kanpus                              </v>
          </cell>
          <cell r="N4615" t="str">
            <v xml:space="preserve">Kas Kanpus                              </v>
          </cell>
          <cell r="O4615" t="str">
            <v xml:space="preserve">KAS KANPUS                              </v>
          </cell>
          <cell r="P4615" t="str">
            <v>Ya</v>
          </cell>
          <cell r="Q4615" t="str">
            <v>Ya</v>
          </cell>
          <cell r="R4615" t="str">
            <v>Done</v>
          </cell>
          <cell r="S4615" t="str">
            <v>Approved</v>
          </cell>
          <cell r="T4615" t="str">
            <v>90170665 - Mutiara Ayuningtyas</v>
          </cell>
          <cell r="U4615" t="str">
            <v>"-"</v>
          </cell>
        </row>
        <row r="4616">
          <cell r="A4616">
            <v>46265</v>
          </cell>
          <cell r="B4616" t="str">
            <v xml:space="preserve">RICKY PRATAMA                           </v>
          </cell>
          <cell r="C4616" t="str">
            <v>RIYM814</v>
          </cell>
          <cell r="D4616">
            <v>338301057419532</v>
          </cell>
          <cell r="E4616" t="str">
            <v>TINGGI</v>
          </cell>
          <cell r="F4616" t="str">
            <v>Tidak</v>
          </cell>
          <cell r="G4616" t="str">
            <v>Tidak</v>
          </cell>
          <cell r="H4616" t="str">
            <v>Tidak</v>
          </cell>
          <cell r="I4616" t="str">
            <v>Bandar Judol Withdrawal</v>
          </cell>
          <cell r="J4616">
            <v>65</v>
          </cell>
          <cell r="K4616" t="str">
            <v>86,88,87</v>
          </cell>
          <cell r="L4616" t="str">
            <v>Judi Online</v>
          </cell>
          <cell r="M4616" t="str">
            <v xml:space="preserve">Kas Kanpus                              </v>
          </cell>
          <cell r="N4616" t="str">
            <v xml:space="preserve">Kas Kanpus                              </v>
          </cell>
          <cell r="O4616" t="str">
            <v xml:space="preserve">KAS KANPUS                              </v>
          </cell>
          <cell r="P4616" t="str">
            <v>Ya</v>
          </cell>
          <cell r="Q4616" t="str">
            <v>Tidak</v>
          </cell>
          <cell r="R4616" t="str">
            <v>Done</v>
          </cell>
          <cell r="S4616" t="str">
            <v>Approved</v>
          </cell>
          <cell r="T4616" t="str">
            <v>90150130 - Intan Aida Pratiwi</v>
          </cell>
          <cell r="U4616" t="str">
            <v>"-"</v>
          </cell>
        </row>
        <row r="4617">
          <cell r="A4617">
            <v>46265</v>
          </cell>
          <cell r="B4617" t="str">
            <v xml:space="preserve">RAHMAN GUNAWAN                          </v>
          </cell>
          <cell r="C4617" t="str">
            <v>RGC0712</v>
          </cell>
          <cell r="D4617">
            <v>2501003398569</v>
          </cell>
          <cell r="E4617" t="str">
            <v>SEDANG</v>
          </cell>
          <cell r="F4617" t="str">
            <v>Tidak</v>
          </cell>
          <cell r="G4617" t="str">
            <v>Tidak</v>
          </cell>
          <cell r="H4617" t="str">
            <v>Tidak</v>
          </cell>
          <cell r="I4617" t="str">
            <v>Bandar Judol Depo</v>
          </cell>
          <cell r="J4617">
            <v>50</v>
          </cell>
          <cell r="K4617" t="str">
            <v>86,74,87</v>
          </cell>
          <cell r="L4617" t="str">
            <v>Judi Online</v>
          </cell>
          <cell r="M4617" t="str">
            <v xml:space="preserve">Kas Kanpus                              </v>
          </cell>
          <cell r="N4617" t="str">
            <v xml:space="preserve">Kas Kanpus                              </v>
          </cell>
          <cell r="O4617" t="str">
            <v xml:space="preserve">KAS KANPUS                              </v>
          </cell>
          <cell r="P4617" t="str">
            <v>Tidak</v>
          </cell>
          <cell r="Q4617" t="str">
            <v>Ya</v>
          </cell>
          <cell r="R4617" t="str">
            <v>Done</v>
          </cell>
          <cell r="S4617" t="str">
            <v>Approved</v>
          </cell>
          <cell r="T4617" t="str">
            <v>00394521 - Muhammad Hibbanduta</v>
          </cell>
          <cell r="U4617" t="str">
            <v>"-"</v>
          </cell>
        </row>
        <row r="4618">
          <cell r="A4618">
            <v>46265</v>
          </cell>
          <cell r="B4618" t="str">
            <v xml:space="preserve">RESI MAHESYAH                           </v>
          </cell>
          <cell r="C4618" t="str">
            <v>RFXD485</v>
          </cell>
          <cell r="D4618">
            <v>5901003888569</v>
          </cell>
          <cell r="E4618" t="str">
            <v>RENDAH</v>
          </cell>
          <cell r="F4618" t="str">
            <v>Tidak</v>
          </cell>
          <cell r="G4618" t="str">
            <v>Tidak</v>
          </cell>
          <cell r="H4618" t="str">
            <v>Tidak</v>
          </cell>
          <cell r="I4618" t="str">
            <v>Bandar Judol Withdrawal</v>
          </cell>
          <cell r="J4618">
            <v>35</v>
          </cell>
          <cell r="K4618" t="str">
            <v>86,88,87</v>
          </cell>
          <cell r="L4618" t="str">
            <v>Judi Online</v>
          </cell>
          <cell r="M4618" t="str">
            <v xml:space="preserve">Kas Kanpus                              </v>
          </cell>
          <cell r="N4618" t="str">
            <v xml:space="preserve">Kas Kanpus                              </v>
          </cell>
          <cell r="O4618" t="str">
            <v xml:space="preserve">KAS KANPUS                              </v>
          </cell>
          <cell r="P4618" t="str">
            <v>Ya</v>
          </cell>
          <cell r="Q4618" t="str">
            <v>Ya</v>
          </cell>
          <cell r="R4618" t="str">
            <v>Done</v>
          </cell>
          <cell r="S4618" t="str">
            <v>Approved</v>
          </cell>
          <cell r="T4618" t="str">
            <v>90170665 - Mutiara Ayuningtyas</v>
          </cell>
          <cell r="U4618" t="str">
            <v>"-"</v>
          </cell>
        </row>
        <row r="4619">
          <cell r="A4619">
            <v>46265</v>
          </cell>
          <cell r="B4619" t="str">
            <v xml:space="preserve">RUSMINAH                                </v>
          </cell>
          <cell r="C4619" t="str">
            <v>RHJ5758</v>
          </cell>
          <cell r="D4619">
            <v>712701003190500</v>
          </cell>
          <cell r="E4619" t="str">
            <v>SEDANG</v>
          </cell>
          <cell r="F4619" t="str">
            <v>Ya</v>
          </cell>
          <cell r="G4619" t="str">
            <v>Tidak</v>
          </cell>
          <cell r="H4619" t="str">
            <v>Tidak</v>
          </cell>
          <cell r="I4619" t="str">
            <v>Pencurian Rekening</v>
          </cell>
          <cell r="J4619">
            <v>49</v>
          </cell>
          <cell r="K4619">
            <v>59</v>
          </cell>
          <cell r="L4619" t="str">
            <v>Perbankan</v>
          </cell>
          <cell r="M4619" t="str">
            <v xml:space="preserve">UNIT TEWAH PALANGKARAYA                 </v>
          </cell>
          <cell r="N4619" t="str">
            <v xml:space="preserve">KC Palangkaraya                         </v>
          </cell>
          <cell r="O4619" t="str">
            <v xml:space="preserve">Banjarmasin                             </v>
          </cell>
          <cell r="P4619" t="str">
            <v>Tidak</v>
          </cell>
          <cell r="Q4619" t="str">
            <v>Tidak</v>
          </cell>
          <cell r="R4619" t="str">
            <v>Done</v>
          </cell>
          <cell r="S4619" t="str">
            <v>Approved</v>
          </cell>
          <cell r="T4619" t="str">
            <v>90186790 - Muhammad Alfin Farha</v>
          </cell>
          <cell r="U4619" t="str">
            <v>"-"</v>
          </cell>
        </row>
        <row r="4620">
          <cell r="A4620">
            <v>46265</v>
          </cell>
          <cell r="B4620" t="str">
            <v xml:space="preserve">ROBET PANJAITAN                         </v>
          </cell>
          <cell r="C4620" t="str">
            <v>RHL3379</v>
          </cell>
          <cell r="D4620">
            <v>36701105525503</v>
          </cell>
          <cell r="E4620" t="str">
            <v>SEDANG</v>
          </cell>
          <cell r="F4620" t="str">
            <v>Tidak</v>
          </cell>
          <cell r="G4620" t="str">
            <v>Tidak</v>
          </cell>
          <cell r="H4620" t="str">
            <v>Tidak</v>
          </cell>
          <cell r="I4620" t="str">
            <v>Bandar Judol Depo</v>
          </cell>
          <cell r="J4620">
            <v>50</v>
          </cell>
          <cell r="K4620" t="str">
            <v>86,74,87</v>
          </cell>
          <cell r="L4620" t="str">
            <v>Judi Online</v>
          </cell>
          <cell r="M4620" t="str">
            <v xml:space="preserve">Kas Kanpus                              </v>
          </cell>
          <cell r="N4620" t="str">
            <v xml:space="preserve">Kas Kanpus                              </v>
          </cell>
          <cell r="O4620" t="str">
            <v xml:space="preserve">KAS KANPUS                              </v>
          </cell>
          <cell r="P4620" t="str">
            <v>Ya</v>
          </cell>
          <cell r="Q4620" t="str">
            <v>Ya</v>
          </cell>
          <cell r="R4620" t="str">
            <v>Done</v>
          </cell>
          <cell r="S4620" t="str">
            <v>Approved</v>
          </cell>
          <cell r="T4620" t="str">
            <v>00394520 - Frida Akbar Rani</v>
          </cell>
          <cell r="U4620" t="str">
            <v>"-"</v>
          </cell>
        </row>
        <row r="4621">
          <cell r="A4621">
            <v>46265</v>
          </cell>
          <cell r="B4621" t="str">
            <v xml:space="preserve">RIFKI PRAYOGI                           </v>
          </cell>
          <cell r="C4621" t="str">
            <v>RHFH971</v>
          </cell>
          <cell r="D4621">
            <v>118501021952502</v>
          </cell>
          <cell r="E4621" t="str">
            <v>SEDANG</v>
          </cell>
          <cell r="F4621" t="str">
            <v>Tidak</v>
          </cell>
          <cell r="G4621" t="str">
            <v>Tidak</v>
          </cell>
          <cell r="H4621" t="str">
            <v>Tidak</v>
          </cell>
          <cell r="I4621" t="str">
            <v>Bandar Judol Withdrawal</v>
          </cell>
          <cell r="J4621">
            <v>50</v>
          </cell>
          <cell r="K4621" t="str">
            <v>86,88,87</v>
          </cell>
          <cell r="L4621" t="str">
            <v>Judi Online</v>
          </cell>
          <cell r="M4621" t="str">
            <v xml:space="preserve">Kas Kanpus                              </v>
          </cell>
          <cell r="N4621" t="str">
            <v xml:space="preserve">Kas Kanpus                              </v>
          </cell>
          <cell r="O4621" t="str">
            <v xml:space="preserve">KAS KANPUS                              </v>
          </cell>
          <cell r="P4621" t="str">
            <v>Ya</v>
          </cell>
          <cell r="Q4621" t="str">
            <v>Ya</v>
          </cell>
          <cell r="R4621" t="str">
            <v>Done</v>
          </cell>
          <cell r="S4621" t="str">
            <v>Approved</v>
          </cell>
          <cell r="T4621" t="str">
            <v>90185537 - Moh.Khoerul Fajar Ar</v>
          </cell>
          <cell r="U4621" t="str">
            <v>"-"</v>
          </cell>
        </row>
        <row r="4622">
          <cell r="A4622">
            <v>46265</v>
          </cell>
          <cell r="B4622" t="str">
            <v xml:space="preserve">RONI EFENDI                             </v>
          </cell>
          <cell r="C4622" t="str">
            <v>RGPG295</v>
          </cell>
          <cell r="D4622">
            <v>173101008562503</v>
          </cell>
          <cell r="E4622" t="str">
            <v>SEDANG</v>
          </cell>
          <cell r="F4622" t="str">
            <v>Tidak</v>
          </cell>
          <cell r="G4622" t="str">
            <v>Tidak</v>
          </cell>
          <cell r="H4622" t="str">
            <v>Tidak</v>
          </cell>
          <cell r="I4622" t="str">
            <v>Bandar Judol Withdrawal</v>
          </cell>
          <cell r="J4622">
            <v>50</v>
          </cell>
          <cell r="K4622" t="str">
            <v>86,88,87</v>
          </cell>
          <cell r="L4622" t="str">
            <v>Judi Online</v>
          </cell>
          <cell r="M4622" t="str">
            <v xml:space="preserve">Kas Kanpus                              </v>
          </cell>
          <cell r="N4622" t="str">
            <v xml:space="preserve">Kas Kanpus                              </v>
          </cell>
          <cell r="O4622" t="str">
            <v xml:space="preserve">KAS KANPUS                              </v>
          </cell>
          <cell r="P4622" t="str">
            <v>Ya</v>
          </cell>
          <cell r="Q4622" t="str">
            <v>Ya</v>
          </cell>
          <cell r="R4622" t="str">
            <v>Done</v>
          </cell>
          <cell r="S4622" t="str">
            <v>Approved</v>
          </cell>
          <cell r="T4622" t="str">
            <v>90170665 - Mutiara Ayuningtyas</v>
          </cell>
          <cell r="U4622" t="str">
            <v>"-"</v>
          </cell>
        </row>
        <row r="4623">
          <cell r="A4623">
            <v>46265</v>
          </cell>
          <cell r="B4623" t="str">
            <v xml:space="preserve">RAFLY GIOVANNY PUTRA RIYADI             </v>
          </cell>
          <cell r="C4623" t="str">
            <v>RGXU788</v>
          </cell>
          <cell r="D4623">
            <v>37901052248504</v>
          </cell>
          <cell r="E4623" t="str">
            <v>SEDANG</v>
          </cell>
          <cell r="F4623" t="str">
            <v>Tidak</v>
          </cell>
          <cell r="G4623" t="str">
            <v>Tidak</v>
          </cell>
          <cell r="H4623" t="str">
            <v>Tidak</v>
          </cell>
          <cell r="I4623" t="str">
            <v>Bandar Judol Withdrawal</v>
          </cell>
          <cell r="J4623">
            <v>50</v>
          </cell>
          <cell r="K4623" t="str">
            <v>86,88,87</v>
          </cell>
          <cell r="L4623" t="str">
            <v>Judi Online</v>
          </cell>
          <cell r="M4623" t="str">
            <v xml:space="preserve">Kas Kanpus                              </v>
          </cell>
          <cell r="N4623" t="str">
            <v xml:space="preserve">Kas Kanpus                              </v>
          </cell>
          <cell r="O4623" t="str">
            <v xml:space="preserve">KAS KANPUS                              </v>
          </cell>
          <cell r="P4623" t="str">
            <v>Ya</v>
          </cell>
          <cell r="Q4623" t="str">
            <v>Ya</v>
          </cell>
          <cell r="R4623" t="str">
            <v>Done</v>
          </cell>
          <cell r="S4623" t="str">
            <v>Approved</v>
          </cell>
          <cell r="T4623" t="str">
            <v>90171841 - Rifqi Aziz</v>
          </cell>
          <cell r="U4623" t="str">
            <v>"-"</v>
          </cell>
        </row>
        <row r="4624">
          <cell r="A4624">
            <v>46265</v>
          </cell>
          <cell r="B4624" t="str">
            <v xml:space="preserve">RANIA MAHANANI MANAGEMENT               </v>
          </cell>
          <cell r="C4624" t="str">
            <v>RITH858</v>
          </cell>
          <cell r="D4624">
            <v>203201000485304</v>
          </cell>
          <cell r="E4624" t="str">
            <v>SEDANG</v>
          </cell>
          <cell r="F4624" t="str">
            <v>Tidak</v>
          </cell>
          <cell r="G4624" t="str">
            <v>Tidak</v>
          </cell>
          <cell r="H4624" t="str">
            <v>Tidak</v>
          </cell>
          <cell r="I4624" t="str">
            <v>Perpajakan</v>
          </cell>
          <cell r="J4624">
            <v>49</v>
          </cell>
          <cell r="K4624">
            <v>41</v>
          </cell>
          <cell r="L4624" t="str">
            <v>Perpajakan</v>
          </cell>
          <cell r="M4624" t="str">
            <v xml:space="preserve">KCP KALIBUTUH                           </v>
          </cell>
          <cell r="N4624" t="str">
            <v xml:space="preserve">KC Surabaya Tanjung Perak               </v>
          </cell>
          <cell r="O4624" t="str">
            <v xml:space="preserve">Surabaya                                </v>
          </cell>
          <cell r="P4624" t="str">
            <v>Tidak</v>
          </cell>
          <cell r="Q4624" t="str">
            <v>Tidak</v>
          </cell>
          <cell r="R4624" t="str">
            <v>Done</v>
          </cell>
          <cell r="S4624" t="str">
            <v>Approved</v>
          </cell>
          <cell r="T4624" t="str">
            <v>00394521 - Muhammad Hibbanduta</v>
          </cell>
          <cell r="U4624" t="str">
            <v>"-"</v>
          </cell>
        </row>
        <row r="4625">
          <cell r="A4625">
            <v>46265</v>
          </cell>
          <cell r="B4625" t="str">
            <v xml:space="preserve">RANITA KUSWATI                          </v>
          </cell>
          <cell r="C4625" t="str">
            <v>RIQI440</v>
          </cell>
          <cell r="D4625">
            <v>1901128524501</v>
          </cell>
          <cell r="E4625" t="str">
            <v>SEDANG</v>
          </cell>
          <cell r="F4625" t="str">
            <v>Tidak</v>
          </cell>
          <cell r="G4625" t="str">
            <v>Tidak</v>
          </cell>
          <cell r="H4625" t="str">
            <v>Tidak</v>
          </cell>
          <cell r="I4625" t="str">
            <v>Bandar Judol Withdrawal</v>
          </cell>
          <cell r="J4625">
            <v>50</v>
          </cell>
          <cell r="K4625" t="str">
            <v>86,88,87</v>
          </cell>
          <cell r="L4625" t="str">
            <v>Judi Online</v>
          </cell>
          <cell r="M4625" t="str">
            <v xml:space="preserve">Kas Kanpus                              </v>
          </cell>
          <cell r="N4625" t="str">
            <v xml:space="preserve">Kas Kanpus                              </v>
          </cell>
          <cell r="O4625" t="str">
            <v xml:space="preserve">KAS KANPUS                              </v>
          </cell>
          <cell r="P4625" t="str">
            <v>Ya</v>
          </cell>
          <cell r="Q4625" t="str">
            <v>Ya</v>
          </cell>
          <cell r="R4625" t="str">
            <v>Done</v>
          </cell>
          <cell r="S4625" t="str">
            <v>Approved</v>
          </cell>
          <cell r="T4625" t="str">
            <v>00394521 - Muhammad Hibbanduta</v>
          </cell>
          <cell r="U4625" t="str">
            <v>"-"</v>
          </cell>
        </row>
        <row r="4626">
          <cell r="A4626">
            <v>46265</v>
          </cell>
          <cell r="B4626" t="str">
            <v xml:space="preserve">RAHMAWATI UTAMI                         </v>
          </cell>
          <cell r="C4626" t="str">
            <v>RIQJ187</v>
          </cell>
          <cell r="D4626">
            <v>370501002459509</v>
          </cell>
          <cell r="E4626" t="str">
            <v>SEDANG</v>
          </cell>
          <cell r="F4626" t="str">
            <v>Tidak</v>
          </cell>
          <cell r="G4626" t="str">
            <v>Tidak</v>
          </cell>
          <cell r="H4626" t="str">
            <v>Tidak</v>
          </cell>
          <cell r="I4626" t="str">
            <v>Bandar Judol Withdrawal</v>
          </cell>
          <cell r="J4626">
            <v>50</v>
          </cell>
          <cell r="K4626" t="str">
            <v>86,88,87</v>
          </cell>
          <cell r="L4626" t="str">
            <v>Judi Online</v>
          </cell>
          <cell r="M4626" t="str">
            <v xml:space="preserve">Kas Kanpus                              </v>
          </cell>
          <cell r="N4626" t="str">
            <v xml:space="preserve">Kas Kanpus                              </v>
          </cell>
          <cell r="O4626" t="str">
            <v xml:space="preserve">KAS KANPUS                              </v>
          </cell>
          <cell r="P4626" t="str">
            <v>Ya</v>
          </cell>
          <cell r="Q4626" t="str">
            <v>Ya</v>
          </cell>
          <cell r="R4626" t="str">
            <v>Done</v>
          </cell>
          <cell r="S4626" t="str">
            <v>Approved</v>
          </cell>
          <cell r="T4626" t="str">
            <v>00336949 - Mochammad Al Farabi</v>
          </cell>
          <cell r="U4626" t="str">
            <v>"-"</v>
          </cell>
        </row>
        <row r="4627">
          <cell r="A4627">
            <v>46265</v>
          </cell>
          <cell r="B4627" t="str">
            <v xml:space="preserve">RIANTI NAIBAHO                          </v>
          </cell>
          <cell r="C4627" t="str">
            <v>RHZ9019</v>
          </cell>
          <cell r="D4627">
            <v>454101010443531</v>
          </cell>
          <cell r="E4627" t="str">
            <v>SEDANG</v>
          </cell>
          <cell r="F4627" t="str">
            <v>Tidak</v>
          </cell>
          <cell r="G4627" t="str">
            <v>Tidak</v>
          </cell>
          <cell r="H4627" t="str">
            <v>Tidak</v>
          </cell>
          <cell r="I4627" t="str">
            <v>Bandar Judol Depo</v>
          </cell>
          <cell r="J4627">
            <v>50</v>
          </cell>
          <cell r="K4627" t="str">
            <v>86,74,87</v>
          </cell>
          <cell r="L4627" t="str">
            <v>Judi Online</v>
          </cell>
          <cell r="M4627" t="str">
            <v xml:space="preserve">Kas Kanpus                              </v>
          </cell>
          <cell r="N4627" t="str">
            <v xml:space="preserve">Kas Kanpus                              </v>
          </cell>
          <cell r="O4627" t="str">
            <v xml:space="preserve">KAS KANPUS                              </v>
          </cell>
          <cell r="P4627" t="str">
            <v>Tidak</v>
          </cell>
          <cell r="Q4627" t="str">
            <v>Ya</v>
          </cell>
          <cell r="R4627" t="str">
            <v>Done</v>
          </cell>
          <cell r="S4627" t="str">
            <v>Approved</v>
          </cell>
          <cell r="T4627" t="str">
            <v>00336949 - Mochammad Al Farabi</v>
          </cell>
          <cell r="U4627" t="str">
            <v>"-"</v>
          </cell>
        </row>
        <row r="4628">
          <cell r="A4628">
            <v>46265</v>
          </cell>
          <cell r="B4628" t="str">
            <v xml:space="preserve">RIMPUAN MANULLANG                       </v>
          </cell>
          <cell r="C4628" t="str">
            <v>RMO8229</v>
          </cell>
          <cell r="D4628">
            <v>36801014346537</v>
          </cell>
          <cell r="E4628" t="str">
            <v>SEDANG</v>
          </cell>
          <cell r="F4628" t="str">
            <v>Tidak</v>
          </cell>
          <cell r="G4628" t="str">
            <v>Tidak</v>
          </cell>
          <cell r="H4628" t="str">
            <v>Tidak</v>
          </cell>
          <cell r="I4628" t="str">
            <v>Bandar Judol Withdrawal</v>
          </cell>
          <cell r="J4628">
            <v>50</v>
          </cell>
          <cell r="K4628" t="str">
            <v>86,88,87</v>
          </cell>
          <cell r="L4628" t="str">
            <v>Judi Online</v>
          </cell>
          <cell r="M4628" t="str">
            <v xml:space="preserve">Kas Kanpus                              </v>
          </cell>
          <cell r="N4628" t="str">
            <v xml:space="preserve">Kas Kanpus                              </v>
          </cell>
          <cell r="O4628" t="str">
            <v xml:space="preserve">KAS KANPUS                              </v>
          </cell>
          <cell r="P4628" t="str">
            <v>Ya</v>
          </cell>
          <cell r="Q4628" t="str">
            <v>Ya</v>
          </cell>
          <cell r="R4628" t="str">
            <v>Done</v>
          </cell>
          <cell r="S4628" t="str">
            <v>Approved</v>
          </cell>
          <cell r="T4628" t="str">
            <v>90150130 - Intan Aida Pratiwi</v>
          </cell>
          <cell r="U4628" t="str">
            <v>"-"</v>
          </cell>
        </row>
        <row r="4629">
          <cell r="A4629">
            <v>46265</v>
          </cell>
          <cell r="B4629" t="str">
            <v xml:space="preserve">ROBY KUSUMA                             </v>
          </cell>
          <cell r="C4629" t="str">
            <v>RMOE939</v>
          </cell>
          <cell r="D4629">
            <v>212601000667567</v>
          </cell>
          <cell r="E4629" t="str">
            <v>SEDANG</v>
          </cell>
          <cell r="F4629" t="str">
            <v>Tidak</v>
          </cell>
          <cell r="G4629" t="str">
            <v>Tidak</v>
          </cell>
          <cell r="H4629" t="str">
            <v>Tidak</v>
          </cell>
          <cell r="I4629" t="str">
            <v>Bandar Judol Withdrawal</v>
          </cell>
          <cell r="J4629">
            <v>50</v>
          </cell>
          <cell r="K4629" t="str">
            <v>86,88,87</v>
          </cell>
          <cell r="L4629" t="str">
            <v>Judi Online</v>
          </cell>
          <cell r="M4629" t="str">
            <v xml:space="preserve">Kas Kanpus                              </v>
          </cell>
          <cell r="N4629" t="str">
            <v xml:space="preserve">Kas Kanpus                              </v>
          </cell>
          <cell r="O4629" t="str">
            <v xml:space="preserve">KAS KANPUS                              </v>
          </cell>
          <cell r="P4629" t="str">
            <v>Ya</v>
          </cell>
          <cell r="Q4629" t="str">
            <v>Tidak</v>
          </cell>
          <cell r="R4629" t="str">
            <v>Done</v>
          </cell>
          <cell r="S4629" t="str">
            <v>Approved</v>
          </cell>
          <cell r="T4629" t="str">
            <v>00394520 - Frida Akbar Rani</v>
          </cell>
          <cell r="U4629" t="str">
            <v>"-"</v>
          </cell>
        </row>
        <row r="4630">
          <cell r="A4630">
            <v>46265</v>
          </cell>
          <cell r="B4630" t="str">
            <v xml:space="preserve">RANGGA RAMADHAN                         </v>
          </cell>
          <cell r="C4630" t="str">
            <v>RMOH039</v>
          </cell>
          <cell r="D4630">
            <v>154201001811504</v>
          </cell>
          <cell r="E4630" t="str">
            <v>SEDANG</v>
          </cell>
          <cell r="F4630" t="str">
            <v>Tidak</v>
          </cell>
          <cell r="G4630" t="str">
            <v>Tidak</v>
          </cell>
          <cell r="H4630" t="str">
            <v>Tidak</v>
          </cell>
          <cell r="I4630" t="str">
            <v>Bandar Judol Withdrawal</v>
          </cell>
          <cell r="J4630">
            <v>50</v>
          </cell>
          <cell r="K4630" t="str">
            <v>86,88,87</v>
          </cell>
          <cell r="L4630" t="str">
            <v>Judi Online</v>
          </cell>
          <cell r="M4630" t="str">
            <v xml:space="preserve">Kas Kanpus                              </v>
          </cell>
          <cell r="N4630" t="str">
            <v xml:space="preserve">Kas Kanpus                              </v>
          </cell>
          <cell r="O4630" t="str">
            <v xml:space="preserve">KAS KANPUS                              </v>
          </cell>
          <cell r="P4630" t="str">
            <v>Ya</v>
          </cell>
          <cell r="Q4630" t="str">
            <v>Ya</v>
          </cell>
          <cell r="R4630" t="str">
            <v>Done</v>
          </cell>
          <cell r="S4630" t="str">
            <v>Approved</v>
          </cell>
          <cell r="T4630" t="str">
            <v>00394520 - Frida Akbar Rani</v>
          </cell>
          <cell r="U4630" t="str">
            <v>"-"</v>
          </cell>
        </row>
        <row r="4631">
          <cell r="A4631">
            <v>46265</v>
          </cell>
          <cell r="B4631" t="str">
            <v xml:space="preserve">REJA PURNAMA                            </v>
          </cell>
          <cell r="C4631" t="str">
            <v>RMRL927</v>
          </cell>
          <cell r="D4631">
            <v>13701202978505</v>
          </cell>
          <cell r="E4631" t="str">
            <v>SEDANG</v>
          </cell>
          <cell r="F4631" t="str">
            <v>Tidak</v>
          </cell>
          <cell r="G4631" t="str">
            <v>Tidak</v>
          </cell>
          <cell r="H4631" t="str">
            <v>Tidak</v>
          </cell>
          <cell r="I4631" t="str">
            <v>Bandar Judol Withdrawal</v>
          </cell>
          <cell r="J4631">
            <v>50</v>
          </cell>
          <cell r="K4631" t="str">
            <v>86,88,87</v>
          </cell>
          <cell r="L4631" t="str">
            <v>Judi Online</v>
          </cell>
          <cell r="M4631" t="str">
            <v xml:space="preserve">Kas Kanpus                              </v>
          </cell>
          <cell r="N4631" t="str">
            <v xml:space="preserve">Kas Kanpus                              </v>
          </cell>
          <cell r="O4631" t="str">
            <v xml:space="preserve">KAS KANPUS                              </v>
          </cell>
          <cell r="P4631" t="str">
            <v>Ya</v>
          </cell>
          <cell r="Q4631" t="str">
            <v>Ya</v>
          </cell>
          <cell r="R4631" t="str">
            <v>Done</v>
          </cell>
          <cell r="S4631" t="str">
            <v>Approved</v>
          </cell>
          <cell r="T4631" t="str">
            <v>90185537 - Moh.Khoerul Fajar Ar</v>
          </cell>
          <cell r="U4631" t="str">
            <v>"-"</v>
          </cell>
        </row>
        <row r="4632">
          <cell r="A4632">
            <v>46265</v>
          </cell>
          <cell r="B4632" t="str">
            <v xml:space="preserve">RUDI                                    </v>
          </cell>
          <cell r="C4632" t="str">
            <v>RMTQ324</v>
          </cell>
          <cell r="D4632">
            <v>8001002103561</v>
          </cell>
          <cell r="E4632" t="str">
            <v>TINGGI</v>
          </cell>
          <cell r="F4632" t="str">
            <v>Tidak</v>
          </cell>
          <cell r="G4632" t="str">
            <v>Tidak</v>
          </cell>
          <cell r="H4632" t="str">
            <v>Tidak</v>
          </cell>
          <cell r="I4632" t="str">
            <v>Bandar Judol Depo</v>
          </cell>
          <cell r="J4632">
            <v>65</v>
          </cell>
          <cell r="K4632" t="str">
            <v>86,74,87</v>
          </cell>
          <cell r="L4632" t="str">
            <v>Judi Online</v>
          </cell>
          <cell r="M4632" t="str">
            <v xml:space="preserve">Kas Kanpus                              </v>
          </cell>
          <cell r="N4632" t="str">
            <v xml:space="preserve">Kas Kanpus                              </v>
          </cell>
          <cell r="O4632" t="str">
            <v xml:space="preserve">KAS KANPUS                              </v>
          </cell>
          <cell r="P4632" t="str">
            <v>Ya</v>
          </cell>
          <cell r="Q4632" t="str">
            <v>Ya</v>
          </cell>
          <cell r="R4632" t="str">
            <v>Done</v>
          </cell>
          <cell r="S4632" t="str">
            <v>Approved</v>
          </cell>
          <cell r="T4632" t="str">
            <v>00336949 - Mochammad Al Farabi</v>
          </cell>
          <cell r="U4632" t="str">
            <v>"-"</v>
          </cell>
        </row>
        <row r="4633">
          <cell r="A4633">
            <v>46265</v>
          </cell>
          <cell r="B4633" t="str">
            <v xml:space="preserve">RYAN PURNAMA                            </v>
          </cell>
          <cell r="C4633" t="str">
            <v>RMUF685</v>
          </cell>
          <cell r="D4633">
            <v>112901001011560</v>
          </cell>
          <cell r="E4633" t="str">
            <v>TINGGI</v>
          </cell>
          <cell r="F4633" t="str">
            <v>Tidak</v>
          </cell>
          <cell r="G4633" t="str">
            <v>Tidak</v>
          </cell>
          <cell r="H4633" t="str">
            <v>Ya</v>
          </cell>
          <cell r="I4633" t="str">
            <v>Bandar Judol Depo</v>
          </cell>
          <cell r="J4633">
            <v>65</v>
          </cell>
          <cell r="K4633" t="str">
            <v>86,74,87</v>
          </cell>
          <cell r="L4633" t="str">
            <v>Judi Online</v>
          </cell>
          <cell r="M4633" t="str">
            <v xml:space="preserve">Kas Kanpus                              </v>
          </cell>
          <cell r="N4633" t="str">
            <v xml:space="preserve">Kas Kanpus                              </v>
          </cell>
          <cell r="O4633" t="str">
            <v xml:space="preserve">KAS KANPUS                              </v>
          </cell>
          <cell r="P4633" t="str">
            <v>Ya</v>
          </cell>
          <cell r="Q4633" t="str">
            <v>Ya</v>
          </cell>
          <cell r="R4633" t="str">
            <v>Done</v>
          </cell>
          <cell r="S4633" t="str">
            <v>Approved</v>
          </cell>
          <cell r="T4633" t="str">
            <v>00336949 - Mochammad Al Farabi</v>
          </cell>
          <cell r="U4633" t="str">
            <v>"-"</v>
          </cell>
        </row>
        <row r="4634">
          <cell r="A4634">
            <v>46265</v>
          </cell>
          <cell r="B4634" t="str">
            <v xml:space="preserve">RUKI DIAZ PRAMANA                       </v>
          </cell>
          <cell r="C4634" t="str">
            <v>RNFA140</v>
          </cell>
          <cell r="D4634">
            <v>113401024154502</v>
          </cell>
          <cell r="E4634" t="str">
            <v>SEDANG</v>
          </cell>
          <cell r="F4634" t="str">
            <v>Tidak</v>
          </cell>
          <cell r="G4634" t="str">
            <v>Tidak</v>
          </cell>
          <cell r="H4634" t="str">
            <v>Tidak</v>
          </cell>
          <cell r="I4634" t="str">
            <v>Bandar Judol Withdrawal</v>
          </cell>
          <cell r="J4634">
            <v>50</v>
          </cell>
          <cell r="K4634" t="str">
            <v>86,88,87</v>
          </cell>
          <cell r="L4634" t="str">
            <v>Judi Online</v>
          </cell>
          <cell r="M4634" t="str">
            <v xml:space="preserve">Kas Kanpus                              </v>
          </cell>
          <cell r="N4634" t="str">
            <v xml:space="preserve">Kas Kanpus                              </v>
          </cell>
          <cell r="O4634" t="str">
            <v xml:space="preserve">KAS KANPUS                              </v>
          </cell>
          <cell r="P4634" t="str">
            <v>Ya</v>
          </cell>
          <cell r="Q4634" t="str">
            <v>Ya</v>
          </cell>
          <cell r="R4634" t="str">
            <v>Done</v>
          </cell>
          <cell r="S4634" t="str">
            <v>Approved</v>
          </cell>
          <cell r="T4634" t="str">
            <v>00394521 - Muhammad Hibbanduta</v>
          </cell>
          <cell r="U4634" t="str">
            <v>"-"</v>
          </cell>
        </row>
        <row r="4635">
          <cell r="A4635">
            <v>46265</v>
          </cell>
          <cell r="B4635" t="str">
            <v xml:space="preserve">RIAN ALAMSYAH                           </v>
          </cell>
          <cell r="C4635" t="str">
            <v>RNFO759</v>
          </cell>
          <cell r="D4635">
            <v>532901000007562</v>
          </cell>
          <cell r="E4635" t="str">
            <v>SEDANG</v>
          </cell>
          <cell r="F4635" t="str">
            <v>Tidak</v>
          </cell>
          <cell r="G4635" t="str">
            <v>Tidak</v>
          </cell>
          <cell r="H4635" t="str">
            <v>Tidak</v>
          </cell>
          <cell r="I4635" t="str">
            <v>Bandar Judol Withdrawal</v>
          </cell>
          <cell r="J4635">
            <v>50</v>
          </cell>
          <cell r="K4635" t="str">
            <v>86,88,87</v>
          </cell>
          <cell r="L4635" t="str">
            <v>Judi Online</v>
          </cell>
          <cell r="M4635" t="str">
            <v xml:space="preserve">Kas Kanpus                              </v>
          </cell>
          <cell r="N4635" t="str">
            <v xml:space="preserve">Kas Kanpus                              </v>
          </cell>
          <cell r="O4635" t="str">
            <v xml:space="preserve">KAS KANPUS                              </v>
          </cell>
          <cell r="P4635" t="str">
            <v>Ya</v>
          </cell>
          <cell r="Q4635" t="str">
            <v>Ya</v>
          </cell>
          <cell r="R4635" t="str">
            <v>Done</v>
          </cell>
          <cell r="S4635" t="str">
            <v>Approved</v>
          </cell>
          <cell r="T4635" t="str">
            <v>90171841 - Rifqi Aziz</v>
          </cell>
          <cell r="U4635" t="str">
            <v>"-"</v>
          </cell>
        </row>
        <row r="4636">
          <cell r="A4636">
            <v>46265</v>
          </cell>
          <cell r="B4636" t="str">
            <v xml:space="preserve">RITA NOFALIA CAHYA                      </v>
          </cell>
          <cell r="C4636" t="str">
            <v>RNIW783</v>
          </cell>
          <cell r="D4636">
            <v>225101000860560</v>
          </cell>
          <cell r="E4636" t="str">
            <v>SEDANG</v>
          </cell>
          <cell r="F4636" t="str">
            <v>Tidak</v>
          </cell>
          <cell r="G4636" t="str">
            <v>Tidak</v>
          </cell>
          <cell r="H4636" t="str">
            <v>Tidak</v>
          </cell>
          <cell r="I4636" t="str">
            <v>Bandar Judol Depo</v>
          </cell>
          <cell r="J4636">
            <v>50</v>
          </cell>
          <cell r="K4636" t="str">
            <v>86,74,87</v>
          </cell>
          <cell r="L4636" t="str">
            <v>Judi Online</v>
          </cell>
          <cell r="M4636" t="str">
            <v xml:space="preserve">Kas Kanpus                              </v>
          </cell>
          <cell r="N4636" t="str">
            <v xml:space="preserve">Kas Kanpus                              </v>
          </cell>
          <cell r="O4636" t="str">
            <v xml:space="preserve">KAS KANPUS                              </v>
          </cell>
          <cell r="P4636" t="str">
            <v>Tidak</v>
          </cell>
          <cell r="Q4636" t="str">
            <v>Ya</v>
          </cell>
          <cell r="R4636" t="str">
            <v>Done</v>
          </cell>
          <cell r="S4636" t="str">
            <v>Approved</v>
          </cell>
          <cell r="T4636" t="str">
            <v>90186796 - Devito Arya Wiradila</v>
          </cell>
          <cell r="U4636" t="str">
            <v>"-"</v>
          </cell>
        </row>
        <row r="4637">
          <cell r="A4637">
            <v>46265</v>
          </cell>
          <cell r="B4637" t="str">
            <v xml:space="preserve">ROSITHA YULYANTHI                       </v>
          </cell>
          <cell r="C4637" t="str">
            <v>RMX3005</v>
          </cell>
          <cell r="D4637">
            <v>0</v>
          </cell>
          <cell r="E4637" t="str">
            <v>TINGGI</v>
          </cell>
          <cell r="F4637" t="str">
            <v>Tidak</v>
          </cell>
          <cell r="G4637" t="str">
            <v>Tidak</v>
          </cell>
          <cell r="H4637" t="str">
            <v>Tidak</v>
          </cell>
          <cell r="I4637" t="str">
            <v>Private or Priority Customer Investment</v>
          </cell>
          <cell r="J4637">
            <v>78</v>
          </cell>
          <cell r="K4637">
            <v>93</v>
          </cell>
          <cell r="L4637" t="str">
            <v>Pasar Modal</v>
          </cell>
          <cell r="M4637" t="str">
            <v xml:space="preserve">KC Bogor Pajajaran                      </v>
          </cell>
          <cell r="N4637" t="str">
            <v xml:space="preserve">KC Bogor Pajajaran                      </v>
          </cell>
          <cell r="O4637" t="str">
            <v xml:space="preserve">DKI2                                    </v>
          </cell>
          <cell r="P4637" t="str">
            <v>Tidak</v>
          </cell>
          <cell r="Q4637" t="str">
            <v>Tidak</v>
          </cell>
          <cell r="R4637" t="str">
            <v>Done</v>
          </cell>
          <cell r="S4637" t="str">
            <v>Approved</v>
          </cell>
          <cell r="T4637" t="str">
            <v>90186796 - Devito Arya Wiradila</v>
          </cell>
          <cell r="U4637" t="str">
            <v>"-"</v>
          </cell>
        </row>
        <row r="4638">
          <cell r="A4638">
            <v>46265</v>
          </cell>
          <cell r="B4638" t="str">
            <v xml:space="preserve">RIAN                                    </v>
          </cell>
          <cell r="C4638" t="str">
            <v>RMXP073</v>
          </cell>
          <cell r="D4638">
            <v>8001002113566</v>
          </cell>
          <cell r="E4638" t="str">
            <v>TINGGI</v>
          </cell>
          <cell r="F4638" t="str">
            <v>Tidak</v>
          </cell>
          <cell r="G4638" t="str">
            <v>Tidak</v>
          </cell>
          <cell r="H4638" t="str">
            <v>Tidak</v>
          </cell>
          <cell r="I4638" t="str">
            <v>Bandar Judol Withdrawal</v>
          </cell>
          <cell r="J4638">
            <v>65</v>
          </cell>
          <cell r="K4638" t="str">
            <v>86,88,87</v>
          </cell>
          <cell r="L4638" t="str">
            <v>Judi Online</v>
          </cell>
          <cell r="M4638" t="str">
            <v xml:space="preserve">Kas Kanpus                              </v>
          </cell>
          <cell r="N4638" t="str">
            <v xml:space="preserve">Kas Kanpus                              </v>
          </cell>
          <cell r="O4638" t="str">
            <v xml:space="preserve">KAS KANPUS                              </v>
          </cell>
          <cell r="P4638" t="str">
            <v>Ya</v>
          </cell>
          <cell r="Q4638" t="str">
            <v>Ya</v>
          </cell>
          <cell r="R4638" t="str">
            <v>Done</v>
          </cell>
          <cell r="S4638" t="str">
            <v>Approved</v>
          </cell>
          <cell r="T4638" t="str">
            <v>00336949 - Mochammad Al Farabi</v>
          </cell>
          <cell r="U4638" t="str">
            <v>"-"</v>
          </cell>
        </row>
        <row r="4639">
          <cell r="A4639">
            <v>46265</v>
          </cell>
          <cell r="B4639" t="str">
            <v xml:space="preserve">RIAN DERMAWAN                           </v>
          </cell>
          <cell r="C4639" t="str">
            <v>RMXU381</v>
          </cell>
          <cell r="D4639">
            <v>35501060786502</v>
          </cell>
          <cell r="E4639" t="str">
            <v>SEDANG</v>
          </cell>
          <cell r="F4639" t="str">
            <v>Tidak</v>
          </cell>
          <cell r="G4639" t="str">
            <v>Tidak</v>
          </cell>
          <cell r="H4639" t="str">
            <v>Tidak</v>
          </cell>
          <cell r="I4639" t="str">
            <v>Bandar Judol Withdrawal</v>
          </cell>
          <cell r="J4639">
            <v>50</v>
          </cell>
          <cell r="K4639" t="str">
            <v>86,88,87</v>
          </cell>
          <cell r="L4639" t="str">
            <v>Judi Online</v>
          </cell>
          <cell r="M4639" t="str">
            <v xml:space="preserve">Kas Kanpus                              </v>
          </cell>
          <cell r="N4639" t="str">
            <v xml:space="preserve">Kas Kanpus                              </v>
          </cell>
          <cell r="O4639" t="str">
            <v xml:space="preserve">KAS KANPUS                              </v>
          </cell>
          <cell r="P4639" t="str">
            <v>Ya</v>
          </cell>
          <cell r="Q4639" t="str">
            <v>Ya</v>
          </cell>
          <cell r="R4639" t="str">
            <v>Done</v>
          </cell>
          <cell r="S4639" t="str">
            <v>Approved</v>
          </cell>
          <cell r="T4639" t="str">
            <v>00394520 - Frida Akbar Rani</v>
          </cell>
          <cell r="U4639" t="str">
            <v>"-"</v>
          </cell>
        </row>
        <row r="4640">
          <cell r="A4640">
            <v>46265</v>
          </cell>
          <cell r="B4640" t="str">
            <v xml:space="preserve">RUSYANTO                                </v>
          </cell>
          <cell r="C4640" t="str">
            <v>RNAV969</v>
          </cell>
          <cell r="D4640">
            <v>44501071950505</v>
          </cell>
          <cell r="E4640" t="str">
            <v>SEDANG</v>
          </cell>
          <cell r="F4640" t="str">
            <v>Tidak</v>
          </cell>
          <cell r="G4640" t="str">
            <v>Tidak</v>
          </cell>
          <cell r="H4640" t="str">
            <v>Tidak</v>
          </cell>
          <cell r="I4640" t="str">
            <v>Bandar Judol Withdrawal</v>
          </cell>
          <cell r="J4640">
            <v>50</v>
          </cell>
          <cell r="K4640" t="str">
            <v>86,88,87</v>
          </cell>
          <cell r="L4640" t="str">
            <v>Judi Online</v>
          </cell>
          <cell r="M4640" t="str">
            <v xml:space="preserve">Kas Kanpus                              </v>
          </cell>
          <cell r="N4640" t="str">
            <v xml:space="preserve">Kas Kanpus                              </v>
          </cell>
          <cell r="O4640" t="str">
            <v xml:space="preserve">KAS KANPUS                              </v>
          </cell>
          <cell r="P4640" t="str">
            <v>Ya</v>
          </cell>
          <cell r="Q4640" t="str">
            <v>Ya</v>
          </cell>
          <cell r="R4640" t="str">
            <v>Done</v>
          </cell>
          <cell r="S4640" t="str">
            <v>Approved</v>
          </cell>
          <cell r="T4640" t="str">
            <v>00336949 - Mochammad Al Farabi</v>
          </cell>
          <cell r="U4640" t="str">
            <v>"-"</v>
          </cell>
        </row>
        <row r="4641">
          <cell r="A4641">
            <v>46265</v>
          </cell>
          <cell r="B4641" t="str">
            <v xml:space="preserve">ROMLI ROZALI                            </v>
          </cell>
          <cell r="C4641" t="str">
            <v>RNBK297</v>
          </cell>
          <cell r="D4641">
            <v>86701015694507</v>
          </cell>
          <cell r="E4641" t="str">
            <v>SEDANG</v>
          </cell>
          <cell r="F4641" t="str">
            <v>Tidak</v>
          </cell>
          <cell r="G4641" t="str">
            <v>Tidak</v>
          </cell>
          <cell r="H4641" t="str">
            <v>Tidak</v>
          </cell>
          <cell r="I4641" t="str">
            <v>Bandar Judol Withdrawal</v>
          </cell>
          <cell r="J4641">
            <v>50</v>
          </cell>
          <cell r="K4641" t="str">
            <v>86,88,87</v>
          </cell>
          <cell r="L4641" t="str">
            <v>Judi Online</v>
          </cell>
          <cell r="M4641" t="str">
            <v xml:space="preserve">Kas Kanpus                              </v>
          </cell>
          <cell r="N4641" t="str">
            <v xml:space="preserve">Kas Kanpus                              </v>
          </cell>
          <cell r="O4641" t="str">
            <v xml:space="preserve">KAS KANPUS                              </v>
          </cell>
          <cell r="P4641" t="str">
            <v>Ya</v>
          </cell>
          <cell r="Q4641" t="str">
            <v>Ya</v>
          </cell>
          <cell r="R4641" t="str">
            <v>Done</v>
          </cell>
          <cell r="S4641" t="str">
            <v>Approved</v>
          </cell>
          <cell r="T4641" t="str">
            <v>90170665 - Mutiara Ayuningtyas</v>
          </cell>
          <cell r="U4641" t="str">
            <v>"-"</v>
          </cell>
        </row>
        <row r="4642">
          <cell r="A4642">
            <v>46265</v>
          </cell>
          <cell r="B4642" t="str">
            <v xml:space="preserve">RIKI PRATAMA                            </v>
          </cell>
          <cell r="C4642" t="str">
            <v>RLZB734</v>
          </cell>
          <cell r="D4642">
            <v>23801031892538</v>
          </cell>
          <cell r="E4642" t="str">
            <v>SEDANG</v>
          </cell>
          <cell r="F4642" t="str">
            <v>Tidak</v>
          </cell>
          <cell r="G4642" t="str">
            <v>Tidak</v>
          </cell>
          <cell r="H4642" t="str">
            <v>Tidak</v>
          </cell>
          <cell r="I4642" t="str">
            <v>Bandar Judol Withdrawal</v>
          </cell>
          <cell r="J4642">
            <v>50</v>
          </cell>
          <cell r="K4642" t="str">
            <v>86,88,87</v>
          </cell>
          <cell r="L4642" t="str">
            <v>Judi Online</v>
          </cell>
          <cell r="M4642" t="str">
            <v xml:space="preserve">Kas Kanpus                              </v>
          </cell>
          <cell r="N4642" t="str">
            <v xml:space="preserve">Kas Kanpus                              </v>
          </cell>
          <cell r="O4642" t="str">
            <v xml:space="preserve">KAS KANPUS                              </v>
          </cell>
          <cell r="P4642" t="str">
            <v>Ya</v>
          </cell>
          <cell r="Q4642" t="str">
            <v>Ya</v>
          </cell>
          <cell r="R4642" t="str">
            <v>Done</v>
          </cell>
          <cell r="S4642" t="str">
            <v>Approved</v>
          </cell>
          <cell r="T4642" t="str">
            <v>90150130 - Intan Aida Pratiwi</v>
          </cell>
          <cell r="U4642" t="str">
            <v>"-"</v>
          </cell>
        </row>
        <row r="4643">
          <cell r="A4643">
            <v>46265</v>
          </cell>
          <cell r="B4643" t="str">
            <v xml:space="preserve">RANDIKA ALFAROBY SURBAKTI               </v>
          </cell>
          <cell r="C4643" t="str">
            <v>RMIW639</v>
          </cell>
          <cell r="D4643">
            <v>23801085402505</v>
          </cell>
          <cell r="E4643" t="str">
            <v>SEDANG</v>
          </cell>
          <cell r="F4643" t="str">
            <v>Tidak</v>
          </cell>
          <cell r="G4643" t="str">
            <v>Tidak</v>
          </cell>
          <cell r="H4643" t="str">
            <v>Tidak</v>
          </cell>
          <cell r="I4643" t="str">
            <v>Bandar Judol Withdrawal</v>
          </cell>
          <cell r="J4643">
            <v>50</v>
          </cell>
          <cell r="K4643" t="str">
            <v>86,88,87</v>
          </cell>
          <cell r="L4643" t="str">
            <v>Judi Online</v>
          </cell>
          <cell r="M4643" t="str">
            <v xml:space="preserve">Kas Kanpus                              </v>
          </cell>
          <cell r="N4643" t="str">
            <v xml:space="preserve">Kas Kanpus                              </v>
          </cell>
          <cell r="O4643" t="str">
            <v xml:space="preserve">KAS KANPUS                              </v>
          </cell>
          <cell r="P4643" t="str">
            <v>Ya</v>
          </cell>
          <cell r="Q4643" t="str">
            <v>Ya</v>
          </cell>
          <cell r="R4643" t="str">
            <v>Done</v>
          </cell>
          <cell r="S4643" t="str">
            <v>Approved</v>
          </cell>
          <cell r="T4643" t="str">
            <v>00336949 - Mochammad Al Farabi</v>
          </cell>
          <cell r="U4643" t="str">
            <v>"-"</v>
          </cell>
        </row>
        <row r="4644">
          <cell r="A4644">
            <v>46265</v>
          </cell>
          <cell r="B4644" t="str">
            <v xml:space="preserve">ROY CHANDRA PANJAITAN                   </v>
          </cell>
          <cell r="C4644" t="str">
            <v>RLK5326</v>
          </cell>
          <cell r="D4644">
            <v>353001049973533</v>
          </cell>
          <cell r="E4644" t="str">
            <v>SEDANG</v>
          </cell>
          <cell r="F4644" t="str">
            <v>Tidak</v>
          </cell>
          <cell r="G4644" t="str">
            <v>Tidak</v>
          </cell>
          <cell r="H4644" t="str">
            <v>Tidak</v>
          </cell>
          <cell r="I4644" t="str">
            <v>Bandar Judol Withdrawal</v>
          </cell>
          <cell r="J4644">
            <v>50</v>
          </cell>
          <cell r="K4644" t="str">
            <v>86,88,87</v>
          </cell>
          <cell r="L4644" t="str">
            <v>Judi Online</v>
          </cell>
          <cell r="M4644" t="str">
            <v xml:space="preserve">Kas Kanpus                              </v>
          </cell>
          <cell r="N4644" t="str">
            <v xml:space="preserve">Kas Kanpus                              </v>
          </cell>
          <cell r="O4644" t="str">
            <v xml:space="preserve">KAS KANPUS                              </v>
          </cell>
          <cell r="P4644" t="str">
            <v>Ya</v>
          </cell>
          <cell r="Q4644" t="str">
            <v>Ya</v>
          </cell>
          <cell r="R4644" t="str">
            <v>Done</v>
          </cell>
          <cell r="S4644" t="str">
            <v>Approved</v>
          </cell>
          <cell r="T4644" t="str">
            <v>90186796 - Devito Arya Wiradila</v>
          </cell>
          <cell r="U4644" t="str">
            <v>"-"</v>
          </cell>
        </row>
        <row r="4645">
          <cell r="A4645">
            <v>46265</v>
          </cell>
          <cell r="B4645" t="str">
            <v xml:space="preserve">RECAPITECH                              </v>
          </cell>
          <cell r="C4645" t="str">
            <v>RMCI763</v>
          </cell>
          <cell r="D4645">
            <v>324802000001504</v>
          </cell>
          <cell r="E4645" t="str">
            <v>SEDANG</v>
          </cell>
          <cell r="F4645" t="str">
            <v>Tidak</v>
          </cell>
          <cell r="G4645" t="str">
            <v>Tidak</v>
          </cell>
          <cell r="H4645" t="str">
            <v>Tidak</v>
          </cell>
          <cell r="I4645" t="str">
            <v>Perpajakan</v>
          </cell>
          <cell r="J4645">
            <v>48</v>
          </cell>
          <cell r="K4645">
            <v>41</v>
          </cell>
          <cell r="L4645" t="str">
            <v>Perpajakan</v>
          </cell>
          <cell r="M4645" t="str">
            <v xml:space="preserve">UNIT BUKIT DURI                         </v>
          </cell>
          <cell r="N4645" t="str">
            <v xml:space="preserve">KC Jakarta Pancoran                     </v>
          </cell>
          <cell r="O4645" t="str">
            <v xml:space="preserve">DKI2                                    </v>
          </cell>
          <cell r="P4645" t="str">
            <v>Tidak</v>
          </cell>
          <cell r="Q4645" t="str">
            <v>Ya</v>
          </cell>
          <cell r="R4645" t="str">
            <v>Done</v>
          </cell>
          <cell r="S4645" t="str">
            <v>Approved</v>
          </cell>
          <cell r="T4645" t="str">
            <v>00336949 - Mochammad Al Farabi</v>
          </cell>
          <cell r="U4645" t="str">
            <v>"-"</v>
          </cell>
        </row>
        <row r="4646">
          <cell r="A4646">
            <v>46265</v>
          </cell>
          <cell r="B4646" t="str">
            <v xml:space="preserve">RENDY ANGGRIAWAN                        </v>
          </cell>
          <cell r="C4646" t="str">
            <v>RMD5238</v>
          </cell>
          <cell r="D4646">
            <v>14901032272536</v>
          </cell>
          <cell r="E4646" t="str">
            <v>SEDANG</v>
          </cell>
          <cell r="F4646" t="str">
            <v>Tidak</v>
          </cell>
          <cell r="G4646" t="str">
            <v>Tidak</v>
          </cell>
          <cell r="H4646" t="str">
            <v>Tidak</v>
          </cell>
          <cell r="I4646" t="str">
            <v>Bandar Judol Depo</v>
          </cell>
          <cell r="J4646">
            <v>50</v>
          </cell>
          <cell r="K4646" t="str">
            <v>86,74,87</v>
          </cell>
          <cell r="L4646" t="str">
            <v>Judi Online</v>
          </cell>
          <cell r="M4646" t="str">
            <v xml:space="preserve">Kas Kanpus                              </v>
          </cell>
          <cell r="N4646" t="str">
            <v xml:space="preserve">Kas Kanpus                              </v>
          </cell>
          <cell r="O4646" t="str">
            <v xml:space="preserve">KAS KANPUS                              </v>
          </cell>
          <cell r="P4646" t="str">
            <v>Ya</v>
          </cell>
          <cell r="Q4646" t="str">
            <v>Tidak</v>
          </cell>
          <cell r="R4646" t="str">
            <v>Done</v>
          </cell>
          <cell r="S4646" t="str">
            <v>Approved</v>
          </cell>
          <cell r="T4646" t="str">
            <v>00394520 - Frida Akbar Rani</v>
          </cell>
          <cell r="U4646" t="str">
            <v>"-"</v>
          </cell>
        </row>
        <row r="4647">
          <cell r="A4647">
            <v>46265</v>
          </cell>
          <cell r="B4647" t="str">
            <v xml:space="preserve">RANDI AFRIZAL                           </v>
          </cell>
          <cell r="C4647" t="str">
            <v>RNKF942</v>
          </cell>
          <cell r="D4647">
            <v>5301006943568</v>
          </cell>
          <cell r="E4647" t="str">
            <v>SEDANG</v>
          </cell>
          <cell r="F4647" t="str">
            <v>Tidak</v>
          </cell>
          <cell r="G4647" t="str">
            <v>Tidak</v>
          </cell>
          <cell r="H4647" t="str">
            <v>Tidak</v>
          </cell>
          <cell r="I4647" t="str">
            <v>Bandar Judol Withdrawal</v>
          </cell>
          <cell r="J4647">
            <v>50</v>
          </cell>
          <cell r="K4647" t="str">
            <v>86,88,87</v>
          </cell>
          <cell r="L4647" t="str">
            <v>Judi Online</v>
          </cell>
          <cell r="M4647" t="str">
            <v xml:space="preserve">Kas Kanpus                              </v>
          </cell>
          <cell r="N4647" t="str">
            <v xml:space="preserve">Kas Kanpus                              </v>
          </cell>
          <cell r="O4647" t="str">
            <v xml:space="preserve">KAS KANPUS                              </v>
          </cell>
          <cell r="P4647" t="str">
            <v>Ya</v>
          </cell>
          <cell r="Q4647" t="str">
            <v>Ya</v>
          </cell>
          <cell r="R4647" t="str">
            <v>Done</v>
          </cell>
          <cell r="S4647" t="str">
            <v>Approved</v>
          </cell>
          <cell r="T4647" t="str">
            <v>90150130 - Intan Aida Pratiwi</v>
          </cell>
          <cell r="U4647" t="str">
            <v>"-"</v>
          </cell>
        </row>
        <row r="4648">
          <cell r="A4648">
            <v>46265</v>
          </cell>
          <cell r="B4648" t="str">
            <v xml:space="preserve">ROMANI                                  </v>
          </cell>
          <cell r="C4648" t="str">
            <v>RNLW878</v>
          </cell>
          <cell r="D4648">
            <v>1901002381562</v>
          </cell>
          <cell r="E4648" t="str">
            <v>SEDANG</v>
          </cell>
          <cell r="F4648" t="str">
            <v>Tidak</v>
          </cell>
          <cell r="G4648" t="str">
            <v>Tidak</v>
          </cell>
          <cell r="H4648" t="str">
            <v>Tidak</v>
          </cell>
          <cell r="I4648" t="str">
            <v>Judi Online</v>
          </cell>
          <cell r="J4648">
            <v>50</v>
          </cell>
          <cell r="K4648" t="str">
            <v>73,76,34,74,6</v>
          </cell>
          <cell r="L4648" t="str">
            <v>Judi Online</v>
          </cell>
          <cell r="M4648" t="str">
            <v xml:space="preserve">Kas Kanpus                              </v>
          </cell>
          <cell r="N4648" t="str">
            <v xml:space="preserve">Kas Kanpus                              </v>
          </cell>
          <cell r="O4648" t="str">
            <v xml:space="preserve">KAS KANPUS                              </v>
          </cell>
          <cell r="P4648" t="str">
            <v>Ya</v>
          </cell>
          <cell r="Q4648" t="str">
            <v>Ya</v>
          </cell>
          <cell r="R4648" t="str">
            <v>Done</v>
          </cell>
          <cell r="S4648" t="str">
            <v>Approved</v>
          </cell>
          <cell r="T4648" t="str">
            <v>90185537 - Moh.Khoerul Fajar Ar</v>
          </cell>
          <cell r="U4648" t="str">
            <v>"-"</v>
          </cell>
        </row>
        <row r="4649">
          <cell r="A4649">
            <v>46265</v>
          </cell>
          <cell r="B4649" t="str">
            <v xml:space="preserve">ROMANI                                  </v>
          </cell>
          <cell r="C4649" t="str">
            <v>RNLW878</v>
          </cell>
          <cell r="D4649">
            <v>1901002381562</v>
          </cell>
          <cell r="E4649" t="str">
            <v>SEDANG</v>
          </cell>
          <cell r="F4649" t="str">
            <v>Tidak</v>
          </cell>
          <cell r="G4649" t="str">
            <v>Tidak</v>
          </cell>
          <cell r="H4649" t="str">
            <v>Tidak</v>
          </cell>
          <cell r="I4649" t="str">
            <v>Bandar Judol Depo</v>
          </cell>
          <cell r="J4649">
            <v>50</v>
          </cell>
          <cell r="K4649" t="str">
            <v>86,74,87</v>
          </cell>
          <cell r="L4649" t="str">
            <v>Judi Online</v>
          </cell>
          <cell r="M4649" t="str">
            <v xml:space="preserve">Kas Kanpus                              </v>
          </cell>
          <cell r="N4649" t="str">
            <v xml:space="preserve">Kas Kanpus                              </v>
          </cell>
          <cell r="O4649" t="str">
            <v xml:space="preserve">KAS KANPUS                              </v>
          </cell>
          <cell r="P4649" t="str">
            <v>Ya</v>
          </cell>
          <cell r="Q4649" t="str">
            <v>Ya</v>
          </cell>
          <cell r="R4649" t="str">
            <v>Done</v>
          </cell>
          <cell r="S4649" t="str">
            <v>Approved</v>
          </cell>
          <cell r="T4649" t="str">
            <v>90186796 - Devito Arya Wiradila</v>
          </cell>
          <cell r="U4649" t="str">
            <v>"-"</v>
          </cell>
        </row>
        <row r="4650">
          <cell r="A4650">
            <v>46265</v>
          </cell>
          <cell r="B4650" t="str">
            <v xml:space="preserve">RIYANTI                                 </v>
          </cell>
          <cell r="C4650" t="str">
            <v>ROAE129</v>
          </cell>
          <cell r="D4650">
            <v>1901190126509</v>
          </cell>
          <cell r="F4650" t="str">
            <v>Tidak</v>
          </cell>
          <cell r="G4650" t="str">
            <v>Tidak</v>
          </cell>
          <cell r="H4650" t="str">
            <v>Tidak</v>
          </cell>
          <cell r="I4650" t="str">
            <v>Bandar Judol Withdrawal</v>
          </cell>
          <cell r="J4650">
            <v>35</v>
          </cell>
          <cell r="K4650" t="str">
            <v>86,88,87</v>
          </cell>
          <cell r="L4650" t="str">
            <v>Judi Online</v>
          </cell>
          <cell r="M4650" t="str">
            <v xml:space="preserve">Kas Kanpus                              </v>
          </cell>
          <cell r="N4650" t="str">
            <v xml:space="preserve">Kas Kanpus                              </v>
          </cell>
          <cell r="O4650" t="str">
            <v xml:space="preserve">KAS KANPUS                              </v>
          </cell>
          <cell r="P4650" t="str">
            <v>Ya</v>
          </cell>
          <cell r="Q4650" t="str">
            <v>Ya</v>
          </cell>
          <cell r="R4650" t="str">
            <v>Done</v>
          </cell>
          <cell r="S4650" t="str">
            <v>Approved</v>
          </cell>
          <cell r="T4650" t="str">
            <v>00394520 - Frida Akbar Rani</v>
          </cell>
          <cell r="U4650" t="str">
            <v>"-"</v>
          </cell>
        </row>
        <row r="4651">
          <cell r="A4651">
            <v>46265</v>
          </cell>
          <cell r="B4651" t="str">
            <v xml:space="preserve">RUDI HARTONO                            </v>
          </cell>
          <cell r="C4651" t="str">
            <v>ROAR872</v>
          </cell>
          <cell r="D4651">
            <v>334201000071565</v>
          </cell>
          <cell r="F4651" t="str">
            <v>Tidak</v>
          </cell>
          <cell r="G4651" t="str">
            <v>Tidak</v>
          </cell>
          <cell r="H4651" t="str">
            <v>Tidak</v>
          </cell>
          <cell r="I4651" t="str">
            <v>Bandar Judol Withdrawal</v>
          </cell>
          <cell r="J4651">
            <v>35</v>
          </cell>
          <cell r="K4651" t="str">
            <v>86,88,87</v>
          </cell>
          <cell r="L4651" t="str">
            <v>Judi Online</v>
          </cell>
          <cell r="M4651" t="str">
            <v xml:space="preserve">Kas Kanpus                              </v>
          </cell>
          <cell r="N4651" t="str">
            <v xml:space="preserve">Kas Kanpus                              </v>
          </cell>
          <cell r="O4651" t="str">
            <v xml:space="preserve">KAS KANPUS                              </v>
          </cell>
          <cell r="P4651" t="str">
            <v>Ya</v>
          </cell>
          <cell r="Q4651" t="str">
            <v>Tidak</v>
          </cell>
          <cell r="R4651" t="str">
            <v>Done</v>
          </cell>
          <cell r="S4651" t="str">
            <v>Approved</v>
          </cell>
          <cell r="T4651" t="str">
            <v>90186790 - Muhammad Alfin Farha</v>
          </cell>
          <cell r="U4651" t="str">
            <v>"-"</v>
          </cell>
        </row>
        <row r="4652">
          <cell r="A4652">
            <v>46265</v>
          </cell>
          <cell r="B4652" t="str">
            <v xml:space="preserve">RATIH SUHESTI                           </v>
          </cell>
          <cell r="C4652" t="str">
            <v>ROAY499</v>
          </cell>
          <cell r="D4652">
            <v>42101005047568</v>
          </cell>
          <cell r="F4652" t="str">
            <v>Tidak</v>
          </cell>
          <cell r="G4652" t="str">
            <v>Tidak</v>
          </cell>
          <cell r="H4652" t="str">
            <v>Tidak</v>
          </cell>
          <cell r="I4652" t="str">
            <v>Bandar Judol Depo</v>
          </cell>
          <cell r="J4652">
            <v>35</v>
          </cell>
          <cell r="K4652" t="str">
            <v>86,74,87</v>
          </cell>
          <cell r="L4652" t="str">
            <v>Judi Online</v>
          </cell>
          <cell r="M4652" t="str">
            <v xml:space="preserve">Kas Kanpus                              </v>
          </cell>
          <cell r="N4652" t="str">
            <v xml:space="preserve">Kas Kanpus                              </v>
          </cell>
          <cell r="O4652" t="str">
            <v xml:space="preserve">KAS KANPUS                              </v>
          </cell>
          <cell r="P4652" t="str">
            <v>Ya</v>
          </cell>
          <cell r="Q4652" t="str">
            <v>Ya</v>
          </cell>
          <cell r="R4652" t="str">
            <v>Done</v>
          </cell>
          <cell r="S4652" t="str">
            <v>Approved</v>
          </cell>
          <cell r="T4652" t="str">
            <v>00336949 - Mochammad Al Farabi</v>
          </cell>
          <cell r="U4652" t="str">
            <v>"-"</v>
          </cell>
        </row>
        <row r="4653">
          <cell r="A4653">
            <v>46265</v>
          </cell>
          <cell r="B4653" t="str">
            <v xml:space="preserve">ROMY ANDAYANI                           </v>
          </cell>
          <cell r="C4653" t="str">
            <v>ROFG144</v>
          </cell>
          <cell r="D4653">
            <v>134201002963502</v>
          </cell>
          <cell r="F4653" t="str">
            <v>Tidak</v>
          </cell>
          <cell r="G4653" t="str">
            <v>Tidak</v>
          </cell>
          <cell r="H4653" t="str">
            <v>Tidak</v>
          </cell>
          <cell r="I4653" t="str">
            <v>Bandar Judol Withdrawal</v>
          </cell>
          <cell r="J4653">
            <v>35</v>
          </cell>
          <cell r="K4653" t="str">
            <v>86,88,87</v>
          </cell>
          <cell r="L4653" t="str">
            <v>Judi Online</v>
          </cell>
          <cell r="M4653" t="str">
            <v xml:space="preserve">Kas Kanpus                              </v>
          </cell>
          <cell r="N4653" t="str">
            <v xml:space="preserve">Kas Kanpus                              </v>
          </cell>
          <cell r="O4653" t="str">
            <v xml:space="preserve">KAS KANPUS                              </v>
          </cell>
          <cell r="P4653" t="str">
            <v>Ya</v>
          </cell>
          <cell r="Q4653" t="str">
            <v>Ya</v>
          </cell>
          <cell r="R4653" t="str">
            <v>Done</v>
          </cell>
          <cell r="S4653" t="str">
            <v>Approved</v>
          </cell>
          <cell r="T4653" t="str">
            <v>90186790 - Muhammad Alfin Farha</v>
          </cell>
          <cell r="U4653" t="str">
            <v>"-"</v>
          </cell>
        </row>
        <row r="4654">
          <cell r="A4654">
            <v>46265</v>
          </cell>
          <cell r="B4654" t="str">
            <v xml:space="preserve">RAFLY HENDRIAN                          </v>
          </cell>
          <cell r="C4654" t="str">
            <v>ROGQ733</v>
          </cell>
          <cell r="D4654">
            <v>99601016034509</v>
          </cell>
          <cell r="F4654" t="str">
            <v>Tidak</v>
          </cell>
          <cell r="G4654" t="str">
            <v>Tidak</v>
          </cell>
          <cell r="H4654" t="str">
            <v>Tidak</v>
          </cell>
          <cell r="I4654" t="str">
            <v>Bandar Judol Withdrawal</v>
          </cell>
          <cell r="J4654">
            <v>35</v>
          </cell>
          <cell r="K4654" t="str">
            <v>86,88,87</v>
          </cell>
          <cell r="L4654" t="str">
            <v>Judi Online</v>
          </cell>
          <cell r="M4654" t="str">
            <v xml:space="preserve">Kas Kanpus                              </v>
          </cell>
          <cell r="N4654" t="str">
            <v xml:space="preserve">Kas Kanpus                              </v>
          </cell>
          <cell r="O4654" t="str">
            <v xml:space="preserve">KAS KANPUS                              </v>
          </cell>
          <cell r="P4654" t="str">
            <v>Ya</v>
          </cell>
          <cell r="Q4654" t="str">
            <v>Ya</v>
          </cell>
          <cell r="R4654" t="str">
            <v>Done</v>
          </cell>
          <cell r="S4654" t="str">
            <v>Approved</v>
          </cell>
          <cell r="T4654" t="str">
            <v>90186796 - Devito Arya Wiradila</v>
          </cell>
          <cell r="U4654" t="str">
            <v>"-"</v>
          </cell>
        </row>
        <row r="4655">
          <cell r="A4655">
            <v>46265</v>
          </cell>
          <cell r="B4655" t="str">
            <v xml:space="preserve">RISNU ABDULLAH                          </v>
          </cell>
          <cell r="C4655" t="str">
            <v>ROJL469</v>
          </cell>
          <cell r="D4655">
            <v>108401018097507</v>
          </cell>
          <cell r="F4655" t="str">
            <v>Tidak</v>
          </cell>
          <cell r="G4655" t="str">
            <v>Tidak</v>
          </cell>
          <cell r="H4655" t="str">
            <v>Tidak</v>
          </cell>
          <cell r="I4655" t="str">
            <v>Bandar Judol Depo</v>
          </cell>
          <cell r="J4655">
            <v>35</v>
          </cell>
          <cell r="K4655" t="str">
            <v>86,74,87</v>
          </cell>
          <cell r="L4655" t="str">
            <v>Judi Online</v>
          </cell>
          <cell r="M4655" t="str">
            <v xml:space="preserve">Kas Kanpus                              </v>
          </cell>
          <cell r="N4655" t="str">
            <v xml:space="preserve">Kas Kanpus                              </v>
          </cell>
          <cell r="O4655" t="str">
            <v xml:space="preserve">KAS KANPUS                              </v>
          </cell>
          <cell r="P4655" t="str">
            <v>Ya</v>
          </cell>
          <cell r="Q4655" t="str">
            <v>Ya</v>
          </cell>
          <cell r="R4655" t="str">
            <v>Done</v>
          </cell>
          <cell r="S4655" t="str">
            <v>Approved</v>
          </cell>
          <cell r="T4655" t="str">
            <v>90186790 - Muhammad Alfin Farha</v>
          </cell>
          <cell r="U4655" t="str">
            <v>"-"</v>
          </cell>
        </row>
        <row r="4656">
          <cell r="A4656">
            <v>46265</v>
          </cell>
          <cell r="B4656" t="str">
            <v xml:space="preserve">RIKO MAULANA                            </v>
          </cell>
          <cell r="C4656" t="str">
            <v>RONS799</v>
          </cell>
          <cell r="D4656">
            <v>43801003878566</v>
          </cell>
          <cell r="F4656" t="str">
            <v>Tidak</v>
          </cell>
          <cell r="G4656" t="str">
            <v>Tidak</v>
          </cell>
          <cell r="H4656" t="str">
            <v>Tidak</v>
          </cell>
          <cell r="I4656" t="str">
            <v>Bandar Judol Withdrawal</v>
          </cell>
          <cell r="J4656">
            <v>35</v>
          </cell>
          <cell r="K4656" t="str">
            <v>86,88,87</v>
          </cell>
          <cell r="L4656" t="str">
            <v>Judi Online</v>
          </cell>
          <cell r="M4656" t="str">
            <v xml:space="preserve">Kas Kanpus                              </v>
          </cell>
          <cell r="N4656" t="str">
            <v xml:space="preserve">Kas Kanpus                              </v>
          </cell>
          <cell r="O4656" t="str">
            <v xml:space="preserve">KAS KANPUS                              </v>
          </cell>
          <cell r="P4656" t="str">
            <v>Ya</v>
          </cell>
          <cell r="Q4656" t="str">
            <v>Ya</v>
          </cell>
          <cell r="R4656" t="str">
            <v>Done</v>
          </cell>
          <cell r="S4656" t="str">
            <v>Approved</v>
          </cell>
          <cell r="T4656" t="str">
            <v>90171841 - Rifqi Aziz</v>
          </cell>
          <cell r="U4656" t="str">
            <v>"-"</v>
          </cell>
        </row>
        <row r="4657">
          <cell r="A4657">
            <v>46265</v>
          </cell>
          <cell r="B4657" t="str">
            <v xml:space="preserve">RANDY HADINATA                          </v>
          </cell>
          <cell r="C4657" t="str">
            <v>RONU214</v>
          </cell>
          <cell r="D4657">
            <v>69301001558562</v>
          </cell>
          <cell r="F4657" t="str">
            <v>Tidak</v>
          </cell>
          <cell r="G4657" t="str">
            <v>Tidak</v>
          </cell>
          <cell r="H4657" t="str">
            <v>Tidak</v>
          </cell>
          <cell r="I4657" t="str">
            <v>Bandar Judol Withdrawal</v>
          </cell>
          <cell r="J4657">
            <v>35</v>
          </cell>
          <cell r="K4657" t="str">
            <v>86,88,87</v>
          </cell>
          <cell r="L4657" t="str">
            <v>Judi Online</v>
          </cell>
          <cell r="M4657" t="str">
            <v xml:space="preserve">Kas Kanpus                              </v>
          </cell>
          <cell r="N4657" t="str">
            <v xml:space="preserve">Kas Kanpus                              </v>
          </cell>
          <cell r="O4657" t="str">
            <v xml:space="preserve">KAS KANPUS                              </v>
          </cell>
          <cell r="P4657" t="str">
            <v>Ya</v>
          </cell>
          <cell r="Q4657" t="str">
            <v>Ya</v>
          </cell>
          <cell r="R4657" t="str">
            <v>Done</v>
          </cell>
          <cell r="S4657" t="str">
            <v>Approved</v>
          </cell>
          <cell r="T4657" t="str">
            <v>90185537 - Moh.Khoerul Fajar Ar</v>
          </cell>
          <cell r="U4657" t="str">
            <v>"-"</v>
          </cell>
        </row>
        <row r="4658">
          <cell r="A4658">
            <v>46265</v>
          </cell>
          <cell r="B4658" t="str">
            <v xml:space="preserve">RIGEL TIMOTY GINTING                    </v>
          </cell>
          <cell r="C4658" t="str">
            <v>ROIL609</v>
          </cell>
          <cell r="D4658">
            <v>33601003747565</v>
          </cell>
          <cell r="F4658" t="str">
            <v>Tidak</v>
          </cell>
          <cell r="G4658" t="str">
            <v>Tidak</v>
          </cell>
          <cell r="H4658" t="str">
            <v>Tidak</v>
          </cell>
          <cell r="I4658" t="str">
            <v>Bandar Judol Depo</v>
          </cell>
          <cell r="J4658">
            <v>35</v>
          </cell>
          <cell r="K4658" t="str">
            <v>86,74,87</v>
          </cell>
          <cell r="L4658" t="str">
            <v>Judi Online</v>
          </cell>
          <cell r="M4658" t="str">
            <v xml:space="preserve">Kas Kanpus                              </v>
          </cell>
          <cell r="N4658" t="str">
            <v xml:space="preserve">Kas Kanpus                              </v>
          </cell>
          <cell r="O4658" t="str">
            <v xml:space="preserve">KAS KANPUS                              </v>
          </cell>
          <cell r="P4658" t="str">
            <v>Ya</v>
          </cell>
          <cell r="Q4658" t="str">
            <v>Ya</v>
          </cell>
          <cell r="R4658" t="str">
            <v>Done</v>
          </cell>
          <cell r="S4658" t="str">
            <v>Approved</v>
          </cell>
          <cell r="T4658" t="str">
            <v>00394520 - Frida Akbar Rani</v>
          </cell>
          <cell r="U4658" t="str">
            <v>"-"</v>
          </cell>
        </row>
        <row r="4659">
          <cell r="A4659">
            <v>46265</v>
          </cell>
          <cell r="B4659" t="str">
            <v xml:space="preserve">RIDHO PRATAMA                           </v>
          </cell>
          <cell r="C4659" t="str">
            <v>ROHS044</v>
          </cell>
          <cell r="D4659">
            <v>34001128629502</v>
          </cell>
          <cell r="F4659" t="str">
            <v>Tidak</v>
          </cell>
          <cell r="G4659" t="str">
            <v>Tidak</v>
          </cell>
          <cell r="H4659" t="str">
            <v>Tidak</v>
          </cell>
          <cell r="I4659" t="str">
            <v>Bandar Judol Withdrawal</v>
          </cell>
          <cell r="J4659">
            <v>35</v>
          </cell>
          <cell r="K4659" t="str">
            <v>86,88,87</v>
          </cell>
          <cell r="L4659" t="str">
            <v>Judi Online</v>
          </cell>
          <cell r="M4659" t="str">
            <v xml:space="preserve">Kas Kanpus                              </v>
          </cell>
          <cell r="N4659" t="str">
            <v xml:space="preserve">Kas Kanpus                              </v>
          </cell>
          <cell r="O4659" t="str">
            <v xml:space="preserve">KAS KANPUS                              </v>
          </cell>
          <cell r="P4659" t="str">
            <v>Ya</v>
          </cell>
          <cell r="Q4659" t="str">
            <v>Ya</v>
          </cell>
          <cell r="R4659" t="str">
            <v>Done</v>
          </cell>
          <cell r="S4659" t="str">
            <v>Approved</v>
          </cell>
          <cell r="T4659" t="str">
            <v>90170665 - Mutiara Ayuningtyas</v>
          </cell>
          <cell r="U4659" t="str">
            <v>"-"</v>
          </cell>
        </row>
        <row r="4660">
          <cell r="A4660">
            <v>46265</v>
          </cell>
          <cell r="B4660" t="str">
            <v xml:space="preserve">REZA SEPTIAN                            </v>
          </cell>
          <cell r="C4660" t="str">
            <v>ROKF976</v>
          </cell>
          <cell r="D4660">
            <v>78601010388503</v>
          </cell>
          <cell r="F4660" t="str">
            <v>Tidak</v>
          </cell>
          <cell r="G4660" t="str">
            <v>Tidak</v>
          </cell>
          <cell r="H4660" t="str">
            <v>Tidak</v>
          </cell>
          <cell r="I4660" t="str">
            <v>Bandar Judol Depo</v>
          </cell>
          <cell r="J4660">
            <v>35</v>
          </cell>
          <cell r="K4660" t="str">
            <v>86,74,87</v>
          </cell>
          <cell r="L4660" t="str">
            <v>Judi Online</v>
          </cell>
          <cell r="M4660" t="str">
            <v xml:space="preserve">Kas Kanpus                              </v>
          </cell>
          <cell r="N4660" t="str">
            <v xml:space="preserve">Kas Kanpus                              </v>
          </cell>
          <cell r="O4660" t="str">
            <v xml:space="preserve">KAS KANPUS                              </v>
          </cell>
          <cell r="P4660" t="str">
            <v>Ya</v>
          </cell>
          <cell r="Q4660" t="str">
            <v>Ya</v>
          </cell>
          <cell r="R4660" t="str">
            <v>Done</v>
          </cell>
          <cell r="S4660" t="str">
            <v>Approved</v>
          </cell>
          <cell r="T4660" t="str">
            <v>90186790 - Muhammad Alfin Farha</v>
          </cell>
          <cell r="U4660" t="str">
            <v>"-"</v>
          </cell>
        </row>
        <row r="4661">
          <cell r="A4661">
            <v>46265</v>
          </cell>
          <cell r="B4661" t="str">
            <v xml:space="preserve">RAHMAT DANY                             </v>
          </cell>
          <cell r="C4661" t="str">
            <v>ROKQ682</v>
          </cell>
          <cell r="D4661">
            <v>41501043644505</v>
          </cell>
          <cell r="F4661" t="str">
            <v>Tidak</v>
          </cell>
          <cell r="G4661" t="str">
            <v>Tidak</v>
          </cell>
          <cell r="H4661" t="str">
            <v>Tidak</v>
          </cell>
          <cell r="I4661" t="str">
            <v>Bandar Judol Withdrawal</v>
          </cell>
          <cell r="J4661">
            <v>35</v>
          </cell>
          <cell r="K4661" t="str">
            <v>86,88,87</v>
          </cell>
          <cell r="L4661" t="str">
            <v>Judi Online</v>
          </cell>
          <cell r="M4661" t="str">
            <v xml:space="preserve">Kas Kanpus                              </v>
          </cell>
          <cell r="N4661" t="str">
            <v xml:space="preserve">Kas Kanpus                              </v>
          </cell>
          <cell r="O4661" t="str">
            <v xml:space="preserve">KAS KANPUS                              </v>
          </cell>
          <cell r="P4661" t="str">
            <v>Ya</v>
          </cell>
          <cell r="Q4661" t="str">
            <v>Ya</v>
          </cell>
          <cell r="R4661" t="str">
            <v>Done</v>
          </cell>
          <cell r="S4661" t="str">
            <v>Approved</v>
          </cell>
          <cell r="T4661" t="str">
            <v>90185537 - Moh.Khoerul Fajar Ar</v>
          </cell>
          <cell r="U4661" t="str">
            <v>"-"</v>
          </cell>
        </row>
        <row r="4662">
          <cell r="A4662">
            <v>46265</v>
          </cell>
          <cell r="B4662" t="str">
            <v xml:space="preserve">RAHMAN ELFENDI                          </v>
          </cell>
          <cell r="C4662" t="str">
            <v>ROLT452</v>
          </cell>
          <cell r="D4662">
            <v>69301001541565</v>
          </cell>
          <cell r="F4662" t="str">
            <v>Tidak</v>
          </cell>
          <cell r="G4662" t="str">
            <v>Tidak</v>
          </cell>
          <cell r="H4662" t="str">
            <v>Tidak</v>
          </cell>
          <cell r="I4662" t="str">
            <v>Bandar Judol Depo</v>
          </cell>
          <cell r="J4662">
            <v>35</v>
          </cell>
          <cell r="K4662" t="str">
            <v>86,74,87</v>
          </cell>
          <cell r="L4662" t="str">
            <v>Judi Online</v>
          </cell>
          <cell r="M4662" t="str">
            <v xml:space="preserve">Kas Kanpus                              </v>
          </cell>
          <cell r="N4662" t="str">
            <v xml:space="preserve">Kas Kanpus                              </v>
          </cell>
          <cell r="O4662" t="str">
            <v xml:space="preserve">KAS KANPUS                              </v>
          </cell>
          <cell r="P4662" t="str">
            <v>Ya</v>
          </cell>
          <cell r="Q4662" t="str">
            <v>Ya</v>
          </cell>
          <cell r="R4662" t="str">
            <v>Done</v>
          </cell>
          <cell r="S4662" t="str">
            <v>Approved</v>
          </cell>
          <cell r="T4662" t="str">
            <v>90185537 - Moh.Khoerul Fajar Ar</v>
          </cell>
          <cell r="U4662" t="str">
            <v>"-"</v>
          </cell>
        </row>
        <row r="4663">
          <cell r="A4663">
            <v>46265</v>
          </cell>
          <cell r="B4663" t="str">
            <v xml:space="preserve">RIRI OKTAPIANI                          </v>
          </cell>
          <cell r="C4663" t="str">
            <v>ROMA683</v>
          </cell>
          <cell r="D4663">
            <v>1201028870533</v>
          </cell>
          <cell r="F4663" t="str">
            <v>Tidak</v>
          </cell>
          <cell r="G4663" t="str">
            <v>Tidak</v>
          </cell>
          <cell r="H4663" t="str">
            <v>Tidak</v>
          </cell>
          <cell r="I4663" t="str">
            <v>Bandar Judol Depo</v>
          </cell>
          <cell r="J4663">
            <v>35</v>
          </cell>
          <cell r="K4663" t="str">
            <v>86,74,87</v>
          </cell>
          <cell r="L4663" t="str">
            <v>Judi Online</v>
          </cell>
          <cell r="M4663" t="str">
            <v xml:space="preserve">Kas Kanpus                              </v>
          </cell>
          <cell r="N4663" t="str">
            <v xml:space="preserve">Kas Kanpus                              </v>
          </cell>
          <cell r="O4663" t="str">
            <v xml:space="preserve">KAS KANPUS                              </v>
          </cell>
          <cell r="P4663" t="str">
            <v>Ya</v>
          </cell>
          <cell r="Q4663" t="str">
            <v>Ya</v>
          </cell>
          <cell r="R4663" t="str">
            <v>Done</v>
          </cell>
          <cell r="S4663" t="str">
            <v>Approved</v>
          </cell>
          <cell r="T4663" t="str">
            <v>90171841 - Rifqi Aziz</v>
          </cell>
          <cell r="U4663" t="str">
            <v>"-"</v>
          </cell>
        </row>
        <row r="4664">
          <cell r="A4664">
            <v>46265</v>
          </cell>
          <cell r="B4664" t="str">
            <v xml:space="preserve">PT BANTU TEMAN CORP                     </v>
          </cell>
          <cell r="C4664" t="str">
            <v>POM2008</v>
          </cell>
          <cell r="D4664">
            <v>13701003145567</v>
          </cell>
          <cell r="F4664" t="str">
            <v>Tidak</v>
          </cell>
          <cell r="G4664" t="str">
            <v>Tidak</v>
          </cell>
          <cell r="H4664" t="str">
            <v>Tidak</v>
          </cell>
          <cell r="I4664" t="str">
            <v>Business Email Compromise (BEC)</v>
          </cell>
          <cell r="J4664">
            <v>30</v>
          </cell>
          <cell r="K4664">
            <v>13</v>
          </cell>
          <cell r="L4664" t="str">
            <v>Penipuan</v>
          </cell>
          <cell r="M4664" t="str">
            <v xml:space="preserve">KC Cimahi                               </v>
          </cell>
          <cell r="N4664" t="str">
            <v xml:space="preserve">KC Cimahi                               </v>
          </cell>
          <cell r="O4664" t="str">
            <v xml:space="preserve">Bandung                                 </v>
          </cell>
          <cell r="P4664" t="str">
            <v>Tidak</v>
          </cell>
          <cell r="Q4664" t="str">
            <v>Tidak</v>
          </cell>
          <cell r="R4664" t="str">
            <v>Done</v>
          </cell>
          <cell r="S4664" t="str">
            <v>Approved</v>
          </cell>
          <cell r="T4664" t="str">
            <v>00394521 - Muhammad Hibbanduta</v>
          </cell>
          <cell r="U4664" t="str">
            <v>"-"</v>
          </cell>
        </row>
        <row r="4665">
          <cell r="A4665">
            <v>46265</v>
          </cell>
          <cell r="B4665" t="str">
            <v xml:space="preserve">PT ZULFI JAYA CORP                      </v>
          </cell>
          <cell r="C4665" t="str">
            <v>POP6831</v>
          </cell>
          <cell r="D4665">
            <v>26801002470562</v>
          </cell>
          <cell r="F4665" t="str">
            <v>Tidak</v>
          </cell>
          <cell r="G4665" t="str">
            <v>Tidak</v>
          </cell>
          <cell r="H4665" t="str">
            <v>Tidak</v>
          </cell>
          <cell r="I4665" t="str">
            <v>Business Email Compromise (BEC)</v>
          </cell>
          <cell r="J4665">
            <v>30</v>
          </cell>
          <cell r="K4665">
            <v>13</v>
          </cell>
          <cell r="L4665" t="str">
            <v>Penipuan</v>
          </cell>
          <cell r="M4665" t="str">
            <v xml:space="preserve">KC Bangkinang                           </v>
          </cell>
          <cell r="N4665" t="str">
            <v xml:space="preserve">KC Bangkinang                           </v>
          </cell>
          <cell r="O4665" t="str">
            <v xml:space="preserve">KANWIL PEKANBARU                        </v>
          </cell>
          <cell r="P4665" t="str">
            <v>Tidak</v>
          </cell>
          <cell r="Q4665" t="str">
            <v>Tidak</v>
          </cell>
          <cell r="R4665" t="str">
            <v>Done</v>
          </cell>
          <cell r="S4665" t="str">
            <v>Approved</v>
          </cell>
          <cell r="T4665" t="str">
            <v>90186790 - Muhammad Alfin Farha</v>
          </cell>
          <cell r="U4665" t="str">
            <v>"-"</v>
          </cell>
        </row>
        <row r="4666">
          <cell r="A4666">
            <v>46265</v>
          </cell>
          <cell r="B4666" t="str">
            <v xml:space="preserve">PT INDO METAL RECYCLE                   </v>
          </cell>
          <cell r="C4666" t="str">
            <v>POL0177</v>
          </cell>
          <cell r="D4666">
            <v>115602889999309</v>
          </cell>
          <cell r="F4666" t="str">
            <v>Tidak</v>
          </cell>
          <cell r="G4666" t="str">
            <v>Tidak</v>
          </cell>
          <cell r="H4666" t="str">
            <v>Tidak</v>
          </cell>
          <cell r="I4666" t="str">
            <v>Perpajakan</v>
          </cell>
          <cell r="J4666">
            <v>33</v>
          </cell>
          <cell r="K4666">
            <v>41</v>
          </cell>
          <cell r="L4666" t="str">
            <v>Perpajakan</v>
          </cell>
          <cell r="M4666" t="str">
            <v xml:space="preserve">KC Surabaya Diponegoro                  </v>
          </cell>
          <cell r="N4666" t="str">
            <v xml:space="preserve">KC Surabaya Diponegoro                  </v>
          </cell>
          <cell r="O4666" t="str">
            <v xml:space="preserve">Surabaya                                </v>
          </cell>
          <cell r="P4666" t="str">
            <v>Tidak</v>
          </cell>
          <cell r="Q4666" t="str">
            <v>Tidak</v>
          </cell>
          <cell r="R4666" t="str">
            <v>Done</v>
          </cell>
          <cell r="S4666" t="str">
            <v>Approved</v>
          </cell>
          <cell r="T4666" t="str">
            <v>90185537 - Moh.Khoerul Fajar Ar</v>
          </cell>
          <cell r="U4666" t="str">
            <v>"-"</v>
          </cell>
        </row>
        <row r="4667">
          <cell r="A4667">
            <v>46265</v>
          </cell>
          <cell r="B4667" t="str">
            <v xml:space="preserve">PT MASAMBA MAX CORP                     </v>
          </cell>
          <cell r="C4667" t="str">
            <v>POK2010</v>
          </cell>
          <cell r="D4667">
            <v>18701001941564</v>
          </cell>
          <cell r="F4667" t="str">
            <v>Tidak</v>
          </cell>
          <cell r="G4667" t="str">
            <v>Tidak</v>
          </cell>
          <cell r="H4667" t="str">
            <v>Tidak</v>
          </cell>
          <cell r="I4667" t="str">
            <v>Business Email Compromise (BEC)</v>
          </cell>
          <cell r="J4667">
            <v>30</v>
          </cell>
          <cell r="K4667">
            <v>13</v>
          </cell>
          <cell r="L4667" t="str">
            <v>Penipuan</v>
          </cell>
          <cell r="M4667" t="str">
            <v xml:space="preserve">KC Palopo                               </v>
          </cell>
          <cell r="N4667" t="str">
            <v xml:space="preserve">KC Palopo                               </v>
          </cell>
          <cell r="O4667" t="str">
            <v xml:space="preserve">Makassar                                </v>
          </cell>
          <cell r="P4667" t="str">
            <v>Tidak</v>
          </cell>
          <cell r="Q4667" t="str">
            <v>Tidak</v>
          </cell>
          <cell r="R4667" t="str">
            <v>Done</v>
          </cell>
          <cell r="S4667" t="str">
            <v>Approved</v>
          </cell>
          <cell r="T4667" t="str">
            <v>90186796 - Devito Arya Wiradila</v>
          </cell>
          <cell r="U4667" t="str">
            <v>"-"</v>
          </cell>
        </row>
        <row r="4668">
          <cell r="A4668">
            <v>46265</v>
          </cell>
          <cell r="B4668" t="str">
            <v xml:space="preserve">PT CELEBES GLOBAL CORP                  </v>
          </cell>
          <cell r="C4668" t="str">
            <v>POK4806</v>
          </cell>
          <cell r="D4668">
            <v>33701002518569</v>
          </cell>
          <cell r="F4668" t="str">
            <v>Tidak</v>
          </cell>
          <cell r="G4668" t="str">
            <v>Tidak</v>
          </cell>
          <cell r="H4668" t="str">
            <v>Tidak</v>
          </cell>
          <cell r="I4668" t="str">
            <v>Business Email Compromise (BEC)</v>
          </cell>
          <cell r="J4668">
            <v>30</v>
          </cell>
          <cell r="K4668">
            <v>13</v>
          </cell>
          <cell r="L4668" t="str">
            <v>Penipuan</v>
          </cell>
          <cell r="M4668" t="str">
            <v xml:space="preserve">KC Bandung Naripan                      </v>
          </cell>
          <cell r="N4668" t="str">
            <v xml:space="preserve">KC Bandung Naripan                      </v>
          </cell>
          <cell r="O4668" t="str">
            <v xml:space="preserve">Bandung                                 </v>
          </cell>
          <cell r="P4668" t="str">
            <v>Tidak</v>
          </cell>
          <cell r="Q4668" t="str">
            <v>Tidak</v>
          </cell>
          <cell r="R4668" t="str">
            <v>Done</v>
          </cell>
          <cell r="S4668" t="str">
            <v>Approved</v>
          </cell>
          <cell r="T4668" t="str">
            <v>90171841 - Rifqi Aziz</v>
          </cell>
          <cell r="U4668" t="str">
            <v>"-"</v>
          </cell>
        </row>
        <row r="4669">
          <cell r="A4669">
            <v>46265</v>
          </cell>
          <cell r="B4669" t="str">
            <v xml:space="preserve">PAUNDRA NOORBASKORO                     </v>
          </cell>
          <cell r="C4669" t="str">
            <v>PT52875</v>
          </cell>
          <cell r="D4669">
            <v>646101018318538</v>
          </cell>
          <cell r="E4669" t="str">
            <v>SEDANG</v>
          </cell>
          <cell r="F4669" t="str">
            <v>Tidak</v>
          </cell>
          <cell r="G4669" t="str">
            <v>Tidak</v>
          </cell>
          <cell r="H4669" t="str">
            <v>Tidak</v>
          </cell>
          <cell r="I4669" t="str">
            <v>Perikanan dan Kelautan</v>
          </cell>
          <cell r="J4669">
            <v>49</v>
          </cell>
          <cell r="K4669">
            <v>101</v>
          </cell>
          <cell r="L4669" t="str">
            <v>Perikanan dan Kelautan</v>
          </cell>
          <cell r="M4669" t="str">
            <v xml:space="preserve">KC Malang Kawi                          </v>
          </cell>
          <cell r="N4669" t="str">
            <v xml:space="preserve">KC Malang Kawi                          </v>
          </cell>
          <cell r="O4669" t="str">
            <v xml:space="preserve">KANWIL MALANG                           </v>
          </cell>
          <cell r="P4669" t="str">
            <v>Tidak</v>
          </cell>
          <cell r="Q4669" t="str">
            <v>Tidak</v>
          </cell>
          <cell r="R4669" t="str">
            <v>Done</v>
          </cell>
          <cell r="S4669" t="str">
            <v>Approved</v>
          </cell>
          <cell r="T4669" t="str">
            <v>90185537 - Moh.Khoerul Fajar Ar</v>
          </cell>
          <cell r="U4669" t="str">
            <v>"-"</v>
          </cell>
        </row>
        <row r="4670">
          <cell r="A4670">
            <v>46265</v>
          </cell>
          <cell r="B4670" t="str">
            <v xml:space="preserve">PT SAYAP MAS UTAMA                      </v>
          </cell>
          <cell r="C4670" t="str">
            <v>PV42901</v>
          </cell>
          <cell r="D4670">
            <v>118001000162302</v>
          </cell>
          <cell r="E4670" t="str">
            <v>SEDANG</v>
          </cell>
          <cell r="F4670" t="str">
            <v>Tidak</v>
          </cell>
          <cell r="G4670" t="str">
            <v>Tidak</v>
          </cell>
          <cell r="H4670" t="str">
            <v>Tidak</v>
          </cell>
          <cell r="I4670" t="str">
            <v>Perpajakan</v>
          </cell>
          <cell r="J4670">
            <v>50</v>
          </cell>
          <cell r="K4670">
            <v>1.33</v>
          </cell>
          <cell r="L4670" t="str">
            <v>Perpajakan</v>
          </cell>
          <cell r="M4670" t="str">
            <v xml:space="preserve">KCP BARANANGSIANG                       </v>
          </cell>
          <cell r="N4670" t="str">
            <v xml:space="preserve">KC Bogor Pajajaran                      </v>
          </cell>
          <cell r="O4670" t="str">
            <v xml:space="preserve">DKI2                                    </v>
          </cell>
          <cell r="P4670" t="str">
            <v>Tidak</v>
          </cell>
          <cell r="Q4670" t="str">
            <v>Tidak</v>
          </cell>
          <cell r="R4670" t="str">
            <v>Done</v>
          </cell>
          <cell r="S4670" t="str">
            <v>Approved</v>
          </cell>
          <cell r="T4670" t="str">
            <v>90186790 - Muhammad Alfin Farha</v>
          </cell>
          <cell r="U4670" t="str">
            <v>"-"</v>
          </cell>
        </row>
        <row r="4671">
          <cell r="A4671">
            <v>46265</v>
          </cell>
          <cell r="B4671" t="str">
            <v xml:space="preserve">PEMBAYARAN LINTAS USAHA SUKSES          </v>
          </cell>
          <cell r="C4671" t="str">
            <v>PT79609</v>
          </cell>
          <cell r="D4671">
            <v>20601015726304</v>
          </cell>
          <cell r="E4671" t="str">
            <v>SEDANG</v>
          </cell>
          <cell r="F4671" t="str">
            <v>Tidak</v>
          </cell>
          <cell r="G4671" t="str">
            <v>Tidak</v>
          </cell>
          <cell r="H4671" t="str">
            <v>Tidak</v>
          </cell>
          <cell r="I4671" t="str">
            <v>Narkotika - Area Lapas</v>
          </cell>
          <cell r="J4671">
            <v>50</v>
          </cell>
          <cell r="K4671">
            <v>46</v>
          </cell>
          <cell r="L4671" t="str">
            <v>Narkotika</v>
          </cell>
          <cell r="M4671" t="str">
            <v>KC SUDIRMAN SEMANGGI</v>
          </cell>
          <cell r="N4671" t="str">
            <v>KC SUDIRMAN SEMANGGI</v>
          </cell>
          <cell r="O4671" t="str">
            <v>DKI</v>
          </cell>
          <cell r="P4671" t="str">
            <v>Ya</v>
          </cell>
          <cell r="Q4671" t="str">
            <v>Tidak</v>
          </cell>
          <cell r="R4671" t="str">
            <v>Done</v>
          </cell>
          <cell r="S4671" t="str">
            <v>Approved</v>
          </cell>
          <cell r="T4671" t="str">
            <v>00394521 - Muhammad Hibbanduta</v>
          </cell>
          <cell r="U4671" t="str">
            <v>"-"</v>
          </cell>
        </row>
        <row r="4672">
          <cell r="A4672">
            <v>46265</v>
          </cell>
          <cell r="B4672" t="str">
            <v xml:space="preserve">PT BAGIA SINAR DJAYA CORP               </v>
          </cell>
          <cell r="C4672" t="str">
            <v>POQ4817</v>
          </cell>
          <cell r="D4672">
            <v>38701002226303</v>
          </cell>
          <cell r="F4672" t="str">
            <v>Tidak</v>
          </cell>
          <cell r="G4672" t="str">
            <v>Tidak</v>
          </cell>
          <cell r="H4672" t="str">
            <v>Tidak</v>
          </cell>
          <cell r="I4672" t="str">
            <v>Business Email Compromise (BEC)</v>
          </cell>
          <cell r="J4672">
            <v>30</v>
          </cell>
          <cell r="K4672">
            <v>13</v>
          </cell>
          <cell r="L4672" t="str">
            <v>Penipuan</v>
          </cell>
          <cell r="M4672" t="str">
            <v xml:space="preserve">KC Bogor Pajajaran                      </v>
          </cell>
          <cell r="N4672" t="str">
            <v xml:space="preserve">KC Bogor Pajajaran                      </v>
          </cell>
          <cell r="O4672" t="str">
            <v xml:space="preserve">DKI2                                    </v>
          </cell>
          <cell r="P4672" t="str">
            <v>Tidak</v>
          </cell>
          <cell r="Q4672" t="str">
            <v>Tidak</v>
          </cell>
          <cell r="R4672" t="str">
            <v>Done</v>
          </cell>
          <cell r="S4672" t="str">
            <v>Approved</v>
          </cell>
          <cell r="T4672" t="str">
            <v>00394520 - Frida Akbar Rani</v>
          </cell>
          <cell r="U4672" t="str">
            <v>"-"</v>
          </cell>
        </row>
        <row r="4673">
          <cell r="A4673">
            <v>46265</v>
          </cell>
          <cell r="B4673" t="str">
            <v xml:space="preserve">PT BPI BUSINESS SERVICES INC            </v>
          </cell>
          <cell r="C4673" t="str">
            <v>POQ4864</v>
          </cell>
          <cell r="D4673">
            <v>354401000054567</v>
          </cell>
          <cell r="F4673" t="str">
            <v>Tidak</v>
          </cell>
          <cell r="G4673" t="str">
            <v>Tidak</v>
          </cell>
          <cell r="H4673" t="str">
            <v>Tidak</v>
          </cell>
          <cell r="I4673" t="str">
            <v>Business Email Compromise (BEC)</v>
          </cell>
          <cell r="J4673">
            <v>30</v>
          </cell>
          <cell r="K4673">
            <v>13</v>
          </cell>
          <cell r="L4673" t="str">
            <v>Penipuan</v>
          </cell>
          <cell r="M4673" t="str">
            <v xml:space="preserve">UNIT KOTA BERTUAH TUANKU TAMBU          </v>
          </cell>
          <cell r="N4673" t="str">
            <v xml:space="preserve">KC Pekanbaru Tuanku Tambusai            </v>
          </cell>
          <cell r="O4673" t="str">
            <v xml:space="preserve">KANWIL PEKANBARU                        </v>
          </cell>
          <cell r="P4673" t="str">
            <v>Ya</v>
          </cell>
          <cell r="Q4673" t="str">
            <v>Ya</v>
          </cell>
          <cell r="R4673" t="str">
            <v>Done</v>
          </cell>
          <cell r="S4673" t="str">
            <v>Approved</v>
          </cell>
          <cell r="T4673" t="str">
            <v>90186790 - Muhammad Alfin Farha</v>
          </cell>
          <cell r="U4673" t="str">
            <v>"-"</v>
          </cell>
        </row>
        <row r="4674">
          <cell r="A4674">
            <v>46265</v>
          </cell>
          <cell r="B4674" t="str">
            <v xml:space="preserve">PENERIMAAN NEGARA TERPUSAT AN SUBDIT PN </v>
          </cell>
          <cell r="C4674" t="str">
            <v>PQ01869</v>
          </cell>
          <cell r="D4674">
            <v>32901003434307</v>
          </cell>
          <cell r="E4674" t="str">
            <v>SEDANG</v>
          </cell>
          <cell r="F4674" t="str">
            <v>Tidak</v>
          </cell>
          <cell r="G4674" t="str">
            <v>Tidak</v>
          </cell>
          <cell r="H4674" t="str">
            <v>Tidak</v>
          </cell>
          <cell r="I4674" t="str">
            <v>Narkotika - Area Lapas</v>
          </cell>
          <cell r="J4674">
            <v>50</v>
          </cell>
          <cell r="K4674">
            <v>46</v>
          </cell>
          <cell r="L4674" t="str">
            <v>Narkotika</v>
          </cell>
          <cell r="M4674" t="str">
            <v>KC Jakarta Veteran</v>
          </cell>
          <cell r="N4674" t="str">
            <v>KC Jakarta Veteran</v>
          </cell>
          <cell r="O4674" t="str">
            <v>DKI</v>
          </cell>
          <cell r="P4674" t="str">
            <v>Tidak</v>
          </cell>
          <cell r="Q4674" t="str">
            <v>Tidak</v>
          </cell>
          <cell r="R4674" t="str">
            <v>Done</v>
          </cell>
          <cell r="S4674" t="str">
            <v>Approved</v>
          </cell>
          <cell r="T4674" t="str">
            <v>90185538 - Muhammad Fahikal Auz</v>
          </cell>
          <cell r="U4674" t="str">
            <v>"-"</v>
          </cell>
        </row>
        <row r="4675">
          <cell r="A4675">
            <v>46265</v>
          </cell>
          <cell r="B4675" t="str">
            <v xml:space="preserve">PT PRIORITAS BAHAGIA BERSAMA            </v>
          </cell>
          <cell r="C4675" t="str">
            <v>POH2560</v>
          </cell>
          <cell r="D4675">
            <v>5301007821565</v>
          </cell>
          <cell r="F4675" t="str">
            <v>Tidak</v>
          </cell>
          <cell r="G4675" t="str">
            <v>Tidak</v>
          </cell>
          <cell r="H4675" t="str">
            <v>Tidak</v>
          </cell>
          <cell r="I4675" t="str">
            <v>Perpajakan</v>
          </cell>
          <cell r="J4675">
            <v>33</v>
          </cell>
          <cell r="K4675">
            <v>41</v>
          </cell>
          <cell r="L4675" t="str">
            <v>Perpajakan</v>
          </cell>
          <cell r="M4675" t="str">
            <v xml:space="preserve">KC Medan Putri Hijau                    </v>
          </cell>
          <cell r="N4675" t="str">
            <v xml:space="preserve">KC Medan Putri Hijau                    </v>
          </cell>
          <cell r="O4675" t="str">
            <v xml:space="preserve">Medan                                   </v>
          </cell>
          <cell r="P4675" t="str">
            <v>Ya</v>
          </cell>
          <cell r="Q4675" t="str">
            <v>Tidak</v>
          </cell>
          <cell r="R4675" t="str">
            <v>Done</v>
          </cell>
          <cell r="S4675" t="str">
            <v>Approved</v>
          </cell>
          <cell r="T4675" t="str">
            <v>00336949 - Mochammad Al Farabi</v>
          </cell>
          <cell r="U4675" t="str">
            <v>"-"</v>
          </cell>
        </row>
        <row r="4676">
          <cell r="A4676">
            <v>46265</v>
          </cell>
          <cell r="B4676" t="str">
            <v xml:space="preserve">PUNGUT SYAHPUTRA                        </v>
          </cell>
          <cell r="C4676" t="str">
            <v>POG2655</v>
          </cell>
          <cell r="D4676">
            <v>804401041315507</v>
          </cell>
          <cell r="F4676" t="str">
            <v>Tidak</v>
          </cell>
          <cell r="G4676" t="str">
            <v>Tidak</v>
          </cell>
          <cell r="H4676" t="str">
            <v>Tidak</v>
          </cell>
          <cell r="I4676" t="str">
            <v>Bandar Judol Withdrawal</v>
          </cell>
          <cell r="J4676">
            <v>35</v>
          </cell>
          <cell r="K4676" t="str">
            <v>86,88,87</v>
          </cell>
          <cell r="L4676" t="str">
            <v>Judi Online</v>
          </cell>
          <cell r="M4676" t="str">
            <v xml:space="preserve">Kas Kanpus                              </v>
          </cell>
          <cell r="N4676" t="str">
            <v xml:space="preserve">Kas Kanpus                              </v>
          </cell>
          <cell r="O4676" t="str">
            <v xml:space="preserve">KAS KANPUS                              </v>
          </cell>
          <cell r="P4676" t="str">
            <v>Ya</v>
          </cell>
          <cell r="Q4676" t="str">
            <v>Ya</v>
          </cell>
          <cell r="R4676" t="str">
            <v>Done</v>
          </cell>
          <cell r="S4676" t="str">
            <v>Approved</v>
          </cell>
          <cell r="T4676" t="str">
            <v>90186796 - Devito Arya Wiradila</v>
          </cell>
          <cell r="U4676" t="str">
            <v>"-"</v>
          </cell>
        </row>
        <row r="4677">
          <cell r="A4677">
            <v>46265</v>
          </cell>
          <cell r="B4677" t="str">
            <v xml:space="preserve">PENDI                                   </v>
          </cell>
          <cell r="C4677" t="str">
            <v>PNX6275</v>
          </cell>
          <cell r="D4677">
            <v>108801018608508</v>
          </cell>
          <cell r="F4677" t="str">
            <v>Tidak</v>
          </cell>
          <cell r="G4677" t="str">
            <v>Tidak</v>
          </cell>
          <cell r="H4677" t="str">
            <v>Tidak</v>
          </cell>
          <cell r="I4677" t="str">
            <v>Bandar Judol Depo</v>
          </cell>
          <cell r="J4677">
            <v>35</v>
          </cell>
          <cell r="K4677" t="str">
            <v>86,74,87</v>
          </cell>
          <cell r="L4677" t="str">
            <v>Judi Online</v>
          </cell>
          <cell r="M4677" t="str">
            <v xml:space="preserve">Kas Kanpus                              </v>
          </cell>
          <cell r="N4677" t="str">
            <v xml:space="preserve">Kas Kanpus                              </v>
          </cell>
          <cell r="O4677" t="str">
            <v xml:space="preserve">KAS KANPUS                              </v>
          </cell>
          <cell r="P4677" t="str">
            <v>Ya</v>
          </cell>
          <cell r="Q4677" t="str">
            <v>Ya</v>
          </cell>
          <cell r="R4677" t="str">
            <v>Done</v>
          </cell>
          <cell r="S4677" t="str">
            <v>Approved</v>
          </cell>
          <cell r="T4677" t="str">
            <v>90185538 - Muhammad Fahikal Auz</v>
          </cell>
          <cell r="U4677" t="str">
            <v>"-"</v>
          </cell>
        </row>
        <row r="4678">
          <cell r="A4678">
            <v>46265</v>
          </cell>
          <cell r="B4678" t="str">
            <v xml:space="preserve">PRAYOGA SURYA JULIANTO                  </v>
          </cell>
          <cell r="C4678" t="str">
            <v>PNH1006</v>
          </cell>
          <cell r="D4678">
            <v>74701005640506</v>
          </cell>
          <cell r="F4678" t="str">
            <v>Tidak</v>
          </cell>
          <cell r="G4678" t="str">
            <v>Tidak</v>
          </cell>
          <cell r="H4678" t="str">
            <v>Tidak</v>
          </cell>
          <cell r="I4678" t="str">
            <v>Bandar Judol Withdrawal</v>
          </cell>
          <cell r="J4678">
            <v>35</v>
          </cell>
          <cell r="K4678" t="str">
            <v>86,88,87</v>
          </cell>
          <cell r="L4678" t="str">
            <v>Judi Online</v>
          </cell>
          <cell r="M4678" t="str">
            <v xml:space="preserve">Kas Kanpus                              </v>
          </cell>
          <cell r="N4678" t="str">
            <v xml:space="preserve">Kas Kanpus                              </v>
          </cell>
          <cell r="O4678" t="str">
            <v xml:space="preserve">KAS KANPUS                              </v>
          </cell>
          <cell r="P4678" t="str">
            <v>Tidak</v>
          </cell>
          <cell r="Q4678" t="str">
            <v>Ya</v>
          </cell>
          <cell r="R4678" t="str">
            <v>Done</v>
          </cell>
          <cell r="S4678" t="str">
            <v>Approved</v>
          </cell>
          <cell r="T4678" t="str">
            <v>00394520 - Frida Akbar Rani</v>
          </cell>
          <cell r="U4678" t="str">
            <v>"-"</v>
          </cell>
        </row>
        <row r="4679">
          <cell r="A4679">
            <v>46265</v>
          </cell>
          <cell r="B4679" t="str">
            <v xml:space="preserve">PUTRI AKMAL                             </v>
          </cell>
          <cell r="C4679" t="str">
            <v>PNT2299</v>
          </cell>
          <cell r="D4679">
            <v>36701004472564</v>
          </cell>
          <cell r="F4679" t="str">
            <v>Tidak</v>
          </cell>
          <cell r="G4679" t="str">
            <v>Tidak</v>
          </cell>
          <cell r="H4679" t="str">
            <v>Tidak</v>
          </cell>
          <cell r="I4679" t="str">
            <v>Judi Online</v>
          </cell>
          <cell r="J4679">
            <v>35</v>
          </cell>
          <cell r="K4679" t="str">
            <v>73,76,34,74,6</v>
          </cell>
          <cell r="L4679" t="str">
            <v>Judi Online</v>
          </cell>
          <cell r="M4679" t="str">
            <v xml:space="preserve">Kas Kanpus                              </v>
          </cell>
          <cell r="N4679" t="str">
            <v xml:space="preserve">Kas Kanpus                              </v>
          </cell>
          <cell r="O4679" t="str">
            <v xml:space="preserve">KAS KANPUS                              </v>
          </cell>
          <cell r="P4679" t="str">
            <v>Ya</v>
          </cell>
          <cell r="Q4679" t="str">
            <v>Ya</v>
          </cell>
          <cell r="R4679" t="str">
            <v>Done</v>
          </cell>
          <cell r="S4679" t="str">
            <v>Approved</v>
          </cell>
          <cell r="T4679" t="str">
            <v>00394520 - Frida Akbar Rani</v>
          </cell>
          <cell r="U4679" t="str">
            <v>"-"</v>
          </cell>
        </row>
        <row r="4680">
          <cell r="A4680">
            <v>46265</v>
          </cell>
          <cell r="B4680" t="str">
            <v xml:space="preserve">PUTRI AKMAL                             </v>
          </cell>
          <cell r="C4680" t="str">
            <v>PNT2299</v>
          </cell>
          <cell r="D4680">
            <v>36701004472564</v>
          </cell>
          <cell r="F4680" t="str">
            <v>Tidak</v>
          </cell>
          <cell r="G4680" t="str">
            <v>Tidak</v>
          </cell>
          <cell r="H4680" t="str">
            <v>Tidak</v>
          </cell>
          <cell r="I4680" t="str">
            <v>Bandar Judol Depo</v>
          </cell>
          <cell r="J4680">
            <v>35</v>
          </cell>
          <cell r="K4680" t="str">
            <v>86,74,87</v>
          </cell>
          <cell r="L4680" t="str">
            <v>Judi Online</v>
          </cell>
          <cell r="M4680" t="str">
            <v xml:space="preserve">Kas Kanpus                              </v>
          </cell>
          <cell r="N4680" t="str">
            <v xml:space="preserve">Kas Kanpus                              </v>
          </cell>
          <cell r="O4680" t="str">
            <v xml:space="preserve">KAS KANPUS                              </v>
          </cell>
          <cell r="P4680" t="str">
            <v>Ya</v>
          </cell>
          <cell r="Q4680" t="str">
            <v>Ya</v>
          </cell>
          <cell r="R4680" t="str">
            <v>Done</v>
          </cell>
          <cell r="S4680" t="str">
            <v>Approved</v>
          </cell>
          <cell r="T4680" t="str">
            <v>90171841 - Rifqi Aziz</v>
          </cell>
          <cell r="U4680" t="str">
            <v>"-"</v>
          </cell>
        </row>
        <row r="4681">
          <cell r="A4681">
            <v>46265</v>
          </cell>
          <cell r="B4681" t="str">
            <v xml:space="preserve">PANCA SENTANA                           </v>
          </cell>
          <cell r="C4681" t="str">
            <v>PNV3647</v>
          </cell>
          <cell r="D4681">
            <v>384801026030509</v>
          </cell>
          <cell r="F4681" t="str">
            <v>Tidak</v>
          </cell>
          <cell r="G4681" t="str">
            <v>Tidak</v>
          </cell>
          <cell r="H4681" t="str">
            <v>Tidak</v>
          </cell>
          <cell r="I4681" t="str">
            <v>Bandar Judol Withdrawal</v>
          </cell>
          <cell r="J4681">
            <v>35</v>
          </cell>
          <cell r="K4681" t="str">
            <v>86,88,87</v>
          </cell>
          <cell r="L4681" t="str">
            <v>Judi Online</v>
          </cell>
          <cell r="M4681" t="str">
            <v xml:space="preserve">Kas Kanpus                              </v>
          </cell>
          <cell r="N4681" t="str">
            <v xml:space="preserve">Kas Kanpus                              </v>
          </cell>
          <cell r="O4681" t="str">
            <v xml:space="preserve">KAS KANPUS                              </v>
          </cell>
          <cell r="P4681" t="str">
            <v>Ya</v>
          </cell>
          <cell r="Q4681" t="str">
            <v>Ya</v>
          </cell>
          <cell r="R4681" t="str">
            <v>Done</v>
          </cell>
          <cell r="S4681" t="str">
            <v>Approved</v>
          </cell>
          <cell r="T4681" t="str">
            <v>00394521 - Muhammad Hibbanduta</v>
          </cell>
          <cell r="U4681" t="str">
            <v>"-"</v>
          </cell>
        </row>
        <row r="4682">
          <cell r="A4682">
            <v>46265</v>
          </cell>
          <cell r="B4682" t="str">
            <v xml:space="preserve">PAHTUH LATIB                            </v>
          </cell>
          <cell r="C4682" t="str">
            <v>PNM7380</v>
          </cell>
          <cell r="D4682">
            <v>44501002297564</v>
          </cell>
          <cell r="F4682" t="str">
            <v>Tidak</v>
          </cell>
          <cell r="G4682" t="str">
            <v>Tidak</v>
          </cell>
          <cell r="H4682" t="str">
            <v>Tidak</v>
          </cell>
          <cell r="I4682" t="str">
            <v>Bandar Judol Depo</v>
          </cell>
          <cell r="J4682">
            <v>35</v>
          </cell>
          <cell r="K4682" t="str">
            <v>86,74,87</v>
          </cell>
          <cell r="L4682" t="str">
            <v>Judi Online</v>
          </cell>
          <cell r="M4682" t="str">
            <v xml:space="preserve">Kas Kanpus                              </v>
          </cell>
          <cell r="N4682" t="str">
            <v xml:space="preserve">Kas Kanpus                              </v>
          </cell>
          <cell r="O4682" t="str">
            <v xml:space="preserve">KAS KANPUS                              </v>
          </cell>
          <cell r="P4682" t="str">
            <v>Ya</v>
          </cell>
          <cell r="Q4682" t="str">
            <v>Ya</v>
          </cell>
          <cell r="R4682" t="str">
            <v>Done</v>
          </cell>
          <cell r="S4682" t="str">
            <v>Approved</v>
          </cell>
          <cell r="T4682" t="str">
            <v>90171841 - Rifqi Aziz</v>
          </cell>
          <cell r="U4682" t="str">
            <v>"-"</v>
          </cell>
        </row>
        <row r="4683">
          <cell r="A4683">
            <v>46265</v>
          </cell>
          <cell r="B4683" t="str">
            <v xml:space="preserve">RUDOLF RADITYO PRAYITNO                 </v>
          </cell>
          <cell r="C4683" t="str">
            <v>RCP6639</v>
          </cell>
          <cell r="D4683">
            <v>417501000041562</v>
          </cell>
          <cell r="E4683" t="str">
            <v>SEDANG</v>
          </cell>
          <cell r="F4683" t="str">
            <v>Tidak</v>
          </cell>
          <cell r="G4683" t="str">
            <v>Tidak</v>
          </cell>
          <cell r="H4683" t="str">
            <v>Tidak</v>
          </cell>
          <cell r="I4683" t="str">
            <v>Bandar Judol Depo</v>
          </cell>
          <cell r="J4683">
            <v>50</v>
          </cell>
          <cell r="K4683" t="str">
            <v>86,74,87</v>
          </cell>
          <cell r="L4683" t="str">
            <v>Judi Online</v>
          </cell>
          <cell r="M4683" t="str">
            <v xml:space="preserve">Kas Kanpus                              </v>
          </cell>
          <cell r="N4683" t="str">
            <v xml:space="preserve">Kas Kanpus                              </v>
          </cell>
          <cell r="O4683" t="str">
            <v xml:space="preserve">KAS KANPUS                              </v>
          </cell>
          <cell r="P4683" t="str">
            <v>Tidak</v>
          </cell>
          <cell r="Q4683" t="str">
            <v>Ya</v>
          </cell>
          <cell r="R4683" t="str">
            <v>Done</v>
          </cell>
          <cell r="S4683" t="str">
            <v>Approved</v>
          </cell>
          <cell r="T4683" t="str">
            <v>90186796 - Devito Arya Wiradila</v>
          </cell>
          <cell r="U4683" t="str">
            <v>"-"</v>
          </cell>
        </row>
        <row r="4684">
          <cell r="A4684">
            <v>46265</v>
          </cell>
          <cell r="B4684" t="str">
            <v xml:space="preserve">RIYANA                                  </v>
          </cell>
          <cell r="C4684" t="str">
            <v>RCST724</v>
          </cell>
          <cell r="D4684">
            <v>7101002072567</v>
          </cell>
          <cell r="E4684" t="str">
            <v>SEDANG</v>
          </cell>
          <cell r="F4684" t="str">
            <v>Tidak</v>
          </cell>
          <cell r="G4684" t="str">
            <v>Tidak</v>
          </cell>
          <cell r="H4684" t="str">
            <v>Tidak</v>
          </cell>
          <cell r="I4684" t="str">
            <v>Bandar Judol Withdrawal</v>
          </cell>
          <cell r="J4684">
            <v>50</v>
          </cell>
          <cell r="K4684" t="str">
            <v>86,88,87</v>
          </cell>
          <cell r="L4684" t="str">
            <v>Judi Online</v>
          </cell>
          <cell r="M4684" t="str">
            <v xml:space="preserve">Kas Kanpus                              </v>
          </cell>
          <cell r="N4684" t="str">
            <v xml:space="preserve">Kas Kanpus                              </v>
          </cell>
          <cell r="O4684" t="str">
            <v xml:space="preserve">KAS KANPUS                              </v>
          </cell>
          <cell r="P4684" t="str">
            <v>Ya</v>
          </cell>
          <cell r="Q4684" t="str">
            <v>Ya</v>
          </cell>
          <cell r="R4684" t="str">
            <v>Done</v>
          </cell>
          <cell r="S4684" t="str">
            <v>Approved</v>
          </cell>
          <cell r="T4684" t="str">
            <v>00394520 - Frida Akbar Rani</v>
          </cell>
          <cell r="U4684" t="str">
            <v>"-"</v>
          </cell>
        </row>
        <row r="4685">
          <cell r="A4685">
            <v>46265</v>
          </cell>
          <cell r="B4685" t="str">
            <v xml:space="preserve">REKA PEBRIYANI                          </v>
          </cell>
          <cell r="C4685" t="str">
            <v>RCSX397</v>
          </cell>
          <cell r="D4685">
            <v>59501050520508</v>
          </cell>
          <cell r="E4685" t="str">
            <v>SEDANG</v>
          </cell>
          <cell r="F4685" t="str">
            <v>Tidak</v>
          </cell>
          <cell r="G4685" t="str">
            <v>Tidak</v>
          </cell>
          <cell r="H4685" t="str">
            <v>Tidak</v>
          </cell>
          <cell r="I4685" t="str">
            <v>Bandar Judol Withdrawal</v>
          </cell>
          <cell r="J4685">
            <v>50</v>
          </cell>
          <cell r="K4685" t="str">
            <v>86,88,87</v>
          </cell>
          <cell r="L4685" t="str">
            <v>Judi Online</v>
          </cell>
          <cell r="M4685" t="str">
            <v xml:space="preserve">Kas Kanpus                              </v>
          </cell>
          <cell r="N4685" t="str">
            <v xml:space="preserve">Kas Kanpus                              </v>
          </cell>
          <cell r="O4685" t="str">
            <v xml:space="preserve">KAS KANPUS                              </v>
          </cell>
          <cell r="P4685" t="str">
            <v>Ya</v>
          </cell>
          <cell r="Q4685" t="str">
            <v>Tidak</v>
          </cell>
          <cell r="R4685" t="str">
            <v>Done</v>
          </cell>
          <cell r="S4685" t="str">
            <v>Approved</v>
          </cell>
          <cell r="T4685" t="str">
            <v>90185538 - Muhammad Fahikal Auz</v>
          </cell>
          <cell r="U4685" t="str">
            <v>"-"</v>
          </cell>
        </row>
        <row r="4686">
          <cell r="A4686">
            <v>46265</v>
          </cell>
          <cell r="B4686" t="str">
            <v xml:space="preserve">RIYADI                                  </v>
          </cell>
          <cell r="C4686" t="str">
            <v>RCZ2677</v>
          </cell>
          <cell r="D4686">
            <v>529301012559538</v>
          </cell>
          <cell r="E4686" t="str">
            <v>SEDANG</v>
          </cell>
          <cell r="F4686" t="str">
            <v>Tidak</v>
          </cell>
          <cell r="G4686" t="str">
            <v>Tidak</v>
          </cell>
          <cell r="H4686" t="str">
            <v>Tidak</v>
          </cell>
          <cell r="I4686" t="str">
            <v>Bandar Judol Withdrawal</v>
          </cell>
          <cell r="J4686">
            <v>50</v>
          </cell>
          <cell r="K4686" t="str">
            <v>86,88,87</v>
          </cell>
          <cell r="L4686" t="str">
            <v>Judi Online</v>
          </cell>
          <cell r="M4686" t="str">
            <v xml:space="preserve">Kas Kanpus                              </v>
          </cell>
          <cell r="N4686" t="str">
            <v xml:space="preserve">Kas Kanpus                              </v>
          </cell>
          <cell r="O4686" t="str">
            <v xml:space="preserve">KAS KANPUS                              </v>
          </cell>
          <cell r="P4686" t="str">
            <v>Ya</v>
          </cell>
          <cell r="Q4686" t="str">
            <v>Ya</v>
          </cell>
          <cell r="R4686" t="str">
            <v>Done</v>
          </cell>
          <cell r="S4686" t="str">
            <v>Approved</v>
          </cell>
          <cell r="T4686" t="str">
            <v>00394520 - Frida Akbar Rani</v>
          </cell>
          <cell r="U4686" t="str">
            <v>"-"</v>
          </cell>
        </row>
        <row r="4687">
          <cell r="A4687">
            <v>46265</v>
          </cell>
          <cell r="B4687" t="str">
            <v xml:space="preserve">RINTO PURNOMO                           </v>
          </cell>
          <cell r="C4687" t="str">
            <v>RDVA854</v>
          </cell>
          <cell r="D4687">
            <v>82601000046569</v>
          </cell>
          <cell r="E4687" t="str">
            <v>SEDANG</v>
          </cell>
          <cell r="F4687" t="str">
            <v>Tidak</v>
          </cell>
          <cell r="G4687" t="str">
            <v>Tidak</v>
          </cell>
          <cell r="H4687" t="str">
            <v>Tidak</v>
          </cell>
          <cell r="I4687" t="str">
            <v>Bandar Judol Withdrawal</v>
          </cell>
          <cell r="J4687">
            <v>50</v>
          </cell>
          <cell r="K4687" t="str">
            <v>86,88,87</v>
          </cell>
          <cell r="L4687" t="str">
            <v>Judi Online</v>
          </cell>
          <cell r="M4687" t="str">
            <v xml:space="preserve">Kas Kanpus                              </v>
          </cell>
          <cell r="N4687" t="str">
            <v xml:space="preserve">Kas Kanpus                              </v>
          </cell>
          <cell r="O4687" t="str">
            <v xml:space="preserve">KAS KANPUS                              </v>
          </cell>
          <cell r="P4687" t="str">
            <v>Ya</v>
          </cell>
          <cell r="Q4687" t="str">
            <v>Ya</v>
          </cell>
          <cell r="R4687" t="str">
            <v>Done</v>
          </cell>
          <cell r="S4687" t="str">
            <v>Approved</v>
          </cell>
          <cell r="T4687" t="str">
            <v>90150130 - Intan Aida Pratiwi</v>
          </cell>
          <cell r="U4687" t="str">
            <v>"-"</v>
          </cell>
        </row>
        <row r="4688">
          <cell r="A4688">
            <v>46265</v>
          </cell>
          <cell r="B4688" t="str">
            <v xml:space="preserve">RESKY                                   </v>
          </cell>
          <cell r="C4688" t="str">
            <v>RDY4405</v>
          </cell>
          <cell r="D4688">
            <v>22701024517506</v>
          </cell>
          <cell r="E4688" t="str">
            <v>SEDANG</v>
          </cell>
          <cell r="F4688" t="str">
            <v>Tidak</v>
          </cell>
          <cell r="G4688" t="str">
            <v>Tidak</v>
          </cell>
          <cell r="H4688" t="str">
            <v>Tidak</v>
          </cell>
          <cell r="I4688" t="str">
            <v>Perikanan dan Kelautan</v>
          </cell>
          <cell r="J4688">
            <v>48</v>
          </cell>
          <cell r="K4688">
            <v>98</v>
          </cell>
          <cell r="L4688" t="str">
            <v>Perikanan dan Kelautan</v>
          </cell>
          <cell r="M4688" t="str">
            <v xml:space="preserve">KC Toli-Toli                            </v>
          </cell>
          <cell r="N4688" t="str">
            <v xml:space="preserve">KC Toli-Toli                            </v>
          </cell>
          <cell r="O4688" t="str">
            <v xml:space="preserve">Manado                                  </v>
          </cell>
          <cell r="P4688" t="str">
            <v>Tidak</v>
          </cell>
          <cell r="Q4688" t="str">
            <v>Tidak</v>
          </cell>
          <cell r="R4688" t="str">
            <v>Done</v>
          </cell>
          <cell r="S4688" t="str">
            <v>Approved</v>
          </cell>
          <cell r="T4688" t="str">
            <v>90186796 - Devito Arya Wiradila</v>
          </cell>
          <cell r="U4688" t="str">
            <v>"-"</v>
          </cell>
        </row>
        <row r="4689">
          <cell r="A4689">
            <v>46265</v>
          </cell>
          <cell r="B4689" t="str">
            <v xml:space="preserve">RADUMA DELINO                           </v>
          </cell>
          <cell r="C4689" t="str">
            <v>RED5668</v>
          </cell>
          <cell r="D4689">
            <v>208701200385561</v>
          </cell>
          <cell r="E4689" t="str">
            <v>SEDANG</v>
          </cell>
          <cell r="F4689" t="str">
            <v>Ya</v>
          </cell>
          <cell r="G4689" t="str">
            <v>Tidak</v>
          </cell>
          <cell r="H4689" t="str">
            <v>Tidak</v>
          </cell>
          <cell r="I4689" t="str">
            <v>Narkotika - Area Lapas</v>
          </cell>
          <cell r="J4689">
            <v>50</v>
          </cell>
          <cell r="K4689">
            <v>46</v>
          </cell>
          <cell r="L4689" t="str">
            <v>Narkotika</v>
          </cell>
          <cell r="M4689" t="str">
            <v>KCP PANAM</v>
          </cell>
          <cell r="N4689" t="str">
            <v>KC Pekanbaru Tuanku Tambusai</v>
          </cell>
          <cell r="O4689" t="str">
            <v>KANWIL PEKANBARU</v>
          </cell>
          <cell r="P4689" t="str">
            <v>Tidak</v>
          </cell>
          <cell r="Q4689" t="str">
            <v>Tidak</v>
          </cell>
          <cell r="R4689" t="str">
            <v>Done</v>
          </cell>
          <cell r="S4689" t="str">
            <v>Approved</v>
          </cell>
          <cell r="T4689" t="str">
            <v>90150130 - Intan Aida Pratiwi</v>
          </cell>
          <cell r="U4689" t="str">
            <v>"-"</v>
          </cell>
        </row>
        <row r="4690">
          <cell r="A4690">
            <v>46265</v>
          </cell>
          <cell r="B4690" t="str">
            <v xml:space="preserve">RIANG                                   </v>
          </cell>
          <cell r="C4690" t="str">
            <v>RFNN838</v>
          </cell>
          <cell r="D4690">
            <v>479401000023564</v>
          </cell>
          <cell r="E4690" t="str">
            <v>RENDAH</v>
          </cell>
          <cell r="F4690" t="str">
            <v>Tidak</v>
          </cell>
          <cell r="G4690" t="str">
            <v>Tidak</v>
          </cell>
          <cell r="H4690" t="str">
            <v>Tidak</v>
          </cell>
          <cell r="I4690" t="str">
            <v>Bandar Judol Withdrawal</v>
          </cell>
          <cell r="J4690">
            <v>35</v>
          </cell>
          <cell r="K4690" t="str">
            <v>86,88,87</v>
          </cell>
          <cell r="L4690" t="str">
            <v>Judi Online</v>
          </cell>
          <cell r="M4690" t="str">
            <v xml:space="preserve">Kas Kanpus                              </v>
          </cell>
          <cell r="N4690" t="str">
            <v xml:space="preserve">Kas Kanpus                              </v>
          </cell>
          <cell r="O4690" t="str">
            <v xml:space="preserve">KAS KANPUS                              </v>
          </cell>
          <cell r="P4690" t="str">
            <v>Ya</v>
          </cell>
          <cell r="Q4690" t="str">
            <v>Ya</v>
          </cell>
          <cell r="R4690" t="str">
            <v>Done</v>
          </cell>
          <cell r="S4690" t="str">
            <v>Approved</v>
          </cell>
          <cell r="T4690" t="str">
            <v>90185538 - Muhammad Fahikal Auz</v>
          </cell>
          <cell r="U4690" t="str">
            <v>"-"</v>
          </cell>
        </row>
        <row r="4691">
          <cell r="A4691">
            <v>46265</v>
          </cell>
          <cell r="B4691" t="str">
            <v xml:space="preserve">RINA FEBRIANI                           </v>
          </cell>
          <cell r="C4691" t="str">
            <v>RFS2378</v>
          </cell>
          <cell r="D4691">
            <v>214201013218501</v>
          </cell>
          <cell r="E4691" t="str">
            <v>SEDANG</v>
          </cell>
          <cell r="F4691" t="str">
            <v>Tidak</v>
          </cell>
          <cell r="G4691" t="str">
            <v>Tidak</v>
          </cell>
          <cell r="H4691" t="str">
            <v>Tidak</v>
          </cell>
          <cell r="I4691" t="str">
            <v>Bandar Judol Withdrawal</v>
          </cell>
          <cell r="J4691">
            <v>50</v>
          </cell>
          <cell r="K4691" t="str">
            <v>86,88,87</v>
          </cell>
          <cell r="L4691" t="str">
            <v>Judi Online</v>
          </cell>
          <cell r="M4691" t="str">
            <v xml:space="preserve">Kas Kanpus                              </v>
          </cell>
          <cell r="N4691" t="str">
            <v xml:space="preserve">Kas Kanpus                              </v>
          </cell>
          <cell r="O4691" t="str">
            <v xml:space="preserve">KAS KANPUS                              </v>
          </cell>
          <cell r="P4691" t="str">
            <v>Tidak</v>
          </cell>
          <cell r="Q4691" t="str">
            <v>Ya</v>
          </cell>
          <cell r="R4691" t="str">
            <v>Done</v>
          </cell>
          <cell r="S4691" t="str">
            <v>Approved</v>
          </cell>
          <cell r="T4691" t="str">
            <v>00394520 - Frida Akbar Rani</v>
          </cell>
          <cell r="U4691" t="str">
            <v>"-"</v>
          </cell>
        </row>
        <row r="4692">
          <cell r="A4692">
            <v>46265</v>
          </cell>
          <cell r="B4692" t="str">
            <v xml:space="preserve">RULLY SAEPUL                            </v>
          </cell>
          <cell r="C4692" t="str">
            <v>R159748</v>
          </cell>
          <cell r="D4692">
            <v>442801015443506</v>
          </cell>
          <cell r="E4692" t="str">
            <v>SEDANG</v>
          </cell>
          <cell r="F4692" t="str">
            <v>Tidak</v>
          </cell>
          <cell r="G4692" t="str">
            <v>Tidak</v>
          </cell>
          <cell r="H4692" t="str">
            <v>Tidak</v>
          </cell>
          <cell r="I4692" t="str">
            <v>Perikanan dan Kelautan</v>
          </cell>
          <cell r="J4692">
            <v>58</v>
          </cell>
          <cell r="K4692">
            <v>99</v>
          </cell>
          <cell r="L4692" t="str">
            <v>Perikanan dan Kelautan</v>
          </cell>
          <cell r="M4692" t="str">
            <v xml:space="preserve">KC Sumedang                             </v>
          </cell>
          <cell r="N4692" t="str">
            <v xml:space="preserve">KC Sumedang                             </v>
          </cell>
          <cell r="O4692" t="str">
            <v xml:space="preserve">Bandung                                 </v>
          </cell>
          <cell r="P4692" t="str">
            <v>Tidak</v>
          </cell>
          <cell r="Q4692" t="str">
            <v>Tidak</v>
          </cell>
          <cell r="R4692" t="str">
            <v>Done</v>
          </cell>
          <cell r="S4692" t="str">
            <v>Approved</v>
          </cell>
          <cell r="T4692" t="str">
            <v>90185537 - Moh.Khoerul Fajar Ar</v>
          </cell>
          <cell r="U4692" t="str">
            <v>"-"</v>
          </cell>
        </row>
        <row r="4693">
          <cell r="A4693">
            <v>46265</v>
          </cell>
          <cell r="B4693" t="str">
            <v xml:space="preserve">RICO WIJAYA                             </v>
          </cell>
          <cell r="C4693" t="str">
            <v>RARX611</v>
          </cell>
          <cell r="D4693">
            <v>525501000076566</v>
          </cell>
          <cell r="E4693" t="str">
            <v>SEDANG</v>
          </cell>
          <cell r="F4693" t="str">
            <v>Tidak</v>
          </cell>
          <cell r="G4693" t="str">
            <v>Tidak</v>
          </cell>
          <cell r="H4693" t="str">
            <v>Tidak</v>
          </cell>
          <cell r="I4693" t="str">
            <v>Bandar Judol Withdrawal</v>
          </cell>
          <cell r="J4693">
            <v>50</v>
          </cell>
          <cell r="K4693" t="str">
            <v>86,88,87</v>
          </cell>
          <cell r="L4693" t="str">
            <v>Judi Online</v>
          </cell>
          <cell r="M4693" t="str">
            <v xml:space="preserve">Kas Kanpus                              </v>
          </cell>
          <cell r="N4693" t="str">
            <v xml:space="preserve">Kas Kanpus                              </v>
          </cell>
          <cell r="O4693" t="str">
            <v xml:space="preserve">KAS KANPUS                              </v>
          </cell>
          <cell r="P4693" t="str">
            <v>Ya</v>
          </cell>
          <cell r="Q4693" t="str">
            <v>Ya</v>
          </cell>
          <cell r="R4693" t="str">
            <v>Done</v>
          </cell>
          <cell r="S4693" t="str">
            <v>Approved</v>
          </cell>
          <cell r="T4693" t="str">
            <v>90185538 - Muhammad Fahikal Auz</v>
          </cell>
          <cell r="U4693" t="str">
            <v>"-"</v>
          </cell>
        </row>
        <row r="4694">
          <cell r="A4694">
            <v>46265</v>
          </cell>
          <cell r="B4694" t="str">
            <v xml:space="preserve">RYAN RIZKI MANIK                        </v>
          </cell>
          <cell r="C4694" t="str">
            <v>RBEY412</v>
          </cell>
          <cell r="D4694">
            <v>33601003663567</v>
          </cell>
          <cell r="E4694" t="str">
            <v>SEDANG</v>
          </cell>
          <cell r="F4694" t="str">
            <v>Tidak</v>
          </cell>
          <cell r="G4694" t="str">
            <v>Tidak</v>
          </cell>
          <cell r="H4694" t="str">
            <v>Tidak</v>
          </cell>
          <cell r="I4694" t="str">
            <v>Bandar Judol Withdrawal</v>
          </cell>
          <cell r="J4694">
            <v>50</v>
          </cell>
          <cell r="K4694" t="str">
            <v>86,88,87</v>
          </cell>
          <cell r="L4694" t="str">
            <v>Judi Online</v>
          </cell>
          <cell r="M4694" t="str">
            <v xml:space="preserve">Kas Kanpus                              </v>
          </cell>
          <cell r="N4694" t="str">
            <v xml:space="preserve">Kas Kanpus                              </v>
          </cell>
          <cell r="O4694" t="str">
            <v xml:space="preserve">KAS KANPUS                              </v>
          </cell>
          <cell r="P4694" t="str">
            <v>Ya</v>
          </cell>
          <cell r="Q4694" t="str">
            <v>Ya</v>
          </cell>
          <cell r="R4694" t="str">
            <v>Done</v>
          </cell>
          <cell r="S4694" t="str">
            <v>Approved</v>
          </cell>
          <cell r="T4694" t="str">
            <v>00336949 - Mochammad Al Farabi</v>
          </cell>
          <cell r="U4694" t="str">
            <v>"-"</v>
          </cell>
        </row>
        <row r="4695">
          <cell r="A4695">
            <v>46265</v>
          </cell>
          <cell r="B4695" t="str">
            <v xml:space="preserve">RUSLI                                   </v>
          </cell>
          <cell r="C4695" t="str">
            <v>RAYO910</v>
          </cell>
          <cell r="D4695">
            <v>763201003113501</v>
          </cell>
          <cell r="E4695" t="str">
            <v>SEDANG</v>
          </cell>
          <cell r="F4695" t="str">
            <v>Tidak</v>
          </cell>
          <cell r="G4695" t="str">
            <v>Tidak</v>
          </cell>
          <cell r="H4695" t="str">
            <v>Tidak</v>
          </cell>
          <cell r="I4695" t="str">
            <v>Bandar Judol Withdrawal</v>
          </cell>
          <cell r="J4695">
            <v>50</v>
          </cell>
          <cell r="K4695" t="str">
            <v>86,88,87</v>
          </cell>
          <cell r="L4695" t="str">
            <v>Judi Online</v>
          </cell>
          <cell r="M4695" t="str">
            <v xml:space="preserve">Kas Kanpus                              </v>
          </cell>
          <cell r="N4695" t="str">
            <v xml:space="preserve">Kas Kanpus                              </v>
          </cell>
          <cell r="O4695" t="str">
            <v xml:space="preserve">KAS KANPUS                              </v>
          </cell>
          <cell r="P4695" t="str">
            <v>Tidak</v>
          </cell>
          <cell r="Q4695" t="str">
            <v>Ya</v>
          </cell>
          <cell r="R4695" t="str">
            <v>Done</v>
          </cell>
          <cell r="S4695" t="str">
            <v>Approved</v>
          </cell>
          <cell r="T4695" t="str">
            <v>90185538 - Muhammad Fahikal Auz</v>
          </cell>
          <cell r="U4695" t="str">
            <v>"-"</v>
          </cell>
        </row>
        <row r="4696">
          <cell r="A4696">
            <v>46265</v>
          </cell>
          <cell r="B4696" t="str">
            <v xml:space="preserve">RIDHE WIDYATMA                          </v>
          </cell>
          <cell r="C4696" t="str">
            <v>RAWC880</v>
          </cell>
          <cell r="D4696">
            <v>17901058113507</v>
          </cell>
          <cell r="E4696" t="str">
            <v>SEDANG</v>
          </cell>
          <cell r="F4696" t="str">
            <v>Tidak</v>
          </cell>
          <cell r="G4696" t="str">
            <v>Tidak</v>
          </cell>
          <cell r="H4696" t="str">
            <v>Tidak</v>
          </cell>
          <cell r="I4696" t="str">
            <v>Bandar Judol Depo</v>
          </cell>
          <cell r="J4696">
            <v>50</v>
          </cell>
          <cell r="K4696" t="str">
            <v>86,74,87</v>
          </cell>
          <cell r="L4696" t="str">
            <v>Judi Online</v>
          </cell>
          <cell r="M4696" t="str">
            <v xml:space="preserve">Kas Kanpus                              </v>
          </cell>
          <cell r="N4696" t="str">
            <v xml:space="preserve">Kas Kanpus                              </v>
          </cell>
          <cell r="O4696" t="str">
            <v xml:space="preserve">KAS KANPUS                              </v>
          </cell>
          <cell r="P4696" t="str">
            <v>Ya</v>
          </cell>
          <cell r="Q4696" t="str">
            <v>Ya</v>
          </cell>
          <cell r="R4696" t="str">
            <v>Done</v>
          </cell>
          <cell r="S4696" t="str">
            <v>Approved</v>
          </cell>
          <cell r="T4696" t="str">
            <v>00394520 - Frida Akbar Rani</v>
          </cell>
          <cell r="U4696" t="str">
            <v>"-"</v>
          </cell>
        </row>
        <row r="4697">
          <cell r="A4697">
            <v>46265</v>
          </cell>
          <cell r="B4697" t="str">
            <v xml:space="preserve">RANDY                                   </v>
          </cell>
          <cell r="C4697" t="str">
            <v>RCJW083</v>
          </cell>
          <cell r="D4697">
            <v>40401059007508</v>
          </cell>
          <cell r="E4697" t="str">
            <v>SEDANG</v>
          </cell>
          <cell r="F4697" t="str">
            <v>Tidak</v>
          </cell>
          <cell r="G4697" t="str">
            <v>Tidak</v>
          </cell>
          <cell r="H4697" t="str">
            <v>Tidak</v>
          </cell>
          <cell r="I4697" t="str">
            <v>Bandar Judol Depo</v>
          </cell>
          <cell r="J4697">
            <v>50</v>
          </cell>
          <cell r="K4697" t="str">
            <v>86,74,87</v>
          </cell>
          <cell r="L4697" t="str">
            <v>Judi Online</v>
          </cell>
          <cell r="M4697" t="str">
            <v xml:space="preserve">Kas Kanpus                              </v>
          </cell>
          <cell r="N4697" t="str">
            <v xml:space="preserve">Kas Kanpus                              </v>
          </cell>
          <cell r="O4697" t="str">
            <v xml:space="preserve">KAS KANPUS                              </v>
          </cell>
          <cell r="P4697" t="str">
            <v>Ya</v>
          </cell>
          <cell r="Q4697" t="str">
            <v>Ya</v>
          </cell>
          <cell r="R4697" t="str">
            <v>Done</v>
          </cell>
          <cell r="S4697" t="str">
            <v>Approved</v>
          </cell>
          <cell r="T4697" t="str">
            <v>90171841 - Rifqi Aziz</v>
          </cell>
          <cell r="U4697" t="str">
            <v>"-"</v>
          </cell>
        </row>
        <row r="4698">
          <cell r="A4698">
            <v>46265</v>
          </cell>
          <cell r="B4698" t="str">
            <v xml:space="preserve">RENNY SAGITA                            </v>
          </cell>
          <cell r="C4698" t="str">
            <v>RBQ2143</v>
          </cell>
          <cell r="D4698">
            <v>25701048602502</v>
          </cell>
          <cell r="E4698" t="str">
            <v>SEDANG</v>
          </cell>
          <cell r="F4698" t="str">
            <v>Tidak</v>
          </cell>
          <cell r="G4698" t="str">
            <v>Tidak</v>
          </cell>
          <cell r="H4698" t="str">
            <v>Tidak</v>
          </cell>
          <cell r="I4698" t="str">
            <v>Bandar Judol Withdrawal</v>
          </cell>
          <cell r="J4698">
            <v>50</v>
          </cell>
          <cell r="K4698" t="str">
            <v>86,88,87</v>
          </cell>
          <cell r="L4698" t="str">
            <v>Judi Online</v>
          </cell>
          <cell r="M4698" t="str">
            <v xml:space="preserve">Kas Kanpus                              </v>
          </cell>
          <cell r="N4698" t="str">
            <v xml:space="preserve">Kas Kanpus                              </v>
          </cell>
          <cell r="O4698" t="str">
            <v xml:space="preserve">KAS KANPUS                              </v>
          </cell>
          <cell r="P4698" t="str">
            <v>Tidak</v>
          </cell>
          <cell r="Q4698" t="str">
            <v>Ya</v>
          </cell>
          <cell r="R4698" t="str">
            <v>Done</v>
          </cell>
          <cell r="S4698" t="str">
            <v>Approved</v>
          </cell>
          <cell r="T4698" t="str">
            <v>90170665 - Mutiara Ayuningtyas</v>
          </cell>
          <cell r="U4698" t="str">
            <v>"-"</v>
          </cell>
        </row>
        <row r="4699">
          <cell r="A4699">
            <v>46265</v>
          </cell>
          <cell r="B4699" t="str">
            <v xml:space="preserve">RYAN WAHYU NUGRAHA                      </v>
          </cell>
          <cell r="C4699" t="str">
            <v>RBQD033</v>
          </cell>
          <cell r="D4699">
            <v>112901022727500</v>
          </cell>
          <cell r="E4699" t="str">
            <v>SEDANG</v>
          </cell>
          <cell r="F4699" t="str">
            <v>Tidak</v>
          </cell>
          <cell r="G4699" t="str">
            <v>Tidak</v>
          </cell>
          <cell r="H4699" t="str">
            <v>Ya</v>
          </cell>
          <cell r="I4699" t="str">
            <v>Bandar Judol Withdrawal</v>
          </cell>
          <cell r="J4699">
            <v>50</v>
          </cell>
          <cell r="K4699" t="str">
            <v>86,88,87</v>
          </cell>
          <cell r="L4699" t="str">
            <v>Judi Online</v>
          </cell>
          <cell r="M4699" t="str">
            <v xml:space="preserve">Kas Kanpus                              </v>
          </cell>
          <cell r="N4699" t="str">
            <v xml:space="preserve">Kas Kanpus                              </v>
          </cell>
          <cell r="O4699" t="str">
            <v xml:space="preserve">KAS KANPUS                              </v>
          </cell>
          <cell r="P4699" t="str">
            <v>Ya</v>
          </cell>
          <cell r="Q4699" t="str">
            <v>Ya</v>
          </cell>
          <cell r="R4699" t="str">
            <v>Done</v>
          </cell>
          <cell r="S4699" t="str">
            <v>Approved</v>
          </cell>
          <cell r="T4699" t="str">
            <v>00336949 - Mochammad Al Farabi</v>
          </cell>
          <cell r="U4699" t="str">
            <v>"-"</v>
          </cell>
        </row>
        <row r="4700">
          <cell r="A4700">
            <v>46265</v>
          </cell>
          <cell r="B4700" t="str">
            <v xml:space="preserve">RIA ANJELINA SINAGA                     </v>
          </cell>
          <cell r="C4700" t="str">
            <v>RCHH909</v>
          </cell>
          <cell r="D4700">
            <v>5301086568508</v>
          </cell>
          <cell r="E4700" t="str">
            <v>SEDANG</v>
          </cell>
          <cell r="F4700" t="str">
            <v>Tidak</v>
          </cell>
          <cell r="G4700" t="str">
            <v>Tidak</v>
          </cell>
          <cell r="H4700" t="str">
            <v>Tidak</v>
          </cell>
          <cell r="I4700" t="str">
            <v>Bandar Judol Depo</v>
          </cell>
          <cell r="J4700">
            <v>50</v>
          </cell>
          <cell r="K4700" t="str">
            <v>86,74,87</v>
          </cell>
          <cell r="L4700" t="str">
            <v>Judi Online</v>
          </cell>
          <cell r="M4700" t="str">
            <v xml:space="preserve">Kas Kanpus                              </v>
          </cell>
          <cell r="N4700" t="str">
            <v xml:space="preserve">Kas Kanpus                              </v>
          </cell>
          <cell r="O4700" t="str">
            <v xml:space="preserve">KAS KANPUS                              </v>
          </cell>
          <cell r="P4700" t="str">
            <v>Ya</v>
          </cell>
          <cell r="Q4700" t="str">
            <v>Ya</v>
          </cell>
          <cell r="R4700" t="str">
            <v>Done</v>
          </cell>
          <cell r="S4700" t="str">
            <v>Approved</v>
          </cell>
          <cell r="T4700" t="str">
            <v>90150130 - Intan Aida Pratiwi</v>
          </cell>
          <cell r="U4700" t="str">
            <v>"-"</v>
          </cell>
        </row>
        <row r="4701">
          <cell r="A4701">
            <v>46265</v>
          </cell>
          <cell r="B4701" t="str">
            <v xml:space="preserve">RUDI HARTONO                            </v>
          </cell>
          <cell r="C4701" t="str">
            <v>RCJJ788</v>
          </cell>
          <cell r="D4701">
            <v>173101008561507</v>
          </cell>
          <cell r="E4701" t="str">
            <v>SEDANG</v>
          </cell>
          <cell r="F4701" t="str">
            <v>Tidak</v>
          </cell>
          <cell r="G4701" t="str">
            <v>Tidak</v>
          </cell>
          <cell r="H4701" t="str">
            <v>Tidak</v>
          </cell>
          <cell r="I4701" t="str">
            <v>Bandar Judol Withdrawal</v>
          </cell>
          <cell r="J4701">
            <v>50</v>
          </cell>
          <cell r="K4701" t="str">
            <v>86,88,87</v>
          </cell>
          <cell r="L4701" t="str">
            <v>Judi Online</v>
          </cell>
          <cell r="M4701" t="str">
            <v xml:space="preserve">Kas Kanpus                              </v>
          </cell>
          <cell r="N4701" t="str">
            <v xml:space="preserve">Kas Kanpus                              </v>
          </cell>
          <cell r="O4701" t="str">
            <v xml:space="preserve">KAS KANPUS                              </v>
          </cell>
          <cell r="P4701" t="str">
            <v>Ya</v>
          </cell>
          <cell r="Q4701" t="str">
            <v>Ya</v>
          </cell>
          <cell r="R4701" t="str">
            <v>Done</v>
          </cell>
          <cell r="S4701" t="str">
            <v>Approved</v>
          </cell>
          <cell r="T4701" t="str">
            <v>90186796 - Devito Arya Wiradila</v>
          </cell>
          <cell r="U4701" t="str">
            <v>"-"</v>
          </cell>
        </row>
        <row r="4702">
          <cell r="A4702">
            <v>46265</v>
          </cell>
          <cell r="B4702" t="str">
            <v xml:space="preserve">MADE ASTAWAN                            </v>
          </cell>
          <cell r="C4702" t="str">
            <v>MJWS089</v>
          </cell>
          <cell r="D4702">
            <v>455201017301533</v>
          </cell>
          <cell r="E4702" t="str">
            <v>SEDANG</v>
          </cell>
          <cell r="F4702" t="str">
            <v>Tidak</v>
          </cell>
          <cell r="G4702" t="str">
            <v>Tidak</v>
          </cell>
          <cell r="H4702" t="str">
            <v>Tidak</v>
          </cell>
          <cell r="I4702" t="str">
            <v>Narkotika - Area Lapas</v>
          </cell>
          <cell r="J4702">
            <v>51</v>
          </cell>
          <cell r="K4702">
            <v>48</v>
          </cell>
          <cell r="L4702" t="str">
            <v>Narkotika</v>
          </cell>
          <cell r="M4702" t="str">
            <v>UNIT SUKAMARA PANGKALAN BUN</v>
          </cell>
          <cell r="N4702" t="str">
            <v>KC Pangkalan Bun</v>
          </cell>
          <cell r="O4702" t="str">
            <v>Banjarmasin</v>
          </cell>
          <cell r="P4702" t="str">
            <v>Tidak</v>
          </cell>
          <cell r="Q4702" t="str">
            <v>Tidak</v>
          </cell>
          <cell r="R4702" t="str">
            <v>Done</v>
          </cell>
          <cell r="S4702" t="str">
            <v>Approved</v>
          </cell>
          <cell r="T4702" t="str">
            <v>90185537 - Moh.Khoerul Fajar Ar</v>
          </cell>
          <cell r="U4702" t="str">
            <v>"-"</v>
          </cell>
        </row>
        <row r="4703">
          <cell r="A4703">
            <v>46265</v>
          </cell>
          <cell r="B4703" t="str">
            <v xml:space="preserve">MULTI KAHARAPEN                         </v>
          </cell>
          <cell r="C4703" t="str">
            <v>MJWW982</v>
          </cell>
          <cell r="D4703">
            <v>24301106786500</v>
          </cell>
          <cell r="E4703" t="str">
            <v>TINGGI</v>
          </cell>
          <cell r="F4703" t="str">
            <v>Tidak</v>
          </cell>
          <cell r="G4703" t="str">
            <v>Tidak</v>
          </cell>
          <cell r="H4703" t="str">
            <v>Tidak</v>
          </cell>
          <cell r="I4703" t="str">
            <v>Narkotika - Area Lapas</v>
          </cell>
          <cell r="J4703">
            <v>69</v>
          </cell>
          <cell r="K4703">
            <v>48</v>
          </cell>
          <cell r="L4703" t="str">
            <v>Narkotika</v>
          </cell>
          <cell r="M4703" t="str">
            <v>KC Palangkaraya</v>
          </cell>
          <cell r="N4703" t="str">
            <v>KC Palangkaraya</v>
          </cell>
          <cell r="O4703" t="str">
            <v>Banjarmasin</v>
          </cell>
          <cell r="P4703" t="str">
            <v>Tidak</v>
          </cell>
          <cell r="Q4703" t="str">
            <v>Ya</v>
          </cell>
          <cell r="R4703" t="str">
            <v>Done</v>
          </cell>
          <cell r="S4703" t="str">
            <v>Approved</v>
          </cell>
          <cell r="T4703" t="str">
            <v>00336949 - Mochammad Al Farabi</v>
          </cell>
          <cell r="U4703" t="str">
            <v>"-"</v>
          </cell>
        </row>
        <row r="4704">
          <cell r="A4704">
            <v>46265</v>
          </cell>
          <cell r="B4704" t="str">
            <v xml:space="preserve">MISBAHUL KHAIRI                         </v>
          </cell>
          <cell r="C4704" t="str">
            <v>MJXE883</v>
          </cell>
          <cell r="D4704">
            <v>571601022807539</v>
          </cell>
          <cell r="E4704" t="str">
            <v>SEDANG</v>
          </cell>
          <cell r="F4704" t="str">
            <v>Ya</v>
          </cell>
          <cell r="G4704" t="str">
            <v>Tidak</v>
          </cell>
          <cell r="H4704" t="str">
            <v>Tidak</v>
          </cell>
          <cell r="I4704" t="str">
            <v>Narkotika - Area Lapas</v>
          </cell>
          <cell r="J4704">
            <v>54</v>
          </cell>
          <cell r="K4704">
            <v>48</v>
          </cell>
          <cell r="L4704" t="str">
            <v>Narkotika</v>
          </cell>
          <cell r="M4704" t="str">
            <v>UNIT KOTA MUARA BULIAN MUARA B</v>
          </cell>
          <cell r="N4704" t="str">
            <v>KC Muara Bulian</v>
          </cell>
          <cell r="O4704" t="str">
            <v>Palembang</v>
          </cell>
          <cell r="P4704" t="str">
            <v>Tidak</v>
          </cell>
          <cell r="Q4704" t="str">
            <v>Ya</v>
          </cell>
          <cell r="R4704" t="str">
            <v>Done</v>
          </cell>
          <cell r="S4704" t="str">
            <v>Approved</v>
          </cell>
          <cell r="T4704" t="str">
            <v>00336949 - Mochammad Al Farabi</v>
          </cell>
          <cell r="U4704" t="str">
            <v>"-"</v>
          </cell>
        </row>
        <row r="4705">
          <cell r="A4705">
            <v>46265</v>
          </cell>
          <cell r="B4705" t="str">
            <v xml:space="preserve">M IRFAN MUMTAZ                          </v>
          </cell>
          <cell r="C4705" t="str">
            <v>MJBF987</v>
          </cell>
          <cell r="D4705">
            <v>355601017448504</v>
          </cell>
          <cell r="E4705" t="str">
            <v>RENDAH</v>
          </cell>
          <cell r="F4705" t="str">
            <v>Tidak</v>
          </cell>
          <cell r="G4705" t="str">
            <v>Tidak</v>
          </cell>
          <cell r="H4705" t="str">
            <v>Tidak</v>
          </cell>
          <cell r="I4705" t="str">
            <v>Bandar Judol Withdrawal</v>
          </cell>
          <cell r="J4705">
            <v>35</v>
          </cell>
          <cell r="K4705" t="str">
            <v>86,88,87</v>
          </cell>
          <cell r="L4705" t="str">
            <v>Judi Online</v>
          </cell>
          <cell r="M4705" t="str">
            <v xml:space="preserve">Kas Kanpus                              </v>
          </cell>
          <cell r="N4705" t="str">
            <v xml:space="preserve">Kas Kanpus                              </v>
          </cell>
          <cell r="O4705" t="str">
            <v xml:space="preserve">KAS KANPUS                              </v>
          </cell>
          <cell r="P4705" t="str">
            <v>Tidak</v>
          </cell>
          <cell r="Q4705" t="str">
            <v>Ya</v>
          </cell>
          <cell r="R4705" t="str">
            <v>Done</v>
          </cell>
          <cell r="S4705" t="str">
            <v>Approved</v>
          </cell>
          <cell r="T4705" t="str">
            <v>90186796 - Devito Arya Wiradila</v>
          </cell>
          <cell r="U4705" t="str">
            <v>"-"</v>
          </cell>
        </row>
        <row r="4706">
          <cell r="A4706">
            <v>46265</v>
          </cell>
          <cell r="B4706" t="str">
            <v xml:space="preserve">MUH AMIRUDDIN                           </v>
          </cell>
          <cell r="C4706" t="str">
            <v>MJJK493</v>
          </cell>
          <cell r="D4706">
            <v>113801015795503</v>
          </cell>
          <cell r="E4706" t="str">
            <v>SEDANG</v>
          </cell>
          <cell r="F4706" t="str">
            <v>Tidak</v>
          </cell>
          <cell r="G4706" t="str">
            <v>Tidak</v>
          </cell>
          <cell r="H4706" t="str">
            <v>Tidak</v>
          </cell>
          <cell r="I4706" t="str">
            <v>Bandar Judol Depo</v>
          </cell>
          <cell r="J4706">
            <v>50</v>
          </cell>
          <cell r="K4706" t="str">
            <v>86,74,87</v>
          </cell>
          <cell r="L4706" t="str">
            <v>Judi Online</v>
          </cell>
          <cell r="M4706" t="str">
            <v xml:space="preserve">Kas Kanpus                              </v>
          </cell>
          <cell r="N4706" t="str">
            <v xml:space="preserve">Kas Kanpus                              </v>
          </cell>
          <cell r="O4706" t="str">
            <v xml:space="preserve">KAS KANPUS                              </v>
          </cell>
          <cell r="P4706" t="str">
            <v>Tidak</v>
          </cell>
          <cell r="Q4706" t="str">
            <v>Tidak</v>
          </cell>
          <cell r="R4706" t="str">
            <v>Done</v>
          </cell>
          <cell r="S4706" t="str">
            <v>Approved</v>
          </cell>
          <cell r="T4706" t="str">
            <v>00394520 - Frida Akbar Rani</v>
          </cell>
          <cell r="U4706" t="str">
            <v>"-"</v>
          </cell>
        </row>
        <row r="4707">
          <cell r="A4707">
            <v>46265</v>
          </cell>
          <cell r="B4707" t="str">
            <v xml:space="preserve">MAUJAN AGUNG BAHARI                     </v>
          </cell>
          <cell r="C4707" t="str">
            <v>MJW0676</v>
          </cell>
          <cell r="D4707">
            <v>7801001061561</v>
          </cell>
          <cell r="E4707" t="str">
            <v>SEDANG</v>
          </cell>
          <cell r="F4707" t="str">
            <v>Tidak</v>
          </cell>
          <cell r="G4707" t="str">
            <v>Tidak</v>
          </cell>
          <cell r="H4707" t="str">
            <v>Tidak</v>
          </cell>
          <cell r="I4707" t="str">
            <v>Bandar Judol Depo</v>
          </cell>
          <cell r="J4707">
            <v>50</v>
          </cell>
          <cell r="K4707" t="str">
            <v>86,74,87</v>
          </cell>
          <cell r="L4707" t="str">
            <v>Judi Online</v>
          </cell>
          <cell r="M4707" t="str">
            <v xml:space="preserve">Kas Kanpus                              </v>
          </cell>
          <cell r="N4707" t="str">
            <v xml:space="preserve">Kas Kanpus                              </v>
          </cell>
          <cell r="O4707" t="str">
            <v xml:space="preserve">KAS KANPUS                              </v>
          </cell>
          <cell r="P4707" t="str">
            <v>Tidak</v>
          </cell>
          <cell r="Q4707" t="str">
            <v>Ya</v>
          </cell>
          <cell r="R4707" t="str">
            <v>Done</v>
          </cell>
          <cell r="S4707" t="str">
            <v>Approved</v>
          </cell>
          <cell r="T4707" t="str">
            <v>90150130 - Intan Aida Pratiwi</v>
          </cell>
          <cell r="U4707" t="str">
            <v>"-"</v>
          </cell>
        </row>
        <row r="4708">
          <cell r="A4708">
            <v>46265</v>
          </cell>
          <cell r="B4708" t="str">
            <v xml:space="preserve">MUHAMMAD HAYYI                          </v>
          </cell>
          <cell r="C4708" t="str">
            <v>MIX2424</v>
          </cell>
          <cell r="D4708">
            <v>350401025609531</v>
          </cell>
          <cell r="E4708" t="str">
            <v>TINGGI</v>
          </cell>
          <cell r="F4708" t="str">
            <v>Tidak</v>
          </cell>
          <cell r="G4708" t="str">
            <v>Tidak</v>
          </cell>
          <cell r="H4708" t="str">
            <v>Tidak</v>
          </cell>
          <cell r="I4708" t="str">
            <v>Terorisme - SIPENDAR</v>
          </cell>
          <cell r="J4708">
            <v>185</v>
          </cell>
          <cell r="K4708">
            <v>36</v>
          </cell>
          <cell r="L4708" t="str">
            <v>Terorisme</v>
          </cell>
          <cell r="M4708" t="str">
            <v xml:space="preserve">Kas Kanpus                              </v>
          </cell>
          <cell r="N4708" t="str">
            <v xml:space="preserve">Kas Kanpus                              </v>
          </cell>
          <cell r="O4708" t="str">
            <v xml:space="preserve">KAS KANPUS                              </v>
          </cell>
          <cell r="P4708" t="str">
            <v>Tidak</v>
          </cell>
          <cell r="Q4708" t="str">
            <v>Tidak</v>
          </cell>
          <cell r="R4708" t="str">
            <v>Done</v>
          </cell>
          <cell r="S4708" t="str">
            <v>Approved</v>
          </cell>
          <cell r="T4708" t="str">
            <v>90170665 - Mutiara Ayuningtyas</v>
          </cell>
          <cell r="U4708" t="str">
            <v>"-"</v>
          </cell>
        </row>
        <row r="4709">
          <cell r="A4709">
            <v>46265</v>
          </cell>
          <cell r="B4709" t="str">
            <v xml:space="preserve">MASJHURI                                </v>
          </cell>
          <cell r="C4709" t="str">
            <v>MLW3912</v>
          </cell>
          <cell r="D4709">
            <v>1101030091503</v>
          </cell>
          <cell r="E4709" t="str">
            <v>SEDANG</v>
          </cell>
          <cell r="F4709" t="str">
            <v>Tidak</v>
          </cell>
          <cell r="G4709" t="str">
            <v>Tidak</v>
          </cell>
          <cell r="H4709" t="str">
            <v>Tidak</v>
          </cell>
          <cell r="I4709" t="str">
            <v>Pencurian Rekening</v>
          </cell>
          <cell r="J4709">
            <v>46</v>
          </cell>
          <cell r="K4709">
            <v>59</v>
          </cell>
          <cell r="L4709" t="str">
            <v>Perbankan</v>
          </cell>
          <cell r="M4709" t="str">
            <v xml:space="preserve">KC Bojonegoro                           </v>
          </cell>
          <cell r="N4709" t="str">
            <v xml:space="preserve">KC Bojonegoro                           </v>
          </cell>
          <cell r="O4709" t="str">
            <v xml:space="preserve">Surabaya                                </v>
          </cell>
          <cell r="P4709" t="str">
            <v>Tidak</v>
          </cell>
          <cell r="Q4709" t="str">
            <v>Tidak</v>
          </cell>
          <cell r="R4709" t="str">
            <v>Done</v>
          </cell>
          <cell r="S4709" t="str">
            <v>Approved</v>
          </cell>
          <cell r="T4709" t="str">
            <v>90185537 - Moh.Khoerul Fajar Ar</v>
          </cell>
          <cell r="U4709" t="str">
            <v>"-"</v>
          </cell>
        </row>
        <row r="4710">
          <cell r="A4710">
            <v>46265</v>
          </cell>
          <cell r="B4710" t="str">
            <v xml:space="preserve">MULIA                                   </v>
          </cell>
          <cell r="C4710" t="str">
            <v>MMIZ557</v>
          </cell>
          <cell r="D4710">
            <v>454201026192538</v>
          </cell>
          <cell r="E4710" t="str">
            <v>SEDANG</v>
          </cell>
          <cell r="F4710" t="str">
            <v>Ya</v>
          </cell>
          <cell r="G4710" t="str">
            <v>Tidak</v>
          </cell>
          <cell r="H4710" t="str">
            <v>Tidak</v>
          </cell>
          <cell r="I4710" t="str">
            <v>Narkotika - Area Lapas</v>
          </cell>
          <cell r="J4710">
            <v>50</v>
          </cell>
          <cell r="K4710">
            <v>46</v>
          </cell>
          <cell r="L4710" t="str">
            <v>Narkotika</v>
          </cell>
          <cell r="M4710" t="str">
            <v>UNIT PALANGKARAYA KOTA</v>
          </cell>
          <cell r="N4710" t="str">
            <v>KC Palangkaraya</v>
          </cell>
          <cell r="O4710" t="str">
            <v>Banjarmasin</v>
          </cell>
          <cell r="P4710" t="str">
            <v>Tidak</v>
          </cell>
          <cell r="Q4710" t="str">
            <v>Tidak</v>
          </cell>
          <cell r="R4710" t="str">
            <v>Done</v>
          </cell>
          <cell r="S4710" t="str">
            <v>Approved</v>
          </cell>
          <cell r="T4710" t="str">
            <v>90171841 - Rifqi Aziz</v>
          </cell>
          <cell r="U4710" t="str">
            <v>"-"</v>
          </cell>
        </row>
        <row r="4711">
          <cell r="A4711">
            <v>46265</v>
          </cell>
          <cell r="B4711" t="str">
            <v xml:space="preserve">MIRASTI BABA NGUDA                      </v>
          </cell>
          <cell r="C4711" t="str">
            <v>MKLB237</v>
          </cell>
          <cell r="D4711">
            <v>1701005506561</v>
          </cell>
          <cell r="E4711" t="str">
            <v>SEDANG</v>
          </cell>
          <cell r="F4711" t="str">
            <v>Tidak</v>
          </cell>
          <cell r="G4711" t="str">
            <v>Tidak</v>
          </cell>
          <cell r="H4711" t="str">
            <v>Tidak</v>
          </cell>
          <cell r="I4711" t="str">
            <v>Bandar Judol Depo</v>
          </cell>
          <cell r="J4711">
            <v>50</v>
          </cell>
          <cell r="K4711" t="str">
            <v>86,74,87</v>
          </cell>
          <cell r="L4711" t="str">
            <v>Judi Online</v>
          </cell>
          <cell r="M4711" t="str">
            <v xml:space="preserve">Kas Kanpus                              </v>
          </cell>
          <cell r="N4711" t="str">
            <v xml:space="preserve">Kas Kanpus                              </v>
          </cell>
          <cell r="O4711" t="str">
            <v xml:space="preserve">KAS KANPUS                              </v>
          </cell>
          <cell r="P4711" t="str">
            <v>Ya</v>
          </cell>
          <cell r="Q4711" t="str">
            <v>Ya</v>
          </cell>
          <cell r="R4711" t="str">
            <v>Done</v>
          </cell>
          <cell r="S4711" t="str">
            <v>Approved</v>
          </cell>
          <cell r="T4711" t="str">
            <v>90185538 - Muhammad Fahikal Auz</v>
          </cell>
          <cell r="U4711" t="str">
            <v>"-"</v>
          </cell>
        </row>
        <row r="4712">
          <cell r="A4712">
            <v>46265</v>
          </cell>
          <cell r="B4712" t="str">
            <v xml:space="preserve">MAYANTI                                 </v>
          </cell>
          <cell r="C4712" t="str">
            <v>MKQC961</v>
          </cell>
          <cell r="D4712">
            <v>468801024833530</v>
          </cell>
          <cell r="E4712" t="str">
            <v>SEDANG</v>
          </cell>
          <cell r="F4712" t="str">
            <v>Tidak</v>
          </cell>
          <cell r="G4712" t="str">
            <v>Tidak</v>
          </cell>
          <cell r="H4712" t="str">
            <v>Tidak</v>
          </cell>
          <cell r="I4712" t="str">
            <v>Narkotika - Area Lapas</v>
          </cell>
          <cell r="J4712">
            <v>51</v>
          </cell>
          <cell r="K4712">
            <v>46</v>
          </cell>
          <cell r="L4712" t="str">
            <v>Narkotika</v>
          </cell>
          <cell r="M4712" t="str">
            <v>UNIT NARMADA MATARAM</v>
          </cell>
          <cell r="N4712" t="str">
            <v>KC Mataram</v>
          </cell>
          <cell r="O4712" t="str">
            <v>Denpasar</v>
          </cell>
          <cell r="P4712" t="str">
            <v>Tidak</v>
          </cell>
          <cell r="Q4712" t="str">
            <v>Tidak</v>
          </cell>
          <cell r="R4712" t="str">
            <v>Done</v>
          </cell>
          <cell r="S4712" t="str">
            <v>Approved</v>
          </cell>
          <cell r="T4712" t="str">
            <v>00336949 - Mochammad Al Farabi</v>
          </cell>
          <cell r="U4712" t="str">
            <v>"-"</v>
          </cell>
        </row>
        <row r="4713">
          <cell r="A4713">
            <v>46265</v>
          </cell>
          <cell r="B4713" t="str">
            <v xml:space="preserve">MEGI SETIYAWAN                          </v>
          </cell>
          <cell r="C4713" t="str">
            <v>MLDY706</v>
          </cell>
          <cell r="D4713">
            <v>38601002594566</v>
          </cell>
          <cell r="E4713" t="str">
            <v>RENDAH</v>
          </cell>
          <cell r="F4713" t="str">
            <v>Tidak</v>
          </cell>
          <cell r="G4713" t="str">
            <v>Tidak</v>
          </cell>
          <cell r="H4713" t="str">
            <v>Tidak</v>
          </cell>
          <cell r="I4713" t="str">
            <v>Bandar Judol Depo</v>
          </cell>
          <cell r="J4713">
            <v>35</v>
          </cell>
          <cell r="K4713" t="str">
            <v>86,74,87</v>
          </cell>
          <cell r="L4713" t="str">
            <v>Judi Online</v>
          </cell>
          <cell r="M4713" t="str">
            <v xml:space="preserve">Kas Kanpus                              </v>
          </cell>
          <cell r="N4713" t="str">
            <v xml:space="preserve">Kas Kanpus                              </v>
          </cell>
          <cell r="O4713" t="str">
            <v xml:space="preserve">KAS KANPUS                              </v>
          </cell>
          <cell r="P4713" t="str">
            <v>Ya</v>
          </cell>
          <cell r="Q4713" t="str">
            <v>Ya</v>
          </cell>
          <cell r="R4713" t="str">
            <v>Done</v>
          </cell>
          <cell r="S4713" t="str">
            <v>Approved</v>
          </cell>
          <cell r="T4713" t="str">
            <v>00336949 - Mochammad Al Farabi</v>
          </cell>
          <cell r="U4713" t="str">
            <v>"-"</v>
          </cell>
        </row>
        <row r="4714">
          <cell r="A4714">
            <v>46265</v>
          </cell>
          <cell r="B4714" t="str">
            <v xml:space="preserve">MUHAMMAD DAVI PRATAMA                   </v>
          </cell>
          <cell r="C4714" t="str">
            <v>MHNS132</v>
          </cell>
          <cell r="D4714">
            <v>63801028476531</v>
          </cell>
          <cell r="E4714" t="str">
            <v>SEDANG</v>
          </cell>
          <cell r="F4714" t="str">
            <v>Tidak</v>
          </cell>
          <cell r="G4714" t="str">
            <v>Tidak</v>
          </cell>
          <cell r="H4714" t="str">
            <v>Tidak</v>
          </cell>
          <cell r="I4714" t="str">
            <v>Bandar Judol Withdrawal</v>
          </cell>
          <cell r="J4714">
            <v>50</v>
          </cell>
          <cell r="K4714" t="str">
            <v>86,88,87</v>
          </cell>
          <cell r="L4714" t="str">
            <v>Judi Online</v>
          </cell>
          <cell r="M4714" t="str">
            <v xml:space="preserve">Kas Kanpus                              </v>
          </cell>
          <cell r="N4714" t="str">
            <v xml:space="preserve">Kas Kanpus                              </v>
          </cell>
          <cell r="O4714" t="str">
            <v xml:space="preserve">KAS KANPUS                              </v>
          </cell>
          <cell r="P4714" t="str">
            <v>Tidak</v>
          </cell>
          <cell r="Q4714" t="str">
            <v>Ya</v>
          </cell>
          <cell r="R4714" t="str">
            <v>Done</v>
          </cell>
          <cell r="S4714" t="str">
            <v>Approved</v>
          </cell>
          <cell r="T4714" t="str">
            <v>00336949 - Mochammad Al Farabi</v>
          </cell>
          <cell r="U4714" t="str">
            <v>"-"</v>
          </cell>
        </row>
        <row r="4715">
          <cell r="A4715">
            <v>46265</v>
          </cell>
          <cell r="B4715" t="str">
            <v xml:space="preserve">MIDI UTAMA INDONESIA                    </v>
          </cell>
          <cell r="C4715" t="str">
            <v>MHG4260</v>
          </cell>
          <cell r="D4715">
            <v>201101000008306</v>
          </cell>
          <cell r="E4715" t="str">
            <v>SEDANG</v>
          </cell>
          <cell r="F4715" t="str">
            <v>Tidak</v>
          </cell>
          <cell r="G4715" t="str">
            <v>Tidak</v>
          </cell>
          <cell r="H4715" t="str">
            <v>Tidak</v>
          </cell>
          <cell r="I4715" t="str">
            <v>Bandar Judol Withdrawal</v>
          </cell>
          <cell r="J4715">
            <v>50</v>
          </cell>
          <cell r="K4715" t="str">
            <v>86,88,87</v>
          </cell>
          <cell r="L4715" t="str">
            <v>Judi Online</v>
          </cell>
          <cell r="M4715" t="str">
            <v xml:space="preserve">Kas Kanpus                              </v>
          </cell>
          <cell r="N4715" t="str">
            <v xml:space="preserve">Kas Kanpus                              </v>
          </cell>
          <cell r="O4715" t="str">
            <v xml:space="preserve">KAS KANPUS                              </v>
          </cell>
          <cell r="P4715" t="str">
            <v>Tidak</v>
          </cell>
          <cell r="Q4715" t="str">
            <v>Tidak</v>
          </cell>
          <cell r="R4715" t="str">
            <v>Done</v>
          </cell>
          <cell r="S4715" t="str">
            <v>Approved</v>
          </cell>
          <cell r="T4715" t="str">
            <v>90150130 - Intan Aida Pratiwi</v>
          </cell>
          <cell r="U4715" t="str">
            <v>"-"</v>
          </cell>
        </row>
        <row r="4716">
          <cell r="A4716">
            <v>46265</v>
          </cell>
          <cell r="B4716" t="str">
            <v xml:space="preserve">MUCHLIS                                 </v>
          </cell>
          <cell r="C4716" t="str">
            <v>MGS6696</v>
          </cell>
          <cell r="D4716">
            <v>69201003525503</v>
          </cell>
          <cell r="E4716" t="str">
            <v>TINGGI</v>
          </cell>
          <cell r="F4716" t="str">
            <v>Tidak</v>
          </cell>
          <cell r="G4716" t="str">
            <v>Tidak</v>
          </cell>
          <cell r="H4716" t="str">
            <v>Tidak</v>
          </cell>
          <cell r="I4716" t="str">
            <v>Terorisme - SIPENDAR</v>
          </cell>
          <cell r="J4716">
            <v>185</v>
          </cell>
          <cell r="K4716">
            <v>36</v>
          </cell>
          <cell r="L4716" t="str">
            <v>Terorisme</v>
          </cell>
          <cell r="M4716" t="str">
            <v xml:space="preserve">Kas Kanpus                              </v>
          </cell>
          <cell r="N4716" t="str">
            <v xml:space="preserve">Kas Kanpus                              </v>
          </cell>
          <cell r="O4716" t="str">
            <v xml:space="preserve">KAS KANPUS                              </v>
          </cell>
          <cell r="P4716" t="str">
            <v>Ya</v>
          </cell>
          <cell r="Q4716" t="str">
            <v>Tidak</v>
          </cell>
          <cell r="R4716" t="str">
            <v>Done</v>
          </cell>
          <cell r="S4716" t="str">
            <v>Approved</v>
          </cell>
          <cell r="T4716" t="str">
            <v>90186796 - Devito Arya Wiradila</v>
          </cell>
          <cell r="U4716" t="str">
            <v>"-"</v>
          </cell>
        </row>
        <row r="4717">
          <cell r="A4717">
            <v>46265</v>
          </cell>
          <cell r="B4717" t="str">
            <v xml:space="preserve">MUHAMMAD NOFIAR                         </v>
          </cell>
          <cell r="C4717" t="str">
            <v>MGUR875</v>
          </cell>
          <cell r="D4717">
            <v>28301087185502</v>
          </cell>
          <cell r="E4717" t="str">
            <v>SEDANG</v>
          </cell>
          <cell r="F4717" t="str">
            <v>Tidak</v>
          </cell>
          <cell r="G4717" t="str">
            <v>Tidak</v>
          </cell>
          <cell r="H4717" t="str">
            <v>Tidak</v>
          </cell>
          <cell r="I4717" t="str">
            <v>Bandar Judol Withdrawal</v>
          </cell>
          <cell r="J4717">
            <v>50</v>
          </cell>
          <cell r="K4717" t="str">
            <v>86,88,87</v>
          </cell>
          <cell r="L4717" t="str">
            <v>Judi Online</v>
          </cell>
          <cell r="M4717" t="str">
            <v xml:space="preserve">Kas Kanpus                              </v>
          </cell>
          <cell r="N4717" t="str">
            <v xml:space="preserve">Kas Kanpus                              </v>
          </cell>
          <cell r="O4717" t="str">
            <v xml:space="preserve">KAS KANPUS                              </v>
          </cell>
          <cell r="P4717" t="str">
            <v>Ya</v>
          </cell>
          <cell r="Q4717" t="str">
            <v>Ya</v>
          </cell>
          <cell r="R4717" t="str">
            <v>Done</v>
          </cell>
          <cell r="S4717" t="str">
            <v>Approved</v>
          </cell>
          <cell r="T4717" t="str">
            <v>90170665 - Mutiara Ayuningtyas</v>
          </cell>
          <cell r="U4717" t="str">
            <v>"-"</v>
          </cell>
        </row>
        <row r="4718">
          <cell r="A4718">
            <v>46265</v>
          </cell>
          <cell r="B4718" t="str">
            <v xml:space="preserve">MUDASSIR                                </v>
          </cell>
          <cell r="C4718" t="str">
            <v>MGV8202</v>
          </cell>
          <cell r="D4718">
            <v>646501007114531</v>
          </cell>
          <cell r="E4718" t="str">
            <v>TINGGI</v>
          </cell>
          <cell r="F4718" t="str">
            <v>Tidak</v>
          </cell>
          <cell r="G4718" t="str">
            <v>Tidak</v>
          </cell>
          <cell r="H4718" t="str">
            <v>Tidak</v>
          </cell>
          <cell r="I4718" t="str">
            <v>Terorisme - SIPENDAR</v>
          </cell>
          <cell r="J4718">
            <v>184</v>
          </cell>
          <cell r="K4718">
            <v>36</v>
          </cell>
          <cell r="L4718" t="str">
            <v>Terorisme</v>
          </cell>
          <cell r="M4718" t="str">
            <v xml:space="preserve">Kas Kanpus                              </v>
          </cell>
          <cell r="N4718" t="str">
            <v xml:space="preserve">Kas Kanpus                              </v>
          </cell>
          <cell r="O4718" t="str">
            <v xml:space="preserve">KAS KANPUS                              </v>
          </cell>
          <cell r="P4718" t="str">
            <v>Tidak</v>
          </cell>
          <cell r="Q4718" t="str">
            <v>Tidak</v>
          </cell>
          <cell r="R4718" t="str">
            <v>Done</v>
          </cell>
          <cell r="S4718" t="str">
            <v>Approved</v>
          </cell>
          <cell r="T4718" t="str">
            <v>90171841 - Rifqi Aziz</v>
          </cell>
          <cell r="U4718" t="str">
            <v>"-"</v>
          </cell>
        </row>
        <row r="4719">
          <cell r="A4719">
            <v>46265</v>
          </cell>
          <cell r="B4719" t="str">
            <v xml:space="preserve">MUHAMMAD MUNAWIR                        </v>
          </cell>
          <cell r="C4719" t="str">
            <v>MGV9479</v>
          </cell>
          <cell r="D4719">
            <v>2201017605508</v>
          </cell>
          <cell r="E4719" t="str">
            <v>TINGGI</v>
          </cell>
          <cell r="F4719" t="str">
            <v>Tidak</v>
          </cell>
          <cell r="G4719" t="str">
            <v>Tidak</v>
          </cell>
          <cell r="H4719" t="str">
            <v>Tidak</v>
          </cell>
          <cell r="I4719" t="str">
            <v>Terorisme - SIPENDAR</v>
          </cell>
          <cell r="J4719">
            <v>188</v>
          </cell>
          <cell r="K4719">
            <v>36</v>
          </cell>
          <cell r="L4719" t="str">
            <v>Terorisme</v>
          </cell>
          <cell r="M4719" t="str">
            <v xml:space="preserve">Kas Kanpus                              </v>
          </cell>
          <cell r="N4719" t="str">
            <v xml:space="preserve">Kas Kanpus                              </v>
          </cell>
          <cell r="O4719" t="str">
            <v xml:space="preserve">KAS KANPUS                              </v>
          </cell>
          <cell r="P4719" t="str">
            <v>Tidak</v>
          </cell>
          <cell r="Q4719" t="str">
            <v>Tidak</v>
          </cell>
          <cell r="R4719" t="str">
            <v>Done</v>
          </cell>
          <cell r="S4719" t="str">
            <v>Approved</v>
          </cell>
          <cell r="T4719" t="str">
            <v>00394520 - Frida Akbar Rani</v>
          </cell>
          <cell r="U4719" t="str">
            <v>"-"</v>
          </cell>
        </row>
        <row r="4720">
          <cell r="A4720">
            <v>46265</v>
          </cell>
          <cell r="B4720" t="str">
            <v xml:space="preserve">MHD RAVY GUNAWAN                        </v>
          </cell>
          <cell r="C4720" t="str">
            <v>MGNC330</v>
          </cell>
          <cell r="D4720">
            <v>28301036458538</v>
          </cell>
          <cell r="E4720" t="str">
            <v>SEDANG</v>
          </cell>
          <cell r="F4720" t="str">
            <v>Tidak</v>
          </cell>
          <cell r="G4720" t="str">
            <v>Tidak</v>
          </cell>
          <cell r="H4720" t="str">
            <v>Tidak</v>
          </cell>
          <cell r="I4720" t="str">
            <v>Bandar Judol Withdrawal</v>
          </cell>
          <cell r="J4720">
            <v>50</v>
          </cell>
          <cell r="K4720" t="str">
            <v>86,88,87</v>
          </cell>
          <cell r="L4720" t="str">
            <v>Judi Online</v>
          </cell>
          <cell r="M4720" t="str">
            <v xml:space="preserve">Kas Kanpus                              </v>
          </cell>
          <cell r="N4720" t="str">
            <v xml:space="preserve">Kas Kanpus                              </v>
          </cell>
          <cell r="O4720" t="str">
            <v xml:space="preserve">KAS KANPUS                              </v>
          </cell>
          <cell r="P4720" t="str">
            <v>Ya</v>
          </cell>
          <cell r="Q4720" t="str">
            <v>Ya</v>
          </cell>
          <cell r="R4720" t="str">
            <v>Done</v>
          </cell>
          <cell r="S4720" t="str">
            <v>Approved</v>
          </cell>
          <cell r="T4720" t="str">
            <v>90185538 - Muhammad Fahikal Auz</v>
          </cell>
          <cell r="U4720" t="str">
            <v>"-"</v>
          </cell>
        </row>
        <row r="4721">
          <cell r="A4721">
            <v>46265</v>
          </cell>
          <cell r="B4721" t="str">
            <v xml:space="preserve">MUHAMAD ANDRIY SHEVCHENKO               </v>
          </cell>
          <cell r="C4721" t="str">
            <v>MFOY561</v>
          </cell>
          <cell r="D4721">
            <v>39301003705569</v>
          </cell>
          <cell r="E4721" t="str">
            <v>SEDANG</v>
          </cell>
          <cell r="F4721" t="str">
            <v>Tidak</v>
          </cell>
          <cell r="G4721" t="str">
            <v>Tidak</v>
          </cell>
          <cell r="H4721" t="str">
            <v>Tidak</v>
          </cell>
          <cell r="I4721" t="str">
            <v>Bandar Judol Withdrawal</v>
          </cell>
          <cell r="J4721">
            <v>50</v>
          </cell>
          <cell r="K4721" t="str">
            <v>86,88,87</v>
          </cell>
          <cell r="L4721" t="str">
            <v>Judi Online</v>
          </cell>
          <cell r="M4721" t="str">
            <v xml:space="preserve">Kas Kanpus                              </v>
          </cell>
          <cell r="N4721" t="str">
            <v xml:space="preserve">Kas Kanpus                              </v>
          </cell>
          <cell r="O4721" t="str">
            <v xml:space="preserve">KAS KANPUS                              </v>
          </cell>
          <cell r="P4721" t="str">
            <v>Ya</v>
          </cell>
          <cell r="Q4721" t="str">
            <v>Ya</v>
          </cell>
          <cell r="R4721" t="str">
            <v>Done</v>
          </cell>
          <cell r="S4721" t="str">
            <v>Approved</v>
          </cell>
          <cell r="T4721" t="str">
            <v>90171841 - Rifqi Aziz</v>
          </cell>
          <cell r="U4721" t="str">
            <v>"-"</v>
          </cell>
        </row>
        <row r="4722">
          <cell r="A4722">
            <v>46265</v>
          </cell>
          <cell r="B4722" t="str">
            <v xml:space="preserve">MUHAMMAD REINALDI                       </v>
          </cell>
          <cell r="C4722" t="str">
            <v>MFUP402</v>
          </cell>
          <cell r="D4722">
            <v>530501036364532</v>
          </cell>
          <cell r="E4722" t="str">
            <v>SEDANG</v>
          </cell>
          <cell r="F4722" t="str">
            <v>Tidak</v>
          </cell>
          <cell r="G4722" t="str">
            <v>Tidak</v>
          </cell>
          <cell r="H4722" t="str">
            <v>Tidak</v>
          </cell>
          <cell r="I4722" t="str">
            <v>Bandar Judol Depo</v>
          </cell>
          <cell r="J4722">
            <v>50</v>
          </cell>
          <cell r="K4722" t="str">
            <v>86,74,87</v>
          </cell>
          <cell r="L4722" t="str">
            <v>Judi Online</v>
          </cell>
          <cell r="M4722" t="str">
            <v xml:space="preserve">Kas Kanpus                              </v>
          </cell>
          <cell r="N4722" t="str">
            <v xml:space="preserve">Kas Kanpus                              </v>
          </cell>
          <cell r="O4722" t="str">
            <v xml:space="preserve">KAS KANPUS                              </v>
          </cell>
          <cell r="P4722" t="str">
            <v>Ya</v>
          </cell>
          <cell r="Q4722" t="str">
            <v>Ya</v>
          </cell>
          <cell r="R4722" t="str">
            <v>Done</v>
          </cell>
          <cell r="S4722" t="str">
            <v>Approved</v>
          </cell>
          <cell r="T4722" t="str">
            <v>00336949 - Mochammad Al Farabi</v>
          </cell>
          <cell r="U4722" t="str">
            <v>"-"</v>
          </cell>
        </row>
        <row r="4723">
          <cell r="A4723">
            <v>46265</v>
          </cell>
          <cell r="B4723" t="str">
            <v xml:space="preserve">MALINDO FEEDMILL TBK PT                 </v>
          </cell>
          <cell r="C4723" t="str">
            <v>MFLP913</v>
          </cell>
          <cell r="D4723">
            <v>33001001804309</v>
          </cell>
          <cell r="E4723" t="str">
            <v>SEDANG</v>
          </cell>
          <cell r="F4723" t="str">
            <v>Tidak</v>
          </cell>
          <cell r="G4723" t="str">
            <v>Tidak</v>
          </cell>
          <cell r="H4723" t="str">
            <v>Tidak</v>
          </cell>
          <cell r="I4723" t="str">
            <v>Perpajakan</v>
          </cell>
          <cell r="J4723">
            <v>50</v>
          </cell>
          <cell r="K4723">
            <v>1.33</v>
          </cell>
          <cell r="L4723" t="str">
            <v>Perpajakan</v>
          </cell>
          <cell r="M4723" t="str">
            <v xml:space="preserve">KC Jakarta Fatmawati                    </v>
          </cell>
          <cell r="N4723" t="str">
            <v xml:space="preserve">KC Jakarta Fatmawati                    </v>
          </cell>
          <cell r="O4723" t="str">
            <v xml:space="preserve">DKI2                                    </v>
          </cell>
          <cell r="P4723" t="str">
            <v>Tidak</v>
          </cell>
          <cell r="Q4723" t="str">
            <v>Tidak</v>
          </cell>
          <cell r="R4723" t="str">
            <v>Done</v>
          </cell>
          <cell r="S4723" t="str">
            <v>Approved</v>
          </cell>
          <cell r="T4723" t="str">
            <v>90150130 - Intan Aida Pratiwi</v>
          </cell>
          <cell r="U4723" t="str">
            <v>"-"</v>
          </cell>
        </row>
        <row r="4724">
          <cell r="A4724">
            <v>46265</v>
          </cell>
          <cell r="B4724" t="str">
            <v xml:space="preserve">MUHAMAD FAHRI FIRMANSYAH                </v>
          </cell>
          <cell r="C4724" t="str">
            <v>MRRJ200</v>
          </cell>
          <cell r="D4724">
            <v>39601000909564</v>
          </cell>
          <cell r="E4724" t="str">
            <v>TINGGI</v>
          </cell>
          <cell r="F4724" t="str">
            <v>Tidak</v>
          </cell>
          <cell r="G4724" t="str">
            <v>Tidak</v>
          </cell>
          <cell r="H4724" t="str">
            <v>Tidak</v>
          </cell>
          <cell r="I4724" t="str">
            <v>Bandar Judol Depo</v>
          </cell>
          <cell r="J4724">
            <v>65</v>
          </cell>
          <cell r="K4724" t="str">
            <v>86,74,87</v>
          </cell>
          <cell r="L4724" t="str">
            <v>Judi Online</v>
          </cell>
          <cell r="M4724" t="str">
            <v xml:space="preserve">Kas Kanpus                              </v>
          </cell>
          <cell r="N4724" t="str">
            <v xml:space="preserve">Kas Kanpus                              </v>
          </cell>
          <cell r="O4724" t="str">
            <v xml:space="preserve">KAS KANPUS                              </v>
          </cell>
          <cell r="P4724" t="str">
            <v>Ya</v>
          </cell>
          <cell r="Q4724" t="str">
            <v>Ya</v>
          </cell>
          <cell r="R4724" t="str">
            <v>Done</v>
          </cell>
          <cell r="S4724" t="str">
            <v>Approved</v>
          </cell>
          <cell r="T4724" t="str">
            <v>90171841 - Rifqi Aziz</v>
          </cell>
          <cell r="U4724" t="str">
            <v>"-"</v>
          </cell>
        </row>
        <row r="4725">
          <cell r="A4725">
            <v>46265</v>
          </cell>
          <cell r="B4725" t="str">
            <v xml:space="preserve">MUHAMMAD ZIDDAN                         </v>
          </cell>
          <cell r="C4725" t="str">
            <v>MRSU170</v>
          </cell>
          <cell r="D4725">
            <v>44201002468561</v>
          </cell>
          <cell r="E4725" t="str">
            <v>SEDANG</v>
          </cell>
          <cell r="F4725" t="str">
            <v>Tidak</v>
          </cell>
          <cell r="G4725" t="str">
            <v>Tidak</v>
          </cell>
          <cell r="H4725" t="str">
            <v>Tidak</v>
          </cell>
          <cell r="I4725" t="str">
            <v>Bandar Judol Withdrawal</v>
          </cell>
          <cell r="J4725">
            <v>50</v>
          </cell>
          <cell r="K4725" t="str">
            <v>86,88,87</v>
          </cell>
          <cell r="L4725" t="str">
            <v>Judi Online</v>
          </cell>
          <cell r="M4725" t="str">
            <v xml:space="preserve">Kas Kanpus                              </v>
          </cell>
          <cell r="N4725" t="str">
            <v xml:space="preserve">Kas Kanpus                              </v>
          </cell>
          <cell r="O4725" t="str">
            <v xml:space="preserve">KAS KANPUS                              </v>
          </cell>
          <cell r="P4725" t="str">
            <v>Ya</v>
          </cell>
          <cell r="Q4725" t="str">
            <v>Ya</v>
          </cell>
          <cell r="R4725" t="str">
            <v>Done</v>
          </cell>
          <cell r="S4725" t="str">
            <v>Approved</v>
          </cell>
          <cell r="T4725" t="str">
            <v>90186796 - Devito Arya Wiradila</v>
          </cell>
          <cell r="U4725" t="str">
            <v>"-"</v>
          </cell>
        </row>
        <row r="4726">
          <cell r="A4726">
            <v>46265</v>
          </cell>
          <cell r="B4726" t="str">
            <v xml:space="preserve">MIRANTI                                 </v>
          </cell>
          <cell r="C4726" t="str">
            <v>MRWM505</v>
          </cell>
          <cell r="D4726">
            <v>12201002812566</v>
          </cell>
          <cell r="E4726" t="str">
            <v>SEDANG</v>
          </cell>
          <cell r="F4726" t="str">
            <v>Tidak</v>
          </cell>
          <cell r="G4726" t="str">
            <v>Tidak</v>
          </cell>
          <cell r="H4726" t="str">
            <v>Tidak</v>
          </cell>
          <cell r="I4726" t="str">
            <v>Bandar Judol Withdrawal</v>
          </cell>
          <cell r="J4726">
            <v>50</v>
          </cell>
          <cell r="K4726" t="str">
            <v>86,88,87</v>
          </cell>
          <cell r="L4726" t="str">
            <v>Judi Online</v>
          </cell>
          <cell r="M4726" t="str">
            <v xml:space="preserve">Kas Kanpus                              </v>
          </cell>
          <cell r="N4726" t="str">
            <v xml:space="preserve">Kas Kanpus                              </v>
          </cell>
          <cell r="O4726" t="str">
            <v xml:space="preserve">KAS KANPUS                              </v>
          </cell>
          <cell r="P4726" t="str">
            <v>Ya</v>
          </cell>
          <cell r="Q4726" t="str">
            <v>Ya</v>
          </cell>
          <cell r="R4726" t="str">
            <v>Done</v>
          </cell>
          <cell r="S4726" t="str">
            <v>Approved</v>
          </cell>
          <cell r="T4726" t="str">
            <v>00394521 - Muhammad Hibbanduta</v>
          </cell>
          <cell r="U4726" t="str">
            <v>"-"</v>
          </cell>
        </row>
        <row r="4727">
          <cell r="A4727">
            <v>46265</v>
          </cell>
          <cell r="B4727" t="str">
            <v xml:space="preserve">MAULANA ISKANDAR                        </v>
          </cell>
          <cell r="C4727" t="str">
            <v>MRUA649</v>
          </cell>
          <cell r="D4727">
            <v>42101005188568</v>
          </cell>
          <cell r="E4727" t="str">
            <v>SEDANG</v>
          </cell>
          <cell r="F4727" t="str">
            <v>Tidak</v>
          </cell>
          <cell r="G4727" t="str">
            <v>Tidak</v>
          </cell>
          <cell r="H4727" t="str">
            <v>Tidak</v>
          </cell>
          <cell r="I4727" t="str">
            <v>Bandar Judol Withdrawal</v>
          </cell>
          <cell r="J4727">
            <v>50</v>
          </cell>
          <cell r="K4727" t="str">
            <v>86,88,87</v>
          </cell>
          <cell r="L4727" t="str">
            <v>Judi Online</v>
          </cell>
          <cell r="M4727" t="str">
            <v xml:space="preserve">Kas Kanpus                              </v>
          </cell>
          <cell r="N4727" t="str">
            <v xml:space="preserve">Kas Kanpus                              </v>
          </cell>
          <cell r="O4727" t="str">
            <v xml:space="preserve">KAS KANPUS                              </v>
          </cell>
          <cell r="P4727" t="str">
            <v>Ya</v>
          </cell>
          <cell r="Q4727" t="str">
            <v>Ya</v>
          </cell>
          <cell r="R4727" t="str">
            <v>Done</v>
          </cell>
          <cell r="S4727" t="str">
            <v>Approved</v>
          </cell>
          <cell r="T4727" t="str">
            <v>90185538 - Muhammad Fahikal Auz</v>
          </cell>
          <cell r="U4727" t="str">
            <v>"-"</v>
          </cell>
        </row>
        <row r="4728">
          <cell r="A4728">
            <v>46265</v>
          </cell>
          <cell r="B4728" t="str">
            <v xml:space="preserve">MUHAMMAD RIZKY                          </v>
          </cell>
          <cell r="C4728" t="str">
            <v>MSAS702</v>
          </cell>
          <cell r="D4728">
            <v>108501001454568</v>
          </cell>
          <cell r="E4728" t="str">
            <v>SEDANG</v>
          </cell>
          <cell r="F4728" t="str">
            <v>Tidak</v>
          </cell>
          <cell r="G4728" t="str">
            <v>Tidak</v>
          </cell>
          <cell r="H4728" t="str">
            <v>Tidak</v>
          </cell>
          <cell r="I4728" t="str">
            <v>Bandar Judol Depo</v>
          </cell>
          <cell r="J4728">
            <v>50</v>
          </cell>
          <cell r="K4728" t="str">
            <v>86,74,87</v>
          </cell>
          <cell r="L4728" t="str">
            <v>Judi Online</v>
          </cell>
          <cell r="M4728" t="str">
            <v xml:space="preserve">Kas Kanpus                              </v>
          </cell>
          <cell r="N4728" t="str">
            <v xml:space="preserve">Kas Kanpus                              </v>
          </cell>
          <cell r="O4728" t="str">
            <v xml:space="preserve">KAS KANPUS                              </v>
          </cell>
          <cell r="P4728" t="str">
            <v>Ya</v>
          </cell>
          <cell r="Q4728" t="str">
            <v>Ya</v>
          </cell>
          <cell r="R4728" t="str">
            <v>Done</v>
          </cell>
          <cell r="S4728" t="str">
            <v>Approved</v>
          </cell>
          <cell r="T4728" t="str">
            <v>90171841 - Rifqi Aziz</v>
          </cell>
          <cell r="U4728" t="str">
            <v>"-"</v>
          </cell>
        </row>
        <row r="4729">
          <cell r="A4729">
            <v>46265</v>
          </cell>
          <cell r="B4729" t="str">
            <v xml:space="preserve">MARDIYANTO                              </v>
          </cell>
          <cell r="C4729" t="str">
            <v>MSWW953</v>
          </cell>
          <cell r="D4729">
            <v>330901004657505</v>
          </cell>
          <cell r="E4729" t="str">
            <v>SEDANG</v>
          </cell>
          <cell r="F4729" t="str">
            <v>Tidak</v>
          </cell>
          <cell r="G4729" t="str">
            <v>Tidak</v>
          </cell>
          <cell r="H4729" t="str">
            <v>Tidak</v>
          </cell>
          <cell r="I4729" t="str">
            <v>Bandar Judol Withdrawal</v>
          </cell>
          <cell r="J4729">
            <v>50</v>
          </cell>
          <cell r="K4729" t="str">
            <v>86,88,87</v>
          </cell>
          <cell r="L4729" t="str">
            <v>Judi Online</v>
          </cell>
          <cell r="M4729" t="str">
            <v xml:space="preserve">Kas Kanpus                              </v>
          </cell>
          <cell r="N4729" t="str">
            <v xml:space="preserve">Kas Kanpus                              </v>
          </cell>
          <cell r="O4729" t="str">
            <v xml:space="preserve">KAS KANPUS                              </v>
          </cell>
          <cell r="P4729" t="str">
            <v>Ya</v>
          </cell>
          <cell r="Q4729" t="str">
            <v>Ya</v>
          </cell>
          <cell r="R4729" t="str">
            <v>Done</v>
          </cell>
          <cell r="S4729" t="str">
            <v>Approved</v>
          </cell>
          <cell r="T4729" t="str">
            <v>00394520 - Frida Akbar Rani</v>
          </cell>
          <cell r="U4729" t="str">
            <v>"-"</v>
          </cell>
        </row>
        <row r="4730">
          <cell r="A4730">
            <v>46265</v>
          </cell>
          <cell r="B4730" t="str">
            <v xml:space="preserve">MUHAMMAD YAHYA                          </v>
          </cell>
          <cell r="C4730" t="str">
            <v>MTA1056</v>
          </cell>
          <cell r="D4730">
            <v>467701031183539</v>
          </cell>
          <cell r="E4730" t="str">
            <v>SEDANG</v>
          </cell>
          <cell r="F4730" t="str">
            <v>Ya</v>
          </cell>
          <cell r="G4730" t="str">
            <v>Tidak</v>
          </cell>
          <cell r="H4730" t="str">
            <v>Tidak</v>
          </cell>
          <cell r="I4730" t="str">
            <v>Bandar Judol Depo</v>
          </cell>
          <cell r="J4730">
            <v>50</v>
          </cell>
          <cell r="K4730" t="str">
            <v>86,74,87</v>
          </cell>
          <cell r="L4730" t="str">
            <v>Judi Online</v>
          </cell>
          <cell r="M4730" t="str">
            <v xml:space="preserve">Kas Kanpus                              </v>
          </cell>
          <cell r="N4730" t="str">
            <v xml:space="preserve">Kas Kanpus                              </v>
          </cell>
          <cell r="O4730" t="str">
            <v xml:space="preserve">KAS KANPUS                              </v>
          </cell>
          <cell r="P4730" t="str">
            <v>Tidak</v>
          </cell>
          <cell r="Q4730" t="str">
            <v>Tidak</v>
          </cell>
          <cell r="R4730" t="str">
            <v>Done</v>
          </cell>
          <cell r="S4730" t="str">
            <v>Approved</v>
          </cell>
          <cell r="T4730" t="str">
            <v>90150130 - Intan Aida Pratiwi</v>
          </cell>
          <cell r="U4730" t="str">
            <v>"-"</v>
          </cell>
        </row>
        <row r="4731">
          <cell r="A4731">
            <v>46265</v>
          </cell>
          <cell r="B4731" t="str">
            <v xml:space="preserve">MHD IRFAN                               </v>
          </cell>
          <cell r="C4731" t="str">
            <v>MTER876</v>
          </cell>
          <cell r="D4731">
            <v>5301007176562</v>
          </cell>
          <cell r="E4731" t="str">
            <v>SEDANG</v>
          </cell>
          <cell r="F4731" t="str">
            <v>Tidak</v>
          </cell>
          <cell r="G4731" t="str">
            <v>Tidak</v>
          </cell>
          <cell r="H4731" t="str">
            <v>Tidak</v>
          </cell>
          <cell r="I4731" t="str">
            <v>Bandar Judol Withdrawal</v>
          </cell>
          <cell r="J4731">
            <v>50</v>
          </cell>
          <cell r="K4731" t="str">
            <v>86,88,87</v>
          </cell>
          <cell r="L4731" t="str">
            <v>Judi Online</v>
          </cell>
          <cell r="M4731" t="str">
            <v xml:space="preserve">Kas Kanpus                              </v>
          </cell>
          <cell r="N4731" t="str">
            <v xml:space="preserve">Kas Kanpus                              </v>
          </cell>
          <cell r="O4731" t="str">
            <v xml:space="preserve">KAS KANPUS                              </v>
          </cell>
          <cell r="P4731" t="str">
            <v>Ya</v>
          </cell>
          <cell r="Q4731" t="str">
            <v>Ya</v>
          </cell>
          <cell r="R4731" t="str">
            <v>Done</v>
          </cell>
          <cell r="S4731" t="str">
            <v>Approved</v>
          </cell>
          <cell r="T4731" t="str">
            <v>90150130 - Intan Aida Pratiwi</v>
          </cell>
          <cell r="U4731" t="str">
            <v>"-"</v>
          </cell>
        </row>
        <row r="4732">
          <cell r="A4732">
            <v>46265</v>
          </cell>
          <cell r="B4732" t="str">
            <v xml:space="preserve">MOCHAMMAD ADI PRASETYA                  </v>
          </cell>
          <cell r="C4732" t="str">
            <v>MTOY372</v>
          </cell>
          <cell r="D4732">
            <v>15601001985565</v>
          </cell>
          <cell r="E4732" t="str">
            <v>SEDANG</v>
          </cell>
          <cell r="F4732" t="str">
            <v>Tidak</v>
          </cell>
          <cell r="G4732" t="str">
            <v>Tidak</v>
          </cell>
          <cell r="H4732" t="str">
            <v>Tidak</v>
          </cell>
          <cell r="I4732" t="str">
            <v>Bandar Judol Withdrawal</v>
          </cell>
          <cell r="J4732">
            <v>50</v>
          </cell>
          <cell r="K4732" t="str">
            <v>86,88,87</v>
          </cell>
          <cell r="L4732" t="str">
            <v>Judi Online</v>
          </cell>
          <cell r="M4732" t="str">
            <v xml:space="preserve">Kas Kanpus                              </v>
          </cell>
          <cell r="N4732" t="str">
            <v xml:space="preserve">Kas Kanpus                              </v>
          </cell>
          <cell r="O4732" t="str">
            <v xml:space="preserve">KAS KANPUS                              </v>
          </cell>
          <cell r="P4732" t="str">
            <v>Ya</v>
          </cell>
          <cell r="Q4732" t="str">
            <v>Ya</v>
          </cell>
          <cell r="R4732" t="str">
            <v>Done</v>
          </cell>
          <cell r="S4732" t="str">
            <v>Approved</v>
          </cell>
          <cell r="T4732" t="str">
            <v>90150130 - Intan Aida Pratiwi</v>
          </cell>
          <cell r="U4732" t="str">
            <v>"-"</v>
          </cell>
        </row>
        <row r="4733">
          <cell r="A4733">
            <v>46265</v>
          </cell>
          <cell r="B4733" t="str">
            <v xml:space="preserve">MUHAMMAD RIFALDI                        </v>
          </cell>
          <cell r="C4733" t="str">
            <v>MTHL029</v>
          </cell>
          <cell r="D4733">
            <v>5301162992502</v>
          </cell>
          <cell r="E4733" t="str">
            <v>SEDANG</v>
          </cell>
          <cell r="F4733" t="str">
            <v>Tidak</v>
          </cell>
          <cell r="G4733" t="str">
            <v>Tidak</v>
          </cell>
          <cell r="H4733" t="str">
            <v>Tidak</v>
          </cell>
          <cell r="I4733" t="str">
            <v>Bandar Judol Withdrawal</v>
          </cell>
          <cell r="J4733">
            <v>50</v>
          </cell>
          <cell r="K4733" t="str">
            <v>86,88,87</v>
          </cell>
          <cell r="L4733" t="str">
            <v>Judi Online</v>
          </cell>
          <cell r="M4733" t="str">
            <v xml:space="preserve">Kas Kanpus                              </v>
          </cell>
          <cell r="N4733" t="str">
            <v xml:space="preserve">Kas Kanpus                              </v>
          </cell>
          <cell r="O4733" t="str">
            <v xml:space="preserve">KAS KANPUS                              </v>
          </cell>
          <cell r="P4733" t="str">
            <v>Ya</v>
          </cell>
          <cell r="Q4733" t="str">
            <v>Ya</v>
          </cell>
          <cell r="R4733" t="str">
            <v>Done</v>
          </cell>
          <cell r="S4733" t="str">
            <v>Approved</v>
          </cell>
          <cell r="T4733" t="str">
            <v>00336949 - Mochammad Al Farabi</v>
          </cell>
          <cell r="U4733" t="str">
            <v>"-"</v>
          </cell>
        </row>
        <row r="4734">
          <cell r="A4734">
            <v>46265</v>
          </cell>
          <cell r="B4734" t="str">
            <v xml:space="preserve">M. RAHMAT RAMDANI                       </v>
          </cell>
          <cell r="C4734" t="str">
            <v>MUGM656</v>
          </cell>
          <cell r="D4734">
            <v>60001000644565</v>
          </cell>
          <cell r="E4734" t="str">
            <v>SEDANG</v>
          </cell>
          <cell r="F4734" t="str">
            <v>Tidak</v>
          </cell>
          <cell r="G4734" t="str">
            <v>Tidak</v>
          </cell>
          <cell r="H4734" t="str">
            <v>Tidak</v>
          </cell>
          <cell r="I4734" t="str">
            <v>Bandar Judol Depo</v>
          </cell>
          <cell r="J4734">
            <v>50</v>
          </cell>
          <cell r="K4734" t="str">
            <v>86,74,87</v>
          </cell>
          <cell r="L4734" t="str">
            <v>Judi Online</v>
          </cell>
          <cell r="M4734" t="str">
            <v xml:space="preserve">Kas Kanpus                              </v>
          </cell>
          <cell r="N4734" t="str">
            <v xml:space="preserve">Kas Kanpus                              </v>
          </cell>
          <cell r="O4734" t="str">
            <v xml:space="preserve">KAS KANPUS                              </v>
          </cell>
          <cell r="P4734" t="str">
            <v>Ya</v>
          </cell>
          <cell r="Q4734" t="str">
            <v>Ya</v>
          </cell>
          <cell r="R4734" t="str">
            <v>Done</v>
          </cell>
          <cell r="S4734" t="str">
            <v>Approved</v>
          </cell>
          <cell r="T4734" t="str">
            <v>90185538 - Muhammad Fahikal Auz</v>
          </cell>
          <cell r="U4734" t="str">
            <v>"-"</v>
          </cell>
        </row>
        <row r="4735">
          <cell r="A4735">
            <v>46265</v>
          </cell>
          <cell r="B4735" t="str">
            <v xml:space="preserve">MERRY KRISTIANA DEWI                    </v>
          </cell>
          <cell r="C4735" t="str">
            <v>MOTF327</v>
          </cell>
          <cell r="D4735">
            <v>36801013431533</v>
          </cell>
          <cell r="E4735" t="str">
            <v>SEDANG</v>
          </cell>
          <cell r="F4735" t="str">
            <v>Tidak</v>
          </cell>
          <cell r="G4735" t="str">
            <v>Tidak</v>
          </cell>
          <cell r="H4735" t="str">
            <v>Tidak</v>
          </cell>
          <cell r="I4735" t="str">
            <v>Bandar Judol Depo</v>
          </cell>
          <cell r="J4735">
            <v>50</v>
          </cell>
          <cell r="K4735" t="str">
            <v>86,74,87</v>
          </cell>
          <cell r="L4735" t="str">
            <v>Judi Online</v>
          </cell>
          <cell r="M4735" t="str">
            <v xml:space="preserve">Kas Kanpus                              </v>
          </cell>
          <cell r="N4735" t="str">
            <v xml:space="preserve">Kas Kanpus                              </v>
          </cell>
          <cell r="O4735" t="str">
            <v xml:space="preserve">KAS KANPUS                              </v>
          </cell>
          <cell r="P4735" t="str">
            <v>Ya</v>
          </cell>
          <cell r="Q4735" t="str">
            <v>Ya</v>
          </cell>
          <cell r="R4735" t="str">
            <v>Done</v>
          </cell>
          <cell r="S4735" t="str">
            <v>Approved</v>
          </cell>
          <cell r="T4735" t="str">
            <v>90150130 - Intan Aida Pratiwi</v>
          </cell>
          <cell r="U4735" t="str">
            <v>"-"</v>
          </cell>
        </row>
        <row r="4736">
          <cell r="A4736">
            <v>46265</v>
          </cell>
          <cell r="B4736" t="str">
            <v xml:space="preserve">MEISYA AMELLIA                          </v>
          </cell>
          <cell r="C4736" t="str">
            <v>MOWK652</v>
          </cell>
          <cell r="D4736">
            <v>117201009430503</v>
          </cell>
          <cell r="E4736" t="str">
            <v>SEDANG</v>
          </cell>
          <cell r="F4736" t="str">
            <v>Tidak</v>
          </cell>
          <cell r="G4736" t="str">
            <v>Tidak</v>
          </cell>
          <cell r="H4736" t="str">
            <v>Tidak</v>
          </cell>
          <cell r="I4736" t="str">
            <v>Bandar Judol Withdrawal</v>
          </cell>
          <cell r="J4736">
            <v>50</v>
          </cell>
          <cell r="K4736" t="str">
            <v>86,88,87</v>
          </cell>
          <cell r="L4736" t="str">
            <v>Judi Online</v>
          </cell>
          <cell r="M4736" t="str">
            <v xml:space="preserve">Kas Kanpus                              </v>
          </cell>
          <cell r="N4736" t="str">
            <v xml:space="preserve">Kas Kanpus                              </v>
          </cell>
          <cell r="O4736" t="str">
            <v xml:space="preserve">KAS KANPUS                              </v>
          </cell>
          <cell r="P4736" t="str">
            <v>Ya</v>
          </cell>
          <cell r="Q4736" t="str">
            <v>Tidak</v>
          </cell>
          <cell r="R4736" t="str">
            <v>Done</v>
          </cell>
          <cell r="S4736" t="str">
            <v>Approved</v>
          </cell>
          <cell r="T4736" t="str">
            <v>90186790 - Muhammad Alfin Farha</v>
          </cell>
          <cell r="U4736" t="str">
            <v>"-"</v>
          </cell>
        </row>
        <row r="4737">
          <cell r="A4737">
            <v>46265</v>
          </cell>
          <cell r="B4737" t="str">
            <v xml:space="preserve">MOHAMAD TOYIB                           </v>
          </cell>
          <cell r="C4737" t="str">
            <v>MQV2026</v>
          </cell>
          <cell r="D4737">
            <v>308701006354503</v>
          </cell>
          <cell r="E4737" t="str">
            <v>SEDANG</v>
          </cell>
          <cell r="F4737" t="str">
            <v>Ya</v>
          </cell>
          <cell r="G4737" t="str">
            <v>Tidak</v>
          </cell>
          <cell r="H4737" t="str">
            <v>Tidak</v>
          </cell>
          <cell r="I4737" t="str">
            <v>Bandar Judol Depo</v>
          </cell>
          <cell r="J4737">
            <v>50</v>
          </cell>
          <cell r="K4737" t="str">
            <v>86,74,87</v>
          </cell>
          <cell r="L4737" t="str">
            <v>Judi Online</v>
          </cell>
          <cell r="M4737" t="str">
            <v xml:space="preserve">Kas Kanpus                              </v>
          </cell>
          <cell r="N4737" t="str">
            <v xml:space="preserve">Kas Kanpus                              </v>
          </cell>
          <cell r="O4737" t="str">
            <v xml:space="preserve">KAS KANPUS                              </v>
          </cell>
          <cell r="P4737" t="str">
            <v>Tidak</v>
          </cell>
          <cell r="Q4737" t="str">
            <v>Ya</v>
          </cell>
          <cell r="R4737" t="str">
            <v>Done</v>
          </cell>
          <cell r="S4737" t="str">
            <v>Approved</v>
          </cell>
          <cell r="T4737" t="str">
            <v>90185537 - Moh.Khoerul Fajar Ar</v>
          </cell>
          <cell r="U4737" t="str">
            <v>"-"</v>
          </cell>
        </row>
        <row r="4738">
          <cell r="A4738">
            <v>46265</v>
          </cell>
          <cell r="B4738" t="str">
            <v xml:space="preserve">MUKHAMAD KETUT SUHARTO WICAKSONO        </v>
          </cell>
          <cell r="C4738" t="str">
            <v>MQW0756</v>
          </cell>
          <cell r="D4738">
            <v>60901000907561</v>
          </cell>
          <cell r="E4738" t="str">
            <v>SEDANG</v>
          </cell>
          <cell r="F4738" t="str">
            <v>Ya</v>
          </cell>
          <cell r="G4738" t="str">
            <v>Tidak</v>
          </cell>
          <cell r="H4738" t="str">
            <v>Tidak</v>
          </cell>
          <cell r="I4738" t="str">
            <v>Bandar Judol Depo</v>
          </cell>
          <cell r="J4738">
            <v>50</v>
          </cell>
          <cell r="K4738" t="str">
            <v>86,74,87</v>
          </cell>
          <cell r="L4738" t="str">
            <v>Judi Online</v>
          </cell>
          <cell r="M4738" t="str">
            <v xml:space="preserve">Kas Kanpus                              </v>
          </cell>
          <cell r="N4738" t="str">
            <v xml:space="preserve">Kas Kanpus                              </v>
          </cell>
          <cell r="O4738" t="str">
            <v xml:space="preserve">KAS KANPUS                              </v>
          </cell>
          <cell r="P4738" t="str">
            <v>Tidak</v>
          </cell>
          <cell r="Q4738" t="str">
            <v>Ya</v>
          </cell>
          <cell r="R4738" t="str">
            <v>Done</v>
          </cell>
          <cell r="S4738" t="str">
            <v>Approved</v>
          </cell>
          <cell r="T4738" t="str">
            <v>90171841 - Rifqi Aziz</v>
          </cell>
          <cell r="U4738" t="str">
            <v>"-"</v>
          </cell>
        </row>
        <row r="4739">
          <cell r="A4739">
            <v>46265</v>
          </cell>
          <cell r="B4739" t="str">
            <v xml:space="preserve">MUHAMMAD RIZKI                          </v>
          </cell>
          <cell r="C4739" t="str">
            <v>MPZU319</v>
          </cell>
          <cell r="D4739">
            <v>95801013472534</v>
          </cell>
          <cell r="E4739" t="str">
            <v>SEDANG</v>
          </cell>
          <cell r="F4739" t="str">
            <v>Tidak</v>
          </cell>
          <cell r="G4739" t="str">
            <v>Tidak</v>
          </cell>
          <cell r="H4739" t="str">
            <v>Tidak</v>
          </cell>
          <cell r="I4739" t="str">
            <v>Bandar Judol Withdrawal</v>
          </cell>
          <cell r="J4739">
            <v>50</v>
          </cell>
          <cell r="K4739" t="str">
            <v>86,88,87</v>
          </cell>
          <cell r="L4739" t="str">
            <v>Judi Online</v>
          </cell>
          <cell r="M4739" t="str">
            <v xml:space="preserve">Kas Kanpus                              </v>
          </cell>
          <cell r="N4739" t="str">
            <v xml:space="preserve">Kas Kanpus                              </v>
          </cell>
          <cell r="O4739" t="str">
            <v xml:space="preserve">KAS KANPUS                              </v>
          </cell>
          <cell r="P4739" t="str">
            <v>Ya</v>
          </cell>
          <cell r="Q4739" t="str">
            <v>Ya</v>
          </cell>
          <cell r="R4739" t="str">
            <v>Done</v>
          </cell>
          <cell r="S4739" t="str">
            <v>Approved</v>
          </cell>
          <cell r="T4739" t="str">
            <v>90170665 - Mutiara Ayuningtyas</v>
          </cell>
          <cell r="U4739" t="str">
            <v>"-"</v>
          </cell>
        </row>
        <row r="4740">
          <cell r="A4740">
            <v>46265</v>
          </cell>
          <cell r="B4740" t="str">
            <v xml:space="preserve">MOHAMAD FAUJI                           </v>
          </cell>
          <cell r="C4740" t="str">
            <v>MPHC115</v>
          </cell>
          <cell r="D4740">
            <v>98401008604505</v>
          </cell>
          <cell r="E4740" t="str">
            <v>SEDANG</v>
          </cell>
          <cell r="F4740" t="str">
            <v>Tidak</v>
          </cell>
          <cell r="G4740" t="str">
            <v>Tidak</v>
          </cell>
          <cell r="H4740" t="str">
            <v>Tidak</v>
          </cell>
          <cell r="I4740" t="str">
            <v>Bandar Judol Depo</v>
          </cell>
          <cell r="J4740">
            <v>50</v>
          </cell>
          <cell r="K4740" t="str">
            <v>86,74,87</v>
          </cell>
          <cell r="L4740" t="str">
            <v>Judi Online</v>
          </cell>
          <cell r="M4740" t="str">
            <v xml:space="preserve">Kas Kanpus                              </v>
          </cell>
          <cell r="N4740" t="str">
            <v xml:space="preserve">Kas Kanpus                              </v>
          </cell>
          <cell r="O4740" t="str">
            <v xml:space="preserve">KAS KANPUS                              </v>
          </cell>
          <cell r="P4740" t="str">
            <v>Ya</v>
          </cell>
          <cell r="Q4740" t="str">
            <v>Ya</v>
          </cell>
          <cell r="R4740" t="str">
            <v>Done</v>
          </cell>
          <cell r="S4740" t="str">
            <v>Approved</v>
          </cell>
          <cell r="T4740" t="str">
            <v>90186796 - Devito Arya Wiradila</v>
          </cell>
          <cell r="U4740" t="str">
            <v>"-"</v>
          </cell>
        </row>
        <row r="4741">
          <cell r="A4741">
            <v>46265</v>
          </cell>
          <cell r="B4741" t="str">
            <v xml:space="preserve">MARLINAH                                </v>
          </cell>
          <cell r="C4741" t="str">
            <v>MMUI512</v>
          </cell>
          <cell r="D4741">
            <v>41801026939507</v>
          </cell>
          <cell r="E4741" t="str">
            <v>SEDANG</v>
          </cell>
          <cell r="F4741" t="str">
            <v>Tidak</v>
          </cell>
          <cell r="G4741" t="str">
            <v>Tidak</v>
          </cell>
          <cell r="H4741" t="str">
            <v>Tidak</v>
          </cell>
          <cell r="I4741" t="str">
            <v>Bandar Judol Withdrawal</v>
          </cell>
          <cell r="J4741">
            <v>50</v>
          </cell>
          <cell r="K4741" t="str">
            <v>86,88,87</v>
          </cell>
          <cell r="L4741" t="str">
            <v>Judi Online</v>
          </cell>
          <cell r="M4741" t="str">
            <v xml:space="preserve">Kas Kanpus                              </v>
          </cell>
          <cell r="N4741" t="str">
            <v xml:space="preserve">Kas Kanpus                              </v>
          </cell>
          <cell r="O4741" t="str">
            <v xml:space="preserve">KAS KANPUS                              </v>
          </cell>
          <cell r="P4741" t="str">
            <v>Ya</v>
          </cell>
          <cell r="Q4741" t="str">
            <v>Ya</v>
          </cell>
          <cell r="R4741" t="str">
            <v>Done</v>
          </cell>
          <cell r="S4741" t="str">
            <v>Approved</v>
          </cell>
          <cell r="T4741" t="str">
            <v>90185537 - Moh.Khoerul Fajar Ar</v>
          </cell>
          <cell r="U4741" t="str">
            <v>"-"</v>
          </cell>
        </row>
        <row r="4742">
          <cell r="A4742">
            <v>46265</v>
          </cell>
          <cell r="B4742" t="str">
            <v xml:space="preserve">MUHAMMAD AFIF                           </v>
          </cell>
          <cell r="C4742" t="str">
            <v>MNC6641</v>
          </cell>
          <cell r="D4742">
            <v>2201028338500</v>
          </cell>
          <cell r="E4742" t="str">
            <v>TINGGI</v>
          </cell>
          <cell r="F4742" t="str">
            <v>Tidak</v>
          </cell>
          <cell r="G4742" t="str">
            <v>Tidak</v>
          </cell>
          <cell r="H4742" t="str">
            <v>Tidak</v>
          </cell>
          <cell r="I4742" t="str">
            <v>Terorisme - SIPENDAR</v>
          </cell>
          <cell r="J4742">
            <v>184</v>
          </cell>
          <cell r="K4742">
            <v>36</v>
          </cell>
          <cell r="L4742" t="str">
            <v>Terorisme</v>
          </cell>
          <cell r="M4742" t="str">
            <v xml:space="preserve">Kas Kanpus                              </v>
          </cell>
          <cell r="N4742" t="str">
            <v xml:space="preserve">Kas Kanpus                              </v>
          </cell>
          <cell r="O4742" t="str">
            <v xml:space="preserve">KAS KANPUS                              </v>
          </cell>
          <cell r="P4742" t="str">
            <v>Tidak</v>
          </cell>
          <cell r="Q4742" t="str">
            <v>Tidak</v>
          </cell>
          <cell r="R4742" t="str">
            <v>Done</v>
          </cell>
          <cell r="S4742" t="str">
            <v>Approved</v>
          </cell>
          <cell r="T4742" t="str">
            <v>90150130 - Intan Aida Pratiwi</v>
          </cell>
          <cell r="U4742" t="str">
            <v>"-"</v>
          </cell>
        </row>
        <row r="4743">
          <cell r="A4743">
            <v>46265</v>
          </cell>
          <cell r="B4743" t="str">
            <v xml:space="preserve">MUHAMMAD RIDHO                          </v>
          </cell>
          <cell r="C4743" t="str">
            <v>MODF348</v>
          </cell>
          <cell r="D4743">
            <v>39701059178504</v>
          </cell>
          <cell r="E4743" t="str">
            <v>SEDANG</v>
          </cell>
          <cell r="F4743" t="str">
            <v>Tidak</v>
          </cell>
          <cell r="G4743" t="str">
            <v>Tidak</v>
          </cell>
          <cell r="H4743" t="str">
            <v>Tidak</v>
          </cell>
          <cell r="I4743" t="str">
            <v>Bandar Judol Withdrawal</v>
          </cell>
          <cell r="J4743">
            <v>50</v>
          </cell>
          <cell r="K4743" t="str">
            <v>86,88,87</v>
          </cell>
          <cell r="L4743" t="str">
            <v>Judi Online</v>
          </cell>
          <cell r="M4743" t="str">
            <v xml:space="preserve">Kas Kanpus                              </v>
          </cell>
          <cell r="N4743" t="str">
            <v xml:space="preserve">Kas Kanpus                              </v>
          </cell>
          <cell r="O4743" t="str">
            <v xml:space="preserve">KAS KANPUS                              </v>
          </cell>
          <cell r="P4743" t="str">
            <v>Ya</v>
          </cell>
          <cell r="Q4743" t="str">
            <v>Ya</v>
          </cell>
          <cell r="R4743" t="str">
            <v>Done</v>
          </cell>
          <cell r="S4743" t="str">
            <v>Approved</v>
          </cell>
          <cell r="T4743" t="str">
            <v>90170665 - Mutiara Ayuningtyas</v>
          </cell>
          <cell r="U4743" t="str">
            <v>"-"</v>
          </cell>
        </row>
        <row r="4744">
          <cell r="A4744">
            <v>46265</v>
          </cell>
          <cell r="B4744" t="str">
            <v xml:space="preserve">MARNI DAHIBA                            </v>
          </cell>
          <cell r="C4744" t="str">
            <v>MULL236</v>
          </cell>
          <cell r="D4744">
            <v>27901013385537</v>
          </cell>
          <cell r="E4744" t="str">
            <v>SEDANG</v>
          </cell>
          <cell r="F4744" t="str">
            <v>Ya</v>
          </cell>
          <cell r="G4744" t="str">
            <v>Tidak</v>
          </cell>
          <cell r="H4744" t="str">
            <v>Tidak</v>
          </cell>
          <cell r="I4744" t="str">
            <v>Bandar Judol Depo</v>
          </cell>
          <cell r="J4744">
            <v>50</v>
          </cell>
          <cell r="K4744" t="str">
            <v>86,74,87</v>
          </cell>
          <cell r="L4744" t="str">
            <v>Judi Online</v>
          </cell>
          <cell r="M4744" t="str">
            <v xml:space="preserve">Kas Kanpus                              </v>
          </cell>
          <cell r="N4744" t="str">
            <v xml:space="preserve">Kas Kanpus                              </v>
          </cell>
          <cell r="O4744" t="str">
            <v xml:space="preserve">KAS KANPUS                              </v>
          </cell>
          <cell r="P4744" t="str">
            <v>Tidak</v>
          </cell>
          <cell r="Q4744" t="str">
            <v>Tidak</v>
          </cell>
          <cell r="R4744" t="str">
            <v>Done</v>
          </cell>
          <cell r="S4744" t="str">
            <v>Approved</v>
          </cell>
          <cell r="T4744" t="str">
            <v>90186790 - Muhammad Alfin Farha</v>
          </cell>
          <cell r="U4744" t="str">
            <v>"-"</v>
          </cell>
        </row>
        <row r="4745">
          <cell r="A4745">
            <v>46265</v>
          </cell>
          <cell r="B4745" t="str">
            <v xml:space="preserve">MAJU JAYA                               </v>
          </cell>
          <cell r="C4745" t="str">
            <v>MVJ4561</v>
          </cell>
          <cell r="D4745">
            <v>13101000646308</v>
          </cell>
          <cell r="E4745" t="str">
            <v>SEDANG</v>
          </cell>
          <cell r="F4745" t="str">
            <v>Tidak</v>
          </cell>
          <cell r="G4745" t="str">
            <v>Tidak</v>
          </cell>
          <cell r="H4745" t="str">
            <v>Tidak</v>
          </cell>
          <cell r="I4745" t="str">
            <v>Perpajakan</v>
          </cell>
          <cell r="J4745">
            <v>48</v>
          </cell>
          <cell r="K4745">
            <v>41</v>
          </cell>
          <cell r="L4745" t="str">
            <v>Perpajakan</v>
          </cell>
          <cell r="M4745" t="str">
            <v xml:space="preserve">KC Tanjung Pandan                       </v>
          </cell>
          <cell r="N4745" t="str">
            <v xml:space="preserve">KC Tanjung Pandan                       </v>
          </cell>
          <cell r="O4745" t="str">
            <v xml:space="preserve">Palembang                               </v>
          </cell>
          <cell r="P4745" t="str">
            <v>Tidak</v>
          </cell>
          <cell r="Q4745" t="str">
            <v>Ya</v>
          </cell>
          <cell r="R4745" t="str">
            <v>Done</v>
          </cell>
          <cell r="S4745" t="str">
            <v>Approved</v>
          </cell>
          <cell r="T4745" t="str">
            <v>00394521 - Muhammad Hibbanduta</v>
          </cell>
          <cell r="U4745" t="str">
            <v>"-"</v>
          </cell>
        </row>
        <row r="4746">
          <cell r="A4746">
            <v>46265</v>
          </cell>
          <cell r="B4746" t="str">
            <v xml:space="preserve">MARCIA SHELY CRISTIE KALANGIE           </v>
          </cell>
          <cell r="C4746" t="str">
            <v>MWEL269</v>
          </cell>
          <cell r="D4746">
            <v>43801041287509</v>
          </cell>
          <cell r="E4746" t="str">
            <v>SEDANG</v>
          </cell>
          <cell r="F4746" t="str">
            <v>Tidak</v>
          </cell>
          <cell r="G4746" t="str">
            <v>Tidak</v>
          </cell>
          <cell r="H4746" t="str">
            <v>Tidak</v>
          </cell>
          <cell r="I4746" t="str">
            <v>Bandar Judol Withdrawal</v>
          </cell>
          <cell r="J4746">
            <v>50</v>
          </cell>
          <cell r="K4746" t="str">
            <v>86,88,87</v>
          </cell>
          <cell r="L4746" t="str">
            <v>Judi Online</v>
          </cell>
          <cell r="M4746" t="str">
            <v xml:space="preserve">Kas Kanpus                              </v>
          </cell>
          <cell r="N4746" t="str">
            <v xml:space="preserve">Kas Kanpus                              </v>
          </cell>
          <cell r="O4746" t="str">
            <v xml:space="preserve">KAS KANPUS                              </v>
          </cell>
          <cell r="P4746" t="str">
            <v>Ya</v>
          </cell>
          <cell r="Q4746" t="str">
            <v>Tidak</v>
          </cell>
          <cell r="R4746" t="str">
            <v>Done</v>
          </cell>
          <cell r="S4746" t="str">
            <v>Approved</v>
          </cell>
          <cell r="T4746" t="str">
            <v>00394521 - Muhammad Hibbanduta</v>
          </cell>
          <cell r="U4746" t="str">
            <v>"-"</v>
          </cell>
        </row>
        <row r="4747">
          <cell r="A4747">
            <v>46265</v>
          </cell>
          <cell r="B4747" t="str">
            <v xml:space="preserve">MARYADI                                 </v>
          </cell>
          <cell r="C4747" t="str">
            <v>MVUW470</v>
          </cell>
          <cell r="D4747">
            <v>5901003838564</v>
          </cell>
          <cell r="E4747" t="str">
            <v>SEDANG</v>
          </cell>
          <cell r="F4747" t="str">
            <v>Tidak</v>
          </cell>
          <cell r="G4747" t="str">
            <v>Tidak</v>
          </cell>
          <cell r="H4747" t="str">
            <v>Tidak</v>
          </cell>
          <cell r="I4747" t="str">
            <v>Bandar Judol Depo</v>
          </cell>
          <cell r="J4747">
            <v>50</v>
          </cell>
          <cell r="K4747" t="str">
            <v>86,74,87</v>
          </cell>
          <cell r="L4747" t="str">
            <v>Judi Online</v>
          </cell>
          <cell r="M4747" t="str">
            <v xml:space="preserve">Kas Kanpus                              </v>
          </cell>
          <cell r="N4747" t="str">
            <v xml:space="preserve">Kas Kanpus                              </v>
          </cell>
          <cell r="O4747" t="str">
            <v xml:space="preserve">KAS KANPUS                              </v>
          </cell>
          <cell r="P4747" t="str">
            <v>Ya</v>
          </cell>
          <cell r="Q4747" t="str">
            <v>Tidak</v>
          </cell>
          <cell r="R4747" t="str">
            <v>Done</v>
          </cell>
          <cell r="S4747" t="str">
            <v>Approved</v>
          </cell>
          <cell r="T4747" t="str">
            <v>90185537 - Moh.Khoerul Fajar Ar</v>
          </cell>
          <cell r="U4747" t="str">
            <v>"-"</v>
          </cell>
        </row>
        <row r="4748">
          <cell r="A4748">
            <v>46265</v>
          </cell>
          <cell r="B4748" t="str">
            <v xml:space="preserve">MELATI ANGGRAINI                        </v>
          </cell>
          <cell r="C4748" t="str">
            <v>MXFM298</v>
          </cell>
          <cell r="D4748">
            <v>324101039445535</v>
          </cell>
          <cell r="E4748" t="str">
            <v>SEDANG</v>
          </cell>
          <cell r="F4748" t="str">
            <v>Tidak</v>
          </cell>
          <cell r="G4748" t="str">
            <v>Tidak</v>
          </cell>
          <cell r="H4748" t="str">
            <v>Tidak</v>
          </cell>
          <cell r="I4748" t="str">
            <v>Bandar Judol Withdrawal</v>
          </cell>
          <cell r="J4748">
            <v>50</v>
          </cell>
          <cell r="K4748" t="str">
            <v>86,88,87</v>
          </cell>
          <cell r="L4748" t="str">
            <v>Judi Online</v>
          </cell>
          <cell r="M4748" t="str">
            <v xml:space="preserve">Kas Kanpus                              </v>
          </cell>
          <cell r="N4748" t="str">
            <v xml:space="preserve">Kas Kanpus                              </v>
          </cell>
          <cell r="O4748" t="str">
            <v xml:space="preserve">KAS KANPUS                              </v>
          </cell>
          <cell r="P4748" t="str">
            <v>Ya</v>
          </cell>
          <cell r="Q4748" t="str">
            <v>Ya</v>
          </cell>
          <cell r="R4748" t="str">
            <v>Done</v>
          </cell>
          <cell r="S4748" t="str">
            <v>Approved</v>
          </cell>
          <cell r="T4748" t="str">
            <v>90150130 - Intan Aida Pratiwi</v>
          </cell>
          <cell r="U4748" t="str">
            <v>"-"</v>
          </cell>
        </row>
        <row r="4749">
          <cell r="A4749">
            <v>46265</v>
          </cell>
          <cell r="B4749" t="str">
            <v xml:space="preserve">MUHAMMAD RIZKY ADITYA SUDIANA           </v>
          </cell>
          <cell r="C4749" t="str">
            <v>MXML993</v>
          </cell>
          <cell r="D4749">
            <v>78101005193507</v>
          </cell>
          <cell r="E4749" t="str">
            <v>SEDANG</v>
          </cell>
          <cell r="F4749" t="str">
            <v>Tidak</v>
          </cell>
          <cell r="G4749" t="str">
            <v>Tidak</v>
          </cell>
          <cell r="H4749" t="str">
            <v>Tidak</v>
          </cell>
          <cell r="I4749" t="str">
            <v>Bandar Judol Withdrawal</v>
          </cell>
          <cell r="J4749">
            <v>50</v>
          </cell>
          <cell r="K4749" t="str">
            <v>86,88,87</v>
          </cell>
          <cell r="L4749" t="str">
            <v>Judi Online</v>
          </cell>
          <cell r="M4749" t="str">
            <v xml:space="preserve">Kas Kanpus                              </v>
          </cell>
          <cell r="N4749" t="str">
            <v xml:space="preserve">Kas Kanpus                              </v>
          </cell>
          <cell r="O4749" t="str">
            <v xml:space="preserve">KAS KANPUS                              </v>
          </cell>
          <cell r="P4749" t="str">
            <v>Ya</v>
          </cell>
          <cell r="Q4749" t="str">
            <v>Ya</v>
          </cell>
          <cell r="R4749" t="str">
            <v>Done</v>
          </cell>
          <cell r="S4749" t="str">
            <v>Approved</v>
          </cell>
          <cell r="T4749" t="str">
            <v>90186790 - Muhammad Alfin Farha</v>
          </cell>
          <cell r="U4749" t="str">
            <v>"-"</v>
          </cell>
        </row>
        <row r="4750">
          <cell r="A4750">
            <v>46265</v>
          </cell>
          <cell r="B4750" t="str">
            <v xml:space="preserve">MURNI NINGSIH                           </v>
          </cell>
          <cell r="C4750" t="str">
            <v>MXPU981</v>
          </cell>
          <cell r="D4750">
            <v>33801062605504</v>
          </cell>
          <cell r="E4750" t="str">
            <v>SEDANG</v>
          </cell>
          <cell r="F4750" t="str">
            <v>Tidak</v>
          </cell>
          <cell r="G4750" t="str">
            <v>Tidak</v>
          </cell>
          <cell r="H4750" t="str">
            <v>Tidak</v>
          </cell>
          <cell r="I4750" t="str">
            <v>Bandar Judol Depo</v>
          </cell>
          <cell r="J4750">
            <v>50</v>
          </cell>
          <cell r="K4750" t="str">
            <v>86,74,87</v>
          </cell>
          <cell r="L4750" t="str">
            <v>Judi Online</v>
          </cell>
          <cell r="M4750" t="str">
            <v xml:space="preserve">Kas Kanpus                              </v>
          </cell>
          <cell r="N4750" t="str">
            <v xml:space="preserve">Kas Kanpus                              </v>
          </cell>
          <cell r="O4750" t="str">
            <v xml:space="preserve">KAS KANPUS                              </v>
          </cell>
          <cell r="P4750" t="str">
            <v>Ya</v>
          </cell>
          <cell r="Q4750" t="str">
            <v>Ya</v>
          </cell>
          <cell r="R4750" t="str">
            <v>Done</v>
          </cell>
          <cell r="S4750" t="str">
            <v>Approved</v>
          </cell>
          <cell r="T4750" t="str">
            <v>90185537 - Moh.Khoerul Fajar Ar</v>
          </cell>
          <cell r="U4750" t="str">
            <v>"-"</v>
          </cell>
        </row>
        <row r="4751">
          <cell r="A4751">
            <v>46265</v>
          </cell>
          <cell r="B4751" t="str">
            <v xml:space="preserve">MUHAMMAD AMIN MUDE                      </v>
          </cell>
          <cell r="C4751" t="str">
            <v>MXDZ354</v>
          </cell>
          <cell r="D4751">
            <v>11501002592563</v>
          </cell>
          <cell r="E4751" t="str">
            <v>TINGGI</v>
          </cell>
          <cell r="F4751" t="str">
            <v>Tidak</v>
          </cell>
          <cell r="G4751" t="str">
            <v>Tidak</v>
          </cell>
          <cell r="H4751" t="str">
            <v>Tidak</v>
          </cell>
          <cell r="I4751" t="str">
            <v>Terorisme - SIPENDAR</v>
          </cell>
          <cell r="J4751">
            <v>195</v>
          </cell>
          <cell r="K4751">
            <v>36</v>
          </cell>
          <cell r="L4751" t="str">
            <v>Terorisme</v>
          </cell>
          <cell r="M4751" t="str">
            <v xml:space="preserve">Kas Kanpus                              </v>
          </cell>
          <cell r="N4751" t="str">
            <v xml:space="preserve">Kas Kanpus                              </v>
          </cell>
          <cell r="O4751" t="str">
            <v xml:space="preserve">KAS KANPUS                              </v>
          </cell>
          <cell r="P4751" t="str">
            <v>Tidak</v>
          </cell>
          <cell r="Q4751" t="str">
            <v>Ya</v>
          </cell>
          <cell r="R4751" t="str">
            <v>Done</v>
          </cell>
          <cell r="S4751" t="str">
            <v>Approved</v>
          </cell>
          <cell r="T4751" t="str">
            <v>90171841 - Rifqi Aziz</v>
          </cell>
          <cell r="U4751" t="str">
            <v>"-"</v>
          </cell>
        </row>
        <row r="4752">
          <cell r="A4752">
            <v>46265</v>
          </cell>
          <cell r="B4752" t="str">
            <v xml:space="preserve">M FIRDAUS                               </v>
          </cell>
          <cell r="C4752" t="str">
            <v>MXCB973</v>
          </cell>
          <cell r="D4752">
            <v>40401042217502</v>
          </cell>
          <cell r="E4752" t="str">
            <v>SEDANG</v>
          </cell>
          <cell r="F4752" t="str">
            <v>Tidak</v>
          </cell>
          <cell r="G4752" t="str">
            <v>Tidak</v>
          </cell>
          <cell r="H4752" t="str">
            <v>Tidak</v>
          </cell>
          <cell r="I4752" t="str">
            <v>Bandar Judol Withdrawal</v>
          </cell>
          <cell r="J4752">
            <v>50</v>
          </cell>
          <cell r="K4752" t="str">
            <v>86,88,87</v>
          </cell>
          <cell r="L4752" t="str">
            <v>Judi Online</v>
          </cell>
          <cell r="M4752" t="str">
            <v xml:space="preserve">Kas Kanpus                              </v>
          </cell>
          <cell r="N4752" t="str">
            <v xml:space="preserve">Kas Kanpus                              </v>
          </cell>
          <cell r="O4752" t="str">
            <v xml:space="preserve">KAS KANPUS                              </v>
          </cell>
          <cell r="P4752" t="str">
            <v>Ya</v>
          </cell>
          <cell r="Q4752" t="str">
            <v>Ya</v>
          </cell>
          <cell r="R4752" t="str">
            <v>Done</v>
          </cell>
          <cell r="S4752" t="str">
            <v>Approved</v>
          </cell>
          <cell r="T4752" t="str">
            <v>00336949 - Mochammad Al Farabi</v>
          </cell>
          <cell r="U4752" t="str">
            <v>"-"</v>
          </cell>
        </row>
        <row r="4753">
          <cell r="A4753">
            <v>46265</v>
          </cell>
          <cell r="B4753" t="str">
            <v xml:space="preserve">MUHAMMAD AZWARI                         </v>
          </cell>
          <cell r="C4753" t="str">
            <v>MWSV230</v>
          </cell>
          <cell r="D4753">
            <v>109201000508307</v>
          </cell>
          <cell r="E4753" t="str">
            <v>TINGGI</v>
          </cell>
          <cell r="F4753" t="str">
            <v>Tidak</v>
          </cell>
          <cell r="G4753" t="str">
            <v>Tidak</v>
          </cell>
          <cell r="H4753" t="str">
            <v>Tidak</v>
          </cell>
          <cell r="I4753" t="str">
            <v>Bandar Judol Depo</v>
          </cell>
          <cell r="J4753">
            <v>65</v>
          </cell>
          <cell r="K4753" t="str">
            <v>86,74,87</v>
          </cell>
          <cell r="L4753" t="str">
            <v>Judi Online</v>
          </cell>
          <cell r="M4753" t="str">
            <v xml:space="preserve">Kas Kanpus                              </v>
          </cell>
          <cell r="N4753" t="str">
            <v xml:space="preserve">Kas Kanpus                              </v>
          </cell>
          <cell r="O4753" t="str">
            <v xml:space="preserve">KAS KANPUS                              </v>
          </cell>
          <cell r="P4753" t="str">
            <v>Ya</v>
          </cell>
          <cell r="Q4753" t="str">
            <v>Ya</v>
          </cell>
          <cell r="R4753" t="str">
            <v>Done</v>
          </cell>
          <cell r="S4753" t="str">
            <v>Approved</v>
          </cell>
          <cell r="T4753" t="str">
            <v>00394521 - Muhammad Hibbanduta</v>
          </cell>
          <cell r="U4753" t="str">
            <v>"-"</v>
          </cell>
        </row>
        <row r="4754">
          <cell r="A4754">
            <v>46265</v>
          </cell>
          <cell r="B4754" t="str">
            <v xml:space="preserve">MUHAMMAD HARTONO                        </v>
          </cell>
          <cell r="C4754" t="str">
            <v>MZAW431</v>
          </cell>
          <cell r="D4754">
            <v>109401017782500</v>
          </cell>
          <cell r="E4754" t="str">
            <v>SEDANG</v>
          </cell>
          <cell r="F4754" t="str">
            <v>Tidak</v>
          </cell>
          <cell r="G4754" t="str">
            <v>Tidak</v>
          </cell>
          <cell r="H4754" t="str">
            <v>Ya</v>
          </cell>
          <cell r="I4754" t="str">
            <v>Bandar Judol Withdrawal</v>
          </cell>
          <cell r="J4754">
            <v>50</v>
          </cell>
          <cell r="K4754" t="str">
            <v>86,88,87</v>
          </cell>
          <cell r="L4754" t="str">
            <v>Judi Online</v>
          </cell>
          <cell r="M4754" t="str">
            <v xml:space="preserve">Kas Kanpus                              </v>
          </cell>
          <cell r="N4754" t="str">
            <v xml:space="preserve">Kas Kanpus                              </v>
          </cell>
          <cell r="O4754" t="str">
            <v xml:space="preserve">KAS KANPUS                              </v>
          </cell>
          <cell r="P4754" t="str">
            <v>Ya</v>
          </cell>
          <cell r="Q4754" t="str">
            <v>Ya</v>
          </cell>
          <cell r="R4754" t="str">
            <v>Done</v>
          </cell>
          <cell r="S4754" t="str">
            <v>Approved</v>
          </cell>
          <cell r="T4754" t="str">
            <v>90185537 - Moh.Khoerul Fajar Ar</v>
          </cell>
          <cell r="U4754" t="str">
            <v>"-"</v>
          </cell>
        </row>
        <row r="4755">
          <cell r="A4755">
            <v>46265</v>
          </cell>
          <cell r="B4755" t="str">
            <v xml:space="preserve">MUHAMMAD RIDWAN                         </v>
          </cell>
          <cell r="C4755" t="str">
            <v>MZBY140</v>
          </cell>
          <cell r="D4755">
            <v>83601004329506</v>
          </cell>
          <cell r="E4755" t="str">
            <v>SEDANG</v>
          </cell>
          <cell r="F4755" t="str">
            <v>Tidak</v>
          </cell>
          <cell r="G4755" t="str">
            <v>Tidak</v>
          </cell>
          <cell r="H4755" t="str">
            <v>Tidak</v>
          </cell>
          <cell r="I4755" t="str">
            <v>Bandar Judol Withdrawal</v>
          </cell>
          <cell r="J4755">
            <v>50</v>
          </cell>
          <cell r="K4755" t="str">
            <v>86,88,87</v>
          </cell>
          <cell r="L4755" t="str">
            <v>Judi Online</v>
          </cell>
          <cell r="M4755" t="str">
            <v xml:space="preserve">Kas Kanpus                              </v>
          </cell>
          <cell r="N4755" t="str">
            <v xml:space="preserve">Kas Kanpus                              </v>
          </cell>
          <cell r="O4755" t="str">
            <v xml:space="preserve">KAS KANPUS                              </v>
          </cell>
          <cell r="P4755" t="str">
            <v>Tidak</v>
          </cell>
          <cell r="Q4755" t="str">
            <v>Ya</v>
          </cell>
          <cell r="R4755" t="str">
            <v>Done</v>
          </cell>
          <cell r="S4755" t="str">
            <v>Approved</v>
          </cell>
          <cell r="T4755" t="str">
            <v>00336949 - Mochammad Al Farabi</v>
          </cell>
          <cell r="U4755" t="str">
            <v>"-"</v>
          </cell>
        </row>
        <row r="4756">
          <cell r="A4756">
            <v>46265</v>
          </cell>
          <cell r="B4756" t="str">
            <v xml:space="preserve">RA. NURANIYAH, SH                       </v>
          </cell>
          <cell r="C4756" t="str">
            <v>N129313</v>
          </cell>
          <cell r="D4756">
            <v>5326590001929280</v>
          </cell>
          <cell r="F4756" t="str">
            <v>Tidak</v>
          </cell>
          <cell r="G4756" t="str">
            <v>Ya</v>
          </cell>
          <cell r="H4756" t="str">
            <v>Tidak</v>
          </cell>
          <cell r="I4756" t="str">
            <v>Private or Priority Customer Investment</v>
          </cell>
          <cell r="J4756">
            <v>60</v>
          </cell>
          <cell r="K4756">
            <v>93</v>
          </cell>
          <cell r="L4756" t="str">
            <v>Pasar Modal</v>
          </cell>
          <cell r="M4756" t="str">
            <v xml:space="preserve">Jkt KCK                                 </v>
          </cell>
          <cell r="N4756" t="str">
            <v xml:space="preserve">Jkt KCK                                 </v>
          </cell>
          <cell r="O4756" t="str">
            <v xml:space="preserve">DKI                                     </v>
          </cell>
          <cell r="P4756" t="str">
            <v>Tidak</v>
          </cell>
          <cell r="Q4756" t="str">
            <v>Tidak</v>
          </cell>
          <cell r="R4756" t="str">
            <v>Done</v>
          </cell>
          <cell r="S4756" t="str">
            <v>Approved</v>
          </cell>
          <cell r="T4756" t="str">
            <v>90185537 - Moh.Khoerul Fajar Ar</v>
          </cell>
          <cell r="U4756" t="str">
            <v>"-"</v>
          </cell>
        </row>
        <row r="4757">
          <cell r="A4757">
            <v>46265</v>
          </cell>
          <cell r="B4757" t="str">
            <v xml:space="preserve">NURMAH                                  </v>
          </cell>
          <cell r="C4757" t="str">
            <v>NBYZ731</v>
          </cell>
          <cell r="D4757">
            <v>379601006921509</v>
          </cell>
          <cell r="E4757" t="str">
            <v>SEDANG</v>
          </cell>
          <cell r="F4757" t="str">
            <v>Tidak</v>
          </cell>
          <cell r="G4757" t="str">
            <v>Tidak</v>
          </cell>
          <cell r="H4757" t="str">
            <v>Tidak</v>
          </cell>
          <cell r="I4757" t="str">
            <v>Bandar Judol Withdrawal</v>
          </cell>
          <cell r="J4757">
            <v>50</v>
          </cell>
          <cell r="K4757" t="str">
            <v>86,88,87</v>
          </cell>
          <cell r="L4757" t="str">
            <v>Judi Online</v>
          </cell>
          <cell r="M4757" t="str">
            <v xml:space="preserve">Kas Kanpus                              </v>
          </cell>
          <cell r="N4757" t="str">
            <v xml:space="preserve">Kas Kanpus                              </v>
          </cell>
          <cell r="O4757" t="str">
            <v xml:space="preserve">KAS KANPUS                              </v>
          </cell>
          <cell r="P4757" t="str">
            <v>Ya</v>
          </cell>
          <cell r="Q4757" t="str">
            <v>Ya</v>
          </cell>
          <cell r="R4757" t="str">
            <v>Done</v>
          </cell>
          <cell r="S4757" t="str">
            <v>Approved</v>
          </cell>
          <cell r="T4757" t="str">
            <v>00336949 - Mochammad Al Farabi</v>
          </cell>
          <cell r="U4757" t="str">
            <v>"-"</v>
          </cell>
        </row>
        <row r="4758">
          <cell r="A4758">
            <v>46265</v>
          </cell>
          <cell r="B4758" t="str">
            <v xml:space="preserve">NURJANNAH                               </v>
          </cell>
          <cell r="C4758" t="str">
            <v>NAE1203</v>
          </cell>
          <cell r="D4758">
            <v>19201134272502</v>
          </cell>
          <cell r="E4758" t="str">
            <v>SEDANG</v>
          </cell>
          <cell r="F4758" t="str">
            <v>Tidak</v>
          </cell>
          <cell r="G4758" t="str">
            <v>Tidak</v>
          </cell>
          <cell r="H4758" t="str">
            <v>Tidak</v>
          </cell>
          <cell r="I4758" t="str">
            <v>Narkotika - Area Lapas</v>
          </cell>
          <cell r="J4758">
            <v>48</v>
          </cell>
          <cell r="K4758">
            <v>48</v>
          </cell>
          <cell r="L4758" t="str">
            <v>Narkotika</v>
          </cell>
          <cell r="M4758" t="str">
            <v>KC Kendari Samratulangi</v>
          </cell>
          <cell r="N4758" t="str">
            <v>KC Kendari Samratulangi</v>
          </cell>
          <cell r="O4758" t="str">
            <v>Makassar</v>
          </cell>
          <cell r="P4758" t="str">
            <v>Tidak</v>
          </cell>
          <cell r="Q4758" t="str">
            <v>Tidak</v>
          </cell>
          <cell r="R4758" t="str">
            <v>Done</v>
          </cell>
          <cell r="S4758" t="str">
            <v>Approved</v>
          </cell>
          <cell r="T4758" t="str">
            <v>90186790 - Muhammad Alfin Farha</v>
          </cell>
          <cell r="U4758" t="str">
            <v>"-"</v>
          </cell>
        </row>
        <row r="4759">
          <cell r="A4759">
            <v>46265</v>
          </cell>
          <cell r="B4759" t="str">
            <v xml:space="preserve">NISA YANI                               </v>
          </cell>
          <cell r="C4759" t="str">
            <v>NAGR037</v>
          </cell>
          <cell r="D4759">
            <v>36701004471568</v>
          </cell>
          <cell r="E4759" t="str">
            <v>RENDAH</v>
          </cell>
          <cell r="F4759" t="str">
            <v>Tidak</v>
          </cell>
          <cell r="G4759" t="str">
            <v>Tidak</v>
          </cell>
          <cell r="H4759" t="str">
            <v>Tidak</v>
          </cell>
          <cell r="I4759" t="str">
            <v>Judi Online</v>
          </cell>
          <cell r="J4759">
            <v>35</v>
          </cell>
          <cell r="K4759" t="str">
            <v>73,76,34,74,6</v>
          </cell>
          <cell r="L4759" t="str">
            <v>Judi Online</v>
          </cell>
          <cell r="M4759" t="str">
            <v xml:space="preserve">Kas Kanpus                              </v>
          </cell>
          <cell r="N4759" t="str">
            <v xml:space="preserve">Kas Kanpus                              </v>
          </cell>
          <cell r="O4759" t="str">
            <v xml:space="preserve">KAS KANPUS                              </v>
          </cell>
          <cell r="P4759" t="str">
            <v>Ya</v>
          </cell>
          <cell r="Q4759" t="str">
            <v>Ya</v>
          </cell>
          <cell r="R4759" t="str">
            <v>Done</v>
          </cell>
          <cell r="S4759" t="str">
            <v>Approved</v>
          </cell>
          <cell r="T4759" t="str">
            <v>90185538 - Muhammad Fahikal Auz</v>
          </cell>
          <cell r="U4759" t="str">
            <v>"-"</v>
          </cell>
        </row>
        <row r="4760">
          <cell r="A4760">
            <v>46265</v>
          </cell>
          <cell r="B4760" t="str">
            <v xml:space="preserve">NISA YANI                               </v>
          </cell>
          <cell r="C4760" t="str">
            <v>NAGR037</v>
          </cell>
          <cell r="D4760">
            <v>36701004471568</v>
          </cell>
          <cell r="E4760" t="str">
            <v>RENDAH</v>
          </cell>
          <cell r="F4760" t="str">
            <v>Tidak</v>
          </cell>
          <cell r="G4760" t="str">
            <v>Tidak</v>
          </cell>
          <cell r="H4760" t="str">
            <v>Tidak</v>
          </cell>
          <cell r="I4760" t="str">
            <v>Bandar Judol Depo</v>
          </cell>
          <cell r="J4760">
            <v>35</v>
          </cell>
          <cell r="K4760" t="str">
            <v>86,74,87</v>
          </cell>
          <cell r="L4760" t="str">
            <v>Judi Online</v>
          </cell>
          <cell r="M4760" t="str">
            <v xml:space="preserve">Kas Kanpus                              </v>
          </cell>
          <cell r="N4760" t="str">
            <v xml:space="preserve">Kas Kanpus                              </v>
          </cell>
          <cell r="O4760" t="str">
            <v xml:space="preserve">KAS KANPUS                              </v>
          </cell>
          <cell r="P4760" t="str">
            <v>Ya</v>
          </cell>
          <cell r="Q4760" t="str">
            <v>Ya</v>
          </cell>
          <cell r="R4760" t="str">
            <v>Done</v>
          </cell>
          <cell r="S4760" t="str">
            <v>Approved</v>
          </cell>
          <cell r="T4760" t="str">
            <v>90185537 - Moh.Khoerul Fajar Ar</v>
          </cell>
          <cell r="U4760" t="str">
            <v>"-"</v>
          </cell>
        </row>
        <row r="4761">
          <cell r="A4761">
            <v>46265</v>
          </cell>
          <cell r="B4761" t="str">
            <v xml:space="preserve">MOCHAMAD SUTIADINATA                    </v>
          </cell>
          <cell r="C4761" t="str">
            <v>MYPT100</v>
          </cell>
          <cell r="D4761">
            <v>53801002317565</v>
          </cell>
          <cell r="E4761" t="str">
            <v>SEDANG</v>
          </cell>
          <cell r="F4761" t="str">
            <v>Tidak</v>
          </cell>
          <cell r="G4761" t="str">
            <v>Tidak</v>
          </cell>
          <cell r="H4761" t="str">
            <v>Tidak</v>
          </cell>
          <cell r="I4761" t="str">
            <v>Bandar Judol Depo</v>
          </cell>
          <cell r="J4761">
            <v>50</v>
          </cell>
          <cell r="K4761" t="str">
            <v>86,74,87</v>
          </cell>
          <cell r="L4761" t="str">
            <v>Judi Online</v>
          </cell>
          <cell r="M4761" t="str">
            <v xml:space="preserve">Kas Kanpus                              </v>
          </cell>
          <cell r="N4761" t="str">
            <v xml:space="preserve">Kas Kanpus                              </v>
          </cell>
          <cell r="O4761" t="str">
            <v xml:space="preserve">KAS KANPUS                              </v>
          </cell>
          <cell r="P4761" t="str">
            <v>Ya</v>
          </cell>
          <cell r="Q4761" t="str">
            <v>Ya</v>
          </cell>
          <cell r="R4761" t="str">
            <v>Done</v>
          </cell>
          <cell r="S4761" t="str">
            <v>Approved</v>
          </cell>
          <cell r="T4761" t="str">
            <v>90150130 - Intan Aida Pratiwi</v>
          </cell>
          <cell r="U4761" t="str">
            <v>"-"</v>
          </cell>
        </row>
        <row r="4762">
          <cell r="A4762">
            <v>46265</v>
          </cell>
          <cell r="B4762" t="str">
            <v xml:space="preserve">MALVIN NEO                              </v>
          </cell>
          <cell r="C4762" t="str">
            <v>MZGV373</v>
          </cell>
          <cell r="D4762">
            <v>63301002219561</v>
          </cell>
          <cell r="E4762" t="str">
            <v>SEDANG</v>
          </cell>
          <cell r="F4762" t="str">
            <v>Tidak</v>
          </cell>
          <cell r="G4762" t="str">
            <v>Tidak</v>
          </cell>
          <cell r="H4762" t="str">
            <v>Tidak</v>
          </cell>
          <cell r="I4762" t="str">
            <v>Bandar Judol Withdrawal</v>
          </cell>
          <cell r="J4762">
            <v>50</v>
          </cell>
          <cell r="K4762" t="str">
            <v>86,88,87</v>
          </cell>
          <cell r="L4762" t="str">
            <v>Judi Online</v>
          </cell>
          <cell r="M4762" t="str">
            <v xml:space="preserve">Kas Kanpus                              </v>
          </cell>
          <cell r="N4762" t="str">
            <v xml:space="preserve">Kas Kanpus                              </v>
          </cell>
          <cell r="O4762" t="str">
            <v xml:space="preserve">KAS KANPUS                              </v>
          </cell>
          <cell r="P4762" t="str">
            <v>Ya</v>
          </cell>
          <cell r="Q4762" t="str">
            <v>Ya</v>
          </cell>
          <cell r="R4762" t="str">
            <v>Done</v>
          </cell>
          <cell r="S4762" t="str">
            <v>Approved</v>
          </cell>
          <cell r="T4762" t="str">
            <v>00394520 - Frida Akbar Rani</v>
          </cell>
          <cell r="U4762" t="str">
            <v>"-"</v>
          </cell>
        </row>
        <row r="4763">
          <cell r="A4763">
            <v>46265</v>
          </cell>
          <cell r="B4763" t="str">
            <v xml:space="preserve">MUHAMMAD DIMAS                          </v>
          </cell>
          <cell r="C4763" t="str">
            <v>MZHR805</v>
          </cell>
          <cell r="D4763">
            <v>530601039974534</v>
          </cell>
          <cell r="E4763" t="str">
            <v>SEDANG</v>
          </cell>
          <cell r="F4763" t="str">
            <v>Tidak</v>
          </cell>
          <cell r="G4763" t="str">
            <v>Tidak</v>
          </cell>
          <cell r="H4763" t="str">
            <v>Ya</v>
          </cell>
          <cell r="I4763" t="str">
            <v>Bandar Judol Withdrawal</v>
          </cell>
          <cell r="J4763">
            <v>50</v>
          </cell>
          <cell r="K4763" t="str">
            <v>86,88,87</v>
          </cell>
          <cell r="L4763" t="str">
            <v>Judi Online</v>
          </cell>
          <cell r="M4763" t="str">
            <v xml:space="preserve">Kas Kanpus                              </v>
          </cell>
          <cell r="N4763" t="str">
            <v xml:space="preserve">Kas Kanpus                              </v>
          </cell>
          <cell r="O4763" t="str">
            <v xml:space="preserve">KAS KANPUS                              </v>
          </cell>
          <cell r="P4763" t="str">
            <v>Ya</v>
          </cell>
          <cell r="Q4763" t="str">
            <v>Ya</v>
          </cell>
          <cell r="R4763" t="str">
            <v>Done</v>
          </cell>
          <cell r="S4763" t="str">
            <v>Approved</v>
          </cell>
          <cell r="T4763" t="str">
            <v>90186790 - Muhammad Alfin Farha</v>
          </cell>
          <cell r="U4763" t="str">
            <v>"-"</v>
          </cell>
        </row>
        <row r="4764">
          <cell r="A4764">
            <v>46265</v>
          </cell>
          <cell r="B4764" t="str">
            <v xml:space="preserve">MUHIBURRAHMAN                           </v>
          </cell>
          <cell r="C4764" t="str">
            <v>MZLU936</v>
          </cell>
          <cell r="D4764">
            <v>63501000553569</v>
          </cell>
          <cell r="E4764" t="str">
            <v>TINGGI</v>
          </cell>
          <cell r="F4764" t="str">
            <v>Tidak</v>
          </cell>
          <cell r="G4764" t="str">
            <v>Tidak</v>
          </cell>
          <cell r="H4764" t="str">
            <v>Tidak</v>
          </cell>
          <cell r="I4764" t="str">
            <v>Bandar Judol Withdrawal</v>
          </cell>
          <cell r="J4764">
            <v>65</v>
          </cell>
          <cell r="K4764" t="str">
            <v>86,88,87</v>
          </cell>
          <cell r="L4764" t="str">
            <v>Judi Online</v>
          </cell>
          <cell r="M4764" t="str">
            <v xml:space="preserve">Kas Kanpus                              </v>
          </cell>
          <cell r="N4764" t="str">
            <v xml:space="preserve">Kas Kanpus                              </v>
          </cell>
          <cell r="O4764" t="str">
            <v xml:space="preserve">KAS KANPUS                              </v>
          </cell>
          <cell r="P4764" t="str">
            <v>Ya</v>
          </cell>
          <cell r="Q4764" t="str">
            <v>Ya</v>
          </cell>
          <cell r="R4764" t="str">
            <v>Done</v>
          </cell>
          <cell r="S4764" t="str">
            <v>Approved</v>
          </cell>
          <cell r="T4764" t="str">
            <v>90185538 - Muhammad Fahikal Auz</v>
          </cell>
          <cell r="U4764" t="str">
            <v>"-"</v>
          </cell>
        </row>
        <row r="4765">
          <cell r="A4765">
            <v>46265</v>
          </cell>
          <cell r="B4765" t="str">
            <v xml:space="preserve">MERI SUSANNA BR SITEPU                  </v>
          </cell>
          <cell r="C4765" t="str">
            <v>MYF7918</v>
          </cell>
          <cell r="D4765">
            <v>108401008473501</v>
          </cell>
          <cell r="E4765" t="str">
            <v>TINGGI</v>
          </cell>
          <cell r="F4765" t="str">
            <v>Tidak</v>
          </cell>
          <cell r="G4765" t="str">
            <v>Tidak</v>
          </cell>
          <cell r="H4765" t="str">
            <v>Tidak</v>
          </cell>
          <cell r="I4765" t="str">
            <v>Terorisme - SIPENDAR</v>
          </cell>
          <cell r="J4765">
            <v>184</v>
          </cell>
          <cell r="K4765">
            <v>36</v>
          </cell>
          <cell r="L4765" t="str">
            <v>Terorisme</v>
          </cell>
          <cell r="M4765" t="str">
            <v xml:space="preserve">Kas Kanpus                              </v>
          </cell>
          <cell r="N4765" t="str">
            <v xml:space="preserve">Kas Kanpus                              </v>
          </cell>
          <cell r="O4765" t="str">
            <v xml:space="preserve">KAS KANPUS                              </v>
          </cell>
          <cell r="P4765" t="str">
            <v>Tidak</v>
          </cell>
          <cell r="Q4765" t="str">
            <v>Tidak</v>
          </cell>
          <cell r="R4765" t="str">
            <v>Done</v>
          </cell>
          <cell r="S4765" t="str">
            <v>Approved</v>
          </cell>
          <cell r="T4765" t="str">
            <v>90185538 - Muhammad Fahikal Auz</v>
          </cell>
          <cell r="U4765" t="str">
            <v>"-"</v>
          </cell>
        </row>
        <row r="4766">
          <cell r="A4766">
            <v>46265</v>
          </cell>
          <cell r="B4766" t="str">
            <v xml:space="preserve">NURLELA                                 </v>
          </cell>
          <cell r="C4766" t="str">
            <v>NGE3520</v>
          </cell>
          <cell r="D4766">
            <v>44501001757561</v>
          </cell>
          <cell r="E4766" t="str">
            <v>SEDANG</v>
          </cell>
          <cell r="F4766" t="str">
            <v>Tidak</v>
          </cell>
          <cell r="G4766" t="str">
            <v>Tidak</v>
          </cell>
          <cell r="H4766" t="str">
            <v>Tidak</v>
          </cell>
          <cell r="I4766" t="str">
            <v>Bandar Judol Depo</v>
          </cell>
          <cell r="J4766">
            <v>50</v>
          </cell>
          <cell r="K4766" t="str">
            <v>86,74,87</v>
          </cell>
          <cell r="L4766" t="str">
            <v>Judi Online</v>
          </cell>
          <cell r="M4766" t="str">
            <v xml:space="preserve">Kas Kanpus                              </v>
          </cell>
          <cell r="N4766" t="str">
            <v xml:space="preserve">Kas Kanpus                              </v>
          </cell>
          <cell r="O4766" t="str">
            <v xml:space="preserve">KAS KANPUS                              </v>
          </cell>
          <cell r="P4766" t="str">
            <v>Ya</v>
          </cell>
          <cell r="Q4766" t="str">
            <v>Ya</v>
          </cell>
          <cell r="R4766" t="str">
            <v>Done</v>
          </cell>
          <cell r="S4766" t="str">
            <v>Approved</v>
          </cell>
          <cell r="T4766" t="str">
            <v>90171841 - Rifqi Aziz</v>
          </cell>
          <cell r="U4766" t="str">
            <v>"-"</v>
          </cell>
        </row>
        <row r="4767">
          <cell r="A4767">
            <v>46265</v>
          </cell>
          <cell r="B4767" t="str">
            <v xml:space="preserve">NUR SELA SAPITRI                        </v>
          </cell>
          <cell r="C4767" t="str">
            <v>NGY3692</v>
          </cell>
          <cell r="D4767">
            <v>459901000034569</v>
          </cell>
          <cell r="E4767" t="str">
            <v>SEDANG</v>
          </cell>
          <cell r="F4767" t="str">
            <v>Tidak</v>
          </cell>
          <cell r="G4767" t="str">
            <v>Tidak</v>
          </cell>
          <cell r="H4767" t="str">
            <v>Tidak</v>
          </cell>
          <cell r="I4767" t="str">
            <v>Bandar Judol Depo</v>
          </cell>
          <cell r="J4767">
            <v>50</v>
          </cell>
          <cell r="K4767" t="str">
            <v>86,74,87</v>
          </cell>
          <cell r="L4767" t="str">
            <v>Judi Online</v>
          </cell>
          <cell r="M4767" t="str">
            <v xml:space="preserve">Kas Kanpus                              </v>
          </cell>
          <cell r="N4767" t="str">
            <v xml:space="preserve">Kas Kanpus                              </v>
          </cell>
          <cell r="O4767" t="str">
            <v xml:space="preserve">KAS KANPUS                              </v>
          </cell>
          <cell r="P4767" t="str">
            <v>Tidak</v>
          </cell>
          <cell r="Q4767" t="str">
            <v>Ya</v>
          </cell>
          <cell r="R4767" t="str">
            <v>Done</v>
          </cell>
          <cell r="S4767" t="str">
            <v>Approved</v>
          </cell>
          <cell r="T4767" t="str">
            <v>90171841 - Rifqi Aziz</v>
          </cell>
          <cell r="U4767" t="str">
            <v>"-"</v>
          </cell>
        </row>
        <row r="4768">
          <cell r="A4768">
            <v>46265</v>
          </cell>
          <cell r="B4768" t="str">
            <v xml:space="preserve">NADIA NADILLA NASUTION                  </v>
          </cell>
          <cell r="C4768" t="str">
            <v>NGMC214</v>
          </cell>
          <cell r="D4768">
            <v>33601003788561</v>
          </cell>
          <cell r="E4768" t="str">
            <v>SEDANG</v>
          </cell>
          <cell r="F4768" t="str">
            <v>Tidak</v>
          </cell>
          <cell r="G4768" t="str">
            <v>Tidak</v>
          </cell>
          <cell r="H4768" t="str">
            <v>Tidak</v>
          </cell>
          <cell r="I4768" t="str">
            <v>Bandar Judol Withdrawal</v>
          </cell>
          <cell r="J4768">
            <v>50</v>
          </cell>
          <cell r="K4768" t="str">
            <v>86,88,87</v>
          </cell>
          <cell r="L4768" t="str">
            <v>Judi Online</v>
          </cell>
          <cell r="M4768" t="str">
            <v xml:space="preserve">Kas Kanpus                              </v>
          </cell>
          <cell r="N4768" t="str">
            <v xml:space="preserve">Kas Kanpus                              </v>
          </cell>
          <cell r="O4768" t="str">
            <v xml:space="preserve">KAS KANPUS                              </v>
          </cell>
          <cell r="P4768" t="str">
            <v>Ya</v>
          </cell>
          <cell r="Q4768" t="str">
            <v>Ya</v>
          </cell>
          <cell r="R4768" t="str">
            <v>Done</v>
          </cell>
          <cell r="S4768" t="str">
            <v>Approved</v>
          </cell>
          <cell r="T4768" t="str">
            <v>00336949 - Mochammad Al Farabi</v>
          </cell>
          <cell r="U4768" t="str">
            <v>"-"</v>
          </cell>
        </row>
        <row r="4769">
          <cell r="A4769">
            <v>46265</v>
          </cell>
          <cell r="B4769" t="str">
            <v xml:space="preserve">NOR DHAIFUL HAQIQI                      </v>
          </cell>
          <cell r="C4769" t="str">
            <v>NHL9188</v>
          </cell>
          <cell r="D4769">
            <v>6101002541563</v>
          </cell>
          <cell r="E4769" t="str">
            <v>SEDANG</v>
          </cell>
          <cell r="F4769" t="str">
            <v>Tidak</v>
          </cell>
          <cell r="G4769" t="str">
            <v>Tidak</v>
          </cell>
          <cell r="H4769" t="str">
            <v>Tidak</v>
          </cell>
          <cell r="I4769" t="str">
            <v>Bandar Judol Withdrawal</v>
          </cell>
          <cell r="J4769">
            <v>50</v>
          </cell>
          <cell r="K4769" t="str">
            <v>86,88,87</v>
          </cell>
          <cell r="L4769" t="str">
            <v>Judi Online</v>
          </cell>
          <cell r="M4769" t="str">
            <v xml:space="preserve">Kas Kanpus                              </v>
          </cell>
          <cell r="N4769" t="str">
            <v xml:space="preserve">Kas Kanpus                              </v>
          </cell>
          <cell r="O4769" t="str">
            <v xml:space="preserve">KAS KANPUS                              </v>
          </cell>
          <cell r="P4769" t="str">
            <v>Tidak</v>
          </cell>
          <cell r="Q4769" t="str">
            <v>Ya</v>
          </cell>
          <cell r="R4769" t="str">
            <v>Done</v>
          </cell>
          <cell r="S4769" t="str">
            <v>Approved</v>
          </cell>
          <cell r="T4769" t="str">
            <v>90171841 - Rifqi Aziz</v>
          </cell>
          <cell r="U4769" t="str">
            <v>"-"</v>
          </cell>
        </row>
        <row r="4770">
          <cell r="A4770">
            <v>46265</v>
          </cell>
          <cell r="B4770" t="str">
            <v xml:space="preserve">NURHIDAYATI                             </v>
          </cell>
          <cell r="C4770" t="str">
            <v>NHSW851</v>
          </cell>
          <cell r="D4770">
            <v>365701045260532</v>
          </cell>
          <cell r="E4770" t="str">
            <v>SEDANG</v>
          </cell>
          <cell r="F4770" t="str">
            <v>Tidak</v>
          </cell>
          <cell r="G4770" t="str">
            <v>Tidak</v>
          </cell>
          <cell r="H4770" t="str">
            <v>Tidak</v>
          </cell>
          <cell r="I4770" t="str">
            <v>Bandar Judol Depo</v>
          </cell>
          <cell r="J4770">
            <v>50</v>
          </cell>
          <cell r="K4770" t="str">
            <v>86,74,87</v>
          </cell>
          <cell r="L4770" t="str">
            <v>Judi Online</v>
          </cell>
          <cell r="M4770" t="str">
            <v xml:space="preserve">Kas Kanpus                              </v>
          </cell>
          <cell r="N4770" t="str">
            <v xml:space="preserve">Kas Kanpus                              </v>
          </cell>
          <cell r="O4770" t="str">
            <v xml:space="preserve">KAS KANPUS                              </v>
          </cell>
          <cell r="P4770" t="str">
            <v>Tidak</v>
          </cell>
          <cell r="Q4770" t="str">
            <v>Tidak</v>
          </cell>
          <cell r="R4770" t="str">
            <v>Done</v>
          </cell>
          <cell r="S4770" t="str">
            <v>Approved</v>
          </cell>
          <cell r="T4770" t="str">
            <v>00394520 - Frida Akbar Rani</v>
          </cell>
          <cell r="U4770" t="str">
            <v>"-"</v>
          </cell>
        </row>
        <row r="4771">
          <cell r="A4771">
            <v>46265</v>
          </cell>
          <cell r="B4771" t="str">
            <v xml:space="preserve">NATALIA SASMITA                         </v>
          </cell>
          <cell r="C4771" t="str">
            <v>NHPX699</v>
          </cell>
          <cell r="D4771">
            <v>63301003283563</v>
          </cell>
          <cell r="E4771" t="str">
            <v>SEDANG</v>
          </cell>
          <cell r="F4771" t="str">
            <v>Tidak</v>
          </cell>
          <cell r="G4771" t="str">
            <v>Tidak</v>
          </cell>
          <cell r="H4771" t="str">
            <v>Tidak</v>
          </cell>
          <cell r="I4771" t="str">
            <v>Bandar Judol Withdrawal</v>
          </cell>
          <cell r="J4771">
            <v>50</v>
          </cell>
          <cell r="K4771" t="str">
            <v>86,88,87</v>
          </cell>
          <cell r="L4771" t="str">
            <v>Judi Online</v>
          </cell>
          <cell r="M4771" t="str">
            <v xml:space="preserve">Kas Kanpus                              </v>
          </cell>
          <cell r="N4771" t="str">
            <v xml:space="preserve">Kas Kanpus                              </v>
          </cell>
          <cell r="O4771" t="str">
            <v xml:space="preserve">KAS KANPUS                              </v>
          </cell>
          <cell r="P4771" t="str">
            <v>Ya</v>
          </cell>
          <cell r="Q4771" t="str">
            <v>Ya</v>
          </cell>
          <cell r="R4771" t="str">
            <v>Done</v>
          </cell>
          <cell r="S4771" t="str">
            <v>Approved</v>
          </cell>
          <cell r="T4771" t="str">
            <v>90150130 - Intan Aida Pratiwi</v>
          </cell>
          <cell r="U4771" t="str">
            <v>"-"</v>
          </cell>
        </row>
        <row r="4772">
          <cell r="A4772">
            <v>46265</v>
          </cell>
          <cell r="B4772" t="str">
            <v xml:space="preserve">NI NYOMAN RENI ARSIANTI                 </v>
          </cell>
          <cell r="C4772" t="str">
            <v>NHRG875</v>
          </cell>
          <cell r="D4772">
            <v>57301015980503</v>
          </cell>
          <cell r="E4772" t="str">
            <v>TINGGI</v>
          </cell>
          <cell r="F4772" t="str">
            <v>Tidak</v>
          </cell>
          <cell r="G4772" t="str">
            <v>Tidak</v>
          </cell>
          <cell r="H4772" t="str">
            <v>Tidak</v>
          </cell>
          <cell r="I4772" t="str">
            <v>Terorisme - SIPENDAR</v>
          </cell>
          <cell r="J4772">
            <v>185</v>
          </cell>
          <cell r="K4772">
            <v>36</v>
          </cell>
          <cell r="L4772" t="str">
            <v>Terorisme</v>
          </cell>
          <cell r="M4772" t="str">
            <v xml:space="preserve">Kas Kanpus                              </v>
          </cell>
          <cell r="N4772" t="str">
            <v xml:space="preserve">Kas Kanpus                              </v>
          </cell>
          <cell r="O4772" t="str">
            <v xml:space="preserve">KAS KANPUS                              </v>
          </cell>
          <cell r="P4772" t="str">
            <v>Tidak</v>
          </cell>
          <cell r="Q4772" t="str">
            <v>Tidak</v>
          </cell>
          <cell r="R4772" t="str">
            <v>Done</v>
          </cell>
          <cell r="S4772" t="str">
            <v>Approved</v>
          </cell>
          <cell r="T4772" t="str">
            <v>90171841 - Rifqi Aziz</v>
          </cell>
          <cell r="U4772" t="str">
            <v>"-"</v>
          </cell>
        </row>
        <row r="4773">
          <cell r="A4773">
            <v>46265</v>
          </cell>
          <cell r="B4773" t="str">
            <v xml:space="preserve">NURLELA SARAGIH                         </v>
          </cell>
          <cell r="C4773" t="str">
            <v>NHUH172</v>
          </cell>
          <cell r="D4773">
            <v>531101042412532</v>
          </cell>
          <cell r="E4773" t="str">
            <v>SEDANG</v>
          </cell>
          <cell r="F4773" t="str">
            <v>Tidak</v>
          </cell>
          <cell r="G4773" t="str">
            <v>Tidak</v>
          </cell>
          <cell r="H4773" t="str">
            <v>Tidak</v>
          </cell>
          <cell r="I4773" t="str">
            <v>Bandar Judol Withdrawal</v>
          </cell>
          <cell r="J4773">
            <v>50</v>
          </cell>
          <cell r="K4773" t="str">
            <v>86,88,87</v>
          </cell>
          <cell r="L4773" t="str">
            <v>Judi Online</v>
          </cell>
          <cell r="M4773" t="str">
            <v xml:space="preserve">Kas Kanpus                              </v>
          </cell>
          <cell r="N4773" t="str">
            <v xml:space="preserve">Kas Kanpus                              </v>
          </cell>
          <cell r="O4773" t="str">
            <v xml:space="preserve">KAS KANPUS                              </v>
          </cell>
          <cell r="P4773" t="str">
            <v>Ya</v>
          </cell>
          <cell r="Q4773" t="str">
            <v>Ya</v>
          </cell>
          <cell r="R4773" t="str">
            <v>Done</v>
          </cell>
          <cell r="S4773" t="str">
            <v>Approved</v>
          </cell>
          <cell r="T4773" t="str">
            <v>90150130 - Intan Aida Pratiwi</v>
          </cell>
          <cell r="U4773" t="str">
            <v>"-"</v>
          </cell>
        </row>
        <row r="4774">
          <cell r="A4774">
            <v>46265</v>
          </cell>
          <cell r="B4774" t="str">
            <v xml:space="preserve">NUR KHASANAH                            </v>
          </cell>
          <cell r="C4774" t="str">
            <v>NHUL366</v>
          </cell>
          <cell r="D4774">
            <v>40501003372569</v>
          </cell>
          <cell r="E4774" t="str">
            <v>SEDANG</v>
          </cell>
          <cell r="F4774" t="str">
            <v>Tidak</v>
          </cell>
          <cell r="G4774" t="str">
            <v>Tidak</v>
          </cell>
          <cell r="H4774" t="str">
            <v>Tidak</v>
          </cell>
          <cell r="I4774" t="str">
            <v>Bandar Judol Depo</v>
          </cell>
          <cell r="J4774">
            <v>50</v>
          </cell>
          <cell r="K4774" t="str">
            <v>86,74,87</v>
          </cell>
          <cell r="L4774" t="str">
            <v>Judi Online</v>
          </cell>
          <cell r="M4774" t="str">
            <v xml:space="preserve">Kas Kanpus                              </v>
          </cell>
          <cell r="N4774" t="str">
            <v xml:space="preserve">Kas Kanpus                              </v>
          </cell>
          <cell r="O4774" t="str">
            <v xml:space="preserve">KAS KANPUS                              </v>
          </cell>
          <cell r="P4774" t="str">
            <v>Tidak</v>
          </cell>
          <cell r="Q4774" t="str">
            <v>Ya</v>
          </cell>
          <cell r="R4774" t="str">
            <v>Done</v>
          </cell>
          <cell r="S4774" t="str">
            <v>Approved</v>
          </cell>
          <cell r="T4774" t="str">
            <v>90185538 - Muhammad Fahikal Auz</v>
          </cell>
          <cell r="U4774" t="str">
            <v>"-"</v>
          </cell>
        </row>
        <row r="4775">
          <cell r="A4775">
            <v>46265</v>
          </cell>
          <cell r="B4775" t="str">
            <v xml:space="preserve">NURYANAH                                </v>
          </cell>
          <cell r="C4775" t="str">
            <v>NIQ7752</v>
          </cell>
          <cell r="D4775">
            <v>119501021345504</v>
          </cell>
          <cell r="E4775" t="str">
            <v>SEDANG</v>
          </cell>
          <cell r="F4775" t="str">
            <v>Tidak</v>
          </cell>
          <cell r="G4775" t="str">
            <v>Tidak</v>
          </cell>
          <cell r="H4775" t="str">
            <v>Tidak</v>
          </cell>
          <cell r="I4775" t="str">
            <v>Bandar Judol Withdrawal</v>
          </cell>
          <cell r="J4775">
            <v>50</v>
          </cell>
          <cell r="K4775" t="str">
            <v>86,88,87</v>
          </cell>
          <cell r="L4775" t="str">
            <v>Judi Online</v>
          </cell>
          <cell r="M4775" t="str">
            <v xml:space="preserve">Kas Kanpus                              </v>
          </cell>
          <cell r="N4775" t="str">
            <v xml:space="preserve">Kas Kanpus                              </v>
          </cell>
          <cell r="O4775" t="str">
            <v xml:space="preserve">KAS KANPUS                              </v>
          </cell>
          <cell r="P4775" t="str">
            <v>Ya</v>
          </cell>
          <cell r="Q4775" t="str">
            <v>Tidak</v>
          </cell>
          <cell r="R4775" t="str">
            <v>Done</v>
          </cell>
          <cell r="S4775" t="str">
            <v>Approved</v>
          </cell>
          <cell r="T4775" t="str">
            <v>90186790 - Muhammad Alfin Farha</v>
          </cell>
          <cell r="U4775" t="str">
            <v>"-"</v>
          </cell>
        </row>
        <row r="4776">
          <cell r="A4776">
            <v>46265</v>
          </cell>
          <cell r="B4776" t="str">
            <v xml:space="preserve">NYOMAN GUSRIANI                         </v>
          </cell>
          <cell r="C4776" t="str">
            <v>NIV1146</v>
          </cell>
          <cell r="D4776">
            <v>492701000024567</v>
          </cell>
          <cell r="E4776" t="str">
            <v>SEDANG</v>
          </cell>
          <cell r="F4776" t="str">
            <v>Tidak</v>
          </cell>
          <cell r="G4776" t="str">
            <v>Tidak</v>
          </cell>
          <cell r="H4776" t="str">
            <v>Tidak</v>
          </cell>
          <cell r="I4776" t="str">
            <v>Bandar Judol Depo</v>
          </cell>
          <cell r="J4776">
            <v>50</v>
          </cell>
          <cell r="K4776" t="str">
            <v>86,74,87</v>
          </cell>
          <cell r="L4776" t="str">
            <v>Judi Online</v>
          </cell>
          <cell r="M4776" t="str">
            <v xml:space="preserve">Kas Kanpus                              </v>
          </cell>
          <cell r="N4776" t="str">
            <v xml:space="preserve">Kas Kanpus                              </v>
          </cell>
          <cell r="O4776" t="str">
            <v xml:space="preserve">KAS KANPUS                              </v>
          </cell>
          <cell r="P4776" t="str">
            <v>Tidak</v>
          </cell>
          <cell r="Q4776" t="str">
            <v>Ya</v>
          </cell>
          <cell r="R4776" t="str">
            <v>Done</v>
          </cell>
          <cell r="S4776" t="str">
            <v>Approved</v>
          </cell>
          <cell r="T4776" t="str">
            <v>90186796 - Devito Arya Wiradila</v>
          </cell>
          <cell r="U4776" t="str">
            <v>"-"</v>
          </cell>
        </row>
        <row r="4777">
          <cell r="A4777">
            <v>46265</v>
          </cell>
          <cell r="B4777" t="str">
            <v xml:space="preserve">NOVITA SARI                             </v>
          </cell>
          <cell r="C4777" t="str">
            <v>NIRY805</v>
          </cell>
          <cell r="D4777">
            <v>622301000044569</v>
          </cell>
          <cell r="E4777" t="str">
            <v>SEDANG</v>
          </cell>
          <cell r="F4777" t="str">
            <v>Tidak</v>
          </cell>
          <cell r="G4777" t="str">
            <v>Tidak</v>
          </cell>
          <cell r="H4777" t="str">
            <v>Tidak</v>
          </cell>
          <cell r="I4777" t="str">
            <v>Bandar Judol Withdrawal</v>
          </cell>
          <cell r="J4777">
            <v>50</v>
          </cell>
          <cell r="K4777" t="str">
            <v>86,88,87</v>
          </cell>
          <cell r="L4777" t="str">
            <v>Judi Online</v>
          </cell>
          <cell r="M4777" t="str">
            <v xml:space="preserve">Kas Kanpus                              </v>
          </cell>
          <cell r="N4777" t="str">
            <v xml:space="preserve">Kas Kanpus                              </v>
          </cell>
          <cell r="O4777" t="str">
            <v xml:space="preserve">KAS KANPUS                              </v>
          </cell>
          <cell r="P4777" t="str">
            <v>Ya</v>
          </cell>
          <cell r="Q4777" t="str">
            <v>Ya</v>
          </cell>
          <cell r="R4777" t="str">
            <v>Done</v>
          </cell>
          <cell r="S4777" t="str">
            <v>Approved</v>
          </cell>
          <cell r="T4777" t="str">
            <v>90171841 - Rifqi Aziz</v>
          </cell>
          <cell r="U4777" t="str">
            <v>"-"</v>
          </cell>
        </row>
        <row r="4778">
          <cell r="A4778">
            <v>46265</v>
          </cell>
          <cell r="B4778" t="str">
            <v xml:space="preserve">NILA HUTABARAT                          </v>
          </cell>
          <cell r="C4778" t="str">
            <v>NEQ6736</v>
          </cell>
          <cell r="D4778">
            <v>137701000239566</v>
          </cell>
          <cell r="E4778" t="str">
            <v>SEDANG</v>
          </cell>
          <cell r="F4778" t="str">
            <v>Tidak</v>
          </cell>
          <cell r="G4778" t="str">
            <v>Tidak</v>
          </cell>
          <cell r="H4778" t="str">
            <v>Tidak</v>
          </cell>
          <cell r="I4778" t="str">
            <v>Bandar Judol Depo</v>
          </cell>
          <cell r="J4778">
            <v>50</v>
          </cell>
          <cell r="K4778" t="str">
            <v>86,74,87</v>
          </cell>
          <cell r="L4778" t="str">
            <v>Judi Online</v>
          </cell>
          <cell r="M4778" t="str">
            <v xml:space="preserve">Kas Kanpus                              </v>
          </cell>
          <cell r="N4778" t="str">
            <v xml:space="preserve">Kas Kanpus                              </v>
          </cell>
          <cell r="O4778" t="str">
            <v xml:space="preserve">KAS KANPUS                              </v>
          </cell>
          <cell r="P4778" t="str">
            <v>Tidak</v>
          </cell>
          <cell r="Q4778" t="str">
            <v>Ya</v>
          </cell>
          <cell r="R4778" t="str">
            <v>Done</v>
          </cell>
          <cell r="S4778" t="str">
            <v>Approved</v>
          </cell>
          <cell r="T4778" t="str">
            <v>90171841 - Rifqi Aziz</v>
          </cell>
          <cell r="U4778" t="str">
            <v>"-"</v>
          </cell>
        </row>
        <row r="4779">
          <cell r="A4779">
            <v>46265</v>
          </cell>
          <cell r="B4779" t="str">
            <v xml:space="preserve">NUR LAILI                               </v>
          </cell>
          <cell r="C4779" t="str">
            <v>NGAT558</v>
          </cell>
          <cell r="D4779">
            <v>40401002938562</v>
          </cell>
          <cell r="E4779" t="str">
            <v>SEDANG</v>
          </cell>
          <cell r="F4779" t="str">
            <v>Tidak</v>
          </cell>
          <cell r="G4779" t="str">
            <v>Tidak</v>
          </cell>
          <cell r="H4779" t="str">
            <v>Tidak</v>
          </cell>
          <cell r="I4779" t="str">
            <v>Bandar Judol Depo</v>
          </cell>
          <cell r="J4779">
            <v>50</v>
          </cell>
          <cell r="K4779" t="str">
            <v>86,74,87</v>
          </cell>
          <cell r="L4779" t="str">
            <v>Judi Online</v>
          </cell>
          <cell r="M4779" t="str">
            <v xml:space="preserve">Kas Kanpus                              </v>
          </cell>
          <cell r="N4779" t="str">
            <v xml:space="preserve">Kas Kanpus                              </v>
          </cell>
          <cell r="O4779" t="str">
            <v xml:space="preserve">KAS KANPUS                              </v>
          </cell>
          <cell r="P4779" t="str">
            <v>Ya</v>
          </cell>
          <cell r="Q4779" t="str">
            <v>Ya</v>
          </cell>
          <cell r="R4779" t="str">
            <v>Done</v>
          </cell>
          <cell r="S4779" t="str">
            <v>Approved</v>
          </cell>
          <cell r="T4779" t="str">
            <v>90150130 - Intan Aida Pratiwi</v>
          </cell>
          <cell r="U4779" t="str">
            <v>"-"</v>
          </cell>
        </row>
        <row r="4780">
          <cell r="A4780">
            <v>46265</v>
          </cell>
          <cell r="B4780" t="str">
            <v xml:space="preserve">NURLAELA                                </v>
          </cell>
          <cell r="C4780" t="str">
            <v>NFMQ741</v>
          </cell>
          <cell r="D4780">
            <v>53801002474561</v>
          </cell>
          <cell r="E4780" t="str">
            <v>SEDANG</v>
          </cell>
          <cell r="F4780" t="str">
            <v>Tidak</v>
          </cell>
          <cell r="G4780" t="str">
            <v>Tidak</v>
          </cell>
          <cell r="H4780" t="str">
            <v>Tidak</v>
          </cell>
          <cell r="I4780" t="str">
            <v>Bandar Judol Withdrawal</v>
          </cell>
          <cell r="J4780">
            <v>50</v>
          </cell>
          <cell r="K4780" t="str">
            <v>86,88,87</v>
          </cell>
          <cell r="L4780" t="str">
            <v>Judi Online</v>
          </cell>
          <cell r="M4780" t="str">
            <v xml:space="preserve">Kas Kanpus                              </v>
          </cell>
          <cell r="N4780" t="str">
            <v xml:space="preserve">Kas Kanpus                              </v>
          </cell>
          <cell r="O4780" t="str">
            <v xml:space="preserve">KAS KANPUS                              </v>
          </cell>
          <cell r="P4780" t="str">
            <v>Ya</v>
          </cell>
          <cell r="Q4780" t="str">
            <v>Ya</v>
          </cell>
          <cell r="R4780" t="str">
            <v>Done</v>
          </cell>
          <cell r="S4780" t="str">
            <v>Approved</v>
          </cell>
          <cell r="T4780" t="str">
            <v>90150130 - Intan Aida Pratiwi</v>
          </cell>
          <cell r="U4780" t="str">
            <v>"-"</v>
          </cell>
        </row>
        <row r="4781">
          <cell r="A4781">
            <v>46265</v>
          </cell>
          <cell r="B4781" t="str">
            <v xml:space="preserve">NURHAYATI SULEMAN                       </v>
          </cell>
          <cell r="C4781" t="str">
            <v>NFO2315</v>
          </cell>
          <cell r="D4781">
            <v>226001020412508</v>
          </cell>
          <cell r="E4781" t="str">
            <v>SEDANG</v>
          </cell>
          <cell r="F4781" t="str">
            <v>Tidak</v>
          </cell>
          <cell r="G4781" t="str">
            <v>Tidak</v>
          </cell>
          <cell r="H4781" t="str">
            <v>Tidak</v>
          </cell>
          <cell r="I4781" t="str">
            <v>Bandar Judol Withdrawal</v>
          </cell>
          <cell r="J4781">
            <v>50</v>
          </cell>
          <cell r="K4781" t="str">
            <v>86,88,87</v>
          </cell>
          <cell r="L4781" t="str">
            <v>Judi Online</v>
          </cell>
          <cell r="M4781" t="str">
            <v xml:space="preserve">Kas Kanpus                              </v>
          </cell>
          <cell r="N4781" t="str">
            <v xml:space="preserve">Kas Kanpus                              </v>
          </cell>
          <cell r="O4781" t="str">
            <v xml:space="preserve">KAS KANPUS                              </v>
          </cell>
          <cell r="P4781" t="str">
            <v>Ya</v>
          </cell>
          <cell r="Q4781" t="str">
            <v>Tidak</v>
          </cell>
          <cell r="R4781" t="str">
            <v>Done</v>
          </cell>
          <cell r="S4781" t="str">
            <v>Approved</v>
          </cell>
          <cell r="T4781" t="str">
            <v>90185537 - Moh.Khoerul Fajar Ar</v>
          </cell>
          <cell r="U4781" t="str">
            <v>"-"</v>
          </cell>
        </row>
        <row r="4782">
          <cell r="A4782">
            <v>46265</v>
          </cell>
          <cell r="B4782" t="str">
            <v xml:space="preserve">NURHAYATI                               </v>
          </cell>
          <cell r="C4782" t="str">
            <v>NFOF940</v>
          </cell>
          <cell r="D4782">
            <v>441601081058532</v>
          </cell>
          <cell r="E4782" t="str">
            <v>SEDANG</v>
          </cell>
          <cell r="F4782" t="str">
            <v>Tidak</v>
          </cell>
          <cell r="G4782" t="str">
            <v>Tidak</v>
          </cell>
          <cell r="H4782" t="str">
            <v>Tidak</v>
          </cell>
          <cell r="I4782" t="str">
            <v>Bandar Judol Depo</v>
          </cell>
          <cell r="J4782">
            <v>50</v>
          </cell>
          <cell r="K4782" t="str">
            <v>86,74,87</v>
          </cell>
          <cell r="L4782" t="str">
            <v>Judi Online</v>
          </cell>
          <cell r="M4782" t="str">
            <v xml:space="preserve">Kas Kanpus                              </v>
          </cell>
          <cell r="N4782" t="str">
            <v xml:space="preserve">Kas Kanpus                              </v>
          </cell>
          <cell r="O4782" t="str">
            <v xml:space="preserve">KAS KANPUS                              </v>
          </cell>
          <cell r="P4782" t="str">
            <v>Ya</v>
          </cell>
          <cell r="Q4782" t="str">
            <v>Ya</v>
          </cell>
          <cell r="R4782" t="str">
            <v>Done</v>
          </cell>
          <cell r="S4782" t="str">
            <v>Approved</v>
          </cell>
          <cell r="T4782" t="str">
            <v>90185538 - Muhammad Fahikal Auz</v>
          </cell>
          <cell r="U4782" t="str">
            <v>"-"</v>
          </cell>
        </row>
        <row r="4783">
          <cell r="A4783">
            <v>46265</v>
          </cell>
          <cell r="B4783" t="str">
            <v xml:space="preserve">NUKRI                                   </v>
          </cell>
          <cell r="C4783" t="str">
            <v>NCTT221</v>
          </cell>
          <cell r="D4783">
            <v>520901012356539</v>
          </cell>
          <cell r="E4783" t="str">
            <v>TINGGI</v>
          </cell>
          <cell r="F4783" t="str">
            <v>Tidak</v>
          </cell>
          <cell r="G4783" t="str">
            <v>Tidak</v>
          </cell>
          <cell r="H4783" t="str">
            <v>Tidak</v>
          </cell>
          <cell r="I4783" t="str">
            <v>Terorisme - SIPENDAR</v>
          </cell>
          <cell r="J4783">
            <v>184</v>
          </cell>
          <cell r="K4783">
            <v>36</v>
          </cell>
          <cell r="L4783" t="str">
            <v>Terorisme</v>
          </cell>
          <cell r="M4783" t="str">
            <v xml:space="preserve">Kas Kanpus                              </v>
          </cell>
          <cell r="N4783" t="str">
            <v xml:space="preserve">Kas Kanpus                              </v>
          </cell>
          <cell r="O4783" t="str">
            <v xml:space="preserve">KAS KANPUS                              </v>
          </cell>
          <cell r="P4783" t="str">
            <v>Tidak</v>
          </cell>
          <cell r="Q4783" t="str">
            <v>Tidak</v>
          </cell>
          <cell r="R4783" t="str">
            <v>Done</v>
          </cell>
          <cell r="S4783" t="str">
            <v>Approved</v>
          </cell>
          <cell r="T4783" t="str">
            <v>90185538 - Muhammad Fahikal Auz</v>
          </cell>
          <cell r="U4783" t="str">
            <v>"-"</v>
          </cell>
        </row>
        <row r="4784">
          <cell r="A4784">
            <v>46265</v>
          </cell>
          <cell r="B4784" t="str">
            <v xml:space="preserve">NANI                                    </v>
          </cell>
          <cell r="C4784" t="str">
            <v>NCQB041</v>
          </cell>
          <cell r="D4784">
            <v>703401017625532</v>
          </cell>
          <cell r="E4784" t="str">
            <v>SEDANG</v>
          </cell>
          <cell r="F4784" t="str">
            <v>Tidak</v>
          </cell>
          <cell r="G4784" t="str">
            <v>Tidak</v>
          </cell>
          <cell r="H4784" t="str">
            <v>Tidak</v>
          </cell>
          <cell r="I4784" t="str">
            <v>Bandar Judol Depo</v>
          </cell>
          <cell r="J4784">
            <v>50</v>
          </cell>
          <cell r="K4784" t="str">
            <v>86,74,87</v>
          </cell>
          <cell r="L4784" t="str">
            <v>Judi Online</v>
          </cell>
          <cell r="M4784" t="str">
            <v xml:space="preserve">Kas Kanpus                              </v>
          </cell>
          <cell r="N4784" t="str">
            <v xml:space="preserve">Kas Kanpus                              </v>
          </cell>
          <cell r="O4784" t="str">
            <v xml:space="preserve">KAS KANPUS                              </v>
          </cell>
          <cell r="P4784" t="str">
            <v>Ya</v>
          </cell>
          <cell r="Q4784" t="str">
            <v>Ya</v>
          </cell>
          <cell r="R4784" t="str">
            <v>Done</v>
          </cell>
          <cell r="S4784" t="str">
            <v>Approved</v>
          </cell>
          <cell r="T4784" t="str">
            <v>90185538 - Muhammad Fahikal Auz</v>
          </cell>
          <cell r="U4784" t="str">
            <v>"-"</v>
          </cell>
        </row>
        <row r="4785">
          <cell r="A4785">
            <v>46265</v>
          </cell>
          <cell r="B4785" t="str">
            <v xml:space="preserve">NANDANG SUNARYA                         </v>
          </cell>
          <cell r="C4785" t="str">
            <v>NDSR239</v>
          </cell>
          <cell r="D4785">
            <v>1201284388502</v>
          </cell>
          <cell r="E4785" t="str">
            <v>SEDANG</v>
          </cell>
          <cell r="F4785" t="str">
            <v>Tidak</v>
          </cell>
          <cell r="G4785" t="str">
            <v>Tidak</v>
          </cell>
          <cell r="H4785" t="str">
            <v>Tidak</v>
          </cell>
          <cell r="I4785" t="str">
            <v>Bandar Judol Withdrawal</v>
          </cell>
          <cell r="J4785">
            <v>50</v>
          </cell>
          <cell r="K4785" t="str">
            <v>86,88,87</v>
          </cell>
          <cell r="L4785" t="str">
            <v>Judi Online</v>
          </cell>
          <cell r="M4785" t="str">
            <v xml:space="preserve">Kas Kanpus                              </v>
          </cell>
          <cell r="N4785" t="str">
            <v xml:space="preserve">Kas Kanpus                              </v>
          </cell>
          <cell r="O4785" t="str">
            <v xml:space="preserve">KAS KANPUS                              </v>
          </cell>
          <cell r="P4785" t="str">
            <v>Ya</v>
          </cell>
          <cell r="Q4785" t="str">
            <v>Ya</v>
          </cell>
          <cell r="R4785" t="str">
            <v>Done</v>
          </cell>
          <cell r="S4785" t="str">
            <v>Approved</v>
          </cell>
          <cell r="T4785" t="str">
            <v>00394520 - Frida Akbar Rani</v>
          </cell>
          <cell r="U4785" t="str">
            <v>"-"</v>
          </cell>
        </row>
        <row r="4786">
          <cell r="A4786">
            <v>46265</v>
          </cell>
          <cell r="B4786" t="str">
            <v xml:space="preserve">NUR ASRI BR TARIGAN                     </v>
          </cell>
          <cell r="C4786" t="str">
            <v>NDVP317</v>
          </cell>
          <cell r="D4786">
            <v>206201000919564</v>
          </cell>
          <cell r="E4786" t="str">
            <v>SEDANG</v>
          </cell>
          <cell r="F4786" t="str">
            <v>Tidak</v>
          </cell>
          <cell r="G4786" t="str">
            <v>Tidak</v>
          </cell>
          <cell r="H4786" t="str">
            <v>Tidak</v>
          </cell>
          <cell r="I4786" t="str">
            <v>Bandar Judol Depo</v>
          </cell>
          <cell r="J4786">
            <v>50</v>
          </cell>
          <cell r="K4786" t="str">
            <v>86,74,87</v>
          </cell>
          <cell r="L4786" t="str">
            <v>Judi Online</v>
          </cell>
          <cell r="M4786" t="str">
            <v xml:space="preserve">Kas Kanpus                              </v>
          </cell>
          <cell r="N4786" t="str">
            <v xml:space="preserve">Kas Kanpus                              </v>
          </cell>
          <cell r="O4786" t="str">
            <v xml:space="preserve">KAS KANPUS                              </v>
          </cell>
          <cell r="P4786" t="str">
            <v>Ya</v>
          </cell>
          <cell r="Q4786" t="str">
            <v>Ya</v>
          </cell>
          <cell r="R4786" t="str">
            <v>Done</v>
          </cell>
          <cell r="S4786" t="str">
            <v>Approved</v>
          </cell>
          <cell r="T4786" t="str">
            <v>90186790 - Muhammad Alfin Farha</v>
          </cell>
          <cell r="U4786" t="str">
            <v>"-"</v>
          </cell>
        </row>
        <row r="4787">
          <cell r="A4787">
            <v>46265</v>
          </cell>
          <cell r="B4787" t="str">
            <v xml:space="preserve">NUR ASIAH                               </v>
          </cell>
          <cell r="C4787" t="str">
            <v>NDW5369</v>
          </cell>
          <cell r="D4787">
            <v>112901038480502</v>
          </cell>
          <cell r="E4787" t="str">
            <v>RENDAH</v>
          </cell>
          <cell r="F4787" t="str">
            <v>Tidak</v>
          </cell>
          <cell r="G4787" t="str">
            <v>Tidak</v>
          </cell>
          <cell r="H4787" t="str">
            <v>Tidak</v>
          </cell>
          <cell r="I4787" t="str">
            <v>Bandar Judol Withdrawal</v>
          </cell>
          <cell r="J4787">
            <v>35</v>
          </cell>
          <cell r="K4787" t="str">
            <v>86,88,87</v>
          </cell>
          <cell r="L4787" t="str">
            <v>Judi Online</v>
          </cell>
          <cell r="M4787" t="str">
            <v xml:space="preserve">Kas Kanpus                              </v>
          </cell>
          <cell r="N4787" t="str">
            <v xml:space="preserve">Kas Kanpus                              </v>
          </cell>
          <cell r="O4787" t="str">
            <v xml:space="preserve">KAS KANPUS                              </v>
          </cell>
          <cell r="P4787" t="str">
            <v>Ya</v>
          </cell>
          <cell r="Q4787" t="str">
            <v>Ya</v>
          </cell>
          <cell r="R4787" t="str">
            <v>Done</v>
          </cell>
          <cell r="S4787" t="str">
            <v>Approved</v>
          </cell>
          <cell r="T4787" t="str">
            <v>00394520 - Frida Akbar Rani</v>
          </cell>
          <cell r="U4787" t="str">
            <v>"-"</v>
          </cell>
        </row>
        <row r="4788">
          <cell r="A4788">
            <v>46265</v>
          </cell>
          <cell r="B4788" t="str">
            <v xml:space="preserve">NOVIANDA AJENG IMANIA                   </v>
          </cell>
          <cell r="C4788" t="str">
            <v>NDYG988</v>
          </cell>
          <cell r="D4788">
            <v>622901007609500</v>
          </cell>
          <cell r="E4788" t="str">
            <v>SEDANG</v>
          </cell>
          <cell r="F4788" t="str">
            <v>Tidak</v>
          </cell>
          <cell r="G4788" t="str">
            <v>Tidak</v>
          </cell>
          <cell r="H4788" t="str">
            <v>Tidak</v>
          </cell>
          <cell r="I4788" t="str">
            <v>Bandar Judol Depo</v>
          </cell>
          <cell r="J4788">
            <v>50</v>
          </cell>
          <cell r="K4788" t="str">
            <v>86,74,87</v>
          </cell>
          <cell r="L4788" t="str">
            <v>Judi Online</v>
          </cell>
          <cell r="M4788" t="str">
            <v xml:space="preserve">Kas Kanpus                              </v>
          </cell>
          <cell r="N4788" t="str">
            <v xml:space="preserve">Kas Kanpus                              </v>
          </cell>
          <cell r="O4788" t="str">
            <v xml:space="preserve">KAS KANPUS                              </v>
          </cell>
          <cell r="P4788" t="str">
            <v>Tidak</v>
          </cell>
          <cell r="Q4788" t="str">
            <v>Ya</v>
          </cell>
          <cell r="R4788" t="str">
            <v>Done</v>
          </cell>
          <cell r="S4788" t="str">
            <v>Approved</v>
          </cell>
          <cell r="T4788" t="str">
            <v>00394521 - Muhammad Hibbanduta</v>
          </cell>
          <cell r="U4788" t="str">
            <v>"-"</v>
          </cell>
        </row>
        <row r="4789">
          <cell r="A4789">
            <v>46265</v>
          </cell>
          <cell r="B4789" t="str">
            <v xml:space="preserve">MUHAMMAD ALLIFIA AFREAL                 </v>
          </cell>
          <cell r="C4789" t="str">
            <v>MCWUX96</v>
          </cell>
          <cell r="D4789">
            <v>113201000955562</v>
          </cell>
          <cell r="F4789" t="str">
            <v>Tidak</v>
          </cell>
          <cell r="G4789" t="str">
            <v>Tidak</v>
          </cell>
          <cell r="H4789" t="str">
            <v>Tidak</v>
          </cell>
          <cell r="I4789" t="str">
            <v>Bandar Judol Withdrawal</v>
          </cell>
          <cell r="J4789">
            <v>35</v>
          </cell>
          <cell r="K4789" t="str">
            <v>86,88,87</v>
          </cell>
          <cell r="L4789" t="str">
            <v>Judi Online</v>
          </cell>
          <cell r="M4789" t="str">
            <v xml:space="preserve">Kas Kanpus                              </v>
          </cell>
          <cell r="N4789" t="str">
            <v xml:space="preserve">Kas Kanpus                              </v>
          </cell>
          <cell r="O4789" t="str">
            <v xml:space="preserve">KAS KANPUS                              </v>
          </cell>
          <cell r="P4789" t="str">
            <v>Ya</v>
          </cell>
          <cell r="Q4789" t="str">
            <v>Ya</v>
          </cell>
          <cell r="R4789" t="str">
            <v>Done</v>
          </cell>
          <cell r="S4789" t="str">
            <v>Approved</v>
          </cell>
          <cell r="T4789" t="str">
            <v>90186790 - Muhammad Alfin Farha</v>
          </cell>
          <cell r="U4789" t="str">
            <v>"-"</v>
          </cell>
        </row>
        <row r="4790">
          <cell r="A4790">
            <v>46265</v>
          </cell>
          <cell r="B4790" t="str">
            <v xml:space="preserve">M NAZAR                                 </v>
          </cell>
          <cell r="C4790" t="str">
            <v>MDKMB94</v>
          </cell>
          <cell r="D4790">
            <v>109201000662567</v>
          </cell>
          <cell r="F4790" t="str">
            <v>Tidak</v>
          </cell>
          <cell r="G4790" t="str">
            <v>Tidak</v>
          </cell>
          <cell r="H4790" t="str">
            <v>Tidak</v>
          </cell>
          <cell r="I4790" t="str">
            <v>Bandar Judol Depo</v>
          </cell>
          <cell r="J4790">
            <v>35</v>
          </cell>
          <cell r="K4790" t="str">
            <v>86,74,87</v>
          </cell>
          <cell r="L4790" t="str">
            <v>Judi Online</v>
          </cell>
          <cell r="M4790" t="str">
            <v xml:space="preserve">Kas Kanpus                              </v>
          </cell>
          <cell r="N4790" t="str">
            <v xml:space="preserve">Kas Kanpus                              </v>
          </cell>
          <cell r="O4790" t="str">
            <v xml:space="preserve">KAS KANPUS                              </v>
          </cell>
          <cell r="P4790" t="str">
            <v>Ya</v>
          </cell>
          <cell r="Q4790" t="str">
            <v>Ya</v>
          </cell>
          <cell r="R4790" t="str">
            <v>Done</v>
          </cell>
          <cell r="S4790" t="str">
            <v>Approved</v>
          </cell>
          <cell r="T4790" t="str">
            <v>90170665 - Mutiara Ayuningtyas</v>
          </cell>
          <cell r="U4790" t="str">
            <v>"-"</v>
          </cell>
        </row>
        <row r="4791">
          <cell r="A4791">
            <v>46265</v>
          </cell>
          <cell r="B4791" t="str">
            <v xml:space="preserve">MUHAMMAD FITTIAN IQBAL                  </v>
          </cell>
          <cell r="C4791" t="str">
            <v>MDKO173</v>
          </cell>
          <cell r="D4791">
            <v>5301160778504</v>
          </cell>
          <cell r="E4791" t="str">
            <v>SEDANG</v>
          </cell>
          <cell r="F4791" t="str">
            <v>Tidak</v>
          </cell>
          <cell r="G4791" t="str">
            <v>Tidak</v>
          </cell>
          <cell r="H4791" t="str">
            <v>Tidak</v>
          </cell>
          <cell r="I4791" t="str">
            <v>Bandar Judol Withdrawal</v>
          </cell>
          <cell r="J4791">
            <v>50</v>
          </cell>
          <cell r="K4791" t="str">
            <v>86,88,87</v>
          </cell>
          <cell r="L4791" t="str">
            <v>Judi Online</v>
          </cell>
          <cell r="M4791" t="str">
            <v xml:space="preserve">Kas Kanpus                              </v>
          </cell>
          <cell r="N4791" t="str">
            <v xml:space="preserve">Kas Kanpus                              </v>
          </cell>
          <cell r="O4791" t="str">
            <v xml:space="preserve">KAS KANPUS                              </v>
          </cell>
          <cell r="P4791" t="str">
            <v>Ya</v>
          </cell>
          <cell r="Q4791" t="str">
            <v>Ya</v>
          </cell>
          <cell r="R4791" t="str">
            <v>Done</v>
          </cell>
          <cell r="S4791" t="str">
            <v>Approved</v>
          </cell>
          <cell r="T4791" t="str">
            <v>90170665 - Mutiara Ayuningtyas</v>
          </cell>
          <cell r="U4791" t="str">
            <v>"-"</v>
          </cell>
        </row>
        <row r="4792">
          <cell r="A4792">
            <v>46265</v>
          </cell>
          <cell r="B4792" t="str">
            <v xml:space="preserve">MARHADI                                 </v>
          </cell>
          <cell r="C4792" t="str">
            <v>MDKUU21</v>
          </cell>
          <cell r="D4792">
            <v>11601182989503</v>
          </cell>
          <cell r="F4792" t="str">
            <v>Tidak</v>
          </cell>
          <cell r="G4792" t="str">
            <v>Tidak</v>
          </cell>
          <cell r="H4792" t="str">
            <v>Tidak</v>
          </cell>
          <cell r="I4792" t="str">
            <v>Bandar Judol Withdrawal</v>
          </cell>
          <cell r="J4792">
            <v>35</v>
          </cell>
          <cell r="K4792" t="str">
            <v>86,88,87</v>
          </cell>
          <cell r="L4792" t="str">
            <v>Judi Online</v>
          </cell>
          <cell r="M4792" t="str">
            <v xml:space="preserve">Kas Kanpus                              </v>
          </cell>
          <cell r="N4792" t="str">
            <v xml:space="preserve">Kas Kanpus                              </v>
          </cell>
          <cell r="O4792" t="str">
            <v xml:space="preserve">KAS KANPUS                              </v>
          </cell>
          <cell r="P4792" t="str">
            <v>Ya</v>
          </cell>
          <cell r="Q4792" t="str">
            <v>Ya</v>
          </cell>
          <cell r="R4792" t="str">
            <v>Done</v>
          </cell>
          <cell r="S4792" t="str">
            <v>Approved</v>
          </cell>
          <cell r="T4792" t="str">
            <v>00336949 - Mochammad Al Farabi</v>
          </cell>
          <cell r="U4792" t="str">
            <v>"-"</v>
          </cell>
        </row>
        <row r="4793">
          <cell r="A4793">
            <v>46265</v>
          </cell>
          <cell r="B4793" t="str">
            <v xml:space="preserve">MOHAMAD NURADI                          </v>
          </cell>
          <cell r="C4793" t="str">
            <v>MDKWD94</v>
          </cell>
          <cell r="D4793">
            <v>65301020745500</v>
          </cell>
          <cell r="F4793" t="str">
            <v>Tidak</v>
          </cell>
          <cell r="G4793" t="str">
            <v>Tidak</v>
          </cell>
          <cell r="H4793" t="str">
            <v>Tidak</v>
          </cell>
          <cell r="I4793" t="str">
            <v>Bandar Judol Withdrawal</v>
          </cell>
          <cell r="J4793">
            <v>35</v>
          </cell>
          <cell r="K4793" t="str">
            <v>86,88,87</v>
          </cell>
          <cell r="L4793" t="str">
            <v>Judi Online</v>
          </cell>
          <cell r="M4793" t="str">
            <v xml:space="preserve">Kas Kanpus                              </v>
          </cell>
          <cell r="N4793" t="str">
            <v xml:space="preserve">Kas Kanpus                              </v>
          </cell>
          <cell r="O4793" t="str">
            <v xml:space="preserve">KAS KANPUS                              </v>
          </cell>
          <cell r="P4793" t="str">
            <v>Ya</v>
          </cell>
          <cell r="Q4793" t="str">
            <v>Tidak</v>
          </cell>
          <cell r="R4793" t="str">
            <v>Done</v>
          </cell>
          <cell r="S4793" t="str">
            <v>Approved</v>
          </cell>
          <cell r="T4793" t="str">
            <v>00336949 - Mochammad Al Farabi</v>
          </cell>
          <cell r="U4793" t="str">
            <v>"-"</v>
          </cell>
        </row>
        <row r="4794">
          <cell r="A4794">
            <v>46265</v>
          </cell>
          <cell r="B4794" t="str">
            <v xml:space="preserve">MUHAMAD ALDI                            </v>
          </cell>
          <cell r="C4794" t="str">
            <v>MDKXT59</v>
          </cell>
          <cell r="D4794">
            <v>224801006866501</v>
          </cell>
          <cell r="F4794" t="str">
            <v>Tidak</v>
          </cell>
          <cell r="G4794" t="str">
            <v>Tidak</v>
          </cell>
          <cell r="H4794" t="str">
            <v>Tidak</v>
          </cell>
          <cell r="I4794" t="str">
            <v>Bandar Judol Withdrawal</v>
          </cell>
          <cell r="J4794">
            <v>35</v>
          </cell>
          <cell r="K4794" t="str">
            <v>86,88,87</v>
          </cell>
          <cell r="L4794" t="str">
            <v>Judi Online</v>
          </cell>
          <cell r="M4794" t="str">
            <v xml:space="preserve">Kas Kanpus                              </v>
          </cell>
          <cell r="N4794" t="str">
            <v xml:space="preserve">Kas Kanpus                              </v>
          </cell>
          <cell r="O4794" t="str">
            <v xml:space="preserve">KAS KANPUS                              </v>
          </cell>
          <cell r="P4794" t="str">
            <v>Ya</v>
          </cell>
          <cell r="Q4794" t="str">
            <v>Ya</v>
          </cell>
          <cell r="R4794" t="str">
            <v>Done</v>
          </cell>
          <cell r="S4794" t="str">
            <v>Approved</v>
          </cell>
          <cell r="T4794" t="str">
            <v>00394520 - Frida Akbar Rani</v>
          </cell>
          <cell r="U4794" t="str">
            <v>"-"</v>
          </cell>
        </row>
        <row r="4795">
          <cell r="A4795">
            <v>46265</v>
          </cell>
          <cell r="B4795" t="str">
            <v xml:space="preserve">MARTHA DILA SAPUTRI                     </v>
          </cell>
          <cell r="C4795" t="str">
            <v>MDKZJ56</v>
          </cell>
          <cell r="D4795">
            <v>301101000015562</v>
          </cell>
          <cell r="F4795" t="str">
            <v>Tidak</v>
          </cell>
          <cell r="G4795" t="str">
            <v>Tidak</v>
          </cell>
          <cell r="H4795" t="str">
            <v>Tidak</v>
          </cell>
          <cell r="I4795" t="str">
            <v>Bandar Judol Depo</v>
          </cell>
          <cell r="J4795">
            <v>35</v>
          </cell>
          <cell r="K4795" t="str">
            <v>86,74,87</v>
          </cell>
          <cell r="L4795" t="str">
            <v>Judi Online</v>
          </cell>
          <cell r="M4795" t="str">
            <v xml:space="preserve">Kas Kanpus                              </v>
          </cell>
          <cell r="N4795" t="str">
            <v xml:space="preserve">Kas Kanpus                              </v>
          </cell>
          <cell r="O4795" t="str">
            <v xml:space="preserve">KAS KANPUS                              </v>
          </cell>
          <cell r="P4795" t="str">
            <v>Ya</v>
          </cell>
          <cell r="Q4795" t="str">
            <v>Ya</v>
          </cell>
          <cell r="R4795" t="str">
            <v>Done</v>
          </cell>
          <cell r="S4795" t="str">
            <v>Approved</v>
          </cell>
          <cell r="T4795" t="str">
            <v>00336949 - Mochammad Al Farabi</v>
          </cell>
          <cell r="U4795" t="str">
            <v>"-"</v>
          </cell>
        </row>
        <row r="4796">
          <cell r="A4796">
            <v>46265</v>
          </cell>
          <cell r="B4796" t="str">
            <v xml:space="preserve">MUHAMMD GALIH RAMADHAN                  </v>
          </cell>
          <cell r="C4796" t="str">
            <v>MDKJS31</v>
          </cell>
          <cell r="D4796">
            <v>338001005308505</v>
          </cell>
          <cell r="F4796" t="str">
            <v>Tidak</v>
          </cell>
          <cell r="G4796" t="str">
            <v>Tidak</v>
          </cell>
          <cell r="H4796" t="str">
            <v>Tidak</v>
          </cell>
          <cell r="I4796" t="str">
            <v>Bandar Judol Depo</v>
          </cell>
          <cell r="J4796">
            <v>35</v>
          </cell>
          <cell r="K4796" t="str">
            <v>86,74,87</v>
          </cell>
          <cell r="L4796" t="str">
            <v>Judi Online</v>
          </cell>
          <cell r="M4796" t="str">
            <v xml:space="preserve">Kas Kanpus                              </v>
          </cell>
          <cell r="N4796" t="str">
            <v xml:space="preserve">Kas Kanpus                              </v>
          </cell>
          <cell r="O4796" t="str">
            <v xml:space="preserve">KAS KANPUS                              </v>
          </cell>
          <cell r="P4796" t="str">
            <v>Ya</v>
          </cell>
          <cell r="Q4796" t="str">
            <v>Ya</v>
          </cell>
          <cell r="R4796" t="str">
            <v>Done</v>
          </cell>
          <cell r="S4796" t="str">
            <v>Approved</v>
          </cell>
          <cell r="T4796" t="str">
            <v>00336949 - Mochammad Al Farabi</v>
          </cell>
          <cell r="U4796" t="str">
            <v>"-"</v>
          </cell>
        </row>
        <row r="4797">
          <cell r="A4797">
            <v>46265</v>
          </cell>
          <cell r="B4797" t="str">
            <v xml:space="preserve">MATTHEW HAIKAL GOLDY S.                 </v>
          </cell>
          <cell r="C4797" t="str">
            <v>MDLTY83</v>
          </cell>
          <cell r="D4797">
            <v>11301147113501</v>
          </cell>
          <cell r="F4797" t="str">
            <v>Tidak</v>
          </cell>
          <cell r="G4797" t="str">
            <v>Tidak</v>
          </cell>
          <cell r="H4797" t="str">
            <v>Tidak</v>
          </cell>
          <cell r="I4797" t="str">
            <v>Bandar Judol Depo</v>
          </cell>
          <cell r="J4797">
            <v>35</v>
          </cell>
          <cell r="K4797" t="str">
            <v>86,74,87</v>
          </cell>
          <cell r="L4797" t="str">
            <v>Judi Online</v>
          </cell>
          <cell r="M4797" t="str">
            <v xml:space="preserve">Kas Kanpus                              </v>
          </cell>
          <cell r="N4797" t="str">
            <v xml:space="preserve">Kas Kanpus                              </v>
          </cell>
          <cell r="O4797" t="str">
            <v xml:space="preserve">KAS KANPUS                              </v>
          </cell>
          <cell r="P4797" t="str">
            <v>Ya</v>
          </cell>
          <cell r="Q4797" t="str">
            <v>Ya</v>
          </cell>
          <cell r="R4797" t="str">
            <v>Done</v>
          </cell>
          <cell r="S4797" t="str">
            <v>Approved</v>
          </cell>
          <cell r="T4797" t="str">
            <v>90186790 - Muhammad Alfin Farha</v>
          </cell>
          <cell r="U4797" t="str">
            <v>"-"</v>
          </cell>
        </row>
        <row r="4798">
          <cell r="A4798">
            <v>46265</v>
          </cell>
          <cell r="B4798" t="str">
            <v xml:space="preserve">MEDI                                    </v>
          </cell>
          <cell r="C4798" t="str">
            <v>MDMHH94</v>
          </cell>
          <cell r="D4798">
            <v>119401001049564</v>
          </cell>
          <cell r="F4798" t="str">
            <v>Tidak</v>
          </cell>
          <cell r="G4798" t="str">
            <v>Tidak</v>
          </cell>
          <cell r="H4798" t="str">
            <v>Tidak</v>
          </cell>
          <cell r="I4798" t="str">
            <v>Bandar Judol Withdrawal</v>
          </cell>
          <cell r="J4798">
            <v>35</v>
          </cell>
          <cell r="K4798" t="str">
            <v>86,88,87</v>
          </cell>
          <cell r="L4798" t="str">
            <v>Judi Online</v>
          </cell>
          <cell r="M4798" t="str">
            <v xml:space="preserve">Kas Kanpus                              </v>
          </cell>
          <cell r="N4798" t="str">
            <v xml:space="preserve">Kas Kanpus                              </v>
          </cell>
          <cell r="O4798" t="str">
            <v xml:space="preserve">KAS KANPUS                              </v>
          </cell>
          <cell r="P4798" t="str">
            <v>Ya</v>
          </cell>
          <cell r="Q4798" t="str">
            <v>Ya</v>
          </cell>
          <cell r="R4798" t="str">
            <v>Done</v>
          </cell>
          <cell r="S4798" t="str">
            <v>Approved</v>
          </cell>
          <cell r="T4798" t="str">
            <v>00394521 - Muhammad Hibbanduta</v>
          </cell>
          <cell r="U4798" t="str">
            <v>"-"</v>
          </cell>
        </row>
        <row r="4799">
          <cell r="A4799">
            <v>46265</v>
          </cell>
          <cell r="B4799" t="str">
            <v xml:space="preserve">MUHAMMAD TRIYA SANDI                    </v>
          </cell>
          <cell r="C4799" t="str">
            <v>MDNAG64</v>
          </cell>
          <cell r="D4799">
            <v>5301007545567</v>
          </cell>
          <cell r="F4799" t="str">
            <v>Tidak</v>
          </cell>
          <cell r="G4799" t="str">
            <v>Tidak</v>
          </cell>
          <cell r="H4799" t="str">
            <v>Tidak</v>
          </cell>
          <cell r="I4799" t="str">
            <v>Bandar Judol Withdrawal</v>
          </cell>
          <cell r="J4799">
            <v>35</v>
          </cell>
          <cell r="K4799" t="str">
            <v>86,88,87</v>
          </cell>
          <cell r="L4799" t="str">
            <v>Judi Online</v>
          </cell>
          <cell r="M4799" t="str">
            <v xml:space="preserve">Kas Kanpus                              </v>
          </cell>
          <cell r="N4799" t="str">
            <v xml:space="preserve">Kas Kanpus                              </v>
          </cell>
          <cell r="O4799" t="str">
            <v xml:space="preserve">KAS KANPUS                              </v>
          </cell>
          <cell r="P4799" t="str">
            <v>Ya</v>
          </cell>
          <cell r="Q4799" t="str">
            <v>Tidak</v>
          </cell>
          <cell r="R4799" t="str">
            <v>Done</v>
          </cell>
          <cell r="S4799" t="str">
            <v>Approved</v>
          </cell>
          <cell r="T4799" t="str">
            <v>00394521 - Muhammad Hibbanduta</v>
          </cell>
          <cell r="U4799" t="str">
            <v>"-"</v>
          </cell>
        </row>
        <row r="4800">
          <cell r="A4800">
            <v>46265</v>
          </cell>
          <cell r="B4800" t="str">
            <v xml:space="preserve">MUHAMMAD SAEFUL ANWAR                   </v>
          </cell>
          <cell r="C4800" t="str">
            <v>MDNCE62</v>
          </cell>
          <cell r="D4800">
            <v>43801004055569</v>
          </cell>
          <cell r="F4800" t="str">
            <v>Tidak</v>
          </cell>
          <cell r="G4800" t="str">
            <v>Tidak</v>
          </cell>
          <cell r="H4800" t="str">
            <v>Tidak</v>
          </cell>
          <cell r="I4800" t="str">
            <v>Bandar Judol Withdrawal</v>
          </cell>
          <cell r="J4800">
            <v>35</v>
          </cell>
          <cell r="K4800" t="str">
            <v>86,88,87</v>
          </cell>
          <cell r="L4800" t="str">
            <v>Judi Online</v>
          </cell>
          <cell r="M4800" t="str">
            <v xml:space="preserve">Kas Kanpus                              </v>
          </cell>
          <cell r="N4800" t="str">
            <v xml:space="preserve">Kas Kanpus                              </v>
          </cell>
          <cell r="O4800" t="str">
            <v xml:space="preserve">KAS KANPUS                              </v>
          </cell>
          <cell r="P4800" t="str">
            <v>Ya</v>
          </cell>
          <cell r="Q4800" t="str">
            <v>Ya</v>
          </cell>
          <cell r="R4800" t="str">
            <v>Done</v>
          </cell>
          <cell r="S4800" t="str">
            <v>Approved</v>
          </cell>
          <cell r="T4800" t="str">
            <v>00394520 - Frida Akbar Rani</v>
          </cell>
          <cell r="U4800" t="str">
            <v>"-"</v>
          </cell>
        </row>
        <row r="4801">
          <cell r="A4801">
            <v>46265</v>
          </cell>
          <cell r="B4801" t="str">
            <v xml:space="preserve">MUHAMMAD RIZKI RAMADANI                 </v>
          </cell>
          <cell r="C4801" t="str">
            <v>MDNCY73</v>
          </cell>
          <cell r="D4801">
            <v>90901021920504</v>
          </cell>
          <cell r="F4801" t="str">
            <v>Tidak</v>
          </cell>
          <cell r="G4801" t="str">
            <v>Tidak</v>
          </cell>
          <cell r="H4801" t="str">
            <v>Tidak</v>
          </cell>
          <cell r="I4801" t="str">
            <v>Bandar Judol Withdrawal</v>
          </cell>
          <cell r="J4801">
            <v>35</v>
          </cell>
          <cell r="K4801" t="str">
            <v>86,88,87</v>
          </cell>
          <cell r="L4801" t="str">
            <v>Judi Online</v>
          </cell>
          <cell r="M4801" t="str">
            <v xml:space="preserve">Kas Kanpus                              </v>
          </cell>
          <cell r="N4801" t="str">
            <v xml:space="preserve">Kas Kanpus                              </v>
          </cell>
          <cell r="O4801" t="str">
            <v xml:space="preserve">KAS KANPUS                              </v>
          </cell>
          <cell r="P4801" t="str">
            <v>Tidak</v>
          </cell>
          <cell r="Q4801" t="str">
            <v>Ya</v>
          </cell>
          <cell r="R4801" t="str">
            <v>Done</v>
          </cell>
          <cell r="S4801" t="str">
            <v>Approved</v>
          </cell>
          <cell r="T4801" t="str">
            <v>90150130 - Intan Aida Pratiwi</v>
          </cell>
          <cell r="U4801" t="str">
            <v>"-"</v>
          </cell>
        </row>
        <row r="4802">
          <cell r="A4802">
            <v>46265</v>
          </cell>
          <cell r="B4802" t="str">
            <v xml:space="preserve">MUHAMMAD RIO FERDINAND                  </v>
          </cell>
          <cell r="C4802" t="str">
            <v>MDMSM87</v>
          </cell>
          <cell r="D4802">
            <v>43801004046560</v>
          </cell>
          <cell r="F4802" t="str">
            <v>Tidak</v>
          </cell>
          <cell r="G4802" t="str">
            <v>Tidak</v>
          </cell>
          <cell r="H4802" t="str">
            <v>Tidak</v>
          </cell>
          <cell r="I4802" t="str">
            <v>Bandar Judol Depo</v>
          </cell>
          <cell r="J4802">
            <v>35</v>
          </cell>
          <cell r="K4802" t="str">
            <v>86,74,87</v>
          </cell>
          <cell r="L4802" t="str">
            <v>Judi Online</v>
          </cell>
          <cell r="M4802" t="str">
            <v xml:space="preserve">Kas Kanpus                              </v>
          </cell>
          <cell r="N4802" t="str">
            <v xml:space="preserve">Kas Kanpus                              </v>
          </cell>
          <cell r="O4802" t="str">
            <v xml:space="preserve">KAS KANPUS                              </v>
          </cell>
          <cell r="P4802" t="str">
            <v>Ya</v>
          </cell>
          <cell r="Q4802" t="str">
            <v>Ya</v>
          </cell>
          <cell r="R4802" t="str">
            <v>Done</v>
          </cell>
          <cell r="S4802" t="str">
            <v>Approved</v>
          </cell>
          <cell r="T4802" t="str">
            <v>90185538 - Muhammad Fahikal Auz</v>
          </cell>
          <cell r="U4802" t="str">
            <v>"-"</v>
          </cell>
        </row>
        <row r="4803">
          <cell r="A4803">
            <v>46265</v>
          </cell>
          <cell r="B4803" t="str">
            <v xml:space="preserve">MAPAN SEHAT SENTOSA                     </v>
          </cell>
          <cell r="C4803" t="str">
            <v>MDMUR91</v>
          </cell>
          <cell r="D4803">
            <v>167301001085560</v>
          </cell>
          <cell r="F4803" t="str">
            <v>Tidak</v>
          </cell>
          <cell r="G4803" t="str">
            <v>Tidak</v>
          </cell>
          <cell r="H4803" t="str">
            <v>Tidak</v>
          </cell>
          <cell r="I4803" t="str">
            <v>Perpajakan</v>
          </cell>
          <cell r="J4803">
            <v>33</v>
          </cell>
          <cell r="K4803">
            <v>41</v>
          </cell>
          <cell r="L4803" t="str">
            <v>Perpajakan</v>
          </cell>
          <cell r="M4803" t="str">
            <v xml:space="preserve">KCP MALL PASAR ATOM                     </v>
          </cell>
          <cell r="N4803" t="str">
            <v xml:space="preserve">KC Surabaya Kusuma bangsa               </v>
          </cell>
          <cell r="O4803" t="str">
            <v xml:space="preserve">Surabaya                                </v>
          </cell>
          <cell r="P4803" t="str">
            <v>Tidak</v>
          </cell>
          <cell r="Q4803" t="str">
            <v>Tidak</v>
          </cell>
          <cell r="R4803" t="str">
            <v>Done</v>
          </cell>
          <cell r="S4803" t="str">
            <v>Approved</v>
          </cell>
          <cell r="T4803" t="str">
            <v>90185537 - Moh.Khoerul Fajar Ar</v>
          </cell>
          <cell r="U4803" t="str">
            <v>"-"</v>
          </cell>
        </row>
        <row r="4804">
          <cell r="A4804">
            <v>46265</v>
          </cell>
          <cell r="B4804" t="str">
            <v xml:space="preserve">MUHAMMAD FAHRIZAL                       </v>
          </cell>
          <cell r="C4804" t="str">
            <v>MDMKP65</v>
          </cell>
          <cell r="D4804">
            <v>33201173069508</v>
          </cell>
          <cell r="F4804" t="str">
            <v>Tidak</v>
          </cell>
          <cell r="G4804" t="str">
            <v>Tidak</v>
          </cell>
          <cell r="H4804" t="str">
            <v>Tidak</v>
          </cell>
          <cell r="I4804" t="str">
            <v>Bandar Judol Withdrawal</v>
          </cell>
          <cell r="J4804">
            <v>35</v>
          </cell>
          <cell r="K4804" t="str">
            <v>86,88,87</v>
          </cell>
          <cell r="L4804" t="str">
            <v>Judi Online</v>
          </cell>
          <cell r="M4804" t="str">
            <v xml:space="preserve">Kas Kanpus                              </v>
          </cell>
          <cell r="N4804" t="str">
            <v xml:space="preserve">Kas Kanpus                              </v>
          </cell>
          <cell r="O4804" t="str">
            <v xml:space="preserve">KAS KANPUS                              </v>
          </cell>
          <cell r="P4804" t="str">
            <v>Ya</v>
          </cell>
          <cell r="Q4804" t="str">
            <v>Ya</v>
          </cell>
          <cell r="R4804" t="str">
            <v>Done</v>
          </cell>
          <cell r="S4804" t="str">
            <v>Approved</v>
          </cell>
          <cell r="T4804" t="str">
            <v>90185537 - Moh.Khoerul Fajar Ar</v>
          </cell>
          <cell r="U4804" t="str">
            <v>"-"</v>
          </cell>
        </row>
        <row r="4805">
          <cell r="A4805">
            <v>46265</v>
          </cell>
          <cell r="B4805" t="str">
            <v xml:space="preserve">MUHAMMAD FAJAR                          </v>
          </cell>
          <cell r="C4805" t="str">
            <v>MDMLS50</v>
          </cell>
          <cell r="D4805">
            <v>112901038484506</v>
          </cell>
          <cell r="F4805" t="str">
            <v>Tidak</v>
          </cell>
          <cell r="G4805" t="str">
            <v>Tidak</v>
          </cell>
          <cell r="H4805" t="str">
            <v>Tidak</v>
          </cell>
          <cell r="I4805" t="str">
            <v>Bandar Judol Withdrawal</v>
          </cell>
          <cell r="J4805">
            <v>35</v>
          </cell>
          <cell r="K4805" t="str">
            <v>86,88,87</v>
          </cell>
          <cell r="L4805" t="str">
            <v>Judi Online</v>
          </cell>
          <cell r="M4805" t="str">
            <v xml:space="preserve">Kas Kanpus                              </v>
          </cell>
          <cell r="N4805" t="str">
            <v xml:space="preserve">Kas Kanpus                              </v>
          </cell>
          <cell r="O4805" t="str">
            <v xml:space="preserve">KAS KANPUS                              </v>
          </cell>
          <cell r="P4805" t="str">
            <v>Ya</v>
          </cell>
          <cell r="Q4805" t="str">
            <v>Ya</v>
          </cell>
          <cell r="R4805" t="str">
            <v>Done</v>
          </cell>
          <cell r="S4805" t="str">
            <v>Approved</v>
          </cell>
          <cell r="T4805" t="str">
            <v>90170665 - Mutiara Ayuningtyas</v>
          </cell>
          <cell r="U4805" t="str">
            <v>"-"</v>
          </cell>
        </row>
        <row r="4806">
          <cell r="A4806">
            <v>46265</v>
          </cell>
          <cell r="B4806" t="str">
            <v xml:space="preserve">MIMI SURYANI                            </v>
          </cell>
          <cell r="C4806" t="str">
            <v>MDNMO43</v>
          </cell>
          <cell r="D4806">
            <v>42101005285564</v>
          </cell>
          <cell r="F4806" t="str">
            <v>Tidak</v>
          </cell>
          <cell r="G4806" t="str">
            <v>Tidak</v>
          </cell>
          <cell r="H4806" t="str">
            <v>Tidak</v>
          </cell>
          <cell r="I4806" t="str">
            <v>Bandar Judol Withdrawal</v>
          </cell>
          <cell r="J4806">
            <v>35</v>
          </cell>
          <cell r="K4806" t="str">
            <v>86,88,87</v>
          </cell>
          <cell r="L4806" t="str">
            <v>Judi Online</v>
          </cell>
          <cell r="M4806" t="str">
            <v xml:space="preserve">Kas Kanpus                              </v>
          </cell>
          <cell r="N4806" t="str">
            <v xml:space="preserve">Kas Kanpus                              </v>
          </cell>
          <cell r="O4806" t="str">
            <v xml:space="preserve">KAS KANPUS                              </v>
          </cell>
          <cell r="P4806" t="str">
            <v>Ya</v>
          </cell>
          <cell r="Q4806" t="str">
            <v>Ya</v>
          </cell>
          <cell r="R4806" t="str">
            <v>Done</v>
          </cell>
          <cell r="S4806" t="str">
            <v>Approved</v>
          </cell>
          <cell r="T4806" t="str">
            <v>00394521 - Muhammad Hibbanduta</v>
          </cell>
          <cell r="U4806" t="str">
            <v>"-"</v>
          </cell>
        </row>
        <row r="4807">
          <cell r="A4807">
            <v>46265</v>
          </cell>
          <cell r="B4807" t="str">
            <v xml:space="preserve">MOH. SHERIF HUTAGA                      </v>
          </cell>
          <cell r="C4807" t="str">
            <v>MDNMS94</v>
          </cell>
          <cell r="D4807">
            <v>463501000008562</v>
          </cell>
          <cell r="F4807" t="str">
            <v>Tidak</v>
          </cell>
          <cell r="G4807" t="str">
            <v>Tidak</v>
          </cell>
          <cell r="H4807" t="str">
            <v>Tidak</v>
          </cell>
          <cell r="I4807" t="str">
            <v>Bandar Judol Depo</v>
          </cell>
          <cell r="J4807">
            <v>35</v>
          </cell>
          <cell r="K4807" t="str">
            <v>86,74,87</v>
          </cell>
          <cell r="L4807" t="str">
            <v>Judi Online</v>
          </cell>
          <cell r="M4807" t="str">
            <v xml:space="preserve">Kas Kanpus                              </v>
          </cell>
          <cell r="N4807" t="str">
            <v xml:space="preserve">Kas Kanpus                              </v>
          </cell>
          <cell r="O4807" t="str">
            <v xml:space="preserve">KAS KANPUS                              </v>
          </cell>
          <cell r="P4807" t="str">
            <v>Ya</v>
          </cell>
          <cell r="Q4807" t="str">
            <v>Ya</v>
          </cell>
          <cell r="R4807" t="str">
            <v>Done</v>
          </cell>
          <cell r="S4807" t="str">
            <v>Approved</v>
          </cell>
          <cell r="T4807" t="str">
            <v>90185537 - Moh.Khoerul Fajar Ar</v>
          </cell>
          <cell r="U4807" t="str">
            <v>"-"</v>
          </cell>
        </row>
        <row r="4808">
          <cell r="A4808">
            <v>46265</v>
          </cell>
          <cell r="B4808" t="str">
            <v xml:space="preserve">MUHAMMAD ADITIA HILMI                   </v>
          </cell>
          <cell r="C4808" t="str">
            <v>MDNNT50</v>
          </cell>
          <cell r="D4808">
            <v>33601159325504</v>
          </cell>
          <cell r="F4808" t="str">
            <v>Tidak</v>
          </cell>
          <cell r="G4808" t="str">
            <v>Tidak</v>
          </cell>
          <cell r="H4808" t="str">
            <v>Tidak</v>
          </cell>
          <cell r="I4808" t="str">
            <v>Bandar Judol Depo</v>
          </cell>
          <cell r="J4808">
            <v>35</v>
          </cell>
          <cell r="K4808" t="str">
            <v>86,74,87</v>
          </cell>
          <cell r="L4808" t="str">
            <v>Judi Online</v>
          </cell>
          <cell r="M4808" t="str">
            <v xml:space="preserve">Kas Kanpus                              </v>
          </cell>
          <cell r="N4808" t="str">
            <v xml:space="preserve">Kas Kanpus                              </v>
          </cell>
          <cell r="O4808" t="str">
            <v xml:space="preserve">KAS KANPUS                              </v>
          </cell>
          <cell r="P4808" t="str">
            <v>Ya</v>
          </cell>
          <cell r="Q4808" t="str">
            <v>Ya</v>
          </cell>
          <cell r="R4808" t="str">
            <v>Done</v>
          </cell>
          <cell r="S4808" t="str">
            <v>Approved</v>
          </cell>
          <cell r="T4808" t="str">
            <v>90186796 - Devito Arya Wiradila</v>
          </cell>
          <cell r="U4808" t="str">
            <v>"-"</v>
          </cell>
        </row>
        <row r="4809">
          <cell r="A4809">
            <v>46265</v>
          </cell>
          <cell r="B4809" t="str">
            <v xml:space="preserve">MUHAMMAD FAHRUL SIRAIT                  </v>
          </cell>
          <cell r="C4809" t="str">
            <v>MDNDJ73</v>
          </cell>
          <cell r="D4809">
            <v>338201052562530</v>
          </cell>
          <cell r="F4809" t="str">
            <v>Tidak</v>
          </cell>
          <cell r="G4809" t="str">
            <v>Tidak</v>
          </cell>
          <cell r="H4809" t="str">
            <v>Tidak</v>
          </cell>
          <cell r="I4809" t="str">
            <v>Bandar Judol Withdrawal</v>
          </cell>
          <cell r="J4809">
            <v>35</v>
          </cell>
          <cell r="K4809" t="str">
            <v>86,88,87</v>
          </cell>
          <cell r="L4809" t="str">
            <v>Judi Online</v>
          </cell>
          <cell r="M4809" t="str">
            <v xml:space="preserve">Kas Kanpus                              </v>
          </cell>
          <cell r="N4809" t="str">
            <v xml:space="preserve">Kas Kanpus                              </v>
          </cell>
          <cell r="O4809" t="str">
            <v xml:space="preserve">KAS KANPUS                              </v>
          </cell>
          <cell r="P4809" t="str">
            <v>Ya</v>
          </cell>
          <cell r="Q4809" t="str">
            <v>Ya</v>
          </cell>
          <cell r="R4809" t="str">
            <v>Done</v>
          </cell>
          <cell r="S4809" t="str">
            <v>Approved</v>
          </cell>
          <cell r="T4809" t="str">
            <v>90186796 - Devito Arya Wiradila</v>
          </cell>
          <cell r="U4809" t="str">
            <v>"-"</v>
          </cell>
        </row>
        <row r="4810">
          <cell r="A4810">
            <v>46265</v>
          </cell>
          <cell r="B4810" t="str">
            <v xml:space="preserve">M ADITYA SETIAWAN                       </v>
          </cell>
          <cell r="C4810" t="str">
            <v>MDNJY31</v>
          </cell>
          <cell r="D4810">
            <v>784701014811507</v>
          </cell>
          <cell r="F4810" t="str">
            <v>Tidak</v>
          </cell>
          <cell r="G4810" t="str">
            <v>Tidak</v>
          </cell>
          <cell r="H4810" t="str">
            <v>Tidak</v>
          </cell>
          <cell r="I4810" t="str">
            <v>Bandar Judol Withdrawal</v>
          </cell>
          <cell r="J4810">
            <v>35</v>
          </cell>
          <cell r="K4810" t="str">
            <v>86,88,87</v>
          </cell>
          <cell r="L4810" t="str">
            <v>Judi Online</v>
          </cell>
          <cell r="M4810" t="str">
            <v xml:space="preserve">Kas Kanpus                              </v>
          </cell>
          <cell r="N4810" t="str">
            <v xml:space="preserve">Kas Kanpus                              </v>
          </cell>
          <cell r="O4810" t="str">
            <v xml:space="preserve">KAS KANPUS                              </v>
          </cell>
          <cell r="P4810" t="str">
            <v>Ya</v>
          </cell>
          <cell r="Q4810" t="str">
            <v>Ya</v>
          </cell>
          <cell r="R4810" t="str">
            <v>Done</v>
          </cell>
          <cell r="S4810" t="str">
            <v>Approved</v>
          </cell>
          <cell r="T4810" t="str">
            <v>00394520 - Frida Akbar Rani</v>
          </cell>
          <cell r="U4810" t="str">
            <v>"-"</v>
          </cell>
        </row>
        <row r="4811">
          <cell r="A4811">
            <v>46265</v>
          </cell>
          <cell r="B4811" t="str">
            <v xml:space="preserve">MUHAMMAD SAHRUM                         </v>
          </cell>
          <cell r="C4811" t="str">
            <v>MDJKU14</v>
          </cell>
          <cell r="D4811">
            <v>530401048240534</v>
          </cell>
          <cell r="F4811" t="str">
            <v>Tidak</v>
          </cell>
          <cell r="G4811" t="str">
            <v>Tidak</v>
          </cell>
          <cell r="H4811" t="str">
            <v>Tidak</v>
          </cell>
          <cell r="I4811" t="str">
            <v>Bandar Judol Withdrawal</v>
          </cell>
          <cell r="J4811">
            <v>35</v>
          </cell>
          <cell r="K4811" t="str">
            <v>86,88,87</v>
          </cell>
          <cell r="L4811" t="str">
            <v>Judi Online</v>
          </cell>
          <cell r="M4811" t="str">
            <v xml:space="preserve">Kas Kanpus                              </v>
          </cell>
          <cell r="N4811" t="str">
            <v xml:space="preserve">Kas Kanpus                              </v>
          </cell>
          <cell r="O4811" t="str">
            <v xml:space="preserve">KAS KANPUS                              </v>
          </cell>
          <cell r="P4811" t="str">
            <v>Tidak</v>
          </cell>
          <cell r="Q4811" t="str">
            <v>Ya</v>
          </cell>
          <cell r="R4811" t="str">
            <v>Done</v>
          </cell>
          <cell r="S4811" t="str">
            <v>Approved</v>
          </cell>
          <cell r="T4811" t="str">
            <v>90186790 - Muhammad Alfin Farha</v>
          </cell>
          <cell r="U4811" t="str">
            <v>"-"</v>
          </cell>
        </row>
        <row r="4812">
          <cell r="A4812">
            <v>46265</v>
          </cell>
          <cell r="B4812" t="str">
            <v xml:space="preserve">M. IQBAL                                </v>
          </cell>
          <cell r="C4812" t="str">
            <v>MDJNB09</v>
          </cell>
          <cell r="D4812">
            <v>530401048258537</v>
          </cell>
          <cell r="F4812" t="str">
            <v>Tidak</v>
          </cell>
          <cell r="G4812" t="str">
            <v>Tidak</v>
          </cell>
          <cell r="H4812" t="str">
            <v>Tidak</v>
          </cell>
          <cell r="I4812" t="str">
            <v>Bandar Judol Withdrawal</v>
          </cell>
          <cell r="J4812">
            <v>35</v>
          </cell>
          <cell r="K4812" t="str">
            <v>86,88,87</v>
          </cell>
          <cell r="L4812" t="str">
            <v>Judi Online</v>
          </cell>
          <cell r="M4812" t="str">
            <v xml:space="preserve">Kas Kanpus                              </v>
          </cell>
          <cell r="N4812" t="str">
            <v xml:space="preserve">Kas Kanpus                              </v>
          </cell>
          <cell r="O4812" t="str">
            <v xml:space="preserve">KAS KANPUS                              </v>
          </cell>
          <cell r="P4812" t="str">
            <v>Ya</v>
          </cell>
          <cell r="Q4812" t="str">
            <v>Ya</v>
          </cell>
          <cell r="R4812" t="str">
            <v>Done</v>
          </cell>
          <cell r="S4812" t="str">
            <v>Approved</v>
          </cell>
          <cell r="T4812" t="str">
            <v>90186796 - Devito Arya Wiradila</v>
          </cell>
          <cell r="U4812" t="str">
            <v>"-"</v>
          </cell>
        </row>
        <row r="4813">
          <cell r="A4813">
            <v>46265</v>
          </cell>
          <cell r="B4813" t="str">
            <v xml:space="preserve">MUNAWIR                                 </v>
          </cell>
          <cell r="C4813" t="str">
            <v>MDJUT39</v>
          </cell>
          <cell r="D4813">
            <v>23801001988563</v>
          </cell>
          <cell r="F4813" t="str">
            <v>Tidak</v>
          </cell>
          <cell r="G4813" t="str">
            <v>Tidak</v>
          </cell>
          <cell r="H4813" t="str">
            <v>Tidak</v>
          </cell>
          <cell r="I4813" t="str">
            <v>Bandar Judol Depo</v>
          </cell>
          <cell r="J4813">
            <v>35</v>
          </cell>
          <cell r="K4813" t="str">
            <v>86,74,87</v>
          </cell>
          <cell r="L4813" t="str">
            <v>Judi Online</v>
          </cell>
          <cell r="M4813" t="str">
            <v xml:space="preserve">Kas Kanpus                              </v>
          </cell>
          <cell r="N4813" t="str">
            <v xml:space="preserve">Kas Kanpus                              </v>
          </cell>
          <cell r="O4813" t="str">
            <v xml:space="preserve">KAS KANPUS                              </v>
          </cell>
          <cell r="P4813" t="str">
            <v>Ya</v>
          </cell>
          <cell r="Q4813" t="str">
            <v>Ya</v>
          </cell>
          <cell r="R4813" t="str">
            <v>Done</v>
          </cell>
          <cell r="S4813" t="str">
            <v>Approved</v>
          </cell>
          <cell r="T4813" t="str">
            <v>90186796 - Devito Arya Wiradila</v>
          </cell>
          <cell r="U4813" t="str">
            <v>"-"</v>
          </cell>
        </row>
        <row r="4814">
          <cell r="A4814">
            <v>46265</v>
          </cell>
          <cell r="B4814" t="str">
            <v xml:space="preserve">MAS'AH                                  </v>
          </cell>
          <cell r="C4814" t="str">
            <v>MDJUX91</v>
          </cell>
          <cell r="D4814">
            <v>117601011847506</v>
          </cell>
          <cell r="F4814" t="str">
            <v>Tidak</v>
          </cell>
          <cell r="G4814" t="str">
            <v>Tidak</v>
          </cell>
          <cell r="H4814" t="str">
            <v>Tidak</v>
          </cell>
          <cell r="I4814" t="str">
            <v>Bandar Judol Withdrawal</v>
          </cell>
          <cell r="J4814">
            <v>35</v>
          </cell>
          <cell r="K4814" t="str">
            <v>86,88,87</v>
          </cell>
          <cell r="L4814" t="str">
            <v>Judi Online</v>
          </cell>
          <cell r="M4814" t="str">
            <v xml:space="preserve">Kas Kanpus                              </v>
          </cell>
          <cell r="N4814" t="str">
            <v xml:space="preserve">Kas Kanpus                              </v>
          </cell>
          <cell r="O4814" t="str">
            <v xml:space="preserve">KAS KANPUS                              </v>
          </cell>
          <cell r="P4814" t="str">
            <v>Ya</v>
          </cell>
          <cell r="Q4814" t="str">
            <v>Ya</v>
          </cell>
          <cell r="R4814" t="str">
            <v>Done</v>
          </cell>
          <cell r="S4814" t="str">
            <v>Approved</v>
          </cell>
          <cell r="T4814" t="str">
            <v>90185538 - Muhammad Fahikal Auz</v>
          </cell>
          <cell r="U4814" t="str">
            <v>"-"</v>
          </cell>
        </row>
        <row r="4815">
          <cell r="A4815">
            <v>46265</v>
          </cell>
          <cell r="B4815" t="str">
            <v xml:space="preserve">MUHDI                                   </v>
          </cell>
          <cell r="C4815" t="str">
            <v>MDJVB23</v>
          </cell>
          <cell r="D4815">
            <v>481701011473504</v>
          </cell>
          <cell r="F4815" t="str">
            <v>Tidak</v>
          </cell>
          <cell r="G4815" t="str">
            <v>Tidak</v>
          </cell>
          <cell r="H4815" t="str">
            <v>Tidak</v>
          </cell>
          <cell r="I4815" t="str">
            <v>Bandar Judol Withdrawal</v>
          </cell>
          <cell r="J4815">
            <v>35</v>
          </cell>
          <cell r="K4815" t="str">
            <v>86,88,87</v>
          </cell>
          <cell r="L4815" t="str">
            <v>Judi Online</v>
          </cell>
          <cell r="M4815" t="str">
            <v xml:space="preserve">Kas Kanpus                              </v>
          </cell>
          <cell r="N4815" t="str">
            <v xml:space="preserve">Kas Kanpus                              </v>
          </cell>
          <cell r="O4815" t="str">
            <v xml:space="preserve">KAS KANPUS                              </v>
          </cell>
          <cell r="P4815" t="str">
            <v>Ya</v>
          </cell>
          <cell r="Q4815" t="str">
            <v>Ya</v>
          </cell>
          <cell r="R4815" t="str">
            <v>Done</v>
          </cell>
          <cell r="S4815" t="str">
            <v>Approved</v>
          </cell>
          <cell r="T4815" t="str">
            <v>90150130 - Intan Aida Pratiwi</v>
          </cell>
          <cell r="U4815" t="str">
            <v>"-"</v>
          </cell>
        </row>
        <row r="4816">
          <cell r="A4816">
            <v>46265</v>
          </cell>
          <cell r="B4816" t="str">
            <v xml:space="preserve">M.ANJAS                                 </v>
          </cell>
          <cell r="C4816" t="str">
            <v>MDJXM01</v>
          </cell>
          <cell r="D4816">
            <v>44501076276508</v>
          </cell>
          <cell r="F4816" t="str">
            <v>Tidak</v>
          </cell>
          <cell r="G4816" t="str">
            <v>Tidak</v>
          </cell>
          <cell r="H4816" t="str">
            <v>Tidak</v>
          </cell>
          <cell r="I4816" t="str">
            <v>Bandar Judol Withdrawal</v>
          </cell>
          <cell r="J4816">
            <v>35</v>
          </cell>
          <cell r="K4816" t="str">
            <v>86,88,87</v>
          </cell>
          <cell r="L4816" t="str">
            <v>Judi Online</v>
          </cell>
          <cell r="M4816" t="str">
            <v xml:space="preserve">Kas Kanpus                              </v>
          </cell>
          <cell r="N4816" t="str">
            <v xml:space="preserve">Kas Kanpus                              </v>
          </cell>
          <cell r="O4816" t="str">
            <v xml:space="preserve">KAS KANPUS                              </v>
          </cell>
          <cell r="P4816" t="str">
            <v>Ya</v>
          </cell>
          <cell r="Q4816" t="str">
            <v>Ya</v>
          </cell>
          <cell r="R4816" t="str">
            <v>Done</v>
          </cell>
          <cell r="S4816" t="str">
            <v>Approved</v>
          </cell>
          <cell r="T4816" t="str">
            <v>90150130 - Intan Aida Pratiwi</v>
          </cell>
          <cell r="U4816" t="str">
            <v>"-"</v>
          </cell>
        </row>
        <row r="4817">
          <cell r="A4817">
            <v>46265</v>
          </cell>
          <cell r="B4817" t="str">
            <v xml:space="preserve">MUHAMMAD KHAIRUL AZMI                   </v>
          </cell>
          <cell r="C4817" t="str">
            <v>MDCDG94</v>
          </cell>
          <cell r="D4817">
            <v>530301003850508</v>
          </cell>
          <cell r="F4817" t="str">
            <v>Tidak</v>
          </cell>
          <cell r="G4817" t="str">
            <v>Tidak</v>
          </cell>
          <cell r="H4817" t="str">
            <v>Tidak</v>
          </cell>
          <cell r="I4817" t="str">
            <v>Bandar Judol Withdrawal</v>
          </cell>
          <cell r="J4817">
            <v>35</v>
          </cell>
          <cell r="K4817" t="str">
            <v>86,88,87</v>
          </cell>
          <cell r="L4817" t="str">
            <v>Judi Online</v>
          </cell>
          <cell r="M4817" t="str">
            <v xml:space="preserve">Kas Kanpus                              </v>
          </cell>
          <cell r="N4817" t="str">
            <v xml:space="preserve">Kas Kanpus                              </v>
          </cell>
          <cell r="O4817" t="str">
            <v xml:space="preserve">KAS KANPUS                              </v>
          </cell>
          <cell r="P4817" t="str">
            <v>Ya</v>
          </cell>
          <cell r="Q4817" t="str">
            <v>Ya</v>
          </cell>
          <cell r="R4817" t="str">
            <v>Done</v>
          </cell>
          <cell r="S4817" t="str">
            <v>Approved</v>
          </cell>
          <cell r="T4817" t="str">
            <v>90150130 - Intan Aida Pratiwi</v>
          </cell>
          <cell r="U4817" t="str">
            <v>"-"</v>
          </cell>
        </row>
        <row r="4818">
          <cell r="A4818">
            <v>46265</v>
          </cell>
          <cell r="B4818" t="str">
            <v xml:space="preserve">MUHAMMAD INSYA AL FATTAH                </v>
          </cell>
          <cell r="C4818" t="str">
            <v>MDCDJ13</v>
          </cell>
          <cell r="D4818">
            <v>530401048026532</v>
          </cell>
          <cell r="F4818" t="str">
            <v>Tidak</v>
          </cell>
          <cell r="G4818" t="str">
            <v>Tidak</v>
          </cell>
          <cell r="H4818" t="str">
            <v>Tidak</v>
          </cell>
          <cell r="I4818" t="str">
            <v>Bandar Judol Withdrawal</v>
          </cell>
          <cell r="J4818">
            <v>35</v>
          </cell>
          <cell r="K4818" t="str">
            <v>86,88,87</v>
          </cell>
          <cell r="L4818" t="str">
            <v>Judi Online</v>
          </cell>
          <cell r="M4818" t="str">
            <v xml:space="preserve">Kas Kanpus                              </v>
          </cell>
          <cell r="N4818" t="str">
            <v xml:space="preserve">Kas Kanpus                              </v>
          </cell>
          <cell r="O4818" t="str">
            <v xml:space="preserve">KAS KANPUS                              </v>
          </cell>
          <cell r="P4818" t="str">
            <v>Ya</v>
          </cell>
          <cell r="Q4818" t="str">
            <v>Ya</v>
          </cell>
          <cell r="R4818" t="str">
            <v>Done</v>
          </cell>
          <cell r="S4818" t="str">
            <v>Approved</v>
          </cell>
          <cell r="T4818" t="str">
            <v>90185537 - Moh.Khoerul Fajar Ar</v>
          </cell>
          <cell r="U4818" t="str">
            <v>"-"</v>
          </cell>
        </row>
        <row r="4819">
          <cell r="A4819">
            <v>46265</v>
          </cell>
          <cell r="B4819" t="str">
            <v xml:space="preserve">MUHAMAD GENTA PRATAMA                   </v>
          </cell>
          <cell r="C4819" t="str">
            <v>MDCJJ11</v>
          </cell>
          <cell r="D4819">
            <v>330301004292505</v>
          </cell>
          <cell r="F4819" t="str">
            <v>Tidak</v>
          </cell>
          <cell r="G4819" t="str">
            <v>Tidak</v>
          </cell>
          <cell r="H4819" t="str">
            <v>Tidak</v>
          </cell>
          <cell r="I4819" t="str">
            <v>Bandar Judol Withdrawal</v>
          </cell>
          <cell r="J4819">
            <v>35</v>
          </cell>
          <cell r="K4819" t="str">
            <v>86,88,87</v>
          </cell>
          <cell r="L4819" t="str">
            <v>Judi Online</v>
          </cell>
          <cell r="M4819" t="str">
            <v xml:space="preserve">Kas Kanpus                              </v>
          </cell>
          <cell r="N4819" t="str">
            <v xml:space="preserve">Kas Kanpus                              </v>
          </cell>
          <cell r="O4819" t="str">
            <v xml:space="preserve">KAS KANPUS                              </v>
          </cell>
          <cell r="P4819" t="str">
            <v>Ya</v>
          </cell>
          <cell r="Q4819" t="str">
            <v>Ya</v>
          </cell>
          <cell r="R4819" t="str">
            <v>Done</v>
          </cell>
          <cell r="S4819" t="str">
            <v>Approved</v>
          </cell>
          <cell r="T4819" t="str">
            <v>90186790 - Muhammad Alfin Farha</v>
          </cell>
          <cell r="U4819" t="str">
            <v>"-"</v>
          </cell>
        </row>
        <row r="4820">
          <cell r="A4820">
            <v>46265</v>
          </cell>
          <cell r="B4820" t="str">
            <v xml:space="preserve">MUHAMMAD RAFLY                          </v>
          </cell>
          <cell r="C4820" t="str">
            <v>MDCNH19</v>
          </cell>
          <cell r="D4820">
            <v>42101005211565</v>
          </cell>
          <cell r="F4820" t="str">
            <v>Tidak</v>
          </cell>
          <cell r="G4820" t="str">
            <v>Tidak</v>
          </cell>
          <cell r="H4820" t="str">
            <v>Tidak</v>
          </cell>
          <cell r="I4820" t="str">
            <v>Bandar Judol Withdrawal</v>
          </cell>
          <cell r="J4820">
            <v>35</v>
          </cell>
          <cell r="K4820" t="str">
            <v>86,88,87</v>
          </cell>
          <cell r="L4820" t="str">
            <v>Judi Online</v>
          </cell>
          <cell r="M4820" t="str">
            <v xml:space="preserve">Kas Kanpus                              </v>
          </cell>
          <cell r="N4820" t="str">
            <v xml:space="preserve">Kas Kanpus                              </v>
          </cell>
          <cell r="O4820" t="str">
            <v xml:space="preserve">KAS KANPUS                              </v>
          </cell>
          <cell r="P4820" t="str">
            <v>Ya</v>
          </cell>
          <cell r="Q4820" t="str">
            <v>Ya</v>
          </cell>
          <cell r="R4820" t="str">
            <v>Done</v>
          </cell>
          <cell r="S4820" t="str">
            <v>Approved</v>
          </cell>
          <cell r="T4820" t="str">
            <v>90150130 - Intan Aida Pratiwi</v>
          </cell>
          <cell r="U4820" t="str">
            <v>"-"</v>
          </cell>
        </row>
        <row r="4821">
          <cell r="A4821">
            <v>46265</v>
          </cell>
          <cell r="B4821" t="str">
            <v xml:space="preserve">MULTIJAYA SPARINDO                      </v>
          </cell>
          <cell r="C4821" t="str">
            <v>MDA8558</v>
          </cell>
          <cell r="D4821">
            <v>35901001540305</v>
          </cell>
          <cell r="E4821" t="str">
            <v>TINGGI</v>
          </cell>
          <cell r="F4821" t="str">
            <v>Tidak</v>
          </cell>
          <cell r="G4821" t="str">
            <v>Tidak</v>
          </cell>
          <cell r="H4821" t="str">
            <v>Tidak</v>
          </cell>
          <cell r="I4821" t="str">
            <v>Perpajakan</v>
          </cell>
          <cell r="J4821">
            <v>63</v>
          </cell>
          <cell r="K4821">
            <v>41</v>
          </cell>
          <cell r="L4821" t="str">
            <v>Perpajakan</v>
          </cell>
          <cell r="M4821" t="str">
            <v xml:space="preserve">KC Jakarta Gatot Subroto                </v>
          </cell>
          <cell r="N4821" t="str">
            <v xml:space="preserve">KC Jakarta Gatot Subroto                </v>
          </cell>
          <cell r="O4821" t="str">
            <v xml:space="preserve">DKI2                                    </v>
          </cell>
          <cell r="P4821" t="str">
            <v>Tidak</v>
          </cell>
          <cell r="Q4821" t="str">
            <v>Ya</v>
          </cell>
          <cell r="R4821" t="str">
            <v>Done</v>
          </cell>
          <cell r="S4821" t="str">
            <v>Approved</v>
          </cell>
          <cell r="T4821" t="str">
            <v>90185538 - Muhammad Fahikal Auz</v>
          </cell>
          <cell r="U4821" t="str">
            <v>"-"</v>
          </cell>
        </row>
        <row r="4822">
          <cell r="A4822">
            <v>46265</v>
          </cell>
          <cell r="B4822" t="str">
            <v xml:space="preserve">MUHAMMAD AMIRUL                         </v>
          </cell>
          <cell r="C4822" t="str">
            <v>MDAN035</v>
          </cell>
          <cell r="D4822">
            <v>176401000069560</v>
          </cell>
          <cell r="E4822" t="str">
            <v>TINGGI</v>
          </cell>
          <cell r="F4822" t="str">
            <v>Tidak</v>
          </cell>
          <cell r="G4822" t="str">
            <v>Tidak</v>
          </cell>
          <cell r="H4822" t="str">
            <v>Tidak</v>
          </cell>
          <cell r="I4822" t="str">
            <v>Bandar Judol Depo</v>
          </cell>
          <cell r="J4822">
            <v>70</v>
          </cell>
          <cell r="K4822" t="str">
            <v>86,74,87</v>
          </cell>
          <cell r="L4822" t="str">
            <v>Judi Online</v>
          </cell>
          <cell r="M4822" t="str">
            <v xml:space="preserve">Kas Kanpus                              </v>
          </cell>
          <cell r="N4822" t="str">
            <v xml:space="preserve">Kas Kanpus                              </v>
          </cell>
          <cell r="O4822" t="str">
            <v xml:space="preserve">KAS KANPUS                              </v>
          </cell>
          <cell r="P4822" t="str">
            <v>Ya</v>
          </cell>
          <cell r="Q4822" t="str">
            <v>Ya</v>
          </cell>
          <cell r="R4822" t="str">
            <v>Done</v>
          </cell>
          <cell r="S4822" t="str">
            <v>Approved</v>
          </cell>
          <cell r="T4822" t="str">
            <v>00394520 - Frida Akbar Rani</v>
          </cell>
          <cell r="U4822" t="str">
            <v>"-"</v>
          </cell>
        </row>
        <row r="4823">
          <cell r="A4823">
            <v>46265</v>
          </cell>
          <cell r="B4823" t="str">
            <v xml:space="preserve">MUSTAFA                                 </v>
          </cell>
          <cell r="C4823" t="str">
            <v>MDAYF04</v>
          </cell>
          <cell r="D4823">
            <v>23801001940565</v>
          </cell>
          <cell r="F4823" t="str">
            <v>Tidak</v>
          </cell>
          <cell r="G4823" t="str">
            <v>Tidak</v>
          </cell>
          <cell r="H4823" t="str">
            <v>Tidak</v>
          </cell>
          <cell r="I4823" t="str">
            <v>Bandar Judol Withdrawal</v>
          </cell>
          <cell r="J4823">
            <v>35</v>
          </cell>
          <cell r="K4823" t="str">
            <v>86,88,87</v>
          </cell>
          <cell r="L4823" t="str">
            <v>Judi Online</v>
          </cell>
          <cell r="M4823" t="str">
            <v xml:space="preserve">Kas Kanpus                              </v>
          </cell>
          <cell r="N4823" t="str">
            <v xml:space="preserve">Kas Kanpus                              </v>
          </cell>
          <cell r="O4823" t="str">
            <v xml:space="preserve">KAS KANPUS                              </v>
          </cell>
          <cell r="P4823" t="str">
            <v>Ya</v>
          </cell>
          <cell r="Q4823" t="str">
            <v>Ya</v>
          </cell>
          <cell r="R4823" t="str">
            <v>Done</v>
          </cell>
          <cell r="S4823" t="str">
            <v>Approved</v>
          </cell>
          <cell r="T4823" t="str">
            <v>90170665 - Mutiara Ayuningtyas</v>
          </cell>
          <cell r="U4823" t="str">
            <v>"-"</v>
          </cell>
        </row>
        <row r="4824">
          <cell r="A4824">
            <v>46265</v>
          </cell>
          <cell r="B4824" t="str">
            <v xml:space="preserve">MAKMUR TRISONY SITOMPUL                 </v>
          </cell>
          <cell r="C4824" t="str">
            <v>MDBOX65</v>
          </cell>
          <cell r="D4824">
            <v>63501010823530</v>
          </cell>
          <cell r="F4824" t="str">
            <v>Tidak</v>
          </cell>
          <cell r="G4824" t="str">
            <v>Tidak</v>
          </cell>
          <cell r="H4824" t="str">
            <v>Tidak</v>
          </cell>
          <cell r="I4824" t="str">
            <v>Bandar Judol Withdrawal</v>
          </cell>
          <cell r="J4824">
            <v>35</v>
          </cell>
          <cell r="K4824" t="str">
            <v>86,88,87</v>
          </cell>
          <cell r="L4824" t="str">
            <v>Judi Online</v>
          </cell>
          <cell r="M4824" t="str">
            <v xml:space="preserve">Kas Kanpus                              </v>
          </cell>
          <cell r="N4824" t="str">
            <v xml:space="preserve">Kas Kanpus                              </v>
          </cell>
          <cell r="O4824" t="str">
            <v xml:space="preserve">KAS KANPUS                              </v>
          </cell>
          <cell r="P4824" t="str">
            <v>Ya</v>
          </cell>
          <cell r="Q4824" t="str">
            <v>Ya</v>
          </cell>
          <cell r="R4824" t="str">
            <v>Done</v>
          </cell>
          <cell r="S4824" t="str">
            <v>Approved</v>
          </cell>
          <cell r="T4824" t="str">
            <v>90150130 - Intan Aida Pratiwi</v>
          </cell>
          <cell r="U4824" t="str">
            <v>"-"</v>
          </cell>
        </row>
        <row r="4825">
          <cell r="A4825">
            <v>46265</v>
          </cell>
          <cell r="B4825" t="str">
            <v xml:space="preserve">MUSHERI                                 </v>
          </cell>
          <cell r="C4825" t="str">
            <v>MDBPU22</v>
          </cell>
          <cell r="D4825">
            <v>109201000632562</v>
          </cell>
          <cell r="F4825" t="str">
            <v>Tidak</v>
          </cell>
          <cell r="G4825" t="str">
            <v>Tidak</v>
          </cell>
          <cell r="H4825" t="str">
            <v>Tidak</v>
          </cell>
          <cell r="I4825" t="str">
            <v>Bandar Judol Depo</v>
          </cell>
          <cell r="J4825">
            <v>35</v>
          </cell>
          <cell r="K4825" t="str">
            <v>86,74,87</v>
          </cell>
          <cell r="L4825" t="str">
            <v>Judi Online</v>
          </cell>
          <cell r="M4825" t="str">
            <v xml:space="preserve">Kas Kanpus                              </v>
          </cell>
          <cell r="N4825" t="str">
            <v xml:space="preserve">Kas Kanpus                              </v>
          </cell>
          <cell r="O4825" t="str">
            <v xml:space="preserve">KAS KANPUS                              </v>
          </cell>
          <cell r="P4825" t="str">
            <v>Ya</v>
          </cell>
          <cell r="Q4825" t="str">
            <v>Ya</v>
          </cell>
          <cell r="R4825" t="str">
            <v>Done</v>
          </cell>
          <cell r="S4825" t="str">
            <v>Approved</v>
          </cell>
          <cell r="T4825" t="str">
            <v>90150130 - Intan Aida Pratiwi</v>
          </cell>
          <cell r="U4825" t="str">
            <v>"-"</v>
          </cell>
        </row>
        <row r="4826">
          <cell r="A4826">
            <v>46265</v>
          </cell>
          <cell r="B4826" t="str">
            <v xml:space="preserve">MUHAMMAD RIZKI DANUTIRTA                </v>
          </cell>
          <cell r="C4826" t="str">
            <v>MCZAY62</v>
          </cell>
          <cell r="D4826">
            <v>43801003938560</v>
          </cell>
          <cell r="F4826" t="str">
            <v>Tidak</v>
          </cell>
          <cell r="G4826" t="str">
            <v>Tidak</v>
          </cell>
          <cell r="H4826" t="str">
            <v>Tidak</v>
          </cell>
          <cell r="I4826" t="str">
            <v>Bandar Judol Withdrawal</v>
          </cell>
          <cell r="J4826">
            <v>35</v>
          </cell>
          <cell r="K4826" t="str">
            <v>86,88,87</v>
          </cell>
          <cell r="L4826" t="str">
            <v>Judi Online</v>
          </cell>
          <cell r="M4826" t="str">
            <v xml:space="preserve">Kas Kanpus                              </v>
          </cell>
          <cell r="N4826" t="str">
            <v xml:space="preserve">Kas Kanpus                              </v>
          </cell>
          <cell r="O4826" t="str">
            <v xml:space="preserve">KAS KANPUS                              </v>
          </cell>
          <cell r="P4826" t="str">
            <v>Ya</v>
          </cell>
          <cell r="Q4826" t="str">
            <v>Ya</v>
          </cell>
          <cell r="R4826" t="str">
            <v>Done</v>
          </cell>
          <cell r="S4826" t="str">
            <v>Approved</v>
          </cell>
          <cell r="T4826" t="str">
            <v>90185537 - Moh.Khoerul Fajar Ar</v>
          </cell>
          <cell r="U4826" t="str">
            <v>"-"</v>
          </cell>
        </row>
        <row r="4827">
          <cell r="A4827">
            <v>46265</v>
          </cell>
          <cell r="B4827" t="str">
            <v xml:space="preserve">MARGANDA TUA TAMBUNAN                   </v>
          </cell>
          <cell r="C4827" t="str">
            <v>MCZCR70</v>
          </cell>
          <cell r="D4827">
            <v>5301007233568</v>
          </cell>
          <cell r="F4827" t="str">
            <v>Tidak</v>
          </cell>
          <cell r="G4827" t="str">
            <v>Tidak</v>
          </cell>
          <cell r="H4827" t="str">
            <v>Tidak</v>
          </cell>
          <cell r="I4827" t="str">
            <v>Bandar Judol Withdrawal</v>
          </cell>
          <cell r="J4827">
            <v>35</v>
          </cell>
          <cell r="K4827" t="str">
            <v>86,88,87</v>
          </cell>
          <cell r="L4827" t="str">
            <v>Judi Online</v>
          </cell>
          <cell r="M4827" t="str">
            <v xml:space="preserve">Kas Kanpus                              </v>
          </cell>
          <cell r="N4827" t="str">
            <v xml:space="preserve">Kas Kanpus                              </v>
          </cell>
          <cell r="O4827" t="str">
            <v xml:space="preserve">KAS KANPUS                              </v>
          </cell>
          <cell r="P4827" t="str">
            <v>Ya</v>
          </cell>
          <cell r="Q4827" t="str">
            <v>Ya</v>
          </cell>
          <cell r="R4827" t="str">
            <v>Done</v>
          </cell>
          <cell r="S4827" t="str">
            <v>Approved</v>
          </cell>
          <cell r="T4827" t="str">
            <v>00394520 - Frida Akbar Rani</v>
          </cell>
          <cell r="U4827" t="str">
            <v>"-"</v>
          </cell>
        </row>
        <row r="4828">
          <cell r="A4828">
            <v>46265</v>
          </cell>
          <cell r="B4828" t="str">
            <v xml:space="preserve">M. RAZAQ                                </v>
          </cell>
          <cell r="C4828" t="str">
            <v>MCZEL82</v>
          </cell>
          <cell r="D4828">
            <v>327501000014566</v>
          </cell>
          <cell r="F4828" t="str">
            <v>Tidak</v>
          </cell>
          <cell r="G4828" t="str">
            <v>Tidak</v>
          </cell>
          <cell r="H4828" t="str">
            <v>Tidak</v>
          </cell>
          <cell r="I4828" t="str">
            <v>Bandar Judol Withdrawal</v>
          </cell>
          <cell r="J4828">
            <v>35</v>
          </cell>
          <cell r="K4828" t="str">
            <v>86,88,87</v>
          </cell>
          <cell r="L4828" t="str">
            <v>Judi Online</v>
          </cell>
          <cell r="M4828" t="str">
            <v xml:space="preserve">Kas Kanpus                              </v>
          </cell>
          <cell r="N4828" t="str">
            <v xml:space="preserve">Kas Kanpus                              </v>
          </cell>
          <cell r="O4828" t="str">
            <v xml:space="preserve">KAS KANPUS                              </v>
          </cell>
          <cell r="P4828" t="str">
            <v>Ya</v>
          </cell>
          <cell r="Q4828" t="str">
            <v>Ya</v>
          </cell>
          <cell r="R4828" t="str">
            <v>Done</v>
          </cell>
          <cell r="S4828" t="str">
            <v>Approved</v>
          </cell>
          <cell r="T4828" t="str">
            <v>90150130 - Intan Aida Pratiwi</v>
          </cell>
          <cell r="U4828" t="str">
            <v>"-"</v>
          </cell>
        </row>
        <row r="4829">
          <cell r="A4829">
            <v>46265</v>
          </cell>
          <cell r="B4829" t="str">
            <v xml:space="preserve">M AJI FACHROJI                          </v>
          </cell>
          <cell r="C4829" t="str">
            <v>MCZYV21</v>
          </cell>
          <cell r="D4829">
            <v>80801046469507</v>
          </cell>
          <cell r="F4829" t="str">
            <v>Tidak</v>
          </cell>
          <cell r="G4829" t="str">
            <v>Tidak</v>
          </cell>
          <cell r="H4829" t="str">
            <v>Tidak</v>
          </cell>
          <cell r="I4829" t="str">
            <v>Bandar Judol Withdrawal</v>
          </cell>
          <cell r="J4829">
            <v>35</v>
          </cell>
          <cell r="K4829" t="str">
            <v>86,88,87</v>
          </cell>
          <cell r="L4829" t="str">
            <v>Judi Online</v>
          </cell>
          <cell r="M4829" t="str">
            <v xml:space="preserve">Kas Kanpus                              </v>
          </cell>
          <cell r="N4829" t="str">
            <v xml:space="preserve">Kas Kanpus                              </v>
          </cell>
          <cell r="O4829" t="str">
            <v xml:space="preserve">KAS KANPUS                              </v>
          </cell>
          <cell r="P4829" t="str">
            <v>Ya</v>
          </cell>
          <cell r="Q4829" t="str">
            <v>Ya</v>
          </cell>
          <cell r="R4829" t="str">
            <v>Done</v>
          </cell>
          <cell r="S4829" t="str">
            <v>Approved</v>
          </cell>
          <cell r="T4829" t="str">
            <v>90185537 - Moh.Khoerul Fajar Ar</v>
          </cell>
          <cell r="U4829" t="str">
            <v>"-"</v>
          </cell>
        </row>
        <row r="4830">
          <cell r="A4830">
            <v>46265</v>
          </cell>
          <cell r="B4830" t="str">
            <v xml:space="preserve">MUHAMMAD RIDWAN                         </v>
          </cell>
          <cell r="C4830" t="str">
            <v>MCXNB63</v>
          </cell>
          <cell r="D4830">
            <v>331101000029565</v>
          </cell>
          <cell r="F4830" t="str">
            <v>Tidak</v>
          </cell>
          <cell r="G4830" t="str">
            <v>Tidak</v>
          </cell>
          <cell r="H4830" t="str">
            <v>Tidak</v>
          </cell>
          <cell r="I4830" t="str">
            <v>Bandar Judol Withdrawal</v>
          </cell>
          <cell r="J4830">
            <v>35</v>
          </cell>
          <cell r="K4830" t="str">
            <v>86,88,87</v>
          </cell>
          <cell r="L4830" t="str">
            <v>Judi Online</v>
          </cell>
          <cell r="M4830" t="str">
            <v xml:space="preserve">Kas Kanpus                              </v>
          </cell>
          <cell r="N4830" t="str">
            <v xml:space="preserve">Kas Kanpus                              </v>
          </cell>
          <cell r="O4830" t="str">
            <v xml:space="preserve">KAS KANPUS                              </v>
          </cell>
          <cell r="P4830" t="str">
            <v>Ya</v>
          </cell>
          <cell r="Q4830" t="str">
            <v>Ya</v>
          </cell>
          <cell r="R4830" t="str">
            <v>Done</v>
          </cell>
          <cell r="S4830" t="str">
            <v>Approved</v>
          </cell>
          <cell r="T4830" t="str">
            <v>90170665 - Mutiara Ayuningtyas</v>
          </cell>
          <cell r="U4830" t="str">
            <v>"-"</v>
          </cell>
        </row>
        <row r="4831">
          <cell r="A4831">
            <v>46265</v>
          </cell>
          <cell r="B4831" t="str">
            <v xml:space="preserve">MUHAMAD ROMANSYAH                       </v>
          </cell>
          <cell r="C4831" t="str">
            <v>MCYBE12</v>
          </cell>
          <cell r="D4831">
            <v>12001002461561</v>
          </cell>
          <cell r="F4831" t="str">
            <v>Tidak</v>
          </cell>
          <cell r="G4831" t="str">
            <v>Tidak</v>
          </cell>
          <cell r="H4831" t="str">
            <v>Tidak</v>
          </cell>
          <cell r="I4831" t="str">
            <v>Bandar Judol Withdrawal</v>
          </cell>
          <cell r="J4831">
            <v>35</v>
          </cell>
          <cell r="K4831" t="str">
            <v>86,88,87</v>
          </cell>
          <cell r="L4831" t="str">
            <v>Judi Online</v>
          </cell>
          <cell r="M4831" t="str">
            <v xml:space="preserve">Kas Kanpus                              </v>
          </cell>
          <cell r="N4831" t="str">
            <v xml:space="preserve">Kas Kanpus                              </v>
          </cell>
          <cell r="O4831" t="str">
            <v xml:space="preserve">KAS KANPUS                              </v>
          </cell>
          <cell r="P4831" t="str">
            <v>Ya</v>
          </cell>
          <cell r="Q4831" t="str">
            <v>Ya</v>
          </cell>
          <cell r="R4831" t="str">
            <v>Done</v>
          </cell>
          <cell r="S4831" t="str">
            <v>Approved</v>
          </cell>
          <cell r="T4831" t="str">
            <v>00394520 - Frida Akbar Rani</v>
          </cell>
          <cell r="U4831" t="str">
            <v>"-"</v>
          </cell>
        </row>
        <row r="4832">
          <cell r="A4832">
            <v>46265</v>
          </cell>
          <cell r="B4832" t="str">
            <v xml:space="preserve">MUHAMAD AL FAHRI                        </v>
          </cell>
          <cell r="C4832" t="str">
            <v>MCYEX94</v>
          </cell>
          <cell r="D4832">
            <v>43801003904561</v>
          </cell>
          <cell r="F4832" t="str">
            <v>Tidak</v>
          </cell>
          <cell r="G4832" t="str">
            <v>Tidak</v>
          </cell>
          <cell r="H4832" t="str">
            <v>Tidak</v>
          </cell>
          <cell r="I4832" t="str">
            <v>Bandar Judol Depo</v>
          </cell>
          <cell r="J4832">
            <v>35</v>
          </cell>
          <cell r="K4832" t="str">
            <v>86,74,87</v>
          </cell>
          <cell r="L4832" t="str">
            <v>Judi Online</v>
          </cell>
          <cell r="M4832" t="str">
            <v xml:space="preserve">Kas Kanpus                              </v>
          </cell>
          <cell r="N4832" t="str">
            <v xml:space="preserve">Kas Kanpus                              </v>
          </cell>
          <cell r="O4832" t="str">
            <v xml:space="preserve">KAS KANPUS                              </v>
          </cell>
          <cell r="P4832" t="str">
            <v>Ya</v>
          </cell>
          <cell r="Q4832" t="str">
            <v>Ya</v>
          </cell>
          <cell r="R4832" t="str">
            <v>Done</v>
          </cell>
          <cell r="S4832" t="str">
            <v>Approved</v>
          </cell>
          <cell r="T4832" t="str">
            <v>00394520 - Frida Akbar Rani</v>
          </cell>
          <cell r="U4832" t="str">
            <v>"-"</v>
          </cell>
        </row>
        <row r="4833">
          <cell r="A4833">
            <v>46265</v>
          </cell>
          <cell r="B4833" t="str">
            <v xml:space="preserve">M.NAJIB                                 </v>
          </cell>
          <cell r="C4833" t="str">
            <v>MCXHR84</v>
          </cell>
          <cell r="D4833">
            <v>720701005699502</v>
          </cell>
          <cell r="F4833" t="str">
            <v>Tidak</v>
          </cell>
          <cell r="G4833" t="str">
            <v>Tidak</v>
          </cell>
          <cell r="H4833" t="str">
            <v>Tidak</v>
          </cell>
          <cell r="I4833" t="str">
            <v>Bandar Judol Withdrawal</v>
          </cell>
          <cell r="J4833">
            <v>35</v>
          </cell>
          <cell r="K4833" t="str">
            <v>86,88,87</v>
          </cell>
          <cell r="L4833" t="str">
            <v>Judi Online</v>
          </cell>
          <cell r="M4833" t="str">
            <v xml:space="preserve">Kas Kanpus                              </v>
          </cell>
          <cell r="N4833" t="str">
            <v xml:space="preserve">Kas Kanpus                              </v>
          </cell>
          <cell r="O4833" t="str">
            <v xml:space="preserve">KAS KANPUS                              </v>
          </cell>
          <cell r="P4833" t="str">
            <v>Ya</v>
          </cell>
          <cell r="Q4833" t="str">
            <v>Ya</v>
          </cell>
          <cell r="R4833" t="str">
            <v>Done</v>
          </cell>
          <cell r="S4833" t="str">
            <v>Approved</v>
          </cell>
          <cell r="T4833" t="str">
            <v>00336949 - Mochammad Al Farabi</v>
          </cell>
          <cell r="U4833" t="str">
            <v>"-"</v>
          </cell>
        </row>
        <row r="4834">
          <cell r="A4834">
            <v>46265</v>
          </cell>
          <cell r="B4834" t="str">
            <v xml:space="preserve">MULTI CENTRAL SARANA                    </v>
          </cell>
          <cell r="C4834" t="str">
            <v>MCXJF13</v>
          </cell>
          <cell r="D4834">
            <v>5301800900306</v>
          </cell>
          <cell r="F4834" t="str">
            <v>Tidak</v>
          </cell>
          <cell r="G4834" t="str">
            <v>Tidak</v>
          </cell>
          <cell r="H4834" t="str">
            <v>Tidak</v>
          </cell>
          <cell r="I4834" t="str">
            <v>Perpajakan</v>
          </cell>
          <cell r="J4834">
            <v>33</v>
          </cell>
          <cell r="K4834">
            <v>41</v>
          </cell>
          <cell r="L4834" t="str">
            <v>Perpajakan</v>
          </cell>
          <cell r="M4834" t="str">
            <v xml:space="preserve">KC Medan Putri Hijau                    </v>
          </cell>
          <cell r="N4834" t="str">
            <v xml:space="preserve">KC Medan Putri Hijau                    </v>
          </cell>
          <cell r="O4834" t="str">
            <v xml:space="preserve">Medan                                   </v>
          </cell>
          <cell r="P4834" t="str">
            <v>Ya</v>
          </cell>
          <cell r="Q4834" t="str">
            <v>Tidak</v>
          </cell>
          <cell r="R4834" t="str">
            <v>Done</v>
          </cell>
          <cell r="S4834" t="str">
            <v>Approved</v>
          </cell>
          <cell r="T4834" t="str">
            <v>90150130 - Intan Aida Pratiwi</v>
          </cell>
          <cell r="U4834" t="str">
            <v>"-"</v>
          </cell>
        </row>
        <row r="4835">
          <cell r="A4835">
            <v>46265</v>
          </cell>
          <cell r="B4835" t="str">
            <v xml:space="preserve">MUHAMAD RIDWAN                          </v>
          </cell>
          <cell r="C4835" t="str">
            <v>MCXJF85</v>
          </cell>
          <cell r="D4835">
            <v>112901009930530</v>
          </cell>
          <cell r="F4835" t="str">
            <v>Tidak</v>
          </cell>
          <cell r="G4835" t="str">
            <v>Tidak</v>
          </cell>
          <cell r="H4835" t="str">
            <v>Tidak</v>
          </cell>
          <cell r="I4835" t="str">
            <v>Bandar Judol Withdrawal</v>
          </cell>
          <cell r="J4835">
            <v>35</v>
          </cell>
          <cell r="K4835" t="str">
            <v>86,88,87</v>
          </cell>
          <cell r="L4835" t="str">
            <v>Judi Online</v>
          </cell>
          <cell r="M4835" t="str">
            <v xml:space="preserve">Kas Kanpus                              </v>
          </cell>
          <cell r="N4835" t="str">
            <v xml:space="preserve">Kas Kanpus                              </v>
          </cell>
          <cell r="O4835" t="str">
            <v xml:space="preserve">KAS KANPUS                              </v>
          </cell>
          <cell r="P4835" t="str">
            <v>Ya</v>
          </cell>
          <cell r="Q4835" t="str">
            <v>Ya</v>
          </cell>
          <cell r="R4835" t="str">
            <v>Done</v>
          </cell>
          <cell r="S4835" t="str">
            <v>Approved</v>
          </cell>
          <cell r="T4835" t="str">
            <v>00336949 - Mochammad Al Farabi</v>
          </cell>
          <cell r="U4835" t="str">
            <v>"-"</v>
          </cell>
        </row>
        <row r="4836">
          <cell r="A4836">
            <v>46265</v>
          </cell>
          <cell r="B4836" t="str">
            <v xml:space="preserve">MUHAMMAD AMMAR HAIDAR                   </v>
          </cell>
          <cell r="C4836" t="str">
            <v>MCXJL45</v>
          </cell>
          <cell r="D4836">
            <v>1201265518502</v>
          </cell>
          <cell r="F4836" t="str">
            <v>Tidak</v>
          </cell>
          <cell r="G4836" t="str">
            <v>Tidak</v>
          </cell>
          <cell r="H4836" t="str">
            <v>Tidak</v>
          </cell>
          <cell r="I4836" t="str">
            <v>Bandar Judol Withdrawal</v>
          </cell>
          <cell r="J4836">
            <v>35</v>
          </cell>
          <cell r="K4836" t="str">
            <v>86,88,87</v>
          </cell>
          <cell r="L4836" t="str">
            <v>Judi Online</v>
          </cell>
          <cell r="M4836" t="str">
            <v xml:space="preserve">Kas Kanpus                              </v>
          </cell>
          <cell r="N4836" t="str">
            <v xml:space="preserve">Kas Kanpus                              </v>
          </cell>
          <cell r="O4836" t="str">
            <v xml:space="preserve">KAS KANPUS                              </v>
          </cell>
          <cell r="P4836" t="str">
            <v>Ya</v>
          </cell>
          <cell r="Q4836" t="str">
            <v>Ya</v>
          </cell>
          <cell r="R4836" t="str">
            <v>Done</v>
          </cell>
          <cell r="S4836" t="str">
            <v>Approved</v>
          </cell>
          <cell r="T4836" t="str">
            <v>90150130 - Intan Aida Pratiwi</v>
          </cell>
          <cell r="U4836" t="str">
            <v>"-"</v>
          </cell>
        </row>
        <row r="4837">
          <cell r="A4837">
            <v>46265</v>
          </cell>
          <cell r="B4837" t="str">
            <v xml:space="preserve">MUHAMMAD FIRMANSYAH                     </v>
          </cell>
          <cell r="C4837" t="str">
            <v>MCXKC68</v>
          </cell>
          <cell r="D4837">
            <v>84101023424506</v>
          </cell>
          <cell r="F4837" t="str">
            <v>Tidak</v>
          </cell>
          <cell r="G4837" t="str">
            <v>Tidak</v>
          </cell>
          <cell r="H4837" t="str">
            <v>Tidak</v>
          </cell>
          <cell r="I4837" t="str">
            <v>Bandar Judol Withdrawal</v>
          </cell>
          <cell r="J4837">
            <v>35</v>
          </cell>
          <cell r="K4837" t="str">
            <v>86,88,87</v>
          </cell>
          <cell r="L4837" t="str">
            <v>Judi Online</v>
          </cell>
          <cell r="M4837" t="str">
            <v xml:space="preserve">Kas Kanpus                              </v>
          </cell>
          <cell r="N4837" t="str">
            <v xml:space="preserve">Kas Kanpus                              </v>
          </cell>
          <cell r="O4837" t="str">
            <v xml:space="preserve">KAS KANPUS                              </v>
          </cell>
          <cell r="P4837" t="str">
            <v>Ya</v>
          </cell>
          <cell r="Q4837" t="str">
            <v>Ya</v>
          </cell>
          <cell r="R4837" t="str">
            <v>Done</v>
          </cell>
          <cell r="S4837" t="str">
            <v>Approved</v>
          </cell>
          <cell r="T4837" t="str">
            <v>90186796 - Devito Arya Wiradila</v>
          </cell>
          <cell r="U4837" t="str">
            <v>"-"</v>
          </cell>
        </row>
        <row r="4838">
          <cell r="A4838">
            <v>46265</v>
          </cell>
          <cell r="B4838" t="str">
            <v xml:space="preserve">MUHAMMAD RAQIL ZABARUDIN                </v>
          </cell>
          <cell r="C4838" t="str">
            <v>MCWYA30</v>
          </cell>
          <cell r="D4838">
            <v>13701213200505</v>
          </cell>
          <cell r="F4838" t="str">
            <v>Tidak</v>
          </cell>
          <cell r="G4838" t="str">
            <v>Tidak</v>
          </cell>
          <cell r="H4838" t="str">
            <v>Tidak</v>
          </cell>
          <cell r="I4838" t="str">
            <v>Bandar Judol Withdrawal</v>
          </cell>
          <cell r="J4838">
            <v>35</v>
          </cell>
          <cell r="K4838" t="str">
            <v>86,88,87</v>
          </cell>
          <cell r="L4838" t="str">
            <v>Judi Online</v>
          </cell>
          <cell r="M4838" t="str">
            <v xml:space="preserve">Kas Kanpus                              </v>
          </cell>
          <cell r="N4838" t="str">
            <v xml:space="preserve">Kas Kanpus                              </v>
          </cell>
          <cell r="O4838" t="str">
            <v xml:space="preserve">KAS KANPUS                              </v>
          </cell>
          <cell r="P4838" t="str">
            <v>Ya</v>
          </cell>
          <cell r="Q4838" t="str">
            <v>Ya</v>
          </cell>
          <cell r="R4838" t="str">
            <v>Done</v>
          </cell>
          <cell r="S4838" t="str">
            <v>Approved</v>
          </cell>
          <cell r="T4838" t="str">
            <v>00336949 - Mochammad Al Farabi</v>
          </cell>
          <cell r="U4838" t="str">
            <v>"-"</v>
          </cell>
        </row>
        <row r="4839">
          <cell r="A4839">
            <v>46265</v>
          </cell>
          <cell r="B4839" t="str">
            <v xml:space="preserve">MOCHTAR EFENDI                          </v>
          </cell>
          <cell r="C4839" t="str">
            <v>MCXDD99</v>
          </cell>
          <cell r="D4839">
            <v>1901085933508</v>
          </cell>
          <cell r="F4839" t="str">
            <v>Tidak</v>
          </cell>
          <cell r="G4839" t="str">
            <v>Tidak</v>
          </cell>
          <cell r="H4839" t="str">
            <v>Tidak</v>
          </cell>
          <cell r="I4839" t="str">
            <v>Bandar Judol Depo</v>
          </cell>
          <cell r="J4839">
            <v>35</v>
          </cell>
          <cell r="K4839" t="str">
            <v>86,74,87</v>
          </cell>
          <cell r="L4839" t="str">
            <v>Judi Online</v>
          </cell>
          <cell r="M4839" t="str">
            <v xml:space="preserve">Kas Kanpus                              </v>
          </cell>
          <cell r="N4839" t="str">
            <v xml:space="preserve">Kas Kanpus                              </v>
          </cell>
          <cell r="O4839" t="str">
            <v xml:space="preserve">KAS KANPUS                              </v>
          </cell>
          <cell r="P4839" t="str">
            <v>Ya</v>
          </cell>
          <cell r="Q4839" t="str">
            <v>Ya</v>
          </cell>
          <cell r="R4839" t="str">
            <v>Done</v>
          </cell>
          <cell r="S4839" t="str">
            <v>Approved</v>
          </cell>
          <cell r="T4839" t="str">
            <v>90186796 - Devito Arya Wiradila</v>
          </cell>
          <cell r="U4839" t="str">
            <v>"-"</v>
          </cell>
        </row>
        <row r="4840">
          <cell r="A4840">
            <v>46265</v>
          </cell>
          <cell r="B4840" t="str">
            <v xml:space="preserve">MOCHAMAD NUR HAMBALI                    </v>
          </cell>
          <cell r="C4840" t="str">
            <v>MCXDQ39</v>
          </cell>
          <cell r="D4840">
            <v>748701000018565</v>
          </cell>
          <cell r="F4840" t="str">
            <v>Tidak</v>
          </cell>
          <cell r="G4840" t="str">
            <v>Tidak</v>
          </cell>
          <cell r="H4840" t="str">
            <v>Tidak</v>
          </cell>
          <cell r="I4840" t="str">
            <v>Bandar Judol Withdrawal</v>
          </cell>
          <cell r="J4840">
            <v>35</v>
          </cell>
          <cell r="K4840" t="str">
            <v>86,88,87</v>
          </cell>
          <cell r="L4840" t="str">
            <v>Judi Online</v>
          </cell>
          <cell r="M4840" t="str">
            <v xml:space="preserve">Kas Kanpus                              </v>
          </cell>
          <cell r="N4840" t="str">
            <v xml:space="preserve">Kas Kanpus                              </v>
          </cell>
          <cell r="O4840" t="str">
            <v xml:space="preserve">KAS KANPUS                              </v>
          </cell>
          <cell r="P4840" t="str">
            <v>Ya</v>
          </cell>
          <cell r="Q4840" t="str">
            <v>Ya</v>
          </cell>
          <cell r="R4840" t="str">
            <v>Done</v>
          </cell>
          <cell r="S4840" t="str">
            <v>Approved</v>
          </cell>
          <cell r="T4840" t="str">
            <v>00336949 - Mochammad Al Farabi</v>
          </cell>
          <cell r="U4840" t="str">
            <v>"-"</v>
          </cell>
        </row>
        <row r="4841">
          <cell r="A4841">
            <v>46265</v>
          </cell>
          <cell r="B4841" t="str">
            <v xml:space="preserve">MUHAMAD AGUNG ABUBAKAR                  </v>
          </cell>
          <cell r="C4841" t="str">
            <v>MCXEK01</v>
          </cell>
          <cell r="D4841">
            <v>112901009913538</v>
          </cell>
          <cell r="F4841" t="str">
            <v>Tidak</v>
          </cell>
          <cell r="G4841" t="str">
            <v>Tidak</v>
          </cell>
          <cell r="H4841" t="str">
            <v>Tidak</v>
          </cell>
          <cell r="I4841" t="str">
            <v>Bandar Judol Withdrawal</v>
          </cell>
          <cell r="J4841">
            <v>35</v>
          </cell>
          <cell r="K4841" t="str">
            <v>86,88,87</v>
          </cell>
          <cell r="L4841" t="str">
            <v>Judi Online</v>
          </cell>
          <cell r="M4841" t="str">
            <v xml:space="preserve">Kas Kanpus                              </v>
          </cell>
          <cell r="N4841" t="str">
            <v xml:space="preserve">Kas Kanpus                              </v>
          </cell>
          <cell r="O4841" t="str">
            <v xml:space="preserve">KAS KANPUS                              </v>
          </cell>
          <cell r="P4841" t="str">
            <v>Ya</v>
          </cell>
          <cell r="Q4841" t="str">
            <v>Ya</v>
          </cell>
          <cell r="R4841" t="str">
            <v>Done</v>
          </cell>
          <cell r="S4841" t="str">
            <v>Approved</v>
          </cell>
          <cell r="T4841" t="str">
            <v>90185537 - Moh.Khoerul Fajar Ar</v>
          </cell>
          <cell r="U4841" t="str">
            <v>"-"</v>
          </cell>
        </row>
        <row r="4842">
          <cell r="A4842">
            <v>46265</v>
          </cell>
          <cell r="B4842" t="str">
            <v xml:space="preserve">M YUSUF                                 </v>
          </cell>
          <cell r="C4842" t="str">
            <v>MCVZI99</v>
          </cell>
          <cell r="D4842">
            <v>530401047244535</v>
          </cell>
          <cell r="F4842" t="str">
            <v>Tidak</v>
          </cell>
          <cell r="G4842" t="str">
            <v>Tidak</v>
          </cell>
          <cell r="H4842" t="str">
            <v>Tidak</v>
          </cell>
          <cell r="I4842" t="str">
            <v>Bandar Judol Withdrawal</v>
          </cell>
          <cell r="J4842">
            <v>35</v>
          </cell>
          <cell r="K4842" t="str">
            <v>86,88,87</v>
          </cell>
          <cell r="L4842" t="str">
            <v>Judi Online</v>
          </cell>
          <cell r="M4842" t="str">
            <v xml:space="preserve">Kas Kanpus                              </v>
          </cell>
          <cell r="N4842" t="str">
            <v xml:space="preserve">Kas Kanpus                              </v>
          </cell>
          <cell r="O4842" t="str">
            <v xml:space="preserve">KAS KANPUS                              </v>
          </cell>
          <cell r="P4842" t="str">
            <v>Ya</v>
          </cell>
          <cell r="Q4842" t="str">
            <v>Ya</v>
          </cell>
          <cell r="R4842" t="str">
            <v>Done</v>
          </cell>
          <cell r="S4842" t="str">
            <v>Approved</v>
          </cell>
          <cell r="T4842" t="str">
            <v>90185538 - Muhammad Fahikal Auz</v>
          </cell>
          <cell r="U4842" t="str">
            <v>"-"</v>
          </cell>
        </row>
        <row r="4843">
          <cell r="A4843">
            <v>46265</v>
          </cell>
          <cell r="B4843" t="str">
            <v xml:space="preserve">MOHAMAD FAJAR PERDANA                   </v>
          </cell>
          <cell r="C4843" t="str">
            <v>MCWM917</v>
          </cell>
          <cell r="D4843">
            <v>65501000689560</v>
          </cell>
          <cell r="E4843" t="str">
            <v>SEDANG</v>
          </cell>
          <cell r="F4843" t="str">
            <v>Tidak</v>
          </cell>
          <cell r="G4843" t="str">
            <v>Tidak</v>
          </cell>
          <cell r="H4843" t="str">
            <v>Tidak</v>
          </cell>
          <cell r="I4843" t="str">
            <v>Bandar Judol Depo</v>
          </cell>
          <cell r="J4843">
            <v>50</v>
          </cell>
          <cell r="K4843" t="str">
            <v>86,74,87</v>
          </cell>
          <cell r="L4843" t="str">
            <v>Judi Online</v>
          </cell>
          <cell r="M4843" t="str">
            <v xml:space="preserve">Kas Kanpus                              </v>
          </cell>
          <cell r="N4843" t="str">
            <v xml:space="preserve">Kas Kanpus                              </v>
          </cell>
          <cell r="O4843" t="str">
            <v xml:space="preserve">KAS KANPUS                              </v>
          </cell>
          <cell r="P4843" t="str">
            <v>Ya</v>
          </cell>
          <cell r="Q4843" t="str">
            <v>Ya</v>
          </cell>
          <cell r="R4843" t="str">
            <v>Done</v>
          </cell>
          <cell r="S4843" t="str">
            <v>Approved</v>
          </cell>
          <cell r="T4843" t="str">
            <v>00336949 - Mochammad Al Farabi</v>
          </cell>
          <cell r="U4843" t="str">
            <v>"-"</v>
          </cell>
        </row>
        <row r="4844">
          <cell r="A4844">
            <v>46265</v>
          </cell>
          <cell r="B4844" t="str">
            <v xml:space="preserve">MUHAMMAD FAREL ARDAN                    </v>
          </cell>
          <cell r="C4844" t="str">
            <v>MCWNE53</v>
          </cell>
          <cell r="D4844">
            <v>44501074837502</v>
          </cell>
          <cell r="F4844" t="str">
            <v>Tidak</v>
          </cell>
          <cell r="G4844" t="str">
            <v>Tidak</v>
          </cell>
          <cell r="H4844" t="str">
            <v>Tidak</v>
          </cell>
          <cell r="I4844" t="str">
            <v>Bandar Judol Withdrawal</v>
          </cell>
          <cell r="J4844">
            <v>35</v>
          </cell>
          <cell r="K4844" t="str">
            <v>86,88,87</v>
          </cell>
          <cell r="L4844" t="str">
            <v>Judi Online</v>
          </cell>
          <cell r="M4844" t="str">
            <v xml:space="preserve">Kas Kanpus                              </v>
          </cell>
          <cell r="N4844" t="str">
            <v xml:space="preserve">Kas Kanpus                              </v>
          </cell>
          <cell r="O4844" t="str">
            <v xml:space="preserve">KAS KANPUS                              </v>
          </cell>
          <cell r="P4844" t="str">
            <v>Ya</v>
          </cell>
          <cell r="Q4844" t="str">
            <v>Ya</v>
          </cell>
          <cell r="R4844" t="str">
            <v>Done</v>
          </cell>
          <cell r="S4844" t="str">
            <v>Approved</v>
          </cell>
          <cell r="T4844" t="str">
            <v>90185538 - Muhammad Fahikal Auz</v>
          </cell>
          <cell r="U4844" t="str">
            <v>"-"</v>
          </cell>
        </row>
        <row r="4845">
          <cell r="A4845">
            <v>46265</v>
          </cell>
          <cell r="B4845" t="str">
            <v xml:space="preserve">MUHAMMAD FEBRIANTO                      </v>
          </cell>
          <cell r="C4845" t="str">
            <v>MCVBE56</v>
          </cell>
          <cell r="D4845">
            <v>84001017656501</v>
          </cell>
          <cell r="F4845" t="str">
            <v>Tidak</v>
          </cell>
          <cell r="G4845" t="str">
            <v>Tidak</v>
          </cell>
          <cell r="H4845" t="str">
            <v>Tidak</v>
          </cell>
          <cell r="I4845" t="str">
            <v>Bandar Judol Withdrawal</v>
          </cell>
          <cell r="J4845">
            <v>35</v>
          </cell>
          <cell r="K4845" t="str">
            <v>86,88,87</v>
          </cell>
          <cell r="L4845" t="str">
            <v>Judi Online</v>
          </cell>
          <cell r="M4845" t="str">
            <v xml:space="preserve">Kas Kanpus                              </v>
          </cell>
          <cell r="N4845" t="str">
            <v xml:space="preserve">Kas Kanpus                              </v>
          </cell>
          <cell r="O4845" t="str">
            <v xml:space="preserve">KAS KANPUS                              </v>
          </cell>
          <cell r="P4845" t="str">
            <v>Ya</v>
          </cell>
          <cell r="Q4845" t="str">
            <v>Ya</v>
          </cell>
          <cell r="R4845" t="str">
            <v>Done</v>
          </cell>
          <cell r="S4845" t="str">
            <v>Approved</v>
          </cell>
          <cell r="T4845" t="str">
            <v>90185538 - Muhammad Fahikal Auz</v>
          </cell>
          <cell r="U4845" t="str">
            <v>"-"</v>
          </cell>
        </row>
        <row r="4846">
          <cell r="A4846">
            <v>46265</v>
          </cell>
          <cell r="B4846" t="str">
            <v xml:space="preserve">M JANETI FAISAL                         </v>
          </cell>
          <cell r="C4846" t="str">
            <v>MCVBU98</v>
          </cell>
          <cell r="D4846">
            <v>78501015615503</v>
          </cell>
          <cell r="F4846" t="str">
            <v>Tidak</v>
          </cell>
          <cell r="G4846" t="str">
            <v>Tidak</v>
          </cell>
          <cell r="H4846" t="str">
            <v>Tidak</v>
          </cell>
          <cell r="I4846" t="str">
            <v>Bandar Judol Depo</v>
          </cell>
          <cell r="J4846">
            <v>35</v>
          </cell>
          <cell r="K4846" t="str">
            <v>86,74,87</v>
          </cell>
          <cell r="L4846" t="str">
            <v>Judi Online</v>
          </cell>
          <cell r="M4846" t="str">
            <v xml:space="preserve">Kas Kanpus                              </v>
          </cell>
          <cell r="N4846" t="str">
            <v xml:space="preserve">Kas Kanpus                              </v>
          </cell>
          <cell r="O4846" t="str">
            <v xml:space="preserve">KAS KANPUS                              </v>
          </cell>
          <cell r="P4846" t="str">
            <v>Ya</v>
          </cell>
          <cell r="Q4846" t="str">
            <v>Ya</v>
          </cell>
          <cell r="R4846" t="str">
            <v>Done</v>
          </cell>
          <cell r="S4846" t="str">
            <v>Approved</v>
          </cell>
          <cell r="T4846" t="str">
            <v>90171841 - Rifqi Aziz</v>
          </cell>
          <cell r="U4846" t="str">
            <v>"-"</v>
          </cell>
        </row>
        <row r="4847">
          <cell r="A4847">
            <v>46265</v>
          </cell>
          <cell r="B4847" t="str">
            <v xml:space="preserve">MANGOLOI SIAHAAN                        </v>
          </cell>
          <cell r="C4847" t="str">
            <v>MCVHW66</v>
          </cell>
          <cell r="D4847">
            <v>353201000023565</v>
          </cell>
          <cell r="F4847" t="str">
            <v>Tidak</v>
          </cell>
          <cell r="G4847" t="str">
            <v>Tidak</v>
          </cell>
          <cell r="H4847" t="str">
            <v>Tidak</v>
          </cell>
          <cell r="I4847" t="str">
            <v>Bandar Judol Depo</v>
          </cell>
          <cell r="J4847">
            <v>35</v>
          </cell>
          <cell r="K4847" t="str">
            <v>86,74,87</v>
          </cell>
          <cell r="L4847" t="str">
            <v>Judi Online</v>
          </cell>
          <cell r="M4847" t="str">
            <v xml:space="preserve">Kas Kanpus                              </v>
          </cell>
          <cell r="N4847" t="str">
            <v xml:space="preserve">Kas Kanpus                              </v>
          </cell>
          <cell r="O4847" t="str">
            <v xml:space="preserve">KAS KANPUS                              </v>
          </cell>
          <cell r="P4847" t="str">
            <v>Ya</v>
          </cell>
          <cell r="Q4847" t="str">
            <v>Ya</v>
          </cell>
          <cell r="R4847" t="str">
            <v>Done</v>
          </cell>
          <cell r="S4847" t="str">
            <v>Approved</v>
          </cell>
          <cell r="T4847" t="str">
            <v>00336949 - Mochammad Al Farabi</v>
          </cell>
          <cell r="U4847" t="str">
            <v>"-"</v>
          </cell>
        </row>
        <row r="4848">
          <cell r="A4848">
            <v>46265</v>
          </cell>
          <cell r="B4848" t="str">
            <v xml:space="preserve">MOCH.RIZKY ARDIANSYAH                   </v>
          </cell>
          <cell r="C4848" t="str">
            <v>MCVIH78</v>
          </cell>
          <cell r="D4848">
            <v>82401052506533</v>
          </cell>
          <cell r="F4848" t="str">
            <v>Tidak</v>
          </cell>
          <cell r="G4848" t="str">
            <v>Tidak</v>
          </cell>
          <cell r="H4848" t="str">
            <v>Tidak</v>
          </cell>
          <cell r="I4848" t="str">
            <v>Bandar Judol Withdrawal</v>
          </cell>
          <cell r="J4848">
            <v>35</v>
          </cell>
          <cell r="K4848" t="str">
            <v>86,88,87</v>
          </cell>
          <cell r="L4848" t="str">
            <v>Judi Online</v>
          </cell>
          <cell r="M4848" t="str">
            <v xml:space="preserve">Kas Kanpus                              </v>
          </cell>
          <cell r="N4848" t="str">
            <v xml:space="preserve">Kas Kanpus                              </v>
          </cell>
          <cell r="O4848" t="str">
            <v xml:space="preserve">KAS KANPUS                              </v>
          </cell>
          <cell r="P4848" t="str">
            <v>Ya</v>
          </cell>
          <cell r="Q4848" t="str">
            <v>Ya</v>
          </cell>
          <cell r="R4848" t="str">
            <v>Done</v>
          </cell>
          <cell r="S4848" t="str">
            <v>Approved</v>
          </cell>
          <cell r="T4848" t="str">
            <v>90171841 - Rifqi Aziz</v>
          </cell>
          <cell r="U4848" t="str">
            <v>"-"</v>
          </cell>
        </row>
        <row r="4849">
          <cell r="A4849">
            <v>46265</v>
          </cell>
          <cell r="B4849" t="str">
            <v xml:space="preserve">MUHAMAD RAMDANI                         </v>
          </cell>
          <cell r="C4849" t="str">
            <v>MCUVI96</v>
          </cell>
          <cell r="D4849">
            <v>368301030535539</v>
          </cell>
          <cell r="F4849" t="str">
            <v>Tidak</v>
          </cell>
          <cell r="G4849" t="str">
            <v>Tidak</v>
          </cell>
          <cell r="H4849" t="str">
            <v>Tidak</v>
          </cell>
          <cell r="I4849" t="str">
            <v>Bandar Judol Withdrawal</v>
          </cell>
          <cell r="J4849">
            <v>35</v>
          </cell>
          <cell r="K4849" t="str">
            <v>86,88,87</v>
          </cell>
          <cell r="L4849" t="str">
            <v>Judi Online</v>
          </cell>
          <cell r="M4849" t="str">
            <v xml:space="preserve">Kas Kanpus                              </v>
          </cell>
          <cell r="N4849" t="str">
            <v xml:space="preserve">Kas Kanpus                              </v>
          </cell>
          <cell r="O4849" t="str">
            <v xml:space="preserve">KAS KANPUS                              </v>
          </cell>
          <cell r="P4849" t="str">
            <v>Tidak</v>
          </cell>
          <cell r="Q4849" t="str">
            <v>Tidak</v>
          </cell>
          <cell r="R4849" t="str">
            <v>Done</v>
          </cell>
          <cell r="S4849" t="str">
            <v>Approved</v>
          </cell>
          <cell r="T4849" t="str">
            <v>90171841 - Rifqi Aziz</v>
          </cell>
          <cell r="U4849" t="str">
            <v>"-"</v>
          </cell>
        </row>
        <row r="4850">
          <cell r="A4850">
            <v>46265</v>
          </cell>
          <cell r="B4850" t="str">
            <v xml:space="preserve">M RAMADHAN                              </v>
          </cell>
          <cell r="C4850" t="str">
            <v>MCTUT01</v>
          </cell>
          <cell r="D4850">
            <v>352801090009530</v>
          </cell>
          <cell r="F4850" t="str">
            <v>Tidak</v>
          </cell>
          <cell r="G4850" t="str">
            <v>Tidak</v>
          </cell>
          <cell r="H4850" t="str">
            <v>Tidak</v>
          </cell>
          <cell r="I4850" t="str">
            <v>Bandar Judol Depo</v>
          </cell>
          <cell r="J4850">
            <v>35</v>
          </cell>
          <cell r="K4850" t="str">
            <v>86,74,87</v>
          </cell>
          <cell r="L4850" t="str">
            <v>Judi Online</v>
          </cell>
          <cell r="M4850" t="str">
            <v xml:space="preserve">Kas Kanpus                              </v>
          </cell>
          <cell r="N4850" t="str">
            <v xml:space="preserve">Kas Kanpus                              </v>
          </cell>
          <cell r="O4850" t="str">
            <v xml:space="preserve">KAS KANPUS                              </v>
          </cell>
          <cell r="P4850" t="str">
            <v>Ya</v>
          </cell>
          <cell r="Q4850" t="str">
            <v>Ya</v>
          </cell>
          <cell r="R4850" t="str">
            <v>Done</v>
          </cell>
          <cell r="S4850" t="str">
            <v>Approved</v>
          </cell>
          <cell r="T4850" t="str">
            <v>90150130 - Intan Aida Pratiwi</v>
          </cell>
          <cell r="U4850" t="str">
            <v>"-"</v>
          </cell>
        </row>
        <row r="4851">
          <cell r="A4851">
            <v>46265</v>
          </cell>
          <cell r="B4851" t="str">
            <v xml:space="preserve">MUHAMAD ANANDA                          </v>
          </cell>
          <cell r="C4851" t="str">
            <v>MCUGC24</v>
          </cell>
          <cell r="D4851">
            <v>38601072772500</v>
          </cell>
          <cell r="F4851" t="str">
            <v>Tidak</v>
          </cell>
          <cell r="G4851" t="str">
            <v>Tidak</v>
          </cell>
          <cell r="H4851" t="str">
            <v>Tidak</v>
          </cell>
          <cell r="I4851" t="str">
            <v>Bandar Judol Withdrawal</v>
          </cell>
          <cell r="J4851">
            <v>35</v>
          </cell>
          <cell r="K4851" t="str">
            <v>86,88,87</v>
          </cell>
          <cell r="L4851" t="str">
            <v>Judi Online</v>
          </cell>
          <cell r="M4851" t="str">
            <v xml:space="preserve">Kas Kanpus                              </v>
          </cell>
          <cell r="N4851" t="str">
            <v xml:space="preserve">Kas Kanpus                              </v>
          </cell>
          <cell r="O4851" t="str">
            <v xml:space="preserve">KAS KANPUS                              </v>
          </cell>
          <cell r="P4851" t="str">
            <v>Ya</v>
          </cell>
          <cell r="Q4851" t="str">
            <v>Ya</v>
          </cell>
          <cell r="R4851" t="str">
            <v>Done</v>
          </cell>
          <cell r="S4851" t="str">
            <v>Approved</v>
          </cell>
          <cell r="T4851" t="str">
            <v>00336949 - Mochammad Al Farabi</v>
          </cell>
          <cell r="U4851" t="str">
            <v>"-"</v>
          </cell>
        </row>
        <row r="4852">
          <cell r="A4852">
            <v>46265</v>
          </cell>
          <cell r="B4852" t="str">
            <v xml:space="preserve">MUHAMAD ILHAM MAULANA                   </v>
          </cell>
          <cell r="C4852" t="str">
            <v>MCUJQ10</v>
          </cell>
          <cell r="D4852">
            <v>50901005311563</v>
          </cell>
          <cell r="F4852" t="str">
            <v>Tidak</v>
          </cell>
          <cell r="G4852" t="str">
            <v>Tidak</v>
          </cell>
          <cell r="H4852" t="str">
            <v>Tidak</v>
          </cell>
          <cell r="I4852" t="str">
            <v>Bandar Judol Withdrawal</v>
          </cell>
          <cell r="J4852">
            <v>35</v>
          </cell>
          <cell r="K4852" t="str">
            <v>86,88,87</v>
          </cell>
          <cell r="L4852" t="str">
            <v>Judi Online</v>
          </cell>
          <cell r="M4852" t="str">
            <v xml:space="preserve">Kas Kanpus                              </v>
          </cell>
          <cell r="N4852" t="str">
            <v xml:space="preserve">Kas Kanpus                              </v>
          </cell>
          <cell r="O4852" t="str">
            <v xml:space="preserve">KAS KANPUS                              </v>
          </cell>
          <cell r="P4852" t="str">
            <v>Ya</v>
          </cell>
          <cell r="Q4852" t="str">
            <v>Ya</v>
          </cell>
          <cell r="R4852" t="str">
            <v>Done</v>
          </cell>
          <cell r="S4852" t="str">
            <v>Approved</v>
          </cell>
          <cell r="T4852" t="str">
            <v>00394521 - Muhammad Hibbanduta</v>
          </cell>
          <cell r="U4852" t="str">
            <v>"-"</v>
          </cell>
        </row>
        <row r="4853">
          <cell r="A4853">
            <v>46265</v>
          </cell>
          <cell r="B4853" t="str">
            <v xml:space="preserve">MUHAMMAD NURSA TIRI                     </v>
          </cell>
          <cell r="C4853" t="str">
            <v>MCUMK78</v>
          </cell>
          <cell r="D4853">
            <v>43801003721565</v>
          </cell>
          <cell r="F4853" t="str">
            <v>Tidak</v>
          </cell>
          <cell r="G4853" t="str">
            <v>Tidak</v>
          </cell>
          <cell r="H4853" t="str">
            <v>Tidak</v>
          </cell>
          <cell r="I4853" t="str">
            <v>Bandar Judol Withdrawal</v>
          </cell>
          <cell r="J4853">
            <v>35</v>
          </cell>
          <cell r="K4853" t="str">
            <v>86,88,87</v>
          </cell>
          <cell r="L4853" t="str">
            <v>Judi Online</v>
          </cell>
          <cell r="M4853" t="str">
            <v xml:space="preserve">Kas Kanpus                              </v>
          </cell>
          <cell r="N4853" t="str">
            <v xml:space="preserve">Kas Kanpus                              </v>
          </cell>
          <cell r="O4853" t="str">
            <v xml:space="preserve">KAS KANPUS                              </v>
          </cell>
          <cell r="P4853" t="str">
            <v>Ya</v>
          </cell>
          <cell r="Q4853" t="str">
            <v>Ya</v>
          </cell>
          <cell r="R4853" t="str">
            <v>Done</v>
          </cell>
          <cell r="S4853" t="str">
            <v>Approved</v>
          </cell>
          <cell r="T4853" t="str">
            <v>00336949 - Mochammad Al Farabi</v>
          </cell>
          <cell r="U4853" t="str">
            <v>"-"</v>
          </cell>
        </row>
        <row r="4854">
          <cell r="A4854">
            <v>46265</v>
          </cell>
          <cell r="B4854" t="str">
            <v xml:space="preserve">MUHAMAD RAHMAN FADILLAH                 </v>
          </cell>
          <cell r="C4854" t="str">
            <v>MCUML74</v>
          </cell>
          <cell r="D4854">
            <v>1201003682565</v>
          </cell>
          <cell r="F4854" t="str">
            <v>Tidak</v>
          </cell>
          <cell r="G4854" t="str">
            <v>Tidak</v>
          </cell>
          <cell r="H4854" t="str">
            <v>Tidak</v>
          </cell>
          <cell r="I4854" t="str">
            <v>Bandar Judol Withdrawal</v>
          </cell>
          <cell r="J4854">
            <v>35</v>
          </cell>
          <cell r="K4854" t="str">
            <v>86,88,87</v>
          </cell>
          <cell r="L4854" t="str">
            <v>Judi Online</v>
          </cell>
          <cell r="M4854" t="str">
            <v xml:space="preserve">Kas Kanpus                              </v>
          </cell>
          <cell r="N4854" t="str">
            <v xml:space="preserve">Kas Kanpus                              </v>
          </cell>
          <cell r="O4854" t="str">
            <v xml:space="preserve">KAS KANPUS                              </v>
          </cell>
          <cell r="P4854" t="str">
            <v>Ya</v>
          </cell>
          <cell r="Q4854" t="str">
            <v>Ya</v>
          </cell>
          <cell r="R4854" t="str">
            <v>Done</v>
          </cell>
          <cell r="S4854" t="str">
            <v>Approved</v>
          </cell>
          <cell r="T4854" t="str">
            <v>90185537 - Moh.Khoerul Fajar Ar</v>
          </cell>
          <cell r="U4854" t="str">
            <v>"-"</v>
          </cell>
        </row>
        <row r="4855">
          <cell r="A4855">
            <v>46265</v>
          </cell>
          <cell r="B4855" t="str">
            <v xml:space="preserve">M UZER                                  </v>
          </cell>
          <cell r="C4855" t="str">
            <v>MCKB647</v>
          </cell>
          <cell r="D4855">
            <v>108601000476561</v>
          </cell>
          <cell r="E4855" t="str">
            <v>SEDANG</v>
          </cell>
          <cell r="F4855" t="str">
            <v>Tidak</v>
          </cell>
          <cell r="G4855" t="str">
            <v>Tidak</v>
          </cell>
          <cell r="H4855" t="str">
            <v>Tidak</v>
          </cell>
          <cell r="I4855" t="str">
            <v>Judi Online</v>
          </cell>
          <cell r="J4855">
            <v>50</v>
          </cell>
          <cell r="K4855" t="str">
            <v>73,76,34,74,6</v>
          </cell>
          <cell r="L4855" t="str">
            <v>Judi Online</v>
          </cell>
          <cell r="M4855" t="str">
            <v xml:space="preserve">Kas Kanpus                              </v>
          </cell>
          <cell r="N4855" t="str">
            <v xml:space="preserve">Kas Kanpus                              </v>
          </cell>
          <cell r="O4855" t="str">
            <v xml:space="preserve">KAS KANPUS                              </v>
          </cell>
          <cell r="P4855" t="str">
            <v>Ya</v>
          </cell>
          <cell r="Q4855" t="str">
            <v>Ya</v>
          </cell>
          <cell r="R4855" t="str">
            <v>Done</v>
          </cell>
          <cell r="S4855" t="str">
            <v>Approved</v>
          </cell>
          <cell r="T4855" t="str">
            <v>90185537 - Moh.Khoerul Fajar Ar</v>
          </cell>
          <cell r="U4855" t="str">
            <v>"-"</v>
          </cell>
        </row>
        <row r="4856">
          <cell r="A4856">
            <v>46265</v>
          </cell>
          <cell r="B4856" t="str">
            <v xml:space="preserve">M UZER                                  </v>
          </cell>
          <cell r="C4856" t="str">
            <v>MCKB647</v>
          </cell>
          <cell r="D4856">
            <v>108601000476561</v>
          </cell>
          <cell r="E4856" t="str">
            <v>SEDANG</v>
          </cell>
          <cell r="F4856" t="str">
            <v>Tidak</v>
          </cell>
          <cell r="G4856" t="str">
            <v>Tidak</v>
          </cell>
          <cell r="H4856" t="str">
            <v>Tidak</v>
          </cell>
          <cell r="I4856" t="str">
            <v>Bandar Judol Depo</v>
          </cell>
          <cell r="J4856">
            <v>50</v>
          </cell>
          <cell r="K4856" t="str">
            <v>86,74,87</v>
          </cell>
          <cell r="L4856" t="str">
            <v>Judi Online</v>
          </cell>
          <cell r="M4856" t="str">
            <v xml:space="preserve">Kas Kanpus                              </v>
          </cell>
          <cell r="N4856" t="str">
            <v xml:space="preserve">Kas Kanpus                              </v>
          </cell>
          <cell r="O4856" t="str">
            <v xml:space="preserve">KAS KANPUS                              </v>
          </cell>
          <cell r="P4856" t="str">
            <v>Ya</v>
          </cell>
          <cell r="Q4856" t="str">
            <v>Ya</v>
          </cell>
          <cell r="R4856" t="str">
            <v>Done</v>
          </cell>
          <cell r="S4856" t="str">
            <v>Approved</v>
          </cell>
          <cell r="T4856" t="str">
            <v>00336949 - Mochammad Al Farabi</v>
          </cell>
          <cell r="U4856" t="str">
            <v>"-"</v>
          </cell>
        </row>
        <row r="4857">
          <cell r="A4857">
            <v>46265</v>
          </cell>
          <cell r="B4857" t="str">
            <v xml:space="preserve">MUHAMMAD SHODIQ WIBISONO                </v>
          </cell>
          <cell r="C4857" t="str">
            <v>MCLH766</v>
          </cell>
          <cell r="D4857">
            <v>1701005249567</v>
          </cell>
          <cell r="E4857" t="str">
            <v>SEDANG</v>
          </cell>
          <cell r="F4857" t="str">
            <v>Tidak</v>
          </cell>
          <cell r="G4857" t="str">
            <v>Tidak</v>
          </cell>
          <cell r="H4857" t="str">
            <v>Tidak</v>
          </cell>
          <cell r="I4857" t="str">
            <v>Bandar Judol Withdrawal</v>
          </cell>
          <cell r="J4857">
            <v>50</v>
          </cell>
          <cell r="K4857" t="str">
            <v>86,88,87</v>
          </cell>
          <cell r="L4857" t="str">
            <v>Judi Online</v>
          </cell>
          <cell r="M4857" t="str">
            <v xml:space="preserve">Kas Kanpus                              </v>
          </cell>
          <cell r="N4857" t="str">
            <v xml:space="preserve">Kas Kanpus                              </v>
          </cell>
          <cell r="O4857" t="str">
            <v xml:space="preserve">KAS KANPUS                              </v>
          </cell>
          <cell r="P4857" t="str">
            <v>Ya</v>
          </cell>
          <cell r="Q4857" t="str">
            <v>Ya</v>
          </cell>
          <cell r="R4857" t="str">
            <v>Done</v>
          </cell>
          <cell r="S4857" t="str">
            <v>Approved</v>
          </cell>
          <cell r="T4857" t="str">
            <v>00336949 - Mochammad Al Farabi</v>
          </cell>
          <cell r="U4857" t="str">
            <v>"-"</v>
          </cell>
        </row>
        <row r="4858">
          <cell r="A4858">
            <v>46265</v>
          </cell>
          <cell r="B4858" t="str">
            <v xml:space="preserve">M.NOVRIZAL                              </v>
          </cell>
          <cell r="C4858" t="str">
            <v>MCEGS21</v>
          </cell>
          <cell r="D4858">
            <v>69401001075568</v>
          </cell>
          <cell r="E4858" t="str">
            <v>SEDANG</v>
          </cell>
          <cell r="F4858" t="str">
            <v>Tidak</v>
          </cell>
          <cell r="G4858" t="str">
            <v>Tidak</v>
          </cell>
          <cell r="H4858" t="str">
            <v>Tidak</v>
          </cell>
          <cell r="I4858" t="str">
            <v>Bandar Judol Withdrawal</v>
          </cell>
          <cell r="J4858">
            <v>50</v>
          </cell>
          <cell r="K4858" t="str">
            <v>86,88,87</v>
          </cell>
          <cell r="L4858" t="str">
            <v>Judi Online</v>
          </cell>
          <cell r="M4858" t="str">
            <v xml:space="preserve">Kas Kanpus                              </v>
          </cell>
          <cell r="N4858" t="str">
            <v xml:space="preserve">Kas Kanpus                              </v>
          </cell>
          <cell r="O4858" t="str">
            <v xml:space="preserve">KAS KANPUS                              </v>
          </cell>
          <cell r="P4858" t="str">
            <v>Ya</v>
          </cell>
          <cell r="Q4858" t="str">
            <v>Ya</v>
          </cell>
          <cell r="R4858" t="str">
            <v>Done</v>
          </cell>
          <cell r="S4858" t="str">
            <v>Approved</v>
          </cell>
          <cell r="T4858" t="str">
            <v>00336949 - Mochammad Al Farabi</v>
          </cell>
          <cell r="U4858" t="str">
            <v>"-"</v>
          </cell>
        </row>
        <row r="4859">
          <cell r="A4859">
            <v>46265</v>
          </cell>
          <cell r="B4859" t="str">
            <v xml:space="preserve">MUHAMMAD BINTANG HAFIDYANSYAH           </v>
          </cell>
          <cell r="C4859" t="str">
            <v>MCPTW95</v>
          </cell>
          <cell r="D4859">
            <v>80401012570500</v>
          </cell>
          <cell r="F4859" t="str">
            <v>Tidak</v>
          </cell>
          <cell r="G4859" t="str">
            <v>Tidak</v>
          </cell>
          <cell r="H4859" t="str">
            <v>Tidak</v>
          </cell>
          <cell r="I4859" t="str">
            <v>Bandar Judol Withdrawal</v>
          </cell>
          <cell r="J4859">
            <v>35</v>
          </cell>
          <cell r="K4859" t="str">
            <v>86,88,87</v>
          </cell>
          <cell r="L4859" t="str">
            <v>Judi Online</v>
          </cell>
          <cell r="M4859" t="str">
            <v xml:space="preserve">Kas Kanpus                              </v>
          </cell>
          <cell r="N4859" t="str">
            <v xml:space="preserve">Kas Kanpus                              </v>
          </cell>
          <cell r="O4859" t="str">
            <v xml:space="preserve">KAS KANPUS                              </v>
          </cell>
          <cell r="P4859" t="str">
            <v>Ya</v>
          </cell>
          <cell r="Q4859" t="str">
            <v>Ya</v>
          </cell>
          <cell r="R4859" t="str">
            <v>Done</v>
          </cell>
          <cell r="S4859" t="str">
            <v>Approved</v>
          </cell>
          <cell r="T4859" t="str">
            <v>90186796 - Devito Arya Wiradila</v>
          </cell>
          <cell r="U4859" t="str">
            <v>"-"</v>
          </cell>
        </row>
        <row r="4860">
          <cell r="A4860">
            <v>46265</v>
          </cell>
          <cell r="B4860" t="str">
            <v xml:space="preserve">M AIDIL AZMI                            </v>
          </cell>
          <cell r="C4860" t="str">
            <v>MCPUW60</v>
          </cell>
          <cell r="D4860">
            <v>334201000078567</v>
          </cell>
          <cell r="F4860" t="str">
            <v>Tidak</v>
          </cell>
          <cell r="G4860" t="str">
            <v>Tidak</v>
          </cell>
          <cell r="H4860" t="str">
            <v>Tidak</v>
          </cell>
          <cell r="I4860" t="str">
            <v>Bandar Judol Withdrawal</v>
          </cell>
          <cell r="J4860">
            <v>35</v>
          </cell>
          <cell r="K4860" t="str">
            <v>86,88,87</v>
          </cell>
          <cell r="L4860" t="str">
            <v>Judi Online</v>
          </cell>
          <cell r="M4860" t="str">
            <v xml:space="preserve">Kas Kanpus                              </v>
          </cell>
          <cell r="N4860" t="str">
            <v xml:space="preserve">Kas Kanpus                              </v>
          </cell>
          <cell r="O4860" t="str">
            <v xml:space="preserve">KAS KANPUS                              </v>
          </cell>
          <cell r="P4860" t="str">
            <v>Ya</v>
          </cell>
          <cell r="Q4860" t="str">
            <v>Ya</v>
          </cell>
          <cell r="R4860" t="str">
            <v>Done</v>
          </cell>
          <cell r="S4860" t="str">
            <v>Approved</v>
          </cell>
          <cell r="T4860" t="str">
            <v>00336949 - Mochammad Al Farabi</v>
          </cell>
          <cell r="U4860" t="str">
            <v>"-"</v>
          </cell>
        </row>
        <row r="4861">
          <cell r="A4861">
            <v>46265</v>
          </cell>
          <cell r="B4861" t="str">
            <v xml:space="preserve">M NADI                                  </v>
          </cell>
          <cell r="C4861" t="str">
            <v>MCPUX42</v>
          </cell>
          <cell r="D4861">
            <v>334201000079563</v>
          </cell>
          <cell r="F4861" t="str">
            <v>Tidak</v>
          </cell>
          <cell r="G4861" t="str">
            <v>Tidak</v>
          </cell>
          <cell r="H4861" t="str">
            <v>Tidak</v>
          </cell>
          <cell r="I4861" t="str">
            <v>Bandar Judol Withdrawal</v>
          </cell>
          <cell r="J4861">
            <v>35</v>
          </cell>
          <cell r="K4861" t="str">
            <v>86,88,87</v>
          </cell>
          <cell r="L4861" t="str">
            <v>Judi Online</v>
          </cell>
          <cell r="M4861" t="str">
            <v xml:space="preserve">Kas Kanpus                              </v>
          </cell>
          <cell r="N4861" t="str">
            <v xml:space="preserve">Kas Kanpus                              </v>
          </cell>
          <cell r="O4861" t="str">
            <v xml:space="preserve">KAS KANPUS                              </v>
          </cell>
          <cell r="P4861" t="str">
            <v>Ya</v>
          </cell>
          <cell r="Q4861" t="str">
            <v>Tidak</v>
          </cell>
          <cell r="R4861" t="str">
            <v>Done</v>
          </cell>
          <cell r="S4861" t="str">
            <v>Approved</v>
          </cell>
          <cell r="T4861" t="str">
            <v>90150130 - Intan Aida Pratiwi</v>
          </cell>
          <cell r="U4861" t="str">
            <v>"-"</v>
          </cell>
        </row>
        <row r="4862">
          <cell r="A4862">
            <v>46265</v>
          </cell>
          <cell r="B4862" t="str">
            <v xml:space="preserve">M. AJRAL                                </v>
          </cell>
          <cell r="C4862" t="str">
            <v>MCPVQ03</v>
          </cell>
          <cell r="D4862">
            <v>327501007681500</v>
          </cell>
          <cell r="F4862" t="str">
            <v>Tidak</v>
          </cell>
          <cell r="G4862" t="str">
            <v>Tidak</v>
          </cell>
          <cell r="H4862" t="str">
            <v>Tidak</v>
          </cell>
          <cell r="I4862" t="str">
            <v>Bandar Judol Withdrawal</v>
          </cell>
          <cell r="J4862">
            <v>35</v>
          </cell>
          <cell r="K4862" t="str">
            <v>86,88,87</v>
          </cell>
          <cell r="L4862" t="str">
            <v>Judi Online</v>
          </cell>
          <cell r="M4862" t="str">
            <v xml:space="preserve">Kas Kanpus                              </v>
          </cell>
          <cell r="N4862" t="str">
            <v xml:space="preserve">Kas Kanpus                              </v>
          </cell>
          <cell r="O4862" t="str">
            <v xml:space="preserve">KAS KANPUS                              </v>
          </cell>
          <cell r="P4862" t="str">
            <v>Ya</v>
          </cell>
          <cell r="Q4862" t="str">
            <v>Ya</v>
          </cell>
          <cell r="R4862" t="str">
            <v>Done</v>
          </cell>
          <cell r="S4862" t="str">
            <v>Approved</v>
          </cell>
          <cell r="T4862" t="str">
            <v>90170665 - Mutiara Ayuningtyas</v>
          </cell>
          <cell r="U4862" t="str">
            <v>"-"</v>
          </cell>
        </row>
        <row r="4863">
          <cell r="A4863">
            <v>46265</v>
          </cell>
          <cell r="B4863" t="str">
            <v xml:space="preserve">MARSETO PAMUNGKAS                       </v>
          </cell>
          <cell r="C4863" t="str">
            <v>MCMZC75</v>
          </cell>
          <cell r="D4863">
            <v>34501048092500</v>
          </cell>
          <cell r="F4863" t="str">
            <v>Tidak</v>
          </cell>
          <cell r="G4863" t="str">
            <v>Tidak</v>
          </cell>
          <cell r="H4863" t="str">
            <v>Tidak</v>
          </cell>
          <cell r="I4863" t="str">
            <v>Bandar Judol Withdrawal</v>
          </cell>
          <cell r="J4863">
            <v>35</v>
          </cell>
          <cell r="K4863" t="str">
            <v>86,88,87</v>
          </cell>
          <cell r="L4863" t="str">
            <v>Judi Online</v>
          </cell>
          <cell r="M4863" t="str">
            <v xml:space="preserve">Kas Kanpus                              </v>
          </cell>
          <cell r="N4863" t="str">
            <v xml:space="preserve">Kas Kanpus                              </v>
          </cell>
          <cell r="O4863" t="str">
            <v xml:space="preserve">KAS KANPUS                              </v>
          </cell>
          <cell r="P4863" t="str">
            <v>Ya</v>
          </cell>
          <cell r="Q4863" t="str">
            <v>Ya</v>
          </cell>
          <cell r="R4863" t="str">
            <v>Done</v>
          </cell>
          <cell r="S4863" t="str">
            <v>Approved</v>
          </cell>
          <cell r="T4863" t="str">
            <v>90170665 - Mutiara Ayuningtyas</v>
          </cell>
          <cell r="U4863" t="str">
            <v>"-"</v>
          </cell>
        </row>
        <row r="4864">
          <cell r="A4864">
            <v>46265</v>
          </cell>
          <cell r="B4864" t="str">
            <v xml:space="preserve">M. RAMADHAN                             </v>
          </cell>
          <cell r="C4864" t="str">
            <v>MCGGN02</v>
          </cell>
          <cell r="D4864">
            <v>334401011388505</v>
          </cell>
          <cell r="E4864" t="str">
            <v>SEDANG</v>
          </cell>
          <cell r="F4864" t="str">
            <v>Tidak</v>
          </cell>
          <cell r="G4864" t="str">
            <v>Tidak</v>
          </cell>
          <cell r="H4864" t="str">
            <v>Tidak</v>
          </cell>
          <cell r="I4864" t="str">
            <v>Bandar Judol Withdrawal</v>
          </cell>
          <cell r="J4864">
            <v>50</v>
          </cell>
          <cell r="K4864" t="str">
            <v>86,88,87</v>
          </cell>
          <cell r="L4864" t="str">
            <v>Judi Online</v>
          </cell>
          <cell r="M4864" t="str">
            <v xml:space="preserve">Kas Kanpus                              </v>
          </cell>
          <cell r="N4864" t="str">
            <v xml:space="preserve">Kas Kanpus                              </v>
          </cell>
          <cell r="O4864" t="str">
            <v xml:space="preserve">KAS KANPUS                              </v>
          </cell>
          <cell r="P4864" t="str">
            <v>Ya</v>
          </cell>
          <cell r="Q4864" t="str">
            <v>Ya</v>
          </cell>
          <cell r="R4864" t="str">
            <v>Done</v>
          </cell>
          <cell r="S4864" t="str">
            <v>Approved</v>
          </cell>
          <cell r="T4864" t="str">
            <v>00394521 - Muhammad Hibbanduta</v>
          </cell>
          <cell r="U4864" t="str">
            <v>"-"</v>
          </cell>
        </row>
        <row r="4865">
          <cell r="A4865">
            <v>46265</v>
          </cell>
          <cell r="B4865" t="str">
            <v xml:space="preserve">MUHAMMAD GIVALIANDRI NUGROHO            </v>
          </cell>
          <cell r="C4865" t="str">
            <v>MCSIM25</v>
          </cell>
          <cell r="D4865">
            <v>92701010841503</v>
          </cell>
          <cell r="F4865" t="str">
            <v>Tidak</v>
          </cell>
          <cell r="G4865" t="str">
            <v>Tidak</v>
          </cell>
          <cell r="H4865" t="str">
            <v>Tidak</v>
          </cell>
          <cell r="I4865" t="str">
            <v>Bandar Judol Depo</v>
          </cell>
          <cell r="J4865">
            <v>35</v>
          </cell>
          <cell r="K4865" t="str">
            <v>86,74,87</v>
          </cell>
          <cell r="L4865" t="str">
            <v>Judi Online</v>
          </cell>
          <cell r="M4865" t="str">
            <v xml:space="preserve">Kas Kanpus                              </v>
          </cell>
          <cell r="N4865" t="str">
            <v xml:space="preserve">Kas Kanpus                              </v>
          </cell>
          <cell r="O4865" t="str">
            <v xml:space="preserve">KAS KANPUS                              </v>
          </cell>
          <cell r="P4865" t="str">
            <v>Ya</v>
          </cell>
          <cell r="Q4865" t="str">
            <v>Ya</v>
          </cell>
          <cell r="R4865" t="str">
            <v>Done</v>
          </cell>
          <cell r="S4865" t="str">
            <v>Approved</v>
          </cell>
          <cell r="T4865" t="str">
            <v>90170665 - Mutiara Ayuningtyas</v>
          </cell>
          <cell r="U4865" t="str">
            <v>"-"</v>
          </cell>
        </row>
        <row r="4866">
          <cell r="A4866">
            <v>46265</v>
          </cell>
          <cell r="B4866" t="str">
            <v xml:space="preserve">MUHAMAD PAHRIYAN SUPANDI                </v>
          </cell>
          <cell r="C4866" t="str">
            <v>MCSYR39</v>
          </cell>
          <cell r="D4866">
            <v>201101020130507</v>
          </cell>
          <cell r="F4866" t="str">
            <v>Tidak</v>
          </cell>
          <cell r="G4866" t="str">
            <v>Tidak</v>
          </cell>
          <cell r="H4866" t="str">
            <v>Tidak</v>
          </cell>
          <cell r="I4866" t="str">
            <v>Bandar Judol Withdrawal</v>
          </cell>
          <cell r="J4866">
            <v>35</v>
          </cell>
          <cell r="K4866" t="str">
            <v>86,88,87</v>
          </cell>
          <cell r="L4866" t="str">
            <v>Judi Online</v>
          </cell>
          <cell r="M4866" t="str">
            <v xml:space="preserve">Kas Kanpus                              </v>
          </cell>
          <cell r="N4866" t="str">
            <v xml:space="preserve">Kas Kanpus                              </v>
          </cell>
          <cell r="O4866" t="str">
            <v xml:space="preserve">KAS KANPUS                              </v>
          </cell>
          <cell r="P4866" t="str">
            <v>Ya</v>
          </cell>
          <cell r="Q4866" t="str">
            <v>Ya</v>
          </cell>
          <cell r="R4866" t="str">
            <v>Done</v>
          </cell>
          <cell r="S4866" t="str">
            <v>Approved</v>
          </cell>
          <cell r="T4866" t="str">
            <v>90185537 - Moh.Khoerul Fajar Ar</v>
          </cell>
          <cell r="U4866" t="str">
            <v>"-"</v>
          </cell>
        </row>
        <row r="4867">
          <cell r="A4867">
            <v>46265</v>
          </cell>
          <cell r="B4867" t="str">
            <v xml:space="preserve">MULYADI                                 </v>
          </cell>
          <cell r="C4867" t="str">
            <v>MCRKO58</v>
          </cell>
          <cell r="D4867">
            <v>525801036750538</v>
          </cell>
          <cell r="F4867" t="str">
            <v>Tidak</v>
          </cell>
          <cell r="G4867" t="str">
            <v>Tidak</v>
          </cell>
          <cell r="H4867" t="str">
            <v>Tidak</v>
          </cell>
          <cell r="I4867" t="str">
            <v>Bandar Judol Depo</v>
          </cell>
          <cell r="J4867">
            <v>35</v>
          </cell>
          <cell r="K4867" t="str">
            <v>86,74,87</v>
          </cell>
          <cell r="L4867" t="str">
            <v>Judi Online</v>
          </cell>
          <cell r="M4867" t="str">
            <v xml:space="preserve">Kas Kanpus                              </v>
          </cell>
          <cell r="N4867" t="str">
            <v xml:space="preserve">Kas Kanpus                              </v>
          </cell>
          <cell r="O4867" t="str">
            <v xml:space="preserve">KAS KANPUS                              </v>
          </cell>
          <cell r="P4867" t="str">
            <v>Ya</v>
          </cell>
          <cell r="Q4867" t="str">
            <v>Ya</v>
          </cell>
          <cell r="R4867" t="str">
            <v>Done</v>
          </cell>
          <cell r="S4867" t="str">
            <v>Approved</v>
          </cell>
          <cell r="T4867" t="str">
            <v>00336949 - Mochammad Al Farabi</v>
          </cell>
          <cell r="U4867" t="str">
            <v>"-"</v>
          </cell>
        </row>
        <row r="4868">
          <cell r="A4868">
            <v>46265</v>
          </cell>
          <cell r="B4868" t="str">
            <v xml:space="preserve">MUHAMAD REZA EKA RAMADHAN               </v>
          </cell>
          <cell r="C4868" t="str">
            <v>MCQBG17</v>
          </cell>
          <cell r="D4868">
            <v>43801066763506</v>
          </cell>
          <cell r="F4868" t="str">
            <v>Tidak</v>
          </cell>
          <cell r="G4868" t="str">
            <v>Tidak</v>
          </cell>
          <cell r="H4868" t="str">
            <v>Tidak</v>
          </cell>
          <cell r="I4868" t="str">
            <v>Bandar Judol Withdrawal</v>
          </cell>
          <cell r="J4868">
            <v>35</v>
          </cell>
          <cell r="K4868" t="str">
            <v>86,88,87</v>
          </cell>
          <cell r="L4868" t="str">
            <v>Judi Online</v>
          </cell>
          <cell r="M4868" t="str">
            <v xml:space="preserve">Kas Kanpus                              </v>
          </cell>
          <cell r="N4868" t="str">
            <v xml:space="preserve">Kas Kanpus                              </v>
          </cell>
          <cell r="O4868" t="str">
            <v xml:space="preserve">KAS KANPUS                              </v>
          </cell>
          <cell r="P4868" t="str">
            <v>Ya</v>
          </cell>
          <cell r="Q4868" t="str">
            <v>Ya</v>
          </cell>
          <cell r="R4868" t="str">
            <v>Done</v>
          </cell>
          <cell r="S4868" t="str">
            <v>Approved</v>
          </cell>
          <cell r="T4868" t="str">
            <v>00336949 - Mochammad Al Farabi</v>
          </cell>
          <cell r="U4868" t="str">
            <v>"-"</v>
          </cell>
        </row>
        <row r="4869">
          <cell r="A4869">
            <v>46265</v>
          </cell>
          <cell r="B4869" t="str">
            <v xml:space="preserve">MUHAMAD FAJAR KURNIA                    </v>
          </cell>
          <cell r="C4869" t="str">
            <v>MCQDB76</v>
          </cell>
          <cell r="D4869">
            <v>44501073729502</v>
          </cell>
          <cell r="F4869" t="str">
            <v>Tidak</v>
          </cell>
          <cell r="G4869" t="str">
            <v>Tidak</v>
          </cell>
          <cell r="H4869" t="str">
            <v>Tidak</v>
          </cell>
          <cell r="I4869" t="str">
            <v>Bandar Judol Withdrawal</v>
          </cell>
          <cell r="J4869">
            <v>35</v>
          </cell>
          <cell r="K4869" t="str">
            <v>86,88,87</v>
          </cell>
          <cell r="L4869" t="str">
            <v>Judi Online</v>
          </cell>
          <cell r="M4869" t="str">
            <v xml:space="preserve">Kas Kanpus                              </v>
          </cell>
          <cell r="N4869" t="str">
            <v xml:space="preserve">Kas Kanpus                              </v>
          </cell>
          <cell r="O4869" t="str">
            <v xml:space="preserve">KAS KANPUS                              </v>
          </cell>
          <cell r="P4869" t="str">
            <v>Ya</v>
          </cell>
          <cell r="Q4869" t="str">
            <v>Ya</v>
          </cell>
          <cell r="R4869" t="str">
            <v>Done</v>
          </cell>
          <cell r="S4869" t="str">
            <v>Approved</v>
          </cell>
          <cell r="T4869" t="str">
            <v>90185537 - Moh.Khoerul Fajar Ar</v>
          </cell>
          <cell r="U4869" t="str">
            <v>"-"</v>
          </cell>
        </row>
        <row r="4870">
          <cell r="A4870">
            <v>46265</v>
          </cell>
          <cell r="B4870" t="str">
            <v xml:space="preserve">MULYANAH                                </v>
          </cell>
          <cell r="C4870" t="str">
            <v>MCOFG87</v>
          </cell>
          <cell r="D4870">
            <v>711101017864534</v>
          </cell>
          <cell r="F4870" t="str">
            <v>Tidak</v>
          </cell>
          <cell r="G4870" t="str">
            <v>Tidak</v>
          </cell>
          <cell r="H4870" t="str">
            <v>Tidak</v>
          </cell>
          <cell r="I4870" t="str">
            <v>Bandar Judol Depo</v>
          </cell>
          <cell r="J4870">
            <v>35</v>
          </cell>
          <cell r="K4870" t="str">
            <v>86,74,87</v>
          </cell>
          <cell r="L4870" t="str">
            <v>Judi Online</v>
          </cell>
          <cell r="M4870" t="str">
            <v xml:space="preserve">Kas Kanpus                              </v>
          </cell>
          <cell r="N4870" t="str">
            <v xml:space="preserve">Kas Kanpus                              </v>
          </cell>
          <cell r="O4870" t="str">
            <v xml:space="preserve">KAS KANPUS                              </v>
          </cell>
          <cell r="P4870" t="str">
            <v>Ya</v>
          </cell>
          <cell r="Q4870" t="str">
            <v>Ya</v>
          </cell>
          <cell r="R4870" t="str">
            <v>Done</v>
          </cell>
          <cell r="S4870" t="str">
            <v>Approved</v>
          </cell>
          <cell r="T4870" t="str">
            <v>00336949 - Mochammad Al Farabi</v>
          </cell>
          <cell r="U4870" t="str">
            <v>"-"</v>
          </cell>
        </row>
        <row r="4871">
          <cell r="A4871">
            <v>46265</v>
          </cell>
          <cell r="B4871" t="str">
            <v xml:space="preserve">MUHAMMAD RAMADHAN                       </v>
          </cell>
          <cell r="C4871" t="str">
            <v>MEWF694</v>
          </cell>
          <cell r="D4871">
            <v>33201173512501</v>
          </cell>
          <cell r="E4871" t="str">
            <v>SEDANG</v>
          </cell>
          <cell r="F4871" t="str">
            <v>Tidak</v>
          </cell>
          <cell r="G4871" t="str">
            <v>Tidak</v>
          </cell>
          <cell r="H4871" t="str">
            <v>Tidak</v>
          </cell>
          <cell r="I4871" t="str">
            <v>Bandar Judol Withdrawal</v>
          </cell>
          <cell r="J4871">
            <v>50</v>
          </cell>
          <cell r="K4871" t="str">
            <v>86,88,87</v>
          </cell>
          <cell r="L4871" t="str">
            <v>Judi Online</v>
          </cell>
          <cell r="M4871" t="str">
            <v xml:space="preserve">Kas Kanpus                              </v>
          </cell>
          <cell r="N4871" t="str">
            <v xml:space="preserve">Kas Kanpus                              </v>
          </cell>
          <cell r="O4871" t="str">
            <v xml:space="preserve">KAS KANPUS                              </v>
          </cell>
          <cell r="P4871" t="str">
            <v>Ya</v>
          </cell>
          <cell r="Q4871" t="str">
            <v>Ya</v>
          </cell>
          <cell r="R4871" t="str">
            <v>Done</v>
          </cell>
          <cell r="S4871" t="str">
            <v>Approved</v>
          </cell>
          <cell r="T4871" t="str">
            <v>90185537 - Moh.Khoerul Fajar Ar</v>
          </cell>
          <cell r="U4871" t="str">
            <v>"-"</v>
          </cell>
        </row>
        <row r="4872">
          <cell r="A4872">
            <v>46265</v>
          </cell>
          <cell r="B4872" t="str">
            <v xml:space="preserve">MEGA                                    </v>
          </cell>
          <cell r="C4872" t="str">
            <v>MEEK285</v>
          </cell>
          <cell r="D4872">
            <v>730401017729535</v>
          </cell>
          <cell r="E4872" t="str">
            <v>SEDANG</v>
          </cell>
          <cell r="F4872" t="str">
            <v>Tidak</v>
          </cell>
          <cell r="G4872" t="str">
            <v>Tidak</v>
          </cell>
          <cell r="H4872" t="str">
            <v>Ya</v>
          </cell>
          <cell r="I4872" t="str">
            <v>Bandar Judol Withdrawal</v>
          </cell>
          <cell r="J4872">
            <v>50</v>
          </cell>
          <cell r="K4872" t="str">
            <v>86,88,87</v>
          </cell>
          <cell r="L4872" t="str">
            <v>Judi Online</v>
          </cell>
          <cell r="M4872" t="str">
            <v xml:space="preserve">Kas Kanpus                              </v>
          </cell>
          <cell r="N4872" t="str">
            <v xml:space="preserve">Kas Kanpus                              </v>
          </cell>
          <cell r="O4872" t="str">
            <v xml:space="preserve">KAS KANPUS                              </v>
          </cell>
          <cell r="P4872" t="str">
            <v>Tidak</v>
          </cell>
          <cell r="Q4872" t="str">
            <v>Tidak</v>
          </cell>
          <cell r="R4872" t="str">
            <v>Done</v>
          </cell>
          <cell r="S4872" t="str">
            <v>Approved</v>
          </cell>
          <cell r="T4872" t="str">
            <v>90185538 - Muhammad Fahikal Auz</v>
          </cell>
          <cell r="U4872" t="str">
            <v>"-"</v>
          </cell>
        </row>
        <row r="4873">
          <cell r="A4873">
            <v>46265</v>
          </cell>
          <cell r="B4873" t="str">
            <v xml:space="preserve">MHAKIM ASYARI                           </v>
          </cell>
          <cell r="C4873" t="str">
            <v>MEENU77</v>
          </cell>
          <cell r="D4873">
            <v>117201009593505</v>
          </cell>
          <cell r="F4873" t="str">
            <v>Tidak</v>
          </cell>
          <cell r="G4873" t="str">
            <v>Tidak</v>
          </cell>
          <cell r="H4873" t="str">
            <v>Tidak</v>
          </cell>
          <cell r="I4873" t="str">
            <v>Bandar Judol Withdrawal</v>
          </cell>
          <cell r="J4873">
            <v>35</v>
          </cell>
          <cell r="K4873" t="str">
            <v>86,88,87</v>
          </cell>
          <cell r="L4873" t="str">
            <v>Judi Online</v>
          </cell>
          <cell r="M4873" t="str">
            <v xml:space="preserve">Kas Kanpus                              </v>
          </cell>
          <cell r="N4873" t="str">
            <v xml:space="preserve">Kas Kanpus                              </v>
          </cell>
          <cell r="O4873" t="str">
            <v xml:space="preserve">KAS KANPUS                              </v>
          </cell>
          <cell r="P4873" t="str">
            <v>Ya</v>
          </cell>
          <cell r="Q4873" t="str">
            <v>Ya</v>
          </cell>
          <cell r="R4873" t="str">
            <v>Done</v>
          </cell>
          <cell r="S4873" t="str">
            <v>Approved</v>
          </cell>
          <cell r="T4873" t="str">
            <v>90186790 - Muhammad Alfin Farha</v>
          </cell>
          <cell r="U4873" t="str">
            <v>"-"</v>
          </cell>
        </row>
        <row r="4874">
          <cell r="A4874">
            <v>46265</v>
          </cell>
          <cell r="B4874" t="str">
            <v xml:space="preserve">MELATI                                  </v>
          </cell>
          <cell r="C4874" t="str">
            <v>MEEQ539</v>
          </cell>
          <cell r="D4874">
            <v>39801002203564</v>
          </cell>
          <cell r="E4874" t="str">
            <v>TINGGI</v>
          </cell>
          <cell r="F4874" t="str">
            <v>Tidak</v>
          </cell>
          <cell r="G4874" t="str">
            <v>Tidak</v>
          </cell>
          <cell r="H4874" t="str">
            <v>Tidak</v>
          </cell>
          <cell r="I4874" t="str">
            <v>Bandar Judol Withdrawal</v>
          </cell>
          <cell r="J4874">
            <v>65</v>
          </cell>
          <cell r="K4874" t="str">
            <v>86,88,87</v>
          </cell>
          <cell r="L4874" t="str">
            <v>Judi Online</v>
          </cell>
          <cell r="M4874" t="str">
            <v xml:space="preserve">Kas Kanpus                              </v>
          </cell>
          <cell r="N4874" t="str">
            <v xml:space="preserve">Kas Kanpus                              </v>
          </cell>
          <cell r="O4874" t="str">
            <v xml:space="preserve">KAS KANPUS                              </v>
          </cell>
          <cell r="P4874" t="str">
            <v>Ya</v>
          </cell>
          <cell r="Q4874" t="str">
            <v>Ya</v>
          </cell>
          <cell r="R4874" t="str">
            <v>Done</v>
          </cell>
          <cell r="S4874" t="str">
            <v>Approved</v>
          </cell>
          <cell r="T4874" t="str">
            <v>90171841 - Rifqi Aziz</v>
          </cell>
          <cell r="U4874" t="str">
            <v>"-"</v>
          </cell>
        </row>
        <row r="4875">
          <cell r="A4875">
            <v>46265</v>
          </cell>
          <cell r="B4875" t="str">
            <v xml:space="preserve">MEMES FIRA DWIYANA                      </v>
          </cell>
          <cell r="C4875" t="str">
            <v>MEFI972</v>
          </cell>
          <cell r="D4875">
            <v>82601006387507</v>
          </cell>
          <cell r="E4875" t="str">
            <v>SEDANG</v>
          </cell>
          <cell r="F4875" t="str">
            <v>Tidak</v>
          </cell>
          <cell r="G4875" t="str">
            <v>Tidak</v>
          </cell>
          <cell r="H4875" t="str">
            <v>Tidak</v>
          </cell>
          <cell r="I4875" t="str">
            <v>Bandar Judol Withdrawal</v>
          </cell>
          <cell r="J4875">
            <v>50</v>
          </cell>
          <cell r="K4875" t="str">
            <v>86,88,87</v>
          </cell>
          <cell r="L4875" t="str">
            <v>Judi Online</v>
          </cell>
          <cell r="M4875" t="str">
            <v xml:space="preserve">Kas Kanpus                              </v>
          </cell>
          <cell r="N4875" t="str">
            <v xml:space="preserve">Kas Kanpus                              </v>
          </cell>
          <cell r="O4875" t="str">
            <v xml:space="preserve">KAS KANPUS                              </v>
          </cell>
          <cell r="P4875" t="str">
            <v>Ya</v>
          </cell>
          <cell r="Q4875" t="str">
            <v>Ya</v>
          </cell>
          <cell r="R4875" t="str">
            <v>Done</v>
          </cell>
          <cell r="S4875" t="str">
            <v>Approved</v>
          </cell>
          <cell r="T4875" t="str">
            <v>00394521 - Muhammad Hibbanduta</v>
          </cell>
          <cell r="U4875" t="str">
            <v>"-"</v>
          </cell>
        </row>
        <row r="4876">
          <cell r="A4876">
            <v>46265</v>
          </cell>
          <cell r="B4876" t="str">
            <v xml:space="preserve">MHD RIZKI FADLAN                        </v>
          </cell>
          <cell r="C4876" t="str">
            <v>MEFPJ97</v>
          </cell>
          <cell r="D4876">
            <v>335301000112562</v>
          </cell>
          <cell r="F4876" t="str">
            <v>Tidak</v>
          </cell>
          <cell r="G4876" t="str">
            <v>Tidak</v>
          </cell>
          <cell r="H4876" t="str">
            <v>Tidak</v>
          </cell>
          <cell r="I4876" t="str">
            <v>Bandar Judol Withdrawal</v>
          </cell>
          <cell r="J4876">
            <v>35</v>
          </cell>
          <cell r="K4876" t="str">
            <v>86,88,87</v>
          </cell>
          <cell r="L4876" t="str">
            <v>Judi Online</v>
          </cell>
          <cell r="M4876" t="str">
            <v xml:space="preserve">Kas Kanpus                              </v>
          </cell>
          <cell r="N4876" t="str">
            <v xml:space="preserve">Kas Kanpus                              </v>
          </cell>
          <cell r="O4876" t="str">
            <v xml:space="preserve">KAS KANPUS                              </v>
          </cell>
          <cell r="P4876" t="str">
            <v>Ya</v>
          </cell>
          <cell r="Q4876" t="str">
            <v>Ya</v>
          </cell>
          <cell r="R4876" t="str">
            <v>Done</v>
          </cell>
          <cell r="S4876" t="str">
            <v>Approved</v>
          </cell>
          <cell r="T4876" t="str">
            <v>90150130 - Intan Aida Pratiwi</v>
          </cell>
          <cell r="U4876" t="str">
            <v>"-"</v>
          </cell>
        </row>
        <row r="4877">
          <cell r="A4877">
            <v>46265</v>
          </cell>
          <cell r="B4877" t="str">
            <v xml:space="preserve">MELFITRIYADI                            </v>
          </cell>
          <cell r="C4877" t="str">
            <v>MEFME62</v>
          </cell>
          <cell r="D4877">
            <v>33601004073561</v>
          </cell>
          <cell r="F4877" t="str">
            <v>Tidak</v>
          </cell>
          <cell r="G4877" t="str">
            <v>Tidak</v>
          </cell>
          <cell r="H4877" t="str">
            <v>Tidak</v>
          </cell>
          <cell r="I4877" t="str">
            <v>Bandar Judol Withdrawal</v>
          </cell>
          <cell r="J4877">
            <v>35</v>
          </cell>
          <cell r="K4877" t="str">
            <v>86,88,87</v>
          </cell>
          <cell r="L4877" t="str">
            <v>Judi Online</v>
          </cell>
          <cell r="M4877" t="str">
            <v xml:space="preserve">Kas Kanpus                              </v>
          </cell>
          <cell r="N4877" t="str">
            <v xml:space="preserve">Kas Kanpus                              </v>
          </cell>
          <cell r="O4877" t="str">
            <v xml:space="preserve">KAS KANPUS                              </v>
          </cell>
          <cell r="P4877" t="str">
            <v>Ya</v>
          </cell>
          <cell r="Q4877" t="str">
            <v>Ya</v>
          </cell>
          <cell r="R4877" t="str">
            <v>Done</v>
          </cell>
          <cell r="S4877" t="str">
            <v>Approved</v>
          </cell>
          <cell r="T4877" t="str">
            <v>90186796 - Devito Arya Wiradila</v>
          </cell>
          <cell r="U4877" t="str">
            <v>"-"</v>
          </cell>
        </row>
        <row r="4878">
          <cell r="A4878">
            <v>46265</v>
          </cell>
          <cell r="B4878" t="str">
            <v xml:space="preserve">MOCHAMMAD AZRIEL ARDYANS                </v>
          </cell>
          <cell r="C4878" t="str">
            <v>MEFSW46</v>
          </cell>
          <cell r="D4878">
            <v>1201303201506</v>
          </cell>
          <cell r="F4878" t="str">
            <v>Tidak</v>
          </cell>
          <cell r="G4878" t="str">
            <v>Tidak</v>
          </cell>
          <cell r="H4878" t="str">
            <v>Tidak</v>
          </cell>
          <cell r="I4878" t="str">
            <v>Bandar Judol Withdrawal</v>
          </cell>
          <cell r="J4878">
            <v>35</v>
          </cell>
          <cell r="K4878" t="str">
            <v>86,88,87</v>
          </cell>
          <cell r="L4878" t="str">
            <v>Judi Online</v>
          </cell>
          <cell r="M4878" t="str">
            <v xml:space="preserve">Kas Kanpus                              </v>
          </cell>
          <cell r="N4878" t="str">
            <v xml:space="preserve">Kas Kanpus                              </v>
          </cell>
          <cell r="O4878" t="str">
            <v xml:space="preserve">KAS KANPUS                              </v>
          </cell>
          <cell r="P4878" t="str">
            <v>Ya</v>
          </cell>
          <cell r="Q4878" t="str">
            <v>Ya</v>
          </cell>
          <cell r="R4878" t="str">
            <v>Done</v>
          </cell>
          <cell r="S4878" t="str">
            <v>Approved</v>
          </cell>
          <cell r="T4878" t="str">
            <v>90185538 - Muhammad Fahikal Auz</v>
          </cell>
          <cell r="U4878" t="str">
            <v>"-"</v>
          </cell>
        </row>
        <row r="4879">
          <cell r="A4879">
            <v>46265</v>
          </cell>
          <cell r="B4879" t="str">
            <v xml:space="preserve">MRAH HARIYANTI                          </v>
          </cell>
          <cell r="C4879" t="str">
            <v>MDPLB97</v>
          </cell>
          <cell r="D4879">
            <v>529001014859500</v>
          </cell>
          <cell r="F4879" t="str">
            <v>Tidak</v>
          </cell>
          <cell r="G4879" t="str">
            <v>Tidak</v>
          </cell>
          <cell r="H4879" t="str">
            <v>Tidak</v>
          </cell>
          <cell r="I4879" t="str">
            <v>Bandar Judol Depo</v>
          </cell>
          <cell r="J4879">
            <v>35</v>
          </cell>
          <cell r="K4879" t="str">
            <v>86,74,87</v>
          </cell>
          <cell r="L4879" t="str">
            <v>Judi Online</v>
          </cell>
          <cell r="M4879" t="str">
            <v xml:space="preserve">Kas Kanpus                              </v>
          </cell>
          <cell r="N4879" t="str">
            <v xml:space="preserve">Kas Kanpus                              </v>
          </cell>
          <cell r="O4879" t="str">
            <v xml:space="preserve">KAS KANPUS                              </v>
          </cell>
          <cell r="P4879" t="str">
            <v>Tidak</v>
          </cell>
          <cell r="Q4879" t="str">
            <v>Ya</v>
          </cell>
          <cell r="R4879" t="str">
            <v>Done</v>
          </cell>
          <cell r="S4879" t="str">
            <v>Approved</v>
          </cell>
          <cell r="T4879" t="str">
            <v>00336949 - Mochammad Al Farabi</v>
          </cell>
          <cell r="U4879" t="str">
            <v>"-"</v>
          </cell>
        </row>
        <row r="4880">
          <cell r="A4880">
            <v>46265</v>
          </cell>
          <cell r="B4880" t="str">
            <v xml:space="preserve">M.REZA SAPUTRA                          </v>
          </cell>
          <cell r="C4880" t="str">
            <v>MDPSJ44</v>
          </cell>
          <cell r="D4880">
            <v>1701143844506</v>
          </cell>
          <cell r="F4880" t="str">
            <v>Tidak</v>
          </cell>
          <cell r="G4880" t="str">
            <v>Tidak</v>
          </cell>
          <cell r="H4880" t="str">
            <v>Tidak</v>
          </cell>
          <cell r="I4880" t="str">
            <v>Bandar Judol Depo</v>
          </cell>
          <cell r="J4880">
            <v>35</v>
          </cell>
          <cell r="K4880" t="str">
            <v>86,74,87</v>
          </cell>
          <cell r="L4880" t="str">
            <v>Judi Online</v>
          </cell>
          <cell r="M4880" t="str">
            <v xml:space="preserve">Kas Kanpus                              </v>
          </cell>
          <cell r="N4880" t="str">
            <v xml:space="preserve">Kas Kanpus                              </v>
          </cell>
          <cell r="O4880" t="str">
            <v xml:space="preserve">KAS KANPUS                              </v>
          </cell>
          <cell r="P4880" t="str">
            <v>Ya</v>
          </cell>
          <cell r="Q4880" t="str">
            <v>Tidak</v>
          </cell>
          <cell r="R4880" t="str">
            <v>Done</v>
          </cell>
          <cell r="S4880" t="str">
            <v>Approved</v>
          </cell>
          <cell r="T4880" t="str">
            <v>00394521 - Muhammad Hibbanduta</v>
          </cell>
          <cell r="U4880" t="str">
            <v>"-"</v>
          </cell>
        </row>
        <row r="4881">
          <cell r="A4881">
            <v>46265</v>
          </cell>
          <cell r="B4881" t="str">
            <v xml:space="preserve">MASDUKI                                 </v>
          </cell>
          <cell r="C4881" t="str">
            <v>MDPEB12</v>
          </cell>
          <cell r="D4881">
            <v>117201009490503</v>
          </cell>
          <cell r="F4881" t="str">
            <v>Tidak</v>
          </cell>
          <cell r="G4881" t="str">
            <v>Tidak</v>
          </cell>
          <cell r="H4881" t="str">
            <v>Tidak</v>
          </cell>
          <cell r="I4881" t="str">
            <v>Bandar Judol Withdrawal</v>
          </cell>
          <cell r="J4881">
            <v>35</v>
          </cell>
          <cell r="K4881" t="str">
            <v>86,88,87</v>
          </cell>
          <cell r="L4881" t="str">
            <v>Judi Online</v>
          </cell>
          <cell r="M4881" t="str">
            <v xml:space="preserve">Kas Kanpus                              </v>
          </cell>
          <cell r="N4881" t="str">
            <v xml:space="preserve">Kas Kanpus                              </v>
          </cell>
          <cell r="O4881" t="str">
            <v xml:space="preserve">KAS KANPUS                              </v>
          </cell>
          <cell r="P4881" t="str">
            <v>Ya</v>
          </cell>
          <cell r="Q4881" t="str">
            <v>Ya</v>
          </cell>
          <cell r="R4881" t="str">
            <v>Done</v>
          </cell>
          <cell r="S4881" t="str">
            <v>Approved</v>
          </cell>
          <cell r="T4881" t="str">
            <v>90171841 - Rifqi Aziz</v>
          </cell>
          <cell r="U4881" t="str">
            <v>"-"</v>
          </cell>
        </row>
        <row r="4882">
          <cell r="A4882">
            <v>46265</v>
          </cell>
          <cell r="B4882" t="str">
            <v xml:space="preserve">MOCH IRFAN MAULANA                      </v>
          </cell>
          <cell r="C4882" t="str">
            <v>MDNUU37</v>
          </cell>
          <cell r="D4882">
            <v>798301001048509</v>
          </cell>
          <cell r="F4882" t="str">
            <v>Tidak</v>
          </cell>
          <cell r="G4882" t="str">
            <v>Tidak</v>
          </cell>
          <cell r="H4882" t="str">
            <v>Tidak</v>
          </cell>
          <cell r="I4882" t="str">
            <v>Bandar Judol Withdrawal</v>
          </cell>
          <cell r="J4882">
            <v>35</v>
          </cell>
          <cell r="K4882" t="str">
            <v>86,88,87</v>
          </cell>
          <cell r="L4882" t="str">
            <v>Judi Online</v>
          </cell>
          <cell r="M4882" t="str">
            <v xml:space="preserve">Kas Kanpus                              </v>
          </cell>
          <cell r="N4882" t="str">
            <v xml:space="preserve">Kas Kanpus                              </v>
          </cell>
          <cell r="O4882" t="str">
            <v xml:space="preserve">KAS KANPUS                              </v>
          </cell>
          <cell r="P4882" t="str">
            <v>Ya</v>
          </cell>
          <cell r="Q4882" t="str">
            <v>Ya</v>
          </cell>
          <cell r="R4882" t="str">
            <v>Done</v>
          </cell>
          <cell r="S4882" t="str">
            <v>Approved</v>
          </cell>
          <cell r="T4882" t="str">
            <v>90171841 - Rifqi Aziz</v>
          </cell>
          <cell r="U4882" t="str">
            <v>"-"</v>
          </cell>
        </row>
        <row r="4883">
          <cell r="A4883">
            <v>46265</v>
          </cell>
          <cell r="B4883" t="str">
            <v xml:space="preserve">MULIYANA                                </v>
          </cell>
          <cell r="C4883" t="str">
            <v>MDNTC51</v>
          </cell>
          <cell r="D4883">
            <v>753701022046539</v>
          </cell>
          <cell r="F4883" t="str">
            <v>Tidak</v>
          </cell>
          <cell r="G4883" t="str">
            <v>Tidak</v>
          </cell>
          <cell r="H4883" t="str">
            <v>Tidak</v>
          </cell>
          <cell r="I4883" t="str">
            <v>Bandar Judol Withdrawal</v>
          </cell>
          <cell r="J4883">
            <v>35</v>
          </cell>
          <cell r="K4883" t="str">
            <v>86,88,87</v>
          </cell>
          <cell r="L4883" t="str">
            <v>Judi Online</v>
          </cell>
          <cell r="M4883" t="str">
            <v xml:space="preserve">Kas Kanpus                              </v>
          </cell>
          <cell r="N4883" t="str">
            <v xml:space="preserve">Kas Kanpus                              </v>
          </cell>
          <cell r="O4883" t="str">
            <v xml:space="preserve">KAS KANPUS                              </v>
          </cell>
          <cell r="P4883" t="str">
            <v>Tidak</v>
          </cell>
          <cell r="Q4883" t="str">
            <v>Ya</v>
          </cell>
          <cell r="R4883" t="str">
            <v>Done</v>
          </cell>
          <cell r="S4883" t="str">
            <v>Approved</v>
          </cell>
          <cell r="T4883" t="str">
            <v>00394520 - Frida Akbar Rani</v>
          </cell>
          <cell r="U4883" t="str">
            <v>"-"</v>
          </cell>
        </row>
        <row r="4884">
          <cell r="A4884">
            <v>46265</v>
          </cell>
          <cell r="B4884" t="str">
            <v xml:space="preserve">MUHAMMAD IQBAL                          </v>
          </cell>
          <cell r="C4884" t="str">
            <v>MDOHC37</v>
          </cell>
          <cell r="D4884">
            <v>734701012433507</v>
          </cell>
          <cell r="F4884" t="str">
            <v>Tidak</v>
          </cell>
          <cell r="G4884" t="str">
            <v>Tidak</v>
          </cell>
          <cell r="H4884" t="str">
            <v>Tidak</v>
          </cell>
          <cell r="I4884" t="str">
            <v>Bandar Judol Withdrawal</v>
          </cell>
          <cell r="J4884">
            <v>35</v>
          </cell>
          <cell r="K4884" t="str">
            <v>86,88,87</v>
          </cell>
          <cell r="L4884" t="str">
            <v>Judi Online</v>
          </cell>
          <cell r="M4884" t="str">
            <v xml:space="preserve">Kas Kanpus                              </v>
          </cell>
          <cell r="N4884" t="str">
            <v xml:space="preserve">Kas Kanpus                              </v>
          </cell>
          <cell r="O4884" t="str">
            <v xml:space="preserve">KAS KANPUS                              </v>
          </cell>
          <cell r="P4884" t="str">
            <v>Tidak</v>
          </cell>
          <cell r="Q4884" t="str">
            <v>Ya</v>
          </cell>
          <cell r="R4884" t="str">
            <v>Done</v>
          </cell>
          <cell r="S4884" t="str">
            <v>Approved</v>
          </cell>
          <cell r="T4884" t="str">
            <v>90150130 - Intan Aida Pratiwi</v>
          </cell>
          <cell r="U4884" t="str">
            <v>"-"</v>
          </cell>
        </row>
        <row r="4885">
          <cell r="A4885">
            <v>46265</v>
          </cell>
          <cell r="B4885" t="str">
            <v xml:space="preserve">M. TAUFIK                               </v>
          </cell>
          <cell r="C4885" t="str">
            <v>MDOJF97</v>
          </cell>
          <cell r="D4885">
            <v>23801093509503</v>
          </cell>
          <cell r="F4885" t="str">
            <v>Tidak</v>
          </cell>
          <cell r="G4885" t="str">
            <v>Tidak</v>
          </cell>
          <cell r="H4885" t="str">
            <v>Tidak</v>
          </cell>
          <cell r="I4885" t="str">
            <v>Bandar Judol Depo</v>
          </cell>
          <cell r="J4885">
            <v>35</v>
          </cell>
          <cell r="K4885" t="str">
            <v>86,74,87</v>
          </cell>
          <cell r="L4885" t="str">
            <v>Judi Online</v>
          </cell>
          <cell r="M4885" t="str">
            <v xml:space="preserve">Kas Kanpus                              </v>
          </cell>
          <cell r="N4885" t="str">
            <v xml:space="preserve">Kas Kanpus                              </v>
          </cell>
          <cell r="O4885" t="str">
            <v xml:space="preserve">KAS KANPUS                              </v>
          </cell>
          <cell r="P4885" t="str">
            <v>Ya</v>
          </cell>
          <cell r="Q4885" t="str">
            <v>Ya</v>
          </cell>
          <cell r="R4885" t="str">
            <v>Done</v>
          </cell>
          <cell r="S4885" t="str">
            <v>Approved</v>
          </cell>
          <cell r="T4885" t="str">
            <v>00336949 - Mochammad Al Farabi</v>
          </cell>
          <cell r="U4885" t="str">
            <v>"-"</v>
          </cell>
        </row>
        <row r="4886">
          <cell r="A4886">
            <v>46265</v>
          </cell>
          <cell r="B4886" t="str">
            <v xml:space="preserve">MOHAMMAD HADDYSAFARI                    </v>
          </cell>
          <cell r="C4886" t="str">
            <v>MDOJQ70</v>
          </cell>
          <cell r="D4886">
            <v>33201003335566</v>
          </cell>
          <cell r="F4886" t="str">
            <v>Tidak</v>
          </cell>
          <cell r="G4886" t="str">
            <v>Tidak</v>
          </cell>
          <cell r="H4886" t="str">
            <v>Tidak</v>
          </cell>
          <cell r="I4886" t="str">
            <v>Bandar Judol Withdrawal</v>
          </cell>
          <cell r="J4886">
            <v>35</v>
          </cell>
          <cell r="K4886" t="str">
            <v>86,88,87</v>
          </cell>
          <cell r="L4886" t="str">
            <v>Judi Online</v>
          </cell>
          <cell r="M4886" t="str">
            <v xml:space="preserve">Kas Kanpus                              </v>
          </cell>
          <cell r="N4886" t="str">
            <v xml:space="preserve">Kas Kanpus                              </v>
          </cell>
          <cell r="O4886" t="str">
            <v xml:space="preserve">KAS KANPUS                              </v>
          </cell>
          <cell r="P4886" t="str">
            <v>Ya</v>
          </cell>
          <cell r="Q4886" t="str">
            <v>Ya</v>
          </cell>
          <cell r="R4886" t="str">
            <v>Done</v>
          </cell>
          <cell r="S4886" t="str">
            <v>Approved</v>
          </cell>
          <cell r="T4886" t="str">
            <v>90150130 - Intan Aida Pratiwi</v>
          </cell>
          <cell r="U4886" t="str">
            <v>"-"</v>
          </cell>
        </row>
        <row r="4887">
          <cell r="A4887">
            <v>46265</v>
          </cell>
          <cell r="B4887" t="str">
            <v xml:space="preserve">MITRA PRATAMA SUBUR JAYA                </v>
          </cell>
          <cell r="C4887" t="str">
            <v>MDYK513</v>
          </cell>
          <cell r="D4887">
            <v>118901000176307</v>
          </cell>
          <cell r="E4887" t="str">
            <v>SEDANG</v>
          </cell>
          <cell r="F4887" t="str">
            <v>Tidak</v>
          </cell>
          <cell r="G4887" t="str">
            <v>Tidak</v>
          </cell>
          <cell r="H4887" t="str">
            <v>Tidak</v>
          </cell>
          <cell r="I4887" t="str">
            <v>Perpajakan</v>
          </cell>
          <cell r="J4887">
            <v>50</v>
          </cell>
          <cell r="K4887">
            <v>1.33</v>
          </cell>
          <cell r="L4887" t="str">
            <v>Perpajakan</v>
          </cell>
          <cell r="M4887" t="str">
            <v xml:space="preserve">KCP SUDIRMAN BOGOR                      </v>
          </cell>
          <cell r="N4887" t="str">
            <v xml:space="preserve">KC Bogor                                </v>
          </cell>
          <cell r="O4887" t="str">
            <v xml:space="preserve">DKI2                                    </v>
          </cell>
          <cell r="P4887" t="str">
            <v>Tidak</v>
          </cell>
          <cell r="Q4887" t="str">
            <v>Tidak</v>
          </cell>
          <cell r="R4887" t="str">
            <v>Done</v>
          </cell>
          <cell r="S4887" t="str">
            <v>Approved</v>
          </cell>
          <cell r="T4887" t="str">
            <v>90150130 - Intan Aida Pratiwi</v>
          </cell>
          <cell r="U4887" t="str">
            <v>"-"</v>
          </cell>
        </row>
        <row r="4888">
          <cell r="A4888">
            <v>46265</v>
          </cell>
          <cell r="B4888" t="str">
            <v xml:space="preserve">M TOHIRI                                </v>
          </cell>
          <cell r="C4888" t="str">
            <v>MDZFJ29</v>
          </cell>
          <cell r="D4888">
            <v>44401054746507</v>
          </cell>
          <cell r="F4888" t="str">
            <v>Tidak</v>
          </cell>
          <cell r="G4888" t="str">
            <v>Tidak</v>
          </cell>
          <cell r="H4888" t="str">
            <v>Tidak</v>
          </cell>
          <cell r="I4888" t="str">
            <v>Bandar Judol Withdrawal</v>
          </cell>
          <cell r="J4888">
            <v>35</v>
          </cell>
          <cell r="K4888" t="str">
            <v>86,88,87</v>
          </cell>
          <cell r="L4888" t="str">
            <v>Judi Online</v>
          </cell>
          <cell r="M4888" t="str">
            <v xml:space="preserve">Kas Kanpus                              </v>
          </cell>
          <cell r="N4888" t="str">
            <v xml:space="preserve">Kas Kanpus                              </v>
          </cell>
          <cell r="O4888" t="str">
            <v xml:space="preserve">KAS KANPUS                              </v>
          </cell>
          <cell r="P4888" t="str">
            <v>Ya</v>
          </cell>
          <cell r="Q4888" t="str">
            <v>Ya</v>
          </cell>
          <cell r="R4888" t="str">
            <v>Done</v>
          </cell>
          <cell r="S4888" t="str">
            <v>Approved</v>
          </cell>
          <cell r="T4888" t="str">
            <v>90186796 - Devito Arya Wiradila</v>
          </cell>
          <cell r="U4888" t="str">
            <v>"-"</v>
          </cell>
        </row>
        <row r="4889">
          <cell r="A4889">
            <v>46265</v>
          </cell>
          <cell r="B4889" t="str">
            <v xml:space="preserve">MARKUS JANU ADI PRANOWO                 </v>
          </cell>
          <cell r="C4889" t="str">
            <v>MDZVA10</v>
          </cell>
          <cell r="D4889">
            <v>721101000071562</v>
          </cell>
          <cell r="F4889" t="str">
            <v>Tidak</v>
          </cell>
          <cell r="G4889" t="str">
            <v>Tidak</v>
          </cell>
          <cell r="H4889" t="str">
            <v>Tidak</v>
          </cell>
          <cell r="I4889" t="str">
            <v>Bandar Judol Withdrawal</v>
          </cell>
          <cell r="J4889">
            <v>35</v>
          </cell>
          <cell r="K4889" t="str">
            <v>86,88,87</v>
          </cell>
          <cell r="L4889" t="str">
            <v>Judi Online</v>
          </cell>
          <cell r="M4889" t="str">
            <v xml:space="preserve">Kas Kanpus                              </v>
          </cell>
          <cell r="N4889" t="str">
            <v xml:space="preserve">Kas Kanpus                              </v>
          </cell>
          <cell r="O4889" t="str">
            <v xml:space="preserve">KAS KANPUS                              </v>
          </cell>
          <cell r="P4889" t="str">
            <v>Ya</v>
          </cell>
          <cell r="Q4889" t="str">
            <v>Ya</v>
          </cell>
          <cell r="R4889" t="str">
            <v>Done</v>
          </cell>
          <cell r="S4889" t="str">
            <v>Approved</v>
          </cell>
          <cell r="T4889" t="str">
            <v>90186790 - Muhammad Alfin Farha</v>
          </cell>
          <cell r="U4889" t="str">
            <v>"-"</v>
          </cell>
        </row>
        <row r="4890">
          <cell r="A4890">
            <v>46265</v>
          </cell>
          <cell r="B4890" t="str">
            <v xml:space="preserve">MARYONO                                 </v>
          </cell>
          <cell r="C4890" t="str">
            <v>MDSQJ24</v>
          </cell>
          <cell r="D4890">
            <v>35601093447503</v>
          </cell>
          <cell r="F4890" t="str">
            <v>Tidak</v>
          </cell>
          <cell r="G4890" t="str">
            <v>Tidak</v>
          </cell>
          <cell r="H4890" t="str">
            <v>Tidak</v>
          </cell>
          <cell r="I4890" t="str">
            <v>Bandar Judol Depo</v>
          </cell>
          <cell r="J4890">
            <v>35</v>
          </cell>
          <cell r="K4890" t="str">
            <v>86,74,87</v>
          </cell>
          <cell r="L4890" t="str">
            <v>Judi Online</v>
          </cell>
          <cell r="M4890" t="str">
            <v xml:space="preserve">Kas Kanpus                              </v>
          </cell>
          <cell r="N4890" t="str">
            <v xml:space="preserve">Kas Kanpus                              </v>
          </cell>
          <cell r="O4890" t="str">
            <v xml:space="preserve">KAS KANPUS                              </v>
          </cell>
          <cell r="P4890" t="str">
            <v>Ya</v>
          </cell>
          <cell r="Q4890" t="str">
            <v>Ya</v>
          </cell>
          <cell r="R4890" t="str">
            <v>Done</v>
          </cell>
          <cell r="S4890" t="str">
            <v>Approved</v>
          </cell>
          <cell r="T4890" t="str">
            <v>90185537 - Moh.Khoerul Fajar Ar</v>
          </cell>
          <cell r="U4890" t="str">
            <v>"-"</v>
          </cell>
        </row>
        <row r="4891">
          <cell r="A4891">
            <v>46265</v>
          </cell>
          <cell r="B4891" t="str">
            <v xml:space="preserve">MARVILINO MANGINSIHI                    </v>
          </cell>
          <cell r="C4891" t="str">
            <v>MEADE09</v>
          </cell>
          <cell r="D4891">
            <v>511801011827504</v>
          </cell>
          <cell r="F4891" t="str">
            <v>Tidak</v>
          </cell>
          <cell r="G4891" t="str">
            <v>Tidak</v>
          </cell>
          <cell r="H4891" t="str">
            <v>Tidak</v>
          </cell>
          <cell r="I4891" t="str">
            <v>Bandar Judol Depo</v>
          </cell>
          <cell r="J4891">
            <v>35</v>
          </cell>
          <cell r="K4891" t="str">
            <v>86,74,87</v>
          </cell>
          <cell r="L4891" t="str">
            <v>Judi Online</v>
          </cell>
          <cell r="M4891" t="str">
            <v xml:space="preserve">Kas Kanpus                              </v>
          </cell>
          <cell r="N4891" t="str">
            <v xml:space="preserve">Kas Kanpus                              </v>
          </cell>
          <cell r="O4891" t="str">
            <v xml:space="preserve">KAS KANPUS                              </v>
          </cell>
          <cell r="P4891" t="str">
            <v>Ya</v>
          </cell>
          <cell r="Q4891" t="str">
            <v>Tidak</v>
          </cell>
          <cell r="R4891" t="str">
            <v>Done</v>
          </cell>
          <cell r="S4891" t="str">
            <v>Approved</v>
          </cell>
          <cell r="T4891" t="str">
            <v>90185538 - Muhammad Fahikal Auz</v>
          </cell>
          <cell r="U4891" t="str">
            <v>"-"</v>
          </cell>
        </row>
        <row r="4892">
          <cell r="A4892">
            <v>46265</v>
          </cell>
          <cell r="B4892" t="str">
            <v xml:space="preserve">MARDIAN SUHARI                          </v>
          </cell>
          <cell r="C4892" t="str">
            <v>MDSCV64</v>
          </cell>
          <cell r="D4892">
            <v>113401025768508</v>
          </cell>
          <cell r="F4892" t="str">
            <v>Tidak</v>
          </cell>
          <cell r="G4892" t="str">
            <v>Tidak</v>
          </cell>
          <cell r="H4892" t="str">
            <v>Tidak</v>
          </cell>
          <cell r="I4892" t="str">
            <v>Bandar Judol Withdrawal</v>
          </cell>
          <cell r="J4892">
            <v>35</v>
          </cell>
          <cell r="K4892" t="str">
            <v>86,88,87</v>
          </cell>
          <cell r="L4892" t="str">
            <v>Judi Online</v>
          </cell>
          <cell r="M4892" t="str">
            <v xml:space="preserve">Kas Kanpus                              </v>
          </cell>
          <cell r="N4892" t="str">
            <v xml:space="preserve">Kas Kanpus                              </v>
          </cell>
          <cell r="O4892" t="str">
            <v xml:space="preserve">KAS KANPUS                              </v>
          </cell>
          <cell r="P4892" t="str">
            <v>Ya</v>
          </cell>
          <cell r="Q4892" t="str">
            <v>Ya</v>
          </cell>
          <cell r="R4892" t="str">
            <v>Done</v>
          </cell>
          <cell r="S4892" t="str">
            <v>Approved</v>
          </cell>
          <cell r="T4892" t="str">
            <v>90170665 - Mutiara Ayuningtyas</v>
          </cell>
          <cell r="U4892" t="str">
            <v>"-"</v>
          </cell>
        </row>
        <row r="4893">
          <cell r="A4893">
            <v>46265</v>
          </cell>
          <cell r="B4893" t="str">
            <v xml:space="preserve">MUHAMMAD RAMADHANI                      </v>
          </cell>
          <cell r="C4893" t="str">
            <v>MDPY305</v>
          </cell>
          <cell r="D4893">
            <v>117701000287563</v>
          </cell>
          <cell r="E4893" t="str">
            <v>SEDANG</v>
          </cell>
          <cell r="F4893" t="str">
            <v>Tidak</v>
          </cell>
          <cell r="G4893" t="str">
            <v>Tidak</v>
          </cell>
          <cell r="H4893" t="str">
            <v>Tidak</v>
          </cell>
          <cell r="I4893" t="str">
            <v>Bandar Judol Withdrawal</v>
          </cell>
          <cell r="J4893">
            <v>50</v>
          </cell>
          <cell r="K4893" t="str">
            <v>86,88,87</v>
          </cell>
          <cell r="L4893" t="str">
            <v>Judi Online</v>
          </cell>
          <cell r="M4893" t="str">
            <v xml:space="preserve">Kas Kanpus                              </v>
          </cell>
          <cell r="N4893" t="str">
            <v xml:space="preserve">Kas Kanpus                              </v>
          </cell>
          <cell r="O4893" t="str">
            <v xml:space="preserve">KAS KANPUS                              </v>
          </cell>
          <cell r="P4893" t="str">
            <v>Ya</v>
          </cell>
          <cell r="Q4893" t="str">
            <v>Ya</v>
          </cell>
          <cell r="R4893" t="str">
            <v>Done</v>
          </cell>
          <cell r="S4893" t="str">
            <v>Approved</v>
          </cell>
          <cell r="T4893" t="str">
            <v>00394521 - Muhammad Hibbanduta</v>
          </cell>
          <cell r="U4893" t="str">
            <v>"-"</v>
          </cell>
        </row>
        <row r="4894">
          <cell r="A4894">
            <v>46265</v>
          </cell>
          <cell r="B4894" t="str">
            <v xml:space="preserve">MOCHAMAD SYAMBAS                        </v>
          </cell>
          <cell r="C4894" t="str">
            <v>MDRRK90</v>
          </cell>
          <cell r="D4894">
            <v>218701010074502</v>
          </cell>
          <cell r="F4894" t="str">
            <v>Tidak</v>
          </cell>
          <cell r="G4894" t="str">
            <v>Tidak</v>
          </cell>
          <cell r="H4894" t="str">
            <v>Tidak</v>
          </cell>
          <cell r="I4894" t="str">
            <v>Bandar Judol Withdrawal</v>
          </cell>
          <cell r="J4894">
            <v>35</v>
          </cell>
          <cell r="K4894" t="str">
            <v>86,88,87</v>
          </cell>
          <cell r="L4894" t="str">
            <v>Judi Online</v>
          </cell>
          <cell r="M4894" t="str">
            <v xml:space="preserve">Kas Kanpus                              </v>
          </cell>
          <cell r="N4894" t="str">
            <v xml:space="preserve">Kas Kanpus                              </v>
          </cell>
          <cell r="O4894" t="str">
            <v xml:space="preserve">KAS KANPUS                              </v>
          </cell>
          <cell r="P4894" t="str">
            <v>Ya</v>
          </cell>
          <cell r="Q4894" t="str">
            <v>Ya</v>
          </cell>
          <cell r="R4894" t="str">
            <v>Done</v>
          </cell>
          <cell r="S4894" t="str">
            <v>Approved</v>
          </cell>
          <cell r="T4894" t="str">
            <v>90186790 - Muhammad Alfin Farha</v>
          </cell>
          <cell r="U4894" t="str">
            <v>"-"</v>
          </cell>
        </row>
        <row r="4895">
          <cell r="A4895">
            <v>46265</v>
          </cell>
          <cell r="B4895" t="str">
            <v xml:space="preserve">MARUDIN                                 </v>
          </cell>
          <cell r="C4895" t="str">
            <v>MDSGN77</v>
          </cell>
          <cell r="D4895">
            <v>41501043371500</v>
          </cell>
          <cell r="F4895" t="str">
            <v>Tidak</v>
          </cell>
          <cell r="G4895" t="str">
            <v>Tidak</v>
          </cell>
          <cell r="H4895" t="str">
            <v>Tidak</v>
          </cell>
          <cell r="I4895" t="str">
            <v>Bandar Judol Withdrawal</v>
          </cell>
          <cell r="J4895">
            <v>35</v>
          </cell>
          <cell r="K4895" t="str">
            <v>86,88,87</v>
          </cell>
          <cell r="L4895" t="str">
            <v>Judi Online</v>
          </cell>
          <cell r="M4895" t="str">
            <v xml:space="preserve">Kas Kanpus                              </v>
          </cell>
          <cell r="N4895" t="str">
            <v xml:space="preserve">Kas Kanpus                              </v>
          </cell>
          <cell r="O4895" t="str">
            <v xml:space="preserve">KAS KANPUS                              </v>
          </cell>
          <cell r="P4895" t="str">
            <v>Ya</v>
          </cell>
          <cell r="Q4895" t="str">
            <v>Ya</v>
          </cell>
          <cell r="R4895" t="str">
            <v>Done</v>
          </cell>
          <cell r="S4895" t="str">
            <v>Approved</v>
          </cell>
          <cell r="T4895" t="str">
            <v>00394520 - Frida Akbar Rani</v>
          </cell>
          <cell r="U4895" t="str">
            <v>"-"</v>
          </cell>
        </row>
        <row r="4896">
          <cell r="A4896">
            <v>46265</v>
          </cell>
          <cell r="B4896" t="str">
            <v xml:space="preserve">MUHAMAD YADI                            </v>
          </cell>
          <cell r="C4896" t="str">
            <v>MDSIL54</v>
          </cell>
          <cell r="D4896">
            <v>41501043396500</v>
          </cell>
          <cell r="F4896" t="str">
            <v>Tidak</v>
          </cell>
          <cell r="G4896" t="str">
            <v>Tidak</v>
          </cell>
          <cell r="H4896" t="str">
            <v>Tidak</v>
          </cell>
          <cell r="I4896" t="str">
            <v>Bandar Judol Withdrawal</v>
          </cell>
          <cell r="J4896">
            <v>35</v>
          </cell>
          <cell r="K4896" t="str">
            <v>86,88,87</v>
          </cell>
          <cell r="L4896" t="str">
            <v>Judi Online</v>
          </cell>
          <cell r="M4896" t="str">
            <v xml:space="preserve">Kas Kanpus                              </v>
          </cell>
          <cell r="N4896" t="str">
            <v xml:space="preserve">Kas Kanpus                              </v>
          </cell>
          <cell r="O4896" t="str">
            <v xml:space="preserve">KAS KANPUS                              </v>
          </cell>
          <cell r="P4896" t="str">
            <v>Ya</v>
          </cell>
          <cell r="Q4896" t="str">
            <v>Ya</v>
          </cell>
          <cell r="R4896" t="str">
            <v>Done</v>
          </cell>
          <cell r="S4896" t="str">
            <v>Approved</v>
          </cell>
          <cell r="T4896" t="str">
            <v>90185538 - Muhammad Fahikal Auz</v>
          </cell>
          <cell r="U4896" t="str">
            <v>"-"</v>
          </cell>
        </row>
        <row r="4897">
          <cell r="A4897">
            <v>46265</v>
          </cell>
          <cell r="B4897" t="str">
            <v xml:space="preserve">MHD HUSEIN                              </v>
          </cell>
          <cell r="C4897" t="str">
            <v>MEAFJ33</v>
          </cell>
          <cell r="D4897">
            <v>56001018414530</v>
          </cell>
          <cell r="F4897" t="str">
            <v>Tidak</v>
          </cell>
          <cell r="G4897" t="str">
            <v>Tidak</v>
          </cell>
          <cell r="H4897" t="str">
            <v>Tidak</v>
          </cell>
          <cell r="I4897" t="str">
            <v>Bandar Judol Withdrawal</v>
          </cell>
          <cell r="J4897">
            <v>35</v>
          </cell>
          <cell r="K4897" t="str">
            <v>86,88,87</v>
          </cell>
          <cell r="L4897" t="str">
            <v>Judi Online</v>
          </cell>
          <cell r="M4897" t="str">
            <v xml:space="preserve">Kas Kanpus                              </v>
          </cell>
          <cell r="N4897" t="str">
            <v xml:space="preserve">Kas Kanpus                              </v>
          </cell>
          <cell r="O4897" t="str">
            <v xml:space="preserve">KAS KANPUS                              </v>
          </cell>
          <cell r="P4897" t="str">
            <v>Ya</v>
          </cell>
          <cell r="Q4897" t="str">
            <v>Ya</v>
          </cell>
          <cell r="R4897" t="str">
            <v>Done</v>
          </cell>
          <cell r="S4897" t="str">
            <v>Approved</v>
          </cell>
          <cell r="T4897" t="str">
            <v>00394521 - Muhammad Hibbanduta</v>
          </cell>
          <cell r="U4897" t="str">
            <v>"-"</v>
          </cell>
        </row>
        <row r="4898">
          <cell r="A4898">
            <v>46265</v>
          </cell>
          <cell r="B4898" t="str">
            <v xml:space="preserve">MIAH                                    </v>
          </cell>
          <cell r="C4898" t="str">
            <v>MEBCV14</v>
          </cell>
          <cell r="D4898">
            <v>80801000081561</v>
          </cell>
          <cell r="F4898" t="str">
            <v>Tidak</v>
          </cell>
          <cell r="G4898" t="str">
            <v>Tidak</v>
          </cell>
          <cell r="H4898" t="str">
            <v>Tidak</v>
          </cell>
          <cell r="I4898" t="str">
            <v>Bandar Judol Withdrawal</v>
          </cell>
          <cell r="J4898">
            <v>35</v>
          </cell>
          <cell r="K4898" t="str">
            <v>86,88,87</v>
          </cell>
          <cell r="L4898" t="str">
            <v>Judi Online</v>
          </cell>
          <cell r="M4898" t="str">
            <v xml:space="preserve">Kas Kanpus                              </v>
          </cell>
          <cell r="N4898" t="str">
            <v xml:space="preserve">Kas Kanpus                              </v>
          </cell>
          <cell r="O4898" t="str">
            <v xml:space="preserve">KAS KANPUS                              </v>
          </cell>
          <cell r="P4898" t="str">
            <v>Ya</v>
          </cell>
          <cell r="Q4898" t="str">
            <v>Ya</v>
          </cell>
          <cell r="R4898" t="str">
            <v>Done</v>
          </cell>
          <cell r="S4898" t="str">
            <v>Approved</v>
          </cell>
          <cell r="T4898" t="str">
            <v>90171841 - Rifqi Aziz</v>
          </cell>
          <cell r="U4898" t="str">
            <v>"-"</v>
          </cell>
        </row>
        <row r="4899">
          <cell r="A4899">
            <v>46265</v>
          </cell>
          <cell r="B4899" t="str">
            <v xml:space="preserve">MUHAMAD IBNU FAHMI                      </v>
          </cell>
          <cell r="C4899" t="str">
            <v>MEAQQ44</v>
          </cell>
          <cell r="D4899">
            <v>43801004183566</v>
          </cell>
          <cell r="F4899" t="str">
            <v>Tidak</v>
          </cell>
          <cell r="G4899" t="str">
            <v>Tidak</v>
          </cell>
          <cell r="H4899" t="str">
            <v>Tidak</v>
          </cell>
          <cell r="I4899" t="str">
            <v>Bandar Judol Withdrawal</v>
          </cell>
          <cell r="J4899">
            <v>35</v>
          </cell>
          <cell r="K4899" t="str">
            <v>86,88,87</v>
          </cell>
          <cell r="L4899" t="str">
            <v>Judi Online</v>
          </cell>
          <cell r="M4899" t="str">
            <v xml:space="preserve">Kas Kanpus                              </v>
          </cell>
          <cell r="N4899" t="str">
            <v xml:space="preserve">Kas Kanpus                              </v>
          </cell>
          <cell r="O4899" t="str">
            <v xml:space="preserve">KAS KANPUS                              </v>
          </cell>
          <cell r="P4899" t="str">
            <v>Ya</v>
          </cell>
          <cell r="Q4899" t="str">
            <v>Ya</v>
          </cell>
          <cell r="R4899" t="str">
            <v>Done</v>
          </cell>
          <cell r="S4899" t="str">
            <v>Approved</v>
          </cell>
          <cell r="T4899" t="str">
            <v>90185537 - Moh.Khoerul Fajar Ar</v>
          </cell>
          <cell r="U4899" t="str">
            <v>"-"</v>
          </cell>
        </row>
        <row r="4900">
          <cell r="A4900">
            <v>46265</v>
          </cell>
          <cell r="B4900" t="str">
            <v xml:space="preserve">MHD ANDIKA                              </v>
          </cell>
          <cell r="C4900" t="str">
            <v>MEBFD08</v>
          </cell>
          <cell r="D4900">
            <v>26601001727560</v>
          </cell>
          <cell r="F4900" t="str">
            <v>Tidak</v>
          </cell>
          <cell r="G4900" t="str">
            <v>Tidak</v>
          </cell>
          <cell r="H4900" t="str">
            <v>Tidak</v>
          </cell>
          <cell r="I4900" t="str">
            <v>Bandar Judol Withdrawal</v>
          </cell>
          <cell r="J4900">
            <v>35</v>
          </cell>
          <cell r="K4900" t="str">
            <v>86,88,87</v>
          </cell>
          <cell r="L4900" t="str">
            <v>Judi Online</v>
          </cell>
          <cell r="M4900" t="str">
            <v xml:space="preserve">Kas Kanpus                              </v>
          </cell>
          <cell r="N4900" t="str">
            <v xml:space="preserve">Kas Kanpus                              </v>
          </cell>
          <cell r="O4900" t="str">
            <v xml:space="preserve">KAS KANPUS                              </v>
          </cell>
          <cell r="P4900" t="str">
            <v>Ya</v>
          </cell>
          <cell r="Q4900" t="str">
            <v>Ya</v>
          </cell>
          <cell r="R4900" t="str">
            <v>Done</v>
          </cell>
          <cell r="S4900" t="str">
            <v>Approved</v>
          </cell>
          <cell r="T4900" t="str">
            <v>00394521 - Muhammad Hibbanduta</v>
          </cell>
          <cell r="U4900" t="str">
            <v>"-"</v>
          </cell>
        </row>
        <row r="4901">
          <cell r="A4901">
            <v>46265</v>
          </cell>
          <cell r="B4901" t="str">
            <v xml:space="preserve">MAEMUNAH                                </v>
          </cell>
          <cell r="C4901" t="str">
            <v>MEBEY80</v>
          </cell>
          <cell r="D4901">
            <v>59501000770569</v>
          </cell>
          <cell r="F4901" t="str">
            <v>Tidak</v>
          </cell>
          <cell r="G4901" t="str">
            <v>Tidak</v>
          </cell>
          <cell r="H4901" t="str">
            <v>Tidak</v>
          </cell>
          <cell r="I4901" t="str">
            <v>Bandar Judol Withdrawal</v>
          </cell>
          <cell r="J4901">
            <v>35</v>
          </cell>
          <cell r="K4901" t="str">
            <v>86,88,87</v>
          </cell>
          <cell r="L4901" t="str">
            <v>Judi Online</v>
          </cell>
          <cell r="M4901" t="str">
            <v xml:space="preserve">Kas Kanpus                              </v>
          </cell>
          <cell r="N4901" t="str">
            <v xml:space="preserve">Kas Kanpus                              </v>
          </cell>
          <cell r="O4901" t="str">
            <v xml:space="preserve">KAS KANPUS                              </v>
          </cell>
          <cell r="P4901" t="str">
            <v>Ya</v>
          </cell>
          <cell r="Q4901" t="str">
            <v>Ya</v>
          </cell>
          <cell r="R4901" t="str">
            <v>Done</v>
          </cell>
          <cell r="S4901" t="str">
            <v>Approved</v>
          </cell>
          <cell r="T4901" t="str">
            <v>00394520 - Frida Akbar Rani</v>
          </cell>
          <cell r="U4901" t="str">
            <v>"-"</v>
          </cell>
        </row>
        <row r="4902">
          <cell r="A4902">
            <v>46265</v>
          </cell>
          <cell r="B4902" t="str">
            <v xml:space="preserve">MUHAMAD RICO SAPUTRA                    </v>
          </cell>
          <cell r="C4902" t="str">
            <v>MECFC16</v>
          </cell>
          <cell r="D4902">
            <v>721101025992507</v>
          </cell>
          <cell r="F4902" t="str">
            <v>Tidak</v>
          </cell>
          <cell r="G4902" t="str">
            <v>Tidak</v>
          </cell>
          <cell r="H4902" t="str">
            <v>Tidak</v>
          </cell>
          <cell r="I4902" t="str">
            <v>Bandar Judol Depo</v>
          </cell>
          <cell r="J4902">
            <v>35</v>
          </cell>
          <cell r="K4902" t="str">
            <v>86,74,87</v>
          </cell>
          <cell r="L4902" t="str">
            <v>Judi Online</v>
          </cell>
          <cell r="M4902" t="str">
            <v xml:space="preserve">Kas Kanpus                              </v>
          </cell>
          <cell r="N4902" t="str">
            <v xml:space="preserve">Kas Kanpus                              </v>
          </cell>
          <cell r="O4902" t="str">
            <v xml:space="preserve">KAS KANPUS                              </v>
          </cell>
          <cell r="P4902" t="str">
            <v>Ya</v>
          </cell>
          <cell r="Q4902" t="str">
            <v>Ya</v>
          </cell>
          <cell r="R4902" t="str">
            <v>Done</v>
          </cell>
          <cell r="S4902" t="str">
            <v>Approved</v>
          </cell>
          <cell r="T4902" t="str">
            <v>90185538 - Muhammad Fahikal Auz</v>
          </cell>
          <cell r="U4902" t="str">
            <v>"-"</v>
          </cell>
        </row>
        <row r="4903">
          <cell r="A4903">
            <v>46265</v>
          </cell>
          <cell r="B4903" t="str">
            <v xml:space="preserve">MANIN                                   </v>
          </cell>
          <cell r="C4903" t="str">
            <v>MEBNM30</v>
          </cell>
          <cell r="D4903">
            <v>708801036349504</v>
          </cell>
          <cell r="F4903" t="str">
            <v>Tidak</v>
          </cell>
          <cell r="G4903" t="str">
            <v>Tidak</v>
          </cell>
          <cell r="H4903" t="str">
            <v>Tidak</v>
          </cell>
          <cell r="I4903" t="str">
            <v>Bandar Judol Withdrawal</v>
          </cell>
          <cell r="J4903">
            <v>35</v>
          </cell>
          <cell r="K4903" t="str">
            <v>86,88,87</v>
          </cell>
          <cell r="L4903" t="str">
            <v>Judi Online</v>
          </cell>
          <cell r="M4903" t="str">
            <v xml:space="preserve">Kas Kanpus                              </v>
          </cell>
          <cell r="N4903" t="str">
            <v xml:space="preserve">Kas Kanpus                              </v>
          </cell>
          <cell r="O4903" t="str">
            <v xml:space="preserve">KAS KANPUS                              </v>
          </cell>
          <cell r="P4903" t="str">
            <v>Ya</v>
          </cell>
          <cell r="Q4903" t="str">
            <v>Ya</v>
          </cell>
          <cell r="R4903" t="str">
            <v>Done</v>
          </cell>
          <cell r="S4903" t="str">
            <v>Approved</v>
          </cell>
          <cell r="T4903" t="str">
            <v>00394520 - Frida Akbar Rani</v>
          </cell>
          <cell r="U4903" t="str">
            <v>"-"</v>
          </cell>
        </row>
        <row r="4904">
          <cell r="A4904">
            <v>46265</v>
          </cell>
          <cell r="B4904" t="str">
            <v xml:space="preserve">MUHAMMAD ALIEF RAMADHAN                 </v>
          </cell>
          <cell r="C4904" t="str">
            <v>MEBVK99</v>
          </cell>
          <cell r="D4904">
            <v>90901022806509</v>
          </cell>
          <cell r="F4904" t="str">
            <v>Tidak</v>
          </cell>
          <cell r="G4904" t="str">
            <v>Tidak</v>
          </cell>
          <cell r="H4904" t="str">
            <v>Tidak</v>
          </cell>
          <cell r="I4904" t="str">
            <v>Bandar Judol Depo</v>
          </cell>
          <cell r="J4904">
            <v>35</v>
          </cell>
          <cell r="K4904" t="str">
            <v>86,74,87</v>
          </cell>
          <cell r="L4904" t="str">
            <v>Judi Online</v>
          </cell>
          <cell r="M4904" t="str">
            <v xml:space="preserve">Kas Kanpus                              </v>
          </cell>
          <cell r="N4904" t="str">
            <v xml:space="preserve">Kas Kanpus                              </v>
          </cell>
          <cell r="O4904" t="str">
            <v xml:space="preserve">KAS KANPUS                              </v>
          </cell>
          <cell r="P4904" t="str">
            <v>Tidak</v>
          </cell>
          <cell r="Q4904" t="str">
            <v>Ya</v>
          </cell>
          <cell r="R4904" t="str">
            <v>Done</v>
          </cell>
          <cell r="S4904" t="str">
            <v>Approved</v>
          </cell>
          <cell r="T4904" t="str">
            <v>90171841 - Rifqi Aziz</v>
          </cell>
          <cell r="U4904" t="str">
            <v>"-"</v>
          </cell>
        </row>
        <row r="4905">
          <cell r="A4905">
            <v>46265</v>
          </cell>
          <cell r="B4905" t="str">
            <v xml:space="preserve">MHD.SYAHPUTRA                           </v>
          </cell>
          <cell r="C4905" t="str">
            <v>MEBYG03</v>
          </cell>
          <cell r="D4905">
            <v>338101006662508</v>
          </cell>
          <cell r="F4905" t="str">
            <v>Tidak</v>
          </cell>
          <cell r="G4905" t="str">
            <v>Tidak</v>
          </cell>
          <cell r="H4905" t="str">
            <v>Tidak</v>
          </cell>
          <cell r="I4905" t="str">
            <v>Bandar Judol Depo</v>
          </cell>
          <cell r="J4905">
            <v>35</v>
          </cell>
          <cell r="K4905" t="str">
            <v>86,74,87</v>
          </cell>
          <cell r="L4905" t="str">
            <v>Judi Online</v>
          </cell>
          <cell r="M4905" t="str">
            <v xml:space="preserve">Kas Kanpus                              </v>
          </cell>
          <cell r="N4905" t="str">
            <v xml:space="preserve">Kas Kanpus                              </v>
          </cell>
          <cell r="O4905" t="str">
            <v xml:space="preserve">KAS KANPUS                              </v>
          </cell>
          <cell r="P4905" t="str">
            <v>Ya</v>
          </cell>
          <cell r="Q4905" t="str">
            <v>Ya</v>
          </cell>
          <cell r="R4905" t="str">
            <v>Done</v>
          </cell>
          <cell r="S4905" t="str">
            <v>Approved</v>
          </cell>
          <cell r="T4905" t="str">
            <v>00394521 - Muhammad Hibbanduta</v>
          </cell>
          <cell r="U4905" t="str">
            <v>"-"</v>
          </cell>
        </row>
        <row r="4906">
          <cell r="A4906">
            <v>46265</v>
          </cell>
          <cell r="B4906" t="str">
            <v xml:space="preserve">MUHAMAD KHOERUL FALAH                   </v>
          </cell>
          <cell r="C4906" t="str">
            <v>MEDOR80</v>
          </cell>
          <cell r="D4906">
            <v>384901026861506</v>
          </cell>
          <cell r="F4906" t="str">
            <v>Tidak</v>
          </cell>
          <cell r="G4906" t="str">
            <v>Tidak</v>
          </cell>
          <cell r="H4906" t="str">
            <v>Tidak</v>
          </cell>
          <cell r="I4906" t="str">
            <v>Bandar Judol Withdrawal</v>
          </cell>
          <cell r="J4906">
            <v>35</v>
          </cell>
          <cell r="K4906" t="str">
            <v>86,88,87</v>
          </cell>
          <cell r="L4906" t="str">
            <v>Judi Online</v>
          </cell>
          <cell r="M4906" t="str">
            <v xml:space="preserve">Kas Kanpus                              </v>
          </cell>
          <cell r="N4906" t="str">
            <v xml:space="preserve">Kas Kanpus                              </v>
          </cell>
          <cell r="O4906" t="str">
            <v xml:space="preserve">KAS KANPUS                              </v>
          </cell>
          <cell r="P4906" t="str">
            <v>Ya</v>
          </cell>
          <cell r="Q4906" t="str">
            <v>Ya</v>
          </cell>
          <cell r="R4906" t="str">
            <v>Done</v>
          </cell>
          <cell r="S4906" t="str">
            <v>Approved</v>
          </cell>
          <cell r="T4906" t="str">
            <v>00394520 - Frida Akbar Rani</v>
          </cell>
          <cell r="U4906" t="str">
            <v>"-"</v>
          </cell>
        </row>
        <row r="4907">
          <cell r="A4907">
            <v>46265</v>
          </cell>
          <cell r="B4907" t="str">
            <v xml:space="preserve">MOHAMAD AJI SAPUTRA                     </v>
          </cell>
          <cell r="C4907" t="str">
            <v>MEDPS58</v>
          </cell>
          <cell r="D4907">
            <v>117101026476502</v>
          </cell>
          <cell r="F4907" t="str">
            <v>Tidak</v>
          </cell>
          <cell r="G4907" t="str">
            <v>Tidak</v>
          </cell>
          <cell r="H4907" t="str">
            <v>Tidak</v>
          </cell>
          <cell r="I4907" t="str">
            <v>Bandar Judol Withdrawal</v>
          </cell>
          <cell r="J4907">
            <v>35</v>
          </cell>
          <cell r="K4907" t="str">
            <v>86,88,87</v>
          </cell>
          <cell r="L4907" t="str">
            <v>Judi Online</v>
          </cell>
          <cell r="M4907" t="str">
            <v xml:space="preserve">Kas Kanpus                              </v>
          </cell>
          <cell r="N4907" t="str">
            <v xml:space="preserve">Kas Kanpus                              </v>
          </cell>
          <cell r="O4907" t="str">
            <v xml:space="preserve">KAS KANPUS                              </v>
          </cell>
          <cell r="P4907" t="str">
            <v>Ya</v>
          </cell>
          <cell r="Q4907" t="str">
            <v>Ya</v>
          </cell>
          <cell r="R4907" t="str">
            <v>Done</v>
          </cell>
          <cell r="S4907" t="str">
            <v>Approved</v>
          </cell>
          <cell r="T4907" t="str">
            <v>90185538 - Muhammad Fahikal Auz</v>
          </cell>
          <cell r="U4907" t="str">
            <v>"-"</v>
          </cell>
        </row>
        <row r="4908">
          <cell r="A4908">
            <v>46265</v>
          </cell>
          <cell r="B4908" t="str">
            <v xml:space="preserve">BERLIAN NUSANTARA PERKASA               </v>
          </cell>
          <cell r="C4908" t="str">
            <v>BFV4068</v>
          </cell>
          <cell r="D4908">
            <v>5301006303302</v>
          </cell>
          <cell r="E4908" t="str">
            <v>TINGGI</v>
          </cell>
          <cell r="F4908" t="str">
            <v>Tidak</v>
          </cell>
          <cell r="G4908" t="str">
            <v>Tidak</v>
          </cell>
          <cell r="H4908" t="str">
            <v>Tidak</v>
          </cell>
          <cell r="I4908" t="str">
            <v>Green Financial Crime (GFC)</v>
          </cell>
          <cell r="J4908">
            <v>65</v>
          </cell>
          <cell r="K4908">
            <v>45</v>
          </cell>
          <cell r="L4908" t="str">
            <v>Green Financial Crime</v>
          </cell>
          <cell r="M4908" t="str">
            <v xml:space="preserve">KC Medan Putri Hijau                    </v>
          </cell>
          <cell r="N4908" t="str">
            <v xml:space="preserve">KC Medan Putri Hijau                    </v>
          </cell>
          <cell r="O4908" t="str">
            <v xml:space="preserve">Medan                                   </v>
          </cell>
          <cell r="P4908" t="str">
            <v>Ya</v>
          </cell>
          <cell r="R4908" t="str">
            <v>Rejected Approver</v>
          </cell>
          <cell r="S4908" t="str">
            <v>Belum TL</v>
          </cell>
          <cell r="T4908" t="str">
            <v>90186796 - Devito Arya Wiradila</v>
          </cell>
          <cell r="U4908" t="str">
            <v>PEP :-</v>
          </cell>
        </row>
        <row r="4909">
          <cell r="A4909">
            <v>46265</v>
          </cell>
          <cell r="B4909" t="str">
            <v xml:space="preserve">AISYAH MAWADDAH                         </v>
          </cell>
          <cell r="C4909" t="str">
            <v>AALEV05</v>
          </cell>
          <cell r="D4909">
            <v>16501002143563</v>
          </cell>
          <cell r="E4909" t="str">
            <v>SEDANG</v>
          </cell>
          <cell r="F4909" t="str">
            <v>Tidak</v>
          </cell>
          <cell r="G4909" t="str">
            <v>Tidak</v>
          </cell>
          <cell r="H4909" t="str">
            <v>Tidak</v>
          </cell>
          <cell r="I4909" t="str">
            <v>Bandar Judol Depo</v>
          </cell>
          <cell r="J4909">
            <v>50</v>
          </cell>
          <cell r="K4909" t="str">
            <v>86,74,87</v>
          </cell>
          <cell r="L4909" t="str">
            <v>Judi Online</v>
          </cell>
          <cell r="M4909" t="str">
            <v xml:space="preserve">Kas Kanpus                              </v>
          </cell>
          <cell r="N4909" t="str">
            <v xml:space="preserve">Kas Kanpus                              </v>
          </cell>
          <cell r="O4909" t="str">
            <v xml:space="preserve">KAS KANPUS                              </v>
          </cell>
          <cell r="P4909" t="str">
            <v>Tidak</v>
          </cell>
          <cell r="Q4909" t="str">
            <v>Ya</v>
          </cell>
          <cell r="R4909" t="str">
            <v>Rejected Approver</v>
          </cell>
          <cell r="S4909" t="str">
            <v>Belum TL</v>
          </cell>
          <cell r="T4909" t="str">
            <v>00394520 - Frida Akbar Rani</v>
          </cell>
          <cell r="U4909" t="str">
            <v>"-"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VX6NAHBYY7ABEL5AOXF4TIW2B7">
      <xxl21:absoluteUrl r:id="rId2"/>
      <xxl21:relativeUrl r:id="rId3"/>
    </xxl21:alternateUrls>
    <sheetNames>
      <sheetName val="STR"/>
      <sheetName val="EDD PEP PPATK"/>
      <sheetName val="Kualitas Data"/>
      <sheetName val="Sosialisasi"/>
      <sheetName val="Uji Petik"/>
    </sheetNames>
    <sheetDataSet>
      <sheetData sheetId="0">
        <row r="2">
          <cell r="V2" t="str">
            <v>Waras Suyitno</v>
          </cell>
          <cell r="X2" t="b">
            <v>1</v>
          </cell>
        </row>
        <row r="3">
          <cell r="V3" t="str">
            <v>Dian Septianti</v>
          </cell>
          <cell r="X3" t="b">
            <v>1</v>
          </cell>
        </row>
        <row r="4">
          <cell r="V4" t="str">
            <v>Asep Kristiono</v>
          </cell>
          <cell r="X4" t="b">
            <v>1</v>
          </cell>
        </row>
        <row r="5">
          <cell r="V5" t="str">
            <v>Waras Suyitno</v>
          </cell>
          <cell r="X5" t="b">
            <v>1</v>
          </cell>
        </row>
        <row r="6">
          <cell r="V6" t="str">
            <v>Dian Septianti</v>
          </cell>
          <cell r="X6" t="b">
            <v>1</v>
          </cell>
        </row>
        <row r="7">
          <cell r="V7" t="str">
            <v>Waras Suyitno</v>
          </cell>
          <cell r="X7" t="b">
            <v>0</v>
          </cell>
        </row>
        <row r="8">
          <cell r="V8" t="str">
            <v>Waras Suyitno</v>
          </cell>
          <cell r="X8" t="b">
            <v>0</v>
          </cell>
        </row>
        <row r="9">
          <cell r="V9" t="str">
            <v>Asep Kristiono</v>
          </cell>
          <cell r="X9" t="b">
            <v>1</v>
          </cell>
        </row>
        <row r="10">
          <cell r="V10" t="str">
            <v>Asep Kristiono</v>
          </cell>
          <cell r="X10" t="b">
            <v>1</v>
          </cell>
        </row>
        <row r="11">
          <cell r="V11" t="str">
            <v>Waras Suyitno</v>
          </cell>
          <cell r="X11" t="b">
            <v>0</v>
          </cell>
        </row>
        <row r="12">
          <cell r="V12" t="str">
            <v>Asep Kristiono</v>
          </cell>
          <cell r="X12" t="b">
            <v>1</v>
          </cell>
        </row>
        <row r="13">
          <cell r="V13" t="str">
            <v>Dian Septianti</v>
          </cell>
          <cell r="X13" t="b">
            <v>1</v>
          </cell>
        </row>
        <row r="14">
          <cell r="V14" t="str">
            <v>Waras Suyitno</v>
          </cell>
          <cell r="X14" t="b">
            <v>0</v>
          </cell>
        </row>
        <row r="15">
          <cell r="V15" t="str">
            <v>Waras Suyitno</v>
          </cell>
          <cell r="X15" t="b">
            <v>1</v>
          </cell>
        </row>
        <row r="16">
          <cell r="V16" t="str">
            <v>Dian Septianti</v>
          </cell>
          <cell r="X16" t="b">
            <v>1</v>
          </cell>
        </row>
        <row r="17">
          <cell r="V17" t="str">
            <v>Dian Septianti</v>
          </cell>
          <cell r="X17" t="b">
            <v>1</v>
          </cell>
        </row>
        <row r="18">
          <cell r="V18"/>
          <cell r="X18" t="b">
            <v>0</v>
          </cell>
        </row>
        <row r="19">
          <cell r="V19" t="str">
            <v>Asep Kristiono</v>
          </cell>
          <cell r="X19" t="b">
            <v>1</v>
          </cell>
        </row>
        <row r="20">
          <cell r="V20" t="str">
            <v>Waras Suyitno</v>
          </cell>
          <cell r="X20" t="b">
            <v>1</v>
          </cell>
        </row>
        <row r="21">
          <cell r="V21" t="str">
            <v>Waras Suyitno</v>
          </cell>
          <cell r="X21" t="b">
            <v>1</v>
          </cell>
        </row>
        <row r="22">
          <cell r="V22" t="str">
            <v>Asep Kristiono</v>
          </cell>
          <cell r="X22" t="b">
            <v>1</v>
          </cell>
        </row>
        <row r="23">
          <cell r="V23"/>
          <cell r="X23" t="b">
            <v>0</v>
          </cell>
        </row>
        <row r="24">
          <cell r="V24" t="str">
            <v>Asep Kristiono</v>
          </cell>
          <cell r="X24" t="b">
            <v>1</v>
          </cell>
        </row>
        <row r="25">
          <cell r="V25" t="str">
            <v>Waras Suyitno</v>
          </cell>
          <cell r="X25" t="b">
            <v>1</v>
          </cell>
        </row>
        <row r="26">
          <cell r="V26" t="str">
            <v>Dian Septianti</v>
          </cell>
          <cell r="X26" t="b">
            <v>1</v>
          </cell>
        </row>
        <row r="27">
          <cell r="V27"/>
          <cell r="X27" t="b">
            <v>0</v>
          </cell>
        </row>
      </sheetData>
      <sheetData sheetId="1"/>
      <sheetData sheetId="2"/>
      <sheetData sheetId="3"/>
      <sheetData sheetId="4">
        <row r="3">
          <cell r="C3" t="str">
            <v>Asep Kristiono</v>
          </cell>
          <cell r="E3" t="str">
            <v>25/09/2026</v>
          </cell>
        </row>
        <row r="4">
          <cell r="C4" t="str">
            <v>Dian Septianti</v>
          </cell>
        </row>
        <row r="5">
          <cell r="C5" t="str">
            <v>Dian Septianti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TFFVTPBNA6GRF3L6ZFMZGPNDF5">
      <xxl21:absoluteUrl r:id="rId2"/>
      <xxl21:relativeUrl r:id="rId3"/>
    </xxl21:alternateUrls>
    <sheetNames>
      <sheetName val="STR"/>
      <sheetName val="BUKAN STR"/>
    </sheetNames>
    <sheetDataSet>
      <sheetData sheetId="0">
        <row r="2">
          <cell r="A2" t="str">
            <v>Nama Nasabah</v>
          </cell>
          <cell r="B2"/>
          <cell r="C2"/>
          <cell r="D2"/>
          <cell r="E2" t="str">
            <v>PT Usman Maju Abadi</v>
          </cell>
          <cell r="F2" t="str">
            <v>Mariyanti</v>
          </cell>
          <cell r="G2" t="str">
            <v>Aldhy Restu Mahesa</v>
          </cell>
          <cell r="H2" t="str">
            <v>Nursoleha</v>
          </cell>
          <cell r="I2" t="str">
            <v>Bantu Bisnis Untung</v>
          </cell>
          <cell r="J2"/>
          <cell r="K2"/>
        </row>
        <row r="44">
          <cell r="B44"/>
          <cell r="E44">
            <v>3.8517857142857141</v>
          </cell>
          <cell r="F44">
            <v>3.1281249999999998</v>
          </cell>
          <cell r="G44">
            <v>3.448660714285714</v>
          </cell>
          <cell r="H44">
            <v>3.0366071428571426</v>
          </cell>
          <cell r="I44">
            <v>3.3151785714285711</v>
          </cell>
          <cell r="K44">
            <v>3.3560714285714282</v>
          </cell>
          <cell r="L44" t="str">
            <v>BAIK (B)</v>
          </cell>
        </row>
      </sheetData>
      <sheetData sheetId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29615-8C3A-47EA-A934-C22D5264FDC7}">
  <sheetPr>
    <tabColor theme="5"/>
  </sheetPr>
  <dimension ref="A1:AN27"/>
  <sheetViews>
    <sheetView workbookViewId="0">
      <selection activeCell="AD21" sqref="AD21"/>
    </sheetView>
  </sheetViews>
  <sheetFormatPr defaultRowHeight="14.45"/>
  <cols>
    <col min="1" max="1" width="10.140625" bestFit="1" customWidth="1"/>
    <col min="2" max="2" width="41.7109375" bestFit="1" customWidth="1"/>
    <col min="3" max="3" width="10.140625" hidden="1" customWidth="1"/>
    <col min="4" max="4" width="19.42578125" hidden="1" customWidth="1"/>
    <col min="5" max="5" width="8.5703125" hidden="1" customWidth="1"/>
    <col min="6" max="6" width="8" hidden="1" customWidth="1"/>
    <col min="7" max="7" width="15.85546875" hidden="1" customWidth="1"/>
    <col min="8" max="8" width="15.42578125" hidden="1" customWidth="1"/>
    <col min="9" max="9" width="35.28515625" hidden="1" customWidth="1"/>
    <col min="10" max="10" width="0" hidden="1" customWidth="1"/>
    <col min="11" max="11" width="12.5703125" hidden="1" customWidth="1"/>
    <col min="12" max="12" width="28.7109375" hidden="1" customWidth="1"/>
    <col min="13" max="13" width="37" bestFit="1" customWidth="1"/>
    <col min="14" max="14" width="32.140625" bestFit="1" customWidth="1"/>
    <col min="15" max="15" width="21.28515625" hidden="1" customWidth="1"/>
    <col min="16" max="16" width="19.7109375" hidden="1" customWidth="1"/>
    <col min="17" max="17" width="18.5703125" hidden="1" customWidth="1"/>
    <col min="18" max="18" width="16.85546875" hidden="1" customWidth="1"/>
    <col min="19" max="19" width="15.7109375" hidden="1" customWidth="1"/>
    <col min="20" max="20" width="32.7109375" hidden="1" customWidth="1"/>
    <col min="21" max="21" width="13.85546875" hidden="1" customWidth="1"/>
    <col min="22" max="22" width="15.28515625" bestFit="1" customWidth="1"/>
    <col min="23" max="23" width="10.140625" bestFit="1" customWidth="1"/>
    <col min="25" max="40" width="9.140625" style="18"/>
  </cols>
  <sheetData>
    <row r="1" spans="1:40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</row>
    <row r="2" spans="1:40">
      <c r="A2" s="8" cm="1">
        <f t="array" ref="A2:U27">_xlfn._xlws.FILTER('[2]STR-2026-8-2026-8'!$A:$U, ISNUMBER(SEARCH("Yogyakarta", '[2]STR-2026-8-2026-8'!$O:$O)), "")</f>
        <v>46265</v>
      </c>
      <c r="B2" s="17" t="str">
        <v xml:space="preserve">AHMAD SULISTIYANTO                      </v>
      </c>
      <c r="C2" s="17" t="str">
        <v>AULH179</v>
      </c>
      <c r="D2" s="17">
        <v>61401014387502</v>
      </c>
      <c r="E2" s="17">
        <v>0</v>
      </c>
      <c r="F2" s="17" t="str">
        <v>Tidak</v>
      </c>
      <c r="G2" s="17" t="str">
        <v>Tidak</v>
      </c>
      <c r="H2" s="17">
        <v>0</v>
      </c>
      <c r="I2" s="17" t="str">
        <v>Jual Beli Rekening - E channel Trx</v>
      </c>
      <c r="J2" s="17">
        <v>33</v>
      </c>
      <c r="K2" s="17">
        <v>113</v>
      </c>
      <c r="L2" s="17" t="str">
        <v>Narkotika/Judi Online/Penipuan</v>
      </c>
      <c r="M2" s="17" t="str">
        <v xml:space="preserve">KCP SHOPPING MAGELANG                   </v>
      </c>
      <c r="N2" s="17" t="str">
        <v xml:space="preserve">KC Magelang                             </v>
      </c>
      <c r="O2" s="9" t="str">
        <v xml:space="preserve">Yogyakarta                              </v>
      </c>
      <c r="P2" s="9">
        <v>0</v>
      </c>
      <c r="Q2" s="9">
        <v>0</v>
      </c>
      <c r="R2" s="9" t="str">
        <v>Belum TL</v>
      </c>
      <c r="S2" s="9" t="str">
        <v>Belum TL</v>
      </c>
      <c r="T2" s="9">
        <v>0</v>
      </c>
      <c r="U2" s="9" t="str">
        <v>"-"</v>
      </c>
      <c r="V2" s="12" t="str">
        <f>IF([3]STR!$V2 = "", "", [3]STR!$V2)</f>
        <v>Waras Suyitno</v>
      </c>
      <c r="W2" s="13"/>
      <c r="X2" s="14" t="b">
        <f>[3]STR!$X2</f>
        <v>1</v>
      </c>
      <c r="Z2" s="18" t="str">
        <f>_xlfn.XLOOKUP(TRIM(B2), [4]STR!$2:$2, [4]STR!$44:$44, "")</f>
        <v/>
      </c>
    </row>
    <row r="3" spans="1:40" s="19" customFormat="1">
      <c r="A3" s="16">
        <v>46265</v>
      </c>
      <c r="B3" s="17" t="str">
        <v xml:space="preserve">CV GEMA SEJAHTERA                       </v>
      </c>
      <c r="C3" s="17" t="str">
        <v>CQ97288</v>
      </c>
      <c r="D3" s="17">
        <v>7701800800566</v>
      </c>
      <c r="E3" s="17" t="str">
        <v>SEDANG</v>
      </c>
      <c r="F3" s="17" t="str">
        <v>Tidak</v>
      </c>
      <c r="G3" s="17" t="str">
        <v>Tidak</v>
      </c>
      <c r="H3" s="17" t="str">
        <v>Tidak</v>
      </c>
      <c r="I3" s="17" t="str">
        <v>Perpajakan</v>
      </c>
      <c r="J3" s="17">
        <v>50</v>
      </c>
      <c r="K3" s="17">
        <v>41</v>
      </c>
      <c r="L3" s="17" t="str">
        <v>Perpajakan</v>
      </c>
      <c r="M3" s="17" t="str">
        <v xml:space="preserve">KC Purwokerto                           </v>
      </c>
      <c r="N3" s="17" t="str">
        <v xml:space="preserve">KC Purwokerto                           </v>
      </c>
      <c r="O3" s="12" t="str">
        <v xml:space="preserve">Yogyakarta                              </v>
      </c>
      <c r="P3" s="12">
        <v>0</v>
      </c>
      <c r="Q3" s="12">
        <v>0</v>
      </c>
      <c r="R3" s="12" t="str">
        <v>Belum TL</v>
      </c>
      <c r="S3" s="12" t="str">
        <v>Belum TL</v>
      </c>
      <c r="T3" s="12" t="str">
        <v>90185537 - Moh.Khoerul Fajar Ar</v>
      </c>
      <c r="U3" s="12" t="str">
        <v>"-"</v>
      </c>
      <c r="V3" s="12" t="str">
        <f>IF([3]STR!$V3 = "", "", [3]STR!$V3)</f>
        <v>Dian Septianti</v>
      </c>
      <c r="W3" s="12"/>
      <c r="X3" s="14" t="b">
        <f>[3]STR!$X3</f>
        <v>1</v>
      </c>
      <c r="Y3" s="18"/>
      <c r="Z3" s="18" t="str">
        <f>_xlfn.XLOOKUP(TRIM(B3), [4]STR!$2:$2, [4]STR!$44:$44, "")</f>
        <v/>
      </c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</row>
    <row r="4" spans="1:40">
      <c r="A4" s="16">
        <v>46265</v>
      </c>
      <c r="B4" s="17" t="str">
        <v xml:space="preserve">EKO SUPRIYADI                           </v>
      </c>
      <c r="C4" s="17" t="str">
        <v>EH75673</v>
      </c>
      <c r="D4" s="17">
        <v>661401000027560</v>
      </c>
      <c r="E4" s="17" t="str">
        <v>TINGGI</v>
      </c>
      <c r="F4" s="17" t="str">
        <v>Ya</v>
      </c>
      <c r="G4" s="17" t="str">
        <v>Tidak</v>
      </c>
      <c r="H4" s="17" t="str">
        <v>Tidak</v>
      </c>
      <c r="I4" s="17" t="str">
        <v>Perpajakan</v>
      </c>
      <c r="J4" s="17">
        <v>73</v>
      </c>
      <c r="K4" s="17">
        <v>1.33</v>
      </c>
      <c r="L4" s="17" t="str">
        <v>Perpajakan</v>
      </c>
      <c r="M4" s="17" t="str">
        <v xml:space="preserve">UNIT BATUR WONOSOBO                     </v>
      </c>
      <c r="N4" s="17" t="str">
        <v xml:space="preserve">KC Wonosobo                             </v>
      </c>
      <c r="O4" s="9" t="str">
        <v xml:space="preserve">Yogyakarta                              </v>
      </c>
      <c r="P4" s="9">
        <v>0</v>
      </c>
      <c r="Q4" s="9">
        <v>0</v>
      </c>
      <c r="R4" s="9" t="str">
        <v>Belum TL</v>
      </c>
      <c r="S4" s="9" t="str">
        <v>Belum TL</v>
      </c>
      <c r="T4" s="9" t="str">
        <v>90150130 - Intan Aida Pratiwi</v>
      </c>
      <c r="U4" s="9" t="str">
        <v>"-"</v>
      </c>
      <c r="V4" s="12" t="str">
        <f>IF([3]STR!$V4 = "", "", [3]STR!$V4)</f>
        <v>Asep Kristiono</v>
      </c>
      <c r="W4" s="13">
        <v>46335</v>
      </c>
      <c r="X4" s="14" t="b">
        <f>[3]STR!$X4</f>
        <v>1</v>
      </c>
      <c r="Z4" s="18" t="str">
        <f>_xlfn.XLOOKUP(TRIM(B4), [4]STR!$2:$2, [4]STR!$44:$44, "")</f>
        <v/>
      </c>
    </row>
    <row r="5" spans="1:40">
      <c r="A5" s="16">
        <v>46265</v>
      </c>
      <c r="B5" s="17" t="str">
        <v xml:space="preserve">FEBRILIYANTI                            </v>
      </c>
      <c r="C5" s="17" t="str">
        <v>FX09103</v>
      </c>
      <c r="D5" s="17">
        <v>4801112556507</v>
      </c>
      <c r="E5" s="17">
        <v>0</v>
      </c>
      <c r="F5" s="17" t="str">
        <v>Tidak</v>
      </c>
      <c r="G5" s="17" t="str">
        <v>Tidak</v>
      </c>
      <c r="H5" s="17">
        <v>0</v>
      </c>
      <c r="I5" s="17" t="str">
        <v>Jual Beli Rekening - E channel Trx</v>
      </c>
      <c r="J5" s="17">
        <v>33</v>
      </c>
      <c r="K5" s="17">
        <v>113</v>
      </c>
      <c r="L5" s="17" t="str">
        <v>Narkotika/Judi Online/Penipuan</v>
      </c>
      <c r="M5" s="17" t="str">
        <v xml:space="preserve">KC Magelang                             </v>
      </c>
      <c r="N5" s="17" t="str">
        <v xml:space="preserve">KC Magelang                             </v>
      </c>
      <c r="O5" s="9" t="str">
        <v xml:space="preserve">Yogyakarta                              </v>
      </c>
      <c r="P5" s="9">
        <v>0</v>
      </c>
      <c r="Q5" s="9">
        <v>0</v>
      </c>
      <c r="R5" s="9" t="str">
        <v>Belum TL</v>
      </c>
      <c r="S5" s="9" t="str">
        <v>Belum TL</v>
      </c>
      <c r="T5" s="9">
        <v>0</v>
      </c>
      <c r="U5" s="9" t="str">
        <v>"-"</v>
      </c>
      <c r="V5" s="12" t="str">
        <f>IF([3]STR!$V5 = "", "", [3]STR!$V5)</f>
        <v>Waras Suyitno</v>
      </c>
      <c r="W5" s="12"/>
      <c r="X5" s="14" t="b">
        <f>[3]STR!$X5</f>
        <v>1</v>
      </c>
      <c r="Z5" s="18" t="str">
        <f>_xlfn.XLOOKUP(TRIM(B5), [4]STR!$2:$2, [4]STR!$44:$44, "")</f>
        <v/>
      </c>
    </row>
    <row r="6" spans="1:40" s="19" customFormat="1">
      <c r="A6" s="16">
        <v>46265</v>
      </c>
      <c r="B6" s="17" t="str">
        <v xml:space="preserve">MUTIARA RITELINDO SEMBADA               </v>
      </c>
      <c r="C6" s="17" t="str">
        <v>MFDJS71</v>
      </c>
      <c r="D6" s="17">
        <v>40901001367302</v>
      </c>
      <c r="E6" s="17">
        <v>0</v>
      </c>
      <c r="F6" s="17" t="str">
        <v>Tidak</v>
      </c>
      <c r="G6" s="17" t="str">
        <v>Tidak</v>
      </c>
      <c r="H6" s="17" t="str">
        <v>Tidak</v>
      </c>
      <c r="I6" s="17" t="str">
        <v>Perpajakan</v>
      </c>
      <c r="J6" s="17">
        <v>33</v>
      </c>
      <c r="K6" s="17">
        <v>41</v>
      </c>
      <c r="L6" s="17" t="str">
        <v>Perpajakan</v>
      </c>
      <c r="M6" s="17" t="str">
        <v xml:space="preserve">KC Yogyakarta Mlati                     </v>
      </c>
      <c r="N6" s="17" t="str">
        <v xml:space="preserve">KC Yogyakarta Mlati                     </v>
      </c>
      <c r="O6" s="12" t="str">
        <v xml:space="preserve">Yogyakarta                              </v>
      </c>
      <c r="P6" s="12">
        <v>0</v>
      </c>
      <c r="Q6" s="12">
        <v>0</v>
      </c>
      <c r="R6" s="12" t="str">
        <v>Belum TL</v>
      </c>
      <c r="S6" s="12" t="str">
        <v>Belum TL</v>
      </c>
      <c r="T6" s="12" t="str">
        <v>00394520 - Frida Akbar Rani</v>
      </c>
      <c r="U6" s="12" t="str">
        <v>"-"</v>
      </c>
      <c r="V6" s="12" t="str">
        <f>IF([3]STR!$V6 = "", "", [3]STR!$V6)</f>
        <v>Dian Septianti</v>
      </c>
      <c r="W6" s="12"/>
      <c r="X6" s="14" t="b">
        <f>[3]STR!$X6</f>
        <v>1</v>
      </c>
      <c r="Y6" s="18"/>
      <c r="Z6" s="18" t="str">
        <f>_xlfn.XLOOKUP(TRIM(B6), [4]STR!$2:$2, [4]STR!$44:$44, "")</f>
        <v/>
      </c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</row>
    <row r="7" spans="1:40">
      <c r="A7" s="8">
        <v>46265</v>
      </c>
      <c r="B7" s="17" t="str">
        <v xml:space="preserve">MUHAMMAD FATHUN NADJA                   </v>
      </c>
      <c r="C7" s="17" t="str">
        <v>MPVT467</v>
      </c>
      <c r="D7" s="17">
        <v>4801112557503</v>
      </c>
      <c r="E7" s="17">
        <v>0</v>
      </c>
      <c r="F7" s="17" t="str">
        <v>Tidak</v>
      </c>
      <c r="G7" s="17" t="str">
        <v>Tidak</v>
      </c>
      <c r="H7" s="17">
        <v>0</v>
      </c>
      <c r="I7" s="17" t="str">
        <v>Jual Beli Rekening - E channel Trx</v>
      </c>
      <c r="J7" s="17">
        <v>33</v>
      </c>
      <c r="K7" s="17">
        <v>113</v>
      </c>
      <c r="L7" s="17" t="str">
        <v>Narkotika/Judi Online/Penipuan</v>
      </c>
      <c r="M7" s="17" t="str">
        <v xml:space="preserve">KC Magelang                             </v>
      </c>
      <c r="N7" s="17" t="str">
        <v xml:space="preserve">KC Magelang                             </v>
      </c>
      <c r="O7" s="9" t="str">
        <v xml:space="preserve">Yogyakarta                              </v>
      </c>
      <c r="P7" s="9">
        <v>0</v>
      </c>
      <c r="Q7" s="9">
        <v>0</v>
      </c>
      <c r="R7" s="9" t="str">
        <v>Belum TL</v>
      </c>
      <c r="S7" s="9" t="str">
        <v>Belum TL</v>
      </c>
      <c r="T7" s="9">
        <v>0</v>
      </c>
      <c r="U7" s="9" t="str">
        <v>"-"</v>
      </c>
      <c r="V7" s="12" t="str">
        <f>IF([3]STR!$V7 = "", "", [3]STR!$V7)</f>
        <v>Waras Suyitno</v>
      </c>
      <c r="W7" s="12"/>
      <c r="X7" s="14" t="b">
        <f>[3]STR!$X7</f>
        <v>0</v>
      </c>
      <c r="Z7" s="18" t="str">
        <f>_xlfn.XLOOKUP(TRIM(B7), [4]STR!$2:$2, [4]STR!$44:$44, "")</f>
        <v/>
      </c>
    </row>
    <row r="8" spans="1:40">
      <c r="A8" s="8">
        <v>46265</v>
      </c>
      <c r="B8" s="9" t="str">
        <v xml:space="preserve">NOER SHOLIHIN                           </v>
      </c>
      <c r="C8" s="9" t="str">
        <v>NDJG374</v>
      </c>
      <c r="D8" s="9">
        <v>677001010607504</v>
      </c>
      <c r="E8" s="9">
        <v>0</v>
      </c>
      <c r="F8" s="9" t="str">
        <v>Tidak</v>
      </c>
      <c r="G8" s="9" t="str">
        <v>Tidak</v>
      </c>
      <c r="H8" s="9">
        <v>0</v>
      </c>
      <c r="I8" s="9" t="str">
        <v>Jual Beli Rekening - E channel Trx</v>
      </c>
      <c r="J8" s="9">
        <v>33</v>
      </c>
      <c r="K8" s="9">
        <v>113</v>
      </c>
      <c r="L8" s="9" t="str">
        <v>Narkotika/Judi Online/Penipuan</v>
      </c>
      <c r="M8" s="9" t="str">
        <v xml:space="preserve">UNIT WINDUSARI MAGELANG                 </v>
      </c>
      <c r="N8" s="9" t="str">
        <v xml:space="preserve">KC Magelang                             </v>
      </c>
      <c r="O8" s="9" t="str">
        <v xml:space="preserve">Yogyakarta                              </v>
      </c>
      <c r="P8" s="9">
        <v>0</v>
      </c>
      <c r="Q8" s="9">
        <v>0</v>
      </c>
      <c r="R8" s="9" t="str">
        <v>Belum TL</v>
      </c>
      <c r="S8" s="9" t="str">
        <v>Belum TL</v>
      </c>
      <c r="T8" s="9">
        <v>0</v>
      </c>
      <c r="U8" s="9" t="str">
        <v>"-"</v>
      </c>
      <c r="V8" s="12" t="str">
        <f>IF([3]STR!$V8 = "", "", [3]STR!$V8)</f>
        <v>Waras Suyitno</v>
      </c>
      <c r="W8" s="12"/>
      <c r="X8" s="14" t="b">
        <f>[3]STR!$X8</f>
        <v>0</v>
      </c>
      <c r="Z8" s="18" t="str">
        <f>_xlfn.XLOOKUP(TRIM(B8), [4]STR!$2:$2, [4]STR!$44:$44, "")</f>
        <v/>
      </c>
    </row>
    <row r="9" spans="1:40">
      <c r="A9" s="8">
        <v>46265</v>
      </c>
      <c r="B9" s="9" t="str">
        <v xml:space="preserve">PT KONDANG SEHAT KASIHIBU               </v>
      </c>
      <c r="C9" s="9" t="str">
        <v>PCS4615</v>
      </c>
      <c r="D9" s="9">
        <v>106301000553307</v>
      </c>
      <c r="E9" s="9" t="str">
        <v>SEDANG</v>
      </c>
      <c r="F9" s="9" t="str">
        <v>Tidak</v>
      </c>
      <c r="G9" s="9" t="str">
        <v>Tidak</v>
      </c>
      <c r="H9" s="9" t="str">
        <v>Tidak</v>
      </c>
      <c r="I9" s="9" t="str">
        <v>Perpajakan</v>
      </c>
      <c r="J9" s="9">
        <v>48</v>
      </c>
      <c r="K9" s="9">
        <v>41</v>
      </c>
      <c r="L9" s="9" t="str">
        <v>Perpajakan</v>
      </c>
      <c r="M9" s="9" t="str">
        <v xml:space="preserve">KC Solo Baru                            </v>
      </c>
      <c r="N9" s="9" t="str">
        <v xml:space="preserve">KC Solo Baru                            </v>
      </c>
      <c r="O9" s="9" t="str">
        <v xml:space="preserve">Yogyakarta                              </v>
      </c>
      <c r="P9" s="9">
        <v>0</v>
      </c>
      <c r="Q9" s="9">
        <v>0</v>
      </c>
      <c r="R9" s="9" t="str">
        <v>Belum TL</v>
      </c>
      <c r="S9" s="9" t="str">
        <v>Belum TL</v>
      </c>
      <c r="T9" s="9" t="str">
        <v>90170665 - Mutiara Ayuningtyas</v>
      </c>
      <c r="U9" s="9" t="str">
        <v>"-"</v>
      </c>
      <c r="V9" s="12" t="str">
        <f>IF([3]STR!$V9 = "", "", [3]STR!$V9)</f>
        <v>Asep Kristiono</v>
      </c>
      <c r="W9" s="12" t="s">
        <v>24</v>
      </c>
      <c r="X9" s="14" t="b">
        <f>[3]STR!$X9</f>
        <v>1</v>
      </c>
      <c r="Z9" s="18" t="str">
        <f>_xlfn.XLOOKUP(TRIM(B9), [4]STR!$2:$2, [4]STR!$44:$44, "")</f>
        <v/>
      </c>
    </row>
    <row r="10" spans="1:40">
      <c r="A10" s="8">
        <v>46265</v>
      </c>
      <c r="B10" s="9" t="str">
        <v xml:space="preserve">PANDANARAN BERKAH JAYA                  </v>
      </c>
      <c r="C10" s="9" t="str">
        <v>PKR9252</v>
      </c>
      <c r="D10" s="9">
        <v>61201000395565</v>
      </c>
      <c r="E10" s="9" t="str">
        <v>SEDANG</v>
      </c>
      <c r="F10" s="9" t="str">
        <v>Tidak</v>
      </c>
      <c r="G10" s="9" t="str">
        <v>Tidak</v>
      </c>
      <c r="H10" s="9" t="str">
        <v>Tidak</v>
      </c>
      <c r="I10" s="9" t="str">
        <v>Perpajakan</v>
      </c>
      <c r="J10" s="9">
        <v>50</v>
      </c>
      <c r="K10" s="9">
        <v>41</v>
      </c>
      <c r="L10" s="9" t="str">
        <v>Perpajakan</v>
      </c>
      <c r="M10" s="9" t="str">
        <v xml:space="preserve">KCP PEDAN                               </v>
      </c>
      <c r="N10" s="9" t="str">
        <v xml:space="preserve">KC Klaten                               </v>
      </c>
      <c r="O10" s="9" t="str">
        <v xml:space="preserve">Yogyakarta                              </v>
      </c>
      <c r="P10" s="9">
        <v>0</v>
      </c>
      <c r="Q10" s="9">
        <v>0</v>
      </c>
      <c r="R10" s="9" t="str">
        <v>Belum TL</v>
      </c>
      <c r="S10" s="9" t="str">
        <v>Belum TL</v>
      </c>
      <c r="T10" s="9" t="str">
        <v>00394520 - Frida Akbar Rani</v>
      </c>
      <c r="U10" s="9" t="str">
        <v>"-"</v>
      </c>
      <c r="V10" s="12" t="str">
        <f>IF([3]STR!$V10 = "", "", [3]STR!$V10)</f>
        <v>Asep Kristiono</v>
      </c>
      <c r="W10" s="12"/>
      <c r="X10" s="14" t="b">
        <f>[3]STR!$X10</f>
        <v>1</v>
      </c>
      <c r="Z10" s="18" t="str">
        <f>_xlfn.XLOOKUP(TRIM(B10), [4]STR!$2:$2, [4]STR!$44:$44, "")</f>
        <v/>
      </c>
    </row>
    <row r="11" spans="1:40">
      <c r="A11" s="8">
        <v>46265</v>
      </c>
      <c r="B11" s="9" t="str">
        <v xml:space="preserve">RIZKY LANGIT RAMADHAN                   </v>
      </c>
      <c r="C11" s="9" t="str">
        <v>RAXH818</v>
      </c>
      <c r="D11" s="9">
        <v>4801112544500</v>
      </c>
      <c r="E11" s="9">
        <v>0</v>
      </c>
      <c r="F11" s="9" t="str">
        <v>Tidak</v>
      </c>
      <c r="G11" s="9" t="str">
        <v>Tidak</v>
      </c>
      <c r="H11" s="9">
        <v>0</v>
      </c>
      <c r="I11" s="9" t="str">
        <v>Jual Beli Rekening - E channel Trx</v>
      </c>
      <c r="J11" s="9">
        <v>33</v>
      </c>
      <c r="K11" s="9">
        <v>113</v>
      </c>
      <c r="L11" s="9" t="str">
        <v>Narkotika/Judi Online/Penipuan</v>
      </c>
      <c r="M11" s="9" t="str">
        <v xml:space="preserve">KC Magelang                             </v>
      </c>
      <c r="N11" s="9" t="str">
        <v xml:space="preserve">KC Magelang                             </v>
      </c>
      <c r="O11" s="9" t="str">
        <v xml:space="preserve">Yogyakarta                              </v>
      </c>
      <c r="P11" s="9">
        <v>0</v>
      </c>
      <c r="Q11" s="9">
        <v>0</v>
      </c>
      <c r="R11" s="9" t="str">
        <v>Belum TL</v>
      </c>
      <c r="S11" s="9" t="str">
        <v>Belum TL</v>
      </c>
      <c r="T11" s="9">
        <v>0</v>
      </c>
      <c r="U11" s="9" t="str">
        <v>"-"</v>
      </c>
      <c r="V11" s="12" t="str">
        <f>IF([3]STR!$V11 = "", "", [3]STR!$V11)</f>
        <v>Waras Suyitno</v>
      </c>
      <c r="W11" s="12"/>
      <c r="X11" s="14" t="b">
        <f>[3]STR!$X11</f>
        <v>0</v>
      </c>
      <c r="Z11" s="18" t="str">
        <f>_xlfn.XLOOKUP(TRIM(B11), [4]STR!$2:$2, [4]STR!$44:$44, "")</f>
        <v/>
      </c>
    </row>
    <row r="12" spans="1:40">
      <c r="A12" s="8">
        <v>46265</v>
      </c>
      <c r="B12" s="9" t="str">
        <v xml:space="preserve">TRI LESTIYO                             </v>
      </c>
      <c r="C12" s="9" t="str">
        <v>TK13409</v>
      </c>
      <c r="D12" s="9">
        <v>203401000502560</v>
      </c>
      <c r="E12" s="9" t="str">
        <v>SEDANG</v>
      </c>
      <c r="F12" s="9" t="str">
        <v>Tidak</v>
      </c>
      <c r="G12" s="9" t="str">
        <v>Tidak</v>
      </c>
      <c r="H12" s="9" t="str">
        <v>Tidak</v>
      </c>
      <c r="I12" s="9" t="str">
        <v>Narkotika - Area Lapas</v>
      </c>
      <c r="J12" s="9">
        <v>50</v>
      </c>
      <c r="K12" s="9">
        <v>46</v>
      </c>
      <c r="L12" s="9" t="str">
        <v>Narkotika</v>
      </c>
      <c r="M12" s="9" t="str">
        <v>KCP BOBOTSARI</v>
      </c>
      <c r="N12" s="9" t="str">
        <v>KC Purbalingga</v>
      </c>
      <c r="O12" s="9" t="str">
        <v>Yogyakarta</v>
      </c>
      <c r="P12" s="9">
        <v>0</v>
      </c>
      <c r="Q12" s="9">
        <v>0</v>
      </c>
      <c r="R12" s="9" t="str">
        <v>Belum TL</v>
      </c>
      <c r="S12" s="9" t="str">
        <v>Belum TL</v>
      </c>
      <c r="T12" s="9" t="str">
        <v>90150130 - Intan Aida Pratiwi</v>
      </c>
      <c r="U12" s="9" t="str">
        <v>"-"</v>
      </c>
      <c r="V12" s="12" t="str">
        <f>IF([3]STR!$V12 = "", "", [3]STR!$V12)</f>
        <v>Asep Kristiono</v>
      </c>
      <c r="W12" s="12" t="s">
        <v>24</v>
      </c>
      <c r="X12" s="14" t="b">
        <f>[3]STR!$X12</f>
        <v>1</v>
      </c>
      <c r="Z12" s="18" t="str">
        <f>_xlfn.XLOOKUP(TRIM(B12), [4]STR!$2:$2, [4]STR!$44:$44, "")</f>
        <v/>
      </c>
    </row>
    <row r="13" spans="1:40">
      <c r="A13" s="8">
        <v>46265</v>
      </c>
      <c r="B13" s="9" t="str">
        <v xml:space="preserve">TABAH ARIS NURJAMAN                     </v>
      </c>
      <c r="C13" s="9" t="str">
        <v>TY72364</v>
      </c>
      <c r="D13" s="9">
        <v>40901060840509</v>
      </c>
      <c r="E13" s="9">
        <v>0</v>
      </c>
      <c r="F13" s="9" t="str">
        <v>Tidak</v>
      </c>
      <c r="G13" s="9" t="str">
        <v>Tidak</v>
      </c>
      <c r="H13" s="9">
        <v>0</v>
      </c>
      <c r="I13" s="9" t="str">
        <v>Jual Beli Rekening - E channel Trx</v>
      </c>
      <c r="J13" s="9">
        <v>43</v>
      </c>
      <c r="K13" s="9">
        <v>113</v>
      </c>
      <c r="L13" s="9" t="str">
        <v>Narkotika/Judi Online/Penipuan</v>
      </c>
      <c r="M13" s="9" t="str">
        <v xml:space="preserve">KC Yogyakarta Mlati                     </v>
      </c>
      <c r="N13" s="9" t="str">
        <v xml:space="preserve">KC Yogyakarta Mlati                     </v>
      </c>
      <c r="O13" s="9" t="str">
        <v xml:space="preserve">Yogyakarta                              </v>
      </c>
      <c r="P13" s="9">
        <v>0</v>
      </c>
      <c r="Q13" s="9">
        <v>0</v>
      </c>
      <c r="R13" s="9" t="str">
        <v>Belum TL</v>
      </c>
      <c r="S13" s="9" t="str">
        <v>Belum TL</v>
      </c>
      <c r="T13" s="9">
        <v>0</v>
      </c>
      <c r="U13" s="9" t="str">
        <v>"-"</v>
      </c>
      <c r="V13" s="12" t="str">
        <f>IF([3]STR!$V13 = "", "", [3]STR!$V13)</f>
        <v>Dian Septianti</v>
      </c>
      <c r="W13" s="12"/>
      <c r="X13" s="14" t="b">
        <f>[3]STR!$X13</f>
        <v>1</v>
      </c>
      <c r="Z13" s="18" t="str">
        <f>_xlfn.XLOOKUP(TRIM(B13), [4]STR!$2:$2, [4]STR!$44:$44, "")</f>
        <v/>
      </c>
    </row>
    <row r="14" spans="1:40">
      <c r="A14" s="8">
        <v>46265</v>
      </c>
      <c r="B14" s="9" t="str">
        <v xml:space="preserve">UMI SALIMATUL KHUSNA                    </v>
      </c>
      <c r="C14" s="9" t="str">
        <v>UO77915</v>
      </c>
      <c r="D14" s="9">
        <v>799101002411506</v>
      </c>
      <c r="E14" s="9">
        <v>0</v>
      </c>
      <c r="F14" s="9" t="str">
        <v>Tidak</v>
      </c>
      <c r="G14" s="9" t="str">
        <v>Tidak</v>
      </c>
      <c r="H14" s="9">
        <v>0</v>
      </c>
      <c r="I14" s="9" t="str">
        <v>Jual Beli Rekening - E channel Trx</v>
      </c>
      <c r="J14" s="9">
        <v>33</v>
      </c>
      <c r="K14" s="9">
        <v>113</v>
      </c>
      <c r="L14" s="9" t="str">
        <v>Narkotika/Judi Online/Penipuan</v>
      </c>
      <c r="M14" s="9" t="str">
        <v xml:space="preserve">UNIT KRASAK MAGELANG                    </v>
      </c>
      <c r="N14" s="9" t="str">
        <v xml:space="preserve">KC Magelang                             </v>
      </c>
      <c r="O14" s="9" t="str">
        <v xml:space="preserve">Yogyakarta                              </v>
      </c>
      <c r="P14" s="9">
        <v>0</v>
      </c>
      <c r="Q14" s="9">
        <v>0</v>
      </c>
      <c r="R14" s="9" t="str">
        <v>Belum TL</v>
      </c>
      <c r="S14" s="9" t="str">
        <v>Belum TL</v>
      </c>
      <c r="T14" s="9">
        <v>0</v>
      </c>
      <c r="U14" s="9" t="str">
        <v>"-"</v>
      </c>
      <c r="V14" s="12" t="str">
        <f>IF([3]STR!$V14 = "", "", [3]STR!$V14)</f>
        <v>Waras Suyitno</v>
      </c>
      <c r="W14" s="12"/>
      <c r="X14" s="14" t="b">
        <f>[3]STR!$X14</f>
        <v>0</v>
      </c>
      <c r="Z14" s="18" t="str">
        <f>_xlfn.XLOOKUP(TRIM(B14), [4]STR!$2:$2, [4]STR!$44:$44, "")</f>
        <v/>
      </c>
    </row>
    <row r="15" spans="1:40">
      <c r="A15" s="8">
        <v>46265</v>
      </c>
      <c r="B15" s="9" t="str">
        <v xml:space="preserve">YOYOK HERY WAHYONO, ST                  </v>
      </c>
      <c r="C15" s="9" t="str">
        <v>YGI8698</v>
      </c>
      <c r="D15" s="9">
        <v>40901001701564</v>
      </c>
      <c r="E15" s="9" t="str">
        <v>SEDANG</v>
      </c>
      <c r="F15" s="9" t="str">
        <v>Tidak</v>
      </c>
      <c r="G15" s="9" t="str">
        <v>Tidak</v>
      </c>
      <c r="H15" s="9" t="str">
        <v>Tidak</v>
      </c>
      <c r="I15" s="9" t="str">
        <v>Narkotika/Psikotropika</v>
      </c>
      <c r="J15" s="9">
        <v>50</v>
      </c>
      <c r="K15" s="9" t="str">
        <v>1,7,3</v>
      </c>
      <c r="L15" s="9" t="str">
        <v>Narkotika/Psikotropika</v>
      </c>
      <c r="M15" s="9" t="str">
        <v xml:space="preserve">KC Muntilan                             </v>
      </c>
      <c r="N15" s="9" t="str">
        <v xml:space="preserve">KC Muntilan                             </v>
      </c>
      <c r="O15" s="9" t="str">
        <v xml:space="preserve">Yogyakarta                              </v>
      </c>
      <c r="P15" s="9">
        <v>0</v>
      </c>
      <c r="Q15" s="9">
        <v>0</v>
      </c>
      <c r="R15" s="9" t="str">
        <v>Belum TL</v>
      </c>
      <c r="S15" s="9" t="str">
        <v>Belum TL</v>
      </c>
      <c r="T15" s="9" t="str">
        <v>90150130 - Intan Aida Pratiwi</v>
      </c>
      <c r="U15" s="9" t="str">
        <v>"-"</v>
      </c>
      <c r="V15" s="12" t="str">
        <f>IF([3]STR!$V15 = "", "", [3]STR!$V15)</f>
        <v>Waras Suyitno</v>
      </c>
      <c r="W15" s="13">
        <v>46304</v>
      </c>
      <c r="X15" s="14" t="b">
        <f>[3]STR!$X15</f>
        <v>1</v>
      </c>
      <c r="Z15" s="18" t="str">
        <f>_xlfn.XLOOKUP(TRIM(B15), [4]STR!$2:$2, [4]STR!$44:$44, "")</f>
        <v/>
      </c>
    </row>
    <row r="16" spans="1:40">
      <c r="A16" s="8">
        <v>46265</v>
      </c>
      <c r="B16" s="9" t="str">
        <v xml:space="preserve">PERUM PEGADAIAN SLEMAN                  </v>
      </c>
      <c r="C16" s="9" t="str">
        <v>P035023</v>
      </c>
      <c r="D16" s="9">
        <v>24701000096304</v>
      </c>
      <c r="E16" s="9" t="str">
        <v>SEDANG</v>
      </c>
      <c r="F16" s="9" t="str">
        <v>Tidak</v>
      </c>
      <c r="G16" s="9" t="str">
        <v>Tidak</v>
      </c>
      <c r="H16" s="9" t="str">
        <v>Tidak</v>
      </c>
      <c r="I16" s="9" t="str">
        <v>Narkotika - Area Lapas</v>
      </c>
      <c r="J16" s="9">
        <v>49</v>
      </c>
      <c r="K16" s="9">
        <v>47</v>
      </c>
      <c r="L16" s="9" t="str">
        <v>Narkotika</v>
      </c>
      <c r="M16" s="9" t="str">
        <v>KC Sleman</v>
      </c>
      <c r="N16" s="9" t="str">
        <v>KC Sleman</v>
      </c>
      <c r="O16" s="9" t="str">
        <v>Yogyakarta</v>
      </c>
      <c r="P16" s="9" t="str">
        <v>Tidak</v>
      </c>
      <c r="Q16" s="9">
        <v>0</v>
      </c>
      <c r="R16" s="9" t="str">
        <v>Pending Approver</v>
      </c>
      <c r="S16" s="9" t="str">
        <v>Belum TL</v>
      </c>
      <c r="T16" s="9" t="str">
        <v>90186790 - Muhammad Alfin Farha</v>
      </c>
      <c r="U16" s="9" t="str">
        <v>"-"</v>
      </c>
      <c r="V16" s="12" t="str">
        <f>IF([3]STR!$V16 = "", "", [3]STR!$V16)</f>
        <v>Dian Septianti</v>
      </c>
      <c r="W16" s="13" t="s">
        <v>24</v>
      </c>
      <c r="X16" s="14" t="b">
        <f>[3]STR!$X16</f>
        <v>1</v>
      </c>
      <c r="Z16" s="18" t="str">
        <f>_xlfn.XLOOKUP(TRIM(B16), [4]STR!$2:$2, [4]STR!$44:$44, "")</f>
        <v/>
      </c>
    </row>
    <row r="17" spans="1:26">
      <c r="A17" s="8">
        <v>46265</v>
      </c>
      <c r="B17" s="9" t="str">
        <v xml:space="preserve">CITRA WULAN NUGRAHENINGTYAS             </v>
      </c>
      <c r="C17" s="9" t="str">
        <v>CJ25811</v>
      </c>
      <c r="D17" s="9">
        <v>302201058027536</v>
      </c>
      <c r="E17" s="9" t="str">
        <v>SEDANG</v>
      </c>
      <c r="F17" s="9" t="str">
        <v>Tidak</v>
      </c>
      <c r="G17" s="9" t="str">
        <v>Tidak</v>
      </c>
      <c r="H17" s="9" t="str">
        <v>Tidak</v>
      </c>
      <c r="I17" s="9" t="str">
        <v>Narkotika - Area Lapas</v>
      </c>
      <c r="J17" s="9">
        <v>48</v>
      </c>
      <c r="K17" s="9">
        <v>47</v>
      </c>
      <c r="L17" s="9" t="str">
        <v>Narkotika</v>
      </c>
      <c r="M17" s="9" t="str">
        <v>UNIT PAKEM SLEMAN</v>
      </c>
      <c r="N17" s="9" t="str">
        <v>KC Sleman</v>
      </c>
      <c r="O17" s="9" t="str">
        <v>Yogyakarta</v>
      </c>
      <c r="P17" s="9" t="str">
        <v>Tidak</v>
      </c>
      <c r="Q17" s="9">
        <v>0</v>
      </c>
      <c r="R17" s="9" t="str">
        <v>Done</v>
      </c>
      <c r="S17" s="9" t="str">
        <v>Belum TL</v>
      </c>
      <c r="T17" s="9" t="str">
        <v>00394521 - Muhammad Hibbanduta</v>
      </c>
      <c r="U17" s="9" t="str">
        <v>"-"</v>
      </c>
      <c r="V17" s="12" t="str">
        <f>IF([3]STR!$V17 = "", "", [3]STR!$V17)</f>
        <v>Dian Septianti</v>
      </c>
      <c r="W17" s="13">
        <v>46335</v>
      </c>
      <c r="X17" s="14" t="b">
        <f>[3]STR!$X17</f>
        <v>1</v>
      </c>
      <c r="Z17" s="18" t="str">
        <f>_xlfn.XLOOKUP(TRIM(B17), [4]STR!$2:$2, [4]STR!$44:$44, "")</f>
        <v/>
      </c>
    </row>
    <row r="18" spans="1:26">
      <c r="A18" s="8">
        <v>46265</v>
      </c>
      <c r="B18" s="9" t="str">
        <v xml:space="preserve">ARIF ROMDHON WAHYU KUSUMOJATI           </v>
      </c>
      <c r="C18" s="9" t="str">
        <v>AIO8643</v>
      </c>
      <c r="D18" s="9">
        <v>24701020515508</v>
      </c>
      <c r="E18" s="9" t="str">
        <v>TINGGI</v>
      </c>
      <c r="F18" s="9" t="str">
        <v>Tidak</v>
      </c>
      <c r="G18" s="9" t="str">
        <v>Tidak</v>
      </c>
      <c r="H18" s="9" t="str">
        <v>Tidak</v>
      </c>
      <c r="I18" s="9" t="str">
        <v>Narkotika - Area Lapas</v>
      </c>
      <c r="J18" s="9">
        <v>73</v>
      </c>
      <c r="K18" s="9">
        <v>48</v>
      </c>
      <c r="L18" s="9" t="str">
        <v>Narkotika</v>
      </c>
      <c r="M18" s="9" t="str">
        <v>KC Sleman</v>
      </c>
      <c r="N18" s="9" t="str">
        <v>KC Sleman</v>
      </c>
      <c r="O18" s="9" t="str">
        <v>Yogyakarta</v>
      </c>
      <c r="P18" s="9" t="str">
        <v>Tidak</v>
      </c>
      <c r="Q18" s="9" t="str">
        <v>Tidak</v>
      </c>
      <c r="R18" s="9" t="str">
        <v>Done</v>
      </c>
      <c r="S18" s="9" t="str">
        <v>Approved</v>
      </c>
      <c r="T18" s="9" t="str">
        <v>00336949 - Mochammad Al Farabi</v>
      </c>
      <c r="U18" s="9" t="str">
        <v>"-"</v>
      </c>
      <c r="V18" s="12" t="str">
        <f>IF([3]STR!$V18 = "", "", [3]STR!$V18)</f>
        <v/>
      </c>
      <c r="W18" s="12"/>
      <c r="X18" s="14" t="b">
        <f>[3]STR!$X18</f>
        <v>0</v>
      </c>
      <c r="Y18" s="18" t="s">
        <v>25</v>
      </c>
      <c r="Z18" s="18" t="str">
        <f>_xlfn.XLOOKUP(TRIM(B18), [4]STR!$2:$2, [4]STR!$44:$44, "")</f>
        <v/>
      </c>
    </row>
    <row r="19" spans="1:26">
      <c r="A19" s="8">
        <v>46265</v>
      </c>
      <c r="B19" s="9" t="str">
        <v xml:space="preserve">BANTU BISNIS UNTUNG                     </v>
      </c>
      <c r="C19" s="9" t="str">
        <v>BJP5391</v>
      </c>
      <c r="D19" s="9">
        <v>2901004289565</v>
      </c>
      <c r="E19" s="9">
        <v>0</v>
      </c>
      <c r="F19" s="9" t="str">
        <v>Tidak</v>
      </c>
      <c r="G19" s="9" t="str">
        <v>Tidak</v>
      </c>
      <c r="H19" s="9" t="str">
        <v>Tidak</v>
      </c>
      <c r="I19" s="9" t="str">
        <v>Perpajakan</v>
      </c>
      <c r="J19" s="9">
        <v>35</v>
      </c>
      <c r="K19" s="9">
        <v>41</v>
      </c>
      <c r="L19" s="9" t="str">
        <v>Perpajakan</v>
      </c>
      <c r="M19" s="9" t="str">
        <v xml:space="preserve">KC Yogyakarta Cik Ditiro                </v>
      </c>
      <c r="N19" s="9" t="str">
        <v xml:space="preserve">KC Yogyakarta Cik Ditiro                </v>
      </c>
      <c r="O19" s="9" t="str">
        <v xml:space="preserve">Yogyakarta                              </v>
      </c>
      <c r="P19" s="9" t="str">
        <v>Tidak</v>
      </c>
      <c r="Q19" s="9" t="str">
        <v>Ya</v>
      </c>
      <c r="R19" s="9" t="str">
        <v>Done</v>
      </c>
      <c r="S19" s="9" t="str">
        <v>Approved</v>
      </c>
      <c r="T19" s="9" t="str">
        <v>90186796 - Devito Arya Wiradila</v>
      </c>
      <c r="U19" s="9" t="str">
        <v>"-"</v>
      </c>
      <c r="V19" s="12" t="str">
        <f>IF([3]STR!$V19 = "", "", [3]STR!$V19)</f>
        <v>Asep Kristiono</v>
      </c>
      <c r="W19" s="12" t="s">
        <v>26</v>
      </c>
      <c r="X19" s="14" t="b">
        <f>[3]STR!$X19</f>
        <v>1</v>
      </c>
      <c r="Z19" s="18">
        <f>_xlfn.XLOOKUP(TRIM(B19), [4]STR!$2:$2, [4]STR!$44:$44, "")</f>
        <v>3.3151785714285711</v>
      </c>
    </row>
    <row r="20" spans="1:26">
      <c r="A20" s="8">
        <v>46265</v>
      </c>
      <c r="B20" s="9" t="str">
        <v xml:space="preserve">CALISTA NUR AZIZAH                      </v>
      </c>
      <c r="C20" s="9" t="str">
        <v>CP98442</v>
      </c>
      <c r="D20" s="9">
        <v>3501003573308</v>
      </c>
      <c r="E20" s="9" t="str">
        <v>SEDANG</v>
      </c>
      <c r="F20" s="9" t="str">
        <v>Tidak</v>
      </c>
      <c r="G20" s="9" t="str">
        <v>Tidak</v>
      </c>
      <c r="H20" s="9" t="str">
        <v>Tidak</v>
      </c>
      <c r="I20" s="9" t="str">
        <v>Perpajakan</v>
      </c>
      <c r="J20" s="9">
        <v>50</v>
      </c>
      <c r="K20" s="9">
        <v>1.33</v>
      </c>
      <c r="L20" s="9" t="str">
        <v>Perpajakan</v>
      </c>
      <c r="M20" s="9" t="str">
        <v xml:space="preserve">KC Klaten                               </v>
      </c>
      <c r="N20" s="9" t="str">
        <v xml:space="preserve">KC Klaten                               </v>
      </c>
      <c r="O20" s="9" t="str">
        <v xml:space="preserve">Yogyakarta                              </v>
      </c>
      <c r="P20" s="9" t="str">
        <v>Tidak</v>
      </c>
      <c r="Q20" s="9" t="str">
        <v>Tidak</v>
      </c>
      <c r="R20" s="9" t="str">
        <v>Done</v>
      </c>
      <c r="S20" s="9" t="str">
        <v>Approved</v>
      </c>
      <c r="T20" s="9" t="str">
        <v>90185538 - Muhammad Fahikal Auz</v>
      </c>
      <c r="U20" s="9" t="str">
        <v>"-"</v>
      </c>
      <c r="V20" s="12" t="str">
        <f>IF([3]STR!$V20 = "", "", [3]STR!$V20)</f>
        <v>Waras Suyitno</v>
      </c>
      <c r="W20" s="12" t="s">
        <v>27</v>
      </c>
      <c r="X20" s="14" t="b">
        <f>[3]STR!$X20</f>
        <v>1</v>
      </c>
      <c r="Z20" s="18" t="str">
        <f>_xlfn.XLOOKUP(TRIM(B20), [4]STR!$2:$2, [4]STR!$44:$44, "")</f>
        <v/>
      </c>
    </row>
    <row r="21" spans="1:26">
      <c r="A21" s="8">
        <v>46265</v>
      </c>
      <c r="B21" s="9" t="str">
        <v xml:space="preserve">CV AGRONUSA MANDIRI                     </v>
      </c>
      <c r="C21" s="9" t="str">
        <v>CD76545</v>
      </c>
      <c r="D21" s="9">
        <v>61201000852305</v>
      </c>
      <c r="E21" s="9" t="str">
        <v>SEDANG</v>
      </c>
      <c r="F21" s="9" t="str">
        <v>Tidak</v>
      </c>
      <c r="G21" s="9" t="str">
        <v>Tidak</v>
      </c>
      <c r="H21" s="9" t="str">
        <v>Tidak</v>
      </c>
      <c r="I21" s="9" t="str">
        <v>Perpajakan</v>
      </c>
      <c r="J21" s="9">
        <v>48</v>
      </c>
      <c r="K21" s="9">
        <v>41</v>
      </c>
      <c r="L21" s="9" t="str">
        <v>Perpajakan</v>
      </c>
      <c r="M21" s="9" t="str">
        <v xml:space="preserve">KCP PEDAN                               </v>
      </c>
      <c r="N21" s="9" t="str">
        <v xml:space="preserve">KC Klaten                               </v>
      </c>
      <c r="O21" s="9" t="str">
        <v xml:space="preserve">Yogyakarta                              </v>
      </c>
      <c r="P21" s="9" t="str">
        <v>Tidak</v>
      </c>
      <c r="Q21" s="9" t="str">
        <v>Tidak</v>
      </c>
      <c r="R21" s="9" t="str">
        <v>Done</v>
      </c>
      <c r="S21" s="9" t="str">
        <v>Approved</v>
      </c>
      <c r="T21" s="9" t="str">
        <v>90185537 - Moh.Khoerul Fajar Ar</v>
      </c>
      <c r="U21" s="9" t="str">
        <v>"-"</v>
      </c>
      <c r="V21" s="12" t="str">
        <f>IF([3]STR!$V21 = "", "", [3]STR!$V21)</f>
        <v>Waras Suyitno</v>
      </c>
      <c r="W21" s="12" t="s">
        <v>28</v>
      </c>
      <c r="X21" s="14" t="b">
        <f>[3]STR!$X21</f>
        <v>1</v>
      </c>
      <c r="Z21" s="18" t="str">
        <f>_xlfn.XLOOKUP(TRIM(B21), [4]STR!$2:$2, [4]STR!$44:$44, "")</f>
        <v/>
      </c>
    </row>
    <row r="22" spans="1:26">
      <c r="A22" s="8">
        <v>46265</v>
      </c>
      <c r="B22" s="9" t="str">
        <v xml:space="preserve">ELISABET DYAH ADIASTUTI                 </v>
      </c>
      <c r="C22" s="9" t="str">
        <v>DA71599</v>
      </c>
      <c r="D22" s="9">
        <v>685401017519530</v>
      </c>
      <c r="E22" s="9" t="str">
        <v>TINGGI</v>
      </c>
      <c r="F22" s="9" t="str">
        <v>Tidak</v>
      </c>
      <c r="G22" s="9" t="str">
        <v>Ya</v>
      </c>
      <c r="H22" s="9" t="str">
        <v>Tidak</v>
      </c>
      <c r="I22" s="9" t="str">
        <v>Private or Priority Customer Investment</v>
      </c>
      <c r="J22" s="9">
        <v>85</v>
      </c>
      <c r="K22" s="9">
        <v>93</v>
      </c>
      <c r="L22" s="9" t="str">
        <v>Pasar Modal</v>
      </c>
      <c r="M22" s="9" t="str">
        <v xml:space="preserve">KC Yogyakarta Cik Ditiro                </v>
      </c>
      <c r="N22" s="9" t="str">
        <v xml:space="preserve">KC Yogyakarta Cik Ditiro                </v>
      </c>
      <c r="O22" s="9" t="str">
        <v xml:space="preserve">Yogyakarta                              </v>
      </c>
      <c r="P22" s="9" t="str">
        <v>Tidak</v>
      </c>
      <c r="Q22" s="9" t="str">
        <v>Tidak</v>
      </c>
      <c r="R22" s="9" t="str">
        <v>Done</v>
      </c>
      <c r="S22" s="9" t="str">
        <v>Approved</v>
      </c>
      <c r="T22" s="9" t="str">
        <v>90150130 - Intan Aida Pratiwi</v>
      </c>
      <c r="U22" s="9" t="str">
        <v>"-"</v>
      </c>
      <c r="V22" s="12" t="str">
        <f>IF([3]STR!$V22 = "", "", [3]STR!$V22)</f>
        <v>Asep Kristiono</v>
      </c>
      <c r="W22" s="12" t="s">
        <v>29</v>
      </c>
      <c r="X22" s="14" t="b">
        <f>[3]STR!$X22</f>
        <v>1</v>
      </c>
      <c r="Z22" s="18" t="str">
        <f>_xlfn.XLOOKUP(TRIM(B22), [4]STR!$2:$2, [4]STR!$44:$44, "")</f>
        <v/>
      </c>
    </row>
    <row r="23" spans="1:26">
      <c r="A23" s="8">
        <v>46265</v>
      </c>
      <c r="B23" s="9" t="str">
        <v xml:space="preserve">DWI KUMOROWATI                          </v>
      </c>
      <c r="C23" s="9" t="str">
        <v>DCU3075</v>
      </c>
      <c r="D23" s="9">
        <v>5326599000003200</v>
      </c>
      <c r="E23" s="9" t="str">
        <v>SEDANG</v>
      </c>
      <c r="F23" s="9" t="str">
        <v>Tidak</v>
      </c>
      <c r="G23" s="9" t="str">
        <v>Tidak</v>
      </c>
      <c r="H23" s="9" t="str">
        <v>Tidak</v>
      </c>
      <c r="I23" s="9" t="str">
        <v>Private or Priority Customer Investment</v>
      </c>
      <c r="J23" s="9">
        <v>68</v>
      </c>
      <c r="K23" s="9">
        <v>93</v>
      </c>
      <c r="L23" s="9" t="str">
        <v>Pasar Modal</v>
      </c>
      <c r="M23" s="9" t="str">
        <v xml:space="preserve">KC Yogyakarta Cik Ditiro                </v>
      </c>
      <c r="N23" s="9" t="str">
        <v xml:space="preserve">KC Yogyakarta Cik Ditiro                </v>
      </c>
      <c r="O23" s="9" t="str">
        <v xml:space="preserve">Yogyakarta                              </v>
      </c>
      <c r="P23" s="9" t="str">
        <v>Tidak</v>
      </c>
      <c r="Q23" s="9" t="str">
        <v>Tidak</v>
      </c>
      <c r="R23" s="9" t="str">
        <v>Done</v>
      </c>
      <c r="S23" s="9" t="str">
        <v>Approved</v>
      </c>
      <c r="T23" s="9" t="str">
        <v>00336949 - Mochammad Al Farabi</v>
      </c>
      <c r="U23" s="9" t="str">
        <v>"-"</v>
      </c>
      <c r="V23" s="12" t="str">
        <f>IF([3]STR!$V23 = "", "", [3]STR!$V23)</f>
        <v/>
      </c>
      <c r="W23" s="12"/>
      <c r="X23" s="14" t="b">
        <f>[3]STR!$X23</f>
        <v>0</v>
      </c>
      <c r="Y23" s="18" t="s">
        <v>25</v>
      </c>
      <c r="Z23" s="18" t="str">
        <f>_xlfn.XLOOKUP(TRIM(B23), [4]STR!$2:$2, [4]STR!$44:$44, "")</f>
        <v/>
      </c>
    </row>
    <row r="24" spans="1:26">
      <c r="A24" s="8">
        <v>46265</v>
      </c>
      <c r="B24" s="9" t="str">
        <v xml:space="preserve">SUKSES BERSAMA KOMPUTAMA                </v>
      </c>
      <c r="C24" s="9" t="str">
        <v>SGUUR03</v>
      </c>
      <c r="D24" s="9">
        <v>2901003085308</v>
      </c>
      <c r="E24" s="9" t="str">
        <v>SEDANG</v>
      </c>
      <c r="F24" s="9" t="str">
        <v>Tidak</v>
      </c>
      <c r="G24" s="9" t="str">
        <v>Tidak</v>
      </c>
      <c r="H24" s="9" t="str">
        <v>Tidak</v>
      </c>
      <c r="I24" s="9" t="str">
        <v>Perpajakan</v>
      </c>
      <c r="J24" s="9">
        <v>48</v>
      </c>
      <c r="K24" s="9">
        <v>41</v>
      </c>
      <c r="L24" s="9" t="str">
        <v>Perpajakan</v>
      </c>
      <c r="M24" s="9" t="str">
        <v xml:space="preserve">KC Yogyakarta Cik Ditiro                </v>
      </c>
      <c r="N24" s="9" t="str">
        <v xml:space="preserve">KC Yogyakarta Cik Ditiro                </v>
      </c>
      <c r="O24" s="9" t="str">
        <v xml:space="preserve">Yogyakarta                              </v>
      </c>
      <c r="P24" s="9" t="str">
        <v>Tidak</v>
      </c>
      <c r="Q24" s="9" t="str">
        <v>Tidak</v>
      </c>
      <c r="R24" s="9" t="str">
        <v>Done</v>
      </c>
      <c r="S24" s="9" t="str">
        <v>Approved</v>
      </c>
      <c r="T24" s="9" t="str">
        <v>90171841 - Rifqi Aziz</v>
      </c>
      <c r="U24" s="9" t="str">
        <v>"-"</v>
      </c>
      <c r="V24" s="12" t="str">
        <f>IF([3]STR!$V24 = "", "", [3]STR!$V24)</f>
        <v>Asep Kristiono</v>
      </c>
      <c r="W24" s="12" t="s">
        <v>30</v>
      </c>
      <c r="X24" s="14" t="b">
        <f>[3]STR!$X24</f>
        <v>1</v>
      </c>
      <c r="Z24" s="18" t="str">
        <f>_xlfn.XLOOKUP(TRIM(B24), [4]STR!$2:$2, [4]STR!$44:$44, "")</f>
        <v/>
      </c>
    </row>
    <row r="25" spans="1:26">
      <c r="A25" s="8">
        <v>46265</v>
      </c>
      <c r="B25" s="9" t="str">
        <v xml:space="preserve">PT LOMBOK GANDARIA                      </v>
      </c>
      <c r="C25" s="9" t="str">
        <v>PDV4789</v>
      </c>
      <c r="D25" s="9">
        <v>33401001688301</v>
      </c>
      <c r="E25" s="9" t="str">
        <v>SEDANG</v>
      </c>
      <c r="F25" s="9" t="str">
        <v>Tidak</v>
      </c>
      <c r="G25" s="9" t="str">
        <v>Tidak</v>
      </c>
      <c r="H25" s="9" t="str">
        <v>Tidak</v>
      </c>
      <c r="I25" s="9" t="str">
        <v>Perpajakan</v>
      </c>
      <c r="J25" s="9">
        <v>48</v>
      </c>
      <c r="K25" s="9">
        <v>41</v>
      </c>
      <c r="L25" s="9" t="str">
        <v>Perpajakan</v>
      </c>
      <c r="M25" s="9" t="str">
        <v xml:space="preserve">KC Solo Slamet Riyadi                   </v>
      </c>
      <c r="N25" s="9" t="str">
        <v xml:space="preserve">KC Solo Slamet Riyadi                   </v>
      </c>
      <c r="O25" s="9" t="str">
        <v xml:space="preserve">Yogyakarta                              </v>
      </c>
      <c r="P25" s="9" t="str">
        <v>Tidak</v>
      </c>
      <c r="Q25" s="9" t="str">
        <v>Tidak</v>
      </c>
      <c r="R25" s="9" t="str">
        <v>Done</v>
      </c>
      <c r="S25" s="9" t="str">
        <v>Approved</v>
      </c>
      <c r="T25" s="9" t="str">
        <v>90170665 - Mutiara Ayuningtyas</v>
      </c>
      <c r="U25" s="9" t="str">
        <v>"-"</v>
      </c>
      <c r="V25" s="12" t="str">
        <f>IF([3]STR!$V25 = "", "", [3]STR!$V25)</f>
        <v>Waras Suyitno</v>
      </c>
      <c r="W25" s="12" t="s">
        <v>31</v>
      </c>
      <c r="X25" s="14" t="b">
        <f>[3]STR!$X25</f>
        <v>1</v>
      </c>
      <c r="Z25" s="18" t="str">
        <f>_xlfn.XLOOKUP(TRIM(B25), [4]STR!$2:$2, [4]STR!$44:$44, "")</f>
        <v/>
      </c>
    </row>
    <row r="26" spans="1:26">
      <c r="A26" s="8">
        <v>46265</v>
      </c>
      <c r="B26" s="9" t="str">
        <v xml:space="preserve">PT ELSHADDAI BAHAGIA SEJAHTERA          </v>
      </c>
      <c r="C26" s="9" t="str">
        <v>PIU8927</v>
      </c>
      <c r="D26" s="9">
        <v>7701002144300</v>
      </c>
      <c r="E26" s="9" t="str">
        <v>TINGGI</v>
      </c>
      <c r="F26" s="9" t="str">
        <v>Tidak</v>
      </c>
      <c r="G26" s="9" t="str">
        <v>Tidak</v>
      </c>
      <c r="H26" s="9" t="str">
        <v>Tidak</v>
      </c>
      <c r="I26" s="9" t="str">
        <v>Perpajakan</v>
      </c>
      <c r="J26" s="9">
        <v>63</v>
      </c>
      <c r="K26" s="9">
        <v>41</v>
      </c>
      <c r="L26" s="9" t="str">
        <v>Perpajakan</v>
      </c>
      <c r="M26" s="9" t="str">
        <v xml:space="preserve">KC Purwokerto                           </v>
      </c>
      <c r="N26" s="9" t="str">
        <v xml:space="preserve">KC Purwokerto                           </v>
      </c>
      <c r="O26" s="9" t="str">
        <v xml:space="preserve">Yogyakarta                              </v>
      </c>
      <c r="P26" s="9" t="str">
        <v>Tidak</v>
      </c>
      <c r="Q26" s="9" t="str">
        <v>Tidak</v>
      </c>
      <c r="R26" s="9" t="str">
        <v>Done</v>
      </c>
      <c r="S26" s="9" t="str">
        <v>Approved</v>
      </c>
      <c r="T26" s="9" t="str">
        <v>90171841 - Rifqi Aziz</v>
      </c>
      <c r="U26" s="9" t="str">
        <v>"-"</v>
      </c>
      <c r="V26" s="12" t="str">
        <f>IF([3]STR!$V26 = "", "", [3]STR!$V26)</f>
        <v>Dian Septianti</v>
      </c>
      <c r="W26" s="12" t="s">
        <v>32</v>
      </c>
      <c r="X26" s="14" t="b">
        <f>[3]STR!$X26</f>
        <v>1</v>
      </c>
      <c r="Z26" s="18" t="str">
        <f>_xlfn.XLOOKUP(TRIM(B26), [4]STR!$2:$2, [4]STR!$44:$44, "")</f>
        <v/>
      </c>
    </row>
    <row r="27" spans="1:26">
      <c r="A27" s="8">
        <v>46265</v>
      </c>
      <c r="B27" s="9" t="str">
        <v xml:space="preserve">RIYANTO                                 </v>
      </c>
      <c r="C27" s="9" t="str">
        <v>RKT5606</v>
      </c>
      <c r="D27" s="9">
        <v>13401000733301</v>
      </c>
      <c r="E27" s="9" t="str">
        <v>SEDANG</v>
      </c>
      <c r="F27" s="9" t="str">
        <v>Tidak</v>
      </c>
      <c r="G27" s="9" t="str">
        <v>Tidak</v>
      </c>
      <c r="H27" s="9" t="str">
        <v>Tidak</v>
      </c>
      <c r="I27" s="9" t="str">
        <v>Pencurian Rekening</v>
      </c>
      <c r="J27" s="9">
        <v>49</v>
      </c>
      <c r="K27" s="9">
        <v>59</v>
      </c>
      <c r="L27" s="9" t="str">
        <v>Perbankan</v>
      </c>
      <c r="M27" s="9" t="str">
        <v xml:space="preserve">KC Gombong                              </v>
      </c>
      <c r="N27" s="9" t="str">
        <v xml:space="preserve">KC Gombong                              </v>
      </c>
      <c r="O27" s="9" t="str">
        <v xml:space="preserve">Yogyakarta                              </v>
      </c>
      <c r="P27" s="9" t="str">
        <v>Tidak</v>
      </c>
      <c r="Q27" s="9" t="str">
        <v>Tidak</v>
      </c>
      <c r="R27" s="9" t="str">
        <v>Done</v>
      </c>
      <c r="S27" s="9" t="str">
        <v>Approved</v>
      </c>
      <c r="T27" s="9" t="str">
        <v>00336949 - Mochammad Al Farabi</v>
      </c>
      <c r="U27" s="9" t="str">
        <v>"-"</v>
      </c>
      <c r="V27" s="12" t="str">
        <f>IF([3]STR!$V27 = "", "", [3]STR!$V27)</f>
        <v/>
      </c>
      <c r="W27" s="12"/>
      <c r="X27" s="14" t="b">
        <f>[3]STR!$X27</f>
        <v>0</v>
      </c>
      <c r="Y27" s="18" t="s">
        <v>33</v>
      </c>
      <c r="Z27" s="18" t="str">
        <f>_xlfn.XLOOKUP(TRIM(B27), [4]STR!$2:$2, [4]STR!$44:$44, "")</f>
        <v/>
      </c>
    </row>
  </sheetData>
  <protectedRanges>
    <protectedRange sqref="V1:X27" name="Range2"/>
  </protectedRanges>
  <dataValidations count="1">
    <dataValidation allowBlank="1" showInputMessage="1" showErrorMessage="1" sqref="V1:V1048576" xr:uid="{2A61171F-9974-4D2B-A54F-F61515442645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34422-91B6-4A51-943A-538253BDFA20}">
  <sheetPr>
    <tabColor theme="3" tint="0.499984740745262"/>
  </sheetPr>
  <dimension ref="A1:E35"/>
  <sheetViews>
    <sheetView topLeftCell="A22" workbookViewId="0">
      <selection activeCell="D3" sqref="D3"/>
    </sheetView>
  </sheetViews>
  <sheetFormatPr defaultRowHeight="14.45"/>
  <cols>
    <col min="1" max="1" width="5.5703125" customWidth="1"/>
    <col min="2" max="2" width="30.85546875" customWidth="1"/>
    <col min="3" max="3" width="22.7109375" customWidth="1"/>
  </cols>
  <sheetData>
    <row r="1" spans="1:5">
      <c r="D1" s="51">
        <v>46280</v>
      </c>
      <c r="E1" s="52"/>
    </row>
    <row r="2" spans="1:5">
      <c r="A2" s="4" t="s">
        <v>34</v>
      </c>
      <c r="B2" s="26" t="s">
        <v>35</v>
      </c>
      <c r="C2" s="23" t="s">
        <v>36</v>
      </c>
      <c r="D2" s="31" t="s">
        <v>37</v>
      </c>
      <c r="E2" s="31" t="s">
        <v>38</v>
      </c>
    </row>
    <row r="3" spans="1:5">
      <c r="A3" s="3">
        <v>1</v>
      </c>
      <c r="B3" s="27" t="s">
        <v>39</v>
      </c>
      <c r="C3" s="9" t="s">
        <v>40</v>
      </c>
      <c r="D3" s="50">
        <f>_xlfn.XLOOKUP(B3, [1]PEP!$B:$B,[1]PEP!$G:$G)</f>
        <v>1</v>
      </c>
      <c r="E3" s="53">
        <f>AVERAGE(D3:D13)</f>
        <v>0.9956233568562336</v>
      </c>
    </row>
    <row r="4" spans="1:5">
      <c r="A4" s="3">
        <v>2</v>
      </c>
      <c r="B4" s="27" t="s">
        <v>41</v>
      </c>
      <c r="C4" s="9" t="s">
        <v>40</v>
      </c>
      <c r="D4" s="50">
        <f>_xlfn.XLOOKUP(B4, [1]PEP!$B:$B,[1]PEP!$G:$G)</f>
        <v>1</v>
      </c>
      <c r="E4" s="53"/>
    </row>
    <row r="5" spans="1:5">
      <c r="A5" s="3">
        <v>3</v>
      </c>
      <c r="B5" s="27" t="s">
        <v>42</v>
      </c>
      <c r="C5" s="9" t="s">
        <v>40</v>
      </c>
      <c r="D5" s="50">
        <f>_xlfn.XLOOKUP(B5, [1]PEP!$B:$B,[1]PEP!$G:$G)</f>
        <v>1</v>
      </c>
      <c r="E5" s="53"/>
    </row>
    <row r="6" spans="1:5">
      <c r="A6" s="3">
        <v>4</v>
      </c>
      <c r="B6" s="27" t="s">
        <v>43</v>
      </c>
      <c r="C6" s="9" t="s">
        <v>40</v>
      </c>
      <c r="D6" s="50">
        <f>_xlfn.XLOOKUP(B6, [1]PEP!$B:$B,[1]PEP!$G:$G)</f>
        <v>1</v>
      </c>
      <c r="E6" s="53"/>
    </row>
    <row r="7" spans="1:5">
      <c r="A7" s="3">
        <v>5</v>
      </c>
      <c r="B7" s="27" t="s">
        <v>44</v>
      </c>
      <c r="C7" s="9" t="s">
        <v>40</v>
      </c>
      <c r="D7" s="50">
        <f>_xlfn.XLOOKUP(B7, [1]PEP!$B:$B,[1]PEP!$G:$G)</f>
        <v>1</v>
      </c>
      <c r="E7" s="53"/>
    </row>
    <row r="8" spans="1:5">
      <c r="A8" s="3">
        <v>6</v>
      </c>
      <c r="B8" s="27" t="s">
        <v>45</v>
      </c>
      <c r="C8" s="9" t="s">
        <v>40</v>
      </c>
      <c r="D8" s="50">
        <f>_xlfn.XLOOKUP(B8, [1]PEP!$B:$B,[1]PEP!$G:$G)</f>
        <v>0.98630136986301364</v>
      </c>
      <c r="E8" s="53"/>
    </row>
    <row r="9" spans="1:5">
      <c r="A9" s="3">
        <v>7</v>
      </c>
      <c r="B9" s="27" t="s">
        <v>46</v>
      </c>
      <c r="C9" s="9" t="s">
        <v>40</v>
      </c>
      <c r="D9" s="50">
        <f>_xlfn.XLOOKUP(B9, [1]PEP!$B:$B,[1]PEP!$G:$G)</f>
        <v>1</v>
      </c>
      <c r="E9" s="53"/>
    </row>
    <row r="10" spans="1:5">
      <c r="A10" s="3">
        <v>8</v>
      </c>
      <c r="B10" s="27" t="s">
        <v>47</v>
      </c>
      <c r="C10" s="9" t="s">
        <v>40</v>
      </c>
      <c r="D10" s="50">
        <f>_xlfn.XLOOKUP(B10, [1]PEP!$B:$B,[1]PEP!$G:$G)</f>
        <v>1</v>
      </c>
      <c r="E10" s="53"/>
    </row>
    <row r="11" spans="1:5">
      <c r="A11" s="3">
        <v>9</v>
      </c>
      <c r="B11" s="27" t="s">
        <v>48</v>
      </c>
      <c r="C11" s="9" t="s">
        <v>40</v>
      </c>
      <c r="D11" s="50">
        <f>_xlfn.XLOOKUP(B11, [1]PEP!$B:$B,[1]PEP!$G:$G)</f>
        <v>0.97222222222222221</v>
      </c>
      <c r="E11" s="53"/>
    </row>
    <row r="12" spans="1:5">
      <c r="A12" s="3">
        <v>10</v>
      </c>
      <c r="B12" s="15" t="s">
        <v>49</v>
      </c>
      <c r="C12" s="9" t="s">
        <v>40</v>
      </c>
      <c r="D12" s="50">
        <f>_xlfn.XLOOKUP(B12, [1]PEP!$B:$B,[1]PEP!$G:$G)</f>
        <v>1</v>
      </c>
      <c r="E12" s="53"/>
    </row>
    <row r="13" spans="1:5">
      <c r="A13" s="3">
        <v>11</v>
      </c>
      <c r="B13" s="15" t="s">
        <v>50</v>
      </c>
      <c r="C13" s="9" t="s">
        <v>40</v>
      </c>
      <c r="D13" s="50">
        <f>_xlfn.XLOOKUP(B13, [1]PEP!$B:$B,[1]PEP!$G:$G)</f>
        <v>0.99333333333333329</v>
      </c>
      <c r="E13" s="53"/>
    </row>
    <row r="14" spans="1:5">
      <c r="A14" s="3">
        <v>12</v>
      </c>
      <c r="B14" s="27" t="s">
        <v>51</v>
      </c>
      <c r="C14" s="9" t="s">
        <v>52</v>
      </c>
      <c r="D14" s="50">
        <f>_xlfn.XLOOKUP(B14, [1]PEP!$B:$B,[1]PEP!$G:$G)</f>
        <v>1</v>
      </c>
      <c r="E14" s="53">
        <f>AVERAGE(D14:D24)</f>
        <v>0.99300605644355666</v>
      </c>
    </row>
    <row r="15" spans="1:5">
      <c r="A15" s="3">
        <v>13</v>
      </c>
      <c r="B15" s="27" t="s">
        <v>53</v>
      </c>
      <c r="C15" s="9" t="s">
        <v>52</v>
      </c>
      <c r="D15" s="50">
        <f>_xlfn.XLOOKUP(B15, [1]PEP!$B:$B,[1]PEP!$G:$G)</f>
        <v>1</v>
      </c>
      <c r="E15" s="53"/>
    </row>
    <row r="16" spans="1:5">
      <c r="A16" s="3">
        <v>14</v>
      </c>
      <c r="B16" s="27" t="s">
        <v>54</v>
      </c>
      <c r="C16" s="9" t="s">
        <v>52</v>
      </c>
      <c r="D16" s="50">
        <f>_xlfn.XLOOKUP(B16, [1]PEP!$B:$B,[1]PEP!$G:$G)</f>
        <v>1</v>
      </c>
      <c r="E16" s="53"/>
    </row>
    <row r="17" spans="1:5">
      <c r="A17" s="3">
        <v>15</v>
      </c>
      <c r="B17" s="27" t="s">
        <v>55</v>
      </c>
      <c r="C17" s="9" t="s">
        <v>52</v>
      </c>
      <c r="D17" s="50">
        <f>_xlfn.XLOOKUP(B17, [1]PEP!$B:$B,[1]PEP!$G:$G)</f>
        <v>0.9921875</v>
      </c>
      <c r="E17" s="53"/>
    </row>
    <row r="18" spans="1:5">
      <c r="A18" s="3">
        <v>16</v>
      </c>
      <c r="B18" s="27" t="s">
        <v>56</v>
      </c>
      <c r="C18" s="9" t="s">
        <v>52</v>
      </c>
      <c r="D18" s="50">
        <f>_xlfn.XLOOKUP(B18, [1]PEP!$B:$B,[1]PEP!$G:$G)</f>
        <v>1</v>
      </c>
      <c r="E18" s="53"/>
    </row>
    <row r="19" spans="1:5">
      <c r="A19" s="3">
        <v>17</v>
      </c>
      <c r="B19" s="27" t="s">
        <v>57</v>
      </c>
      <c r="C19" s="9" t="s">
        <v>52</v>
      </c>
      <c r="D19" s="50">
        <f>_xlfn.XLOOKUP(B19, [1]PEP!$B:$B,[1]PEP!$G:$G)</f>
        <v>1</v>
      </c>
      <c r="E19" s="53"/>
    </row>
    <row r="20" spans="1:5">
      <c r="A20" s="3">
        <v>18</v>
      </c>
      <c r="B20" s="15" t="s">
        <v>58</v>
      </c>
      <c r="C20" s="9" t="s">
        <v>52</v>
      </c>
      <c r="D20" s="50">
        <f>_xlfn.XLOOKUP(B20, [1]PEP!$B:$B,[1]PEP!$G:$G)</f>
        <v>0.96</v>
      </c>
      <c r="E20" s="53"/>
    </row>
    <row r="21" spans="1:5">
      <c r="A21" s="3">
        <v>19</v>
      </c>
      <c r="B21" s="15" t="s">
        <v>59</v>
      </c>
      <c r="C21" s="9" t="s">
        <v>52</v>
      </c>
      <c r="D21" s="50">
        <f>_xlfn.XLOOKUP(B21, [1]PEP!$B:$B,[1]PEP!$G:$G)</f>
        <v>1</v>
      </c>
      <c r="E21" s="53"/>
    </row>
    <row r="22" spans="1:5">
      <c r="A22" s="3">
        <v>20</v>
      </c>
      <c r="B22" s="15" t="s">
        <v>60</v>
      </c>
      <c r="C22" s="9" t="s">
        <v>52</v>
      </c>
      <c r="D22" s="50">
        <f>_xlfn.XLOOKUP(B22, [1]PEP!$B:$B,[1]PEP!$G:$G)</f>
        <v>1</v>
      </c>
      <c r="E22" s="53"/>
    </row>
    <row r="23" spans="1:5">
      <c r="A23" s="3">
        <v>21</v>
      </c>
      <c r="B23" s="15" t="s">
        <v>61</v>
      </c>
      <c r="C23" s="9" t="s">
        <v>52</v>
      </c>
      <c r="D23" s="50">
        <f>_xlfn.XLOOKUP(B23, [1]PEP!$B:$B,[1]PEP!$G:$G)</f>
        <v>0.99285714285714288</v>
      </c>
      <c r="E23" s="53"/>
    </row>
    <row r="24" spans="1:5">
      <c r="A24" s="3">
        <v>22</v>
      </c>
      <c r="B24" s="15" t="s">
        <v>62</v>
      </c>
      <c r="C24" s="9" t="s">
        <v>52</v>
      </c>
      <c r="D24" s="50">
        <f>_xlfn.XLOOKUP(B24, [1]PEP!$B:$B,[1]PEP!$G:$G)</f>
        <v>0.97802197802197799</v>
      </c>
      <c r="E24" s="53"/>
    </row>
    <row r="25" spans="1:5">
      <c r="A25" s="3">
        <v>23</v>
      </c>
      <c r="B25" s="28" t="s">
        <v>63</v>
      </c>
      <c r="C25" s="9" t="s">
        <v>64</v>
      </c>
      <c r="D25" s="50">
        <f>_xlfn.XLOOKUP(B25, [1]PEP!$B:$B,[1]PEP!$G:$G)</f>
        <v>1</v>
      </c>
      <c r="E25" s="53">
        <f>AVERAGE(D25:D35)</f>
        <v>0.99378025820333515</v>
      </c>
    </row>
    <row r="26" spans="1:5">
      <c r="A26" s="15">
        <v>24</v>
      </c>
      <c r="B26" s="29" t="s">
        <v>65</v>
      </c>
      <c r="C26" s="9" t="s">
        <v>64</v>
      </c>
      <c r="D26" s="50">
        <f>_xlfn.XLOOKUP(B26, [1]PEP!$B:$B,[1]PEP!$G:$G)</f>
        <v>1</v>
      </c>
      <c r="E26" s="53"/>
    </row>
    <row r="27" spans="1:5">
      <c r="A27" s="15">
        <v>25</v>
      </c>
      <c r="B27" s="29" t="s">
        <v>66</v>
      </c>
      <c r="C27" s="9" t="s">
        <v>64</v>
      </c>
      <c r="D27" s="50">
        <f>_xlfn.XLOOKUP(B27, [1]PEP!$B:$B,[1]PEP!$G:$G)</f>
        <v>1</v>
      </c>
      <c r="E27" s="53"/>
    </row>
    <row r="28" spans="1:5">
      <c r="A28" s="15">
        <v>26</v>
      </c>
      <c r="B28" s="29" t="s">
        <v>67</v>
      </c>
      <c r="C28" s="9" t="s">
        <v>64</v>
      </c>
      <c r="D28" s="50">
        <f>_xlfn.XLOOKUP(B28, [1]PEP!$B:$B,[1]PEP!$G:$G)</f>
        <v>1</v>
      </c>
      <c r="E28" s="53"/>
    </row>
    <row r="29" spans="1:5">
      <c r="A29" s="15">
        <v>27</v>
      </c>
      <c r="B29" s="29" t="s">
        <v>68</v>
      </c>
      <c r="C29" s="9" t="s">
        <v>64</v>
      </c>
      <c r="D29" s="50">
        <f>_xlfn.XLOOKUP(B29, [1]PEP!$B:$B,[1]PEP!$G:$G)</f>
        <v>0.99408284023668636</v>
      </c>
      <c r="E29" s="53"/>
    </row>
    <row r="30" spans="1:5">
      <c r="A30" s="15">
        <v>28</v>
      </c>
      <c r="B30" s="29" t="s">
        <v>69</v>
      </c>
      <c r="C30" s="9" t="s">
        <v>64</v>
      </c>
      <c r="D30" s="50">
        <f>_xlfn.XLOOKUP(B30, [1]PEP!$B:$B,[1]PEP!$G:$G)</f>
        <v>1</v>
      </c>
      <c r="E30" s="53"/>
    </row>
    <row r="31" spans="1:5">
      <c r="A31" s="15">
        <v>29</v>
      </c>
      <c r="B31" s="29" t="s">
        <v>70</v>
      </c>
      <c r="C31" s="9" t="s">
        <v>64</v>
      </c>
      <c r="D31" s="50">
        <f>_xlfn.XLOOKUP(B31, [1]PEP!$B:$B,[1]PEP!$G:$G)</f>
        <v>1</v>
      </c>
      <c r="E31" s="53"/>
    </row>
    <row r="32" spans="1:5">
      <c r="A32" s="15">
        <v>30</v>
      </c>
      <c r="B32" s="29" t="s">
        <v>71</v>
      </c>
      <c r="C32" s="9" t="s">
        <v>64</v>
      </c>
      <c r="D32" s="50">
        <f>_xlfn.XLOOKUP(B32, [1]PEP!$B:$B,[1]PEP!$G:$G)</f>
        <v>1</v>
      </c>
      <c r="E32" s="53"/>
    </row>
    <row r="33" spans="1:5">
      <c r="A33" s="15">
        <v>31</v>
      </c>
      <c r="B33" s="32" t="s">
        <v>72</v>
      </c>
      <c r="C33" s="9" t="s">
        <v>64</v>
      </c>
      <c r="D33" s="50">
        <f>_xlfn.XLOOKUP(B33, [1]PEP!$B:$B,[1]PEP!$G:$G)</f>
        <v>1</v>
      </c>
      <c r="E33" s="53"/>
    </row>
    <row r="34" spans="1:5">
      <c r="A34" s="15">
        <v>32</v>
      </c>
      <c r="B34" s="30" t="s">
        <v>73</v>
      </c>
      <c r="C34" s="9" t="s">
        <v>64</v>
      </c>
      <c r="D34" s="50">
        <f>_xlfn.XLOOKUP(B34, [1]PEP!$B:$B,[1]PEP!$G:$G)</f>
        <v>1</v>
      </c>
      <c r="E34" s="53"/>
    </row>
    <row r="35" spans="1:5">
      <c r="A35" s="15">
        <v>33</v>
      </c>
      <c r="B35" s="30" t="s">
        <v>74</v>
      </c>
      <c r="C35" s="9" t="s">
        <v>64</v>
      </c>
      <c r="D35" s="50">
        <f>_xlfn.XLOOKUP(B35, [1]PEP!$B:$B,[1]PEP!$G:$G)</f>
        <v>0.9375</v>
      </c>
      <c r="E35" s="53"/>
    </row>
  </sheetData>
  <autoFilter ref="B2:D2" xr:uid="{41D34422-91B6-4A51-943A-538253BDFA20}">
    <sortState xmlns:xlrd2="http://schemas.microsoft.com/office/spreadsheetml/2017/richdata2" ref="B3:D35">
      <sortCondition ref="C2"/>
    </sortState>
  </autoFilter>
  <mergeCells count="4">
    <mergeCell ref="D1:E1"/>
    <mergeCell ref="E3:E13"/>
    <mergeCell ref="E14:E24"/>
    <mergeCell ref="E25:E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0BF26-EDBE-451B-B986-372199A95981}">
  <sheetPr>
    <tabColor theme="6" tint="-0.249977111117893"/>
  </sheetPr>
  <dimension ref="A1:E35"/>
  <sheetViews>
    <sheetView topLeftCell="A29" workbookViewId="0">
      <selection activeCell="B3" sqref="B3:B35"/>
    </sheetView>
  </sheetViews>
  <sheetFormatPr defaultRowHeight="14.45"/>
  <cols>
    <col min="1" max="1" width="5.5703125" customWidth="1"/>
    <col min="2" max="2" width="30.85546875" customWidth="1"/>
    <col min="3" max="3" width="22.7109375" customWidth="1"/>
    <col min="4" max="4" width="16" bestFit="1" customWidth="1"/>
  </cols>
  <sheetData>
    <row r="1" spans="1:5">
      <c r="D1" s="51">
        <v>46280</v>
      </c>
      <c r="E1" s="52"/>
    </row>
    <row r="2" spans="1:5">
      <c r="A2" s="4" t="s">
        <v>34</v>
      </c>
      <c r="B2" s="26" t="s">
        <v>35</v>
      </c>
      <c r="C2" s="23" t="s">
        <v>36</v>
      </c>
      <c r="D2" s="31" t="s">
        <v>75</v>
      </c>
      <c r="E2" s="31" t="s">
        <v>38</v>
      </c>
    </row>
    <row r="3" spans="1:5">
      <c r="A3" s="3">
        <v>1</v>
      </c>
      <c r="B3" s="27" t="s">
        <v>39</v>
      </c>
      <c r="C3" s="9" t="s">
        <v>40</v>
      </c>
      <c r="D3" s="33">
        <f>_xlfn.XLOOKUP(B3,'[1]Pengkinian Data'!$B:$B,'[1]Pengkinian Data'!$E:$E)</f>
        <v>0.90790000000000004</v>
      </c>
      <c r="E3" s="53">
        <f>AVERAGE(D3:D13)</f>
        <v>0.97166363636363651</v>
      </c>
    </row>
    <row r="4" spans="1:5">
      <c r="A4" s="3">
        <v>2</v>
      </c>
      <c r="B4" s="27" t="s">
        <v>41</v>
      </c>
      <c r="C4" s="9" t="s">
        <v>40</v>
      </c>
      <c r="D4" s="33">
        <f>_xlfn.XLOOKUP(B4,'[1]Pengkinian Data'!$B:$B,'[1]Pengkinian Data'!$E:$E)</f>
        <v>0.99670000000000003</v>
      </c>
      <c r="E4" s="53"/>
    </row>
    <row r="5" spans="1:5">
      <c r="A5" s="3">
        <v>3</v>
      </c>
      <c r="B5" s="27" t="s">
        <v>42</v>
      </c>
      <c r="C5" s="9" t="s">
        <v>40</v>
      </c>
      <c r="D5" s="33">
        <f>_xlfn.XLOOKUP(B5,'[1]Pengkinian Data'!$B:$B,'[1]Pengkinian Data'!$E:$E)</f>
        <v>0.97170000000000001</v>
      </c>
      <c r="E5" s="53"/>
    </row>
    <row r="6" spans="1:5">
      <c r="A6" s="3">
        <v>4</v>
      </c>
      <c r="B6" s="27" t="s">
        <v>43</v>
      </c>
      <c r="C6" s="9" t="s">
        <v>40</v>
      </c>
      <c r="D6" s="33">
        <f>_xlfn.XLOOKUP(B6,'[1]Pengkinian Data'!$B:$B,'[1]Pengkinian Data'!$E:$E)</f>
        <v>0.97960000000000003</v>
      </c>
      <c r="E6" s="53"/>
    </row>
    <row r="7" spans="1:5">
      <c r="A7" s="3">
        <v>5</v>
      </c>
      <c r="B7" s="27" t="s">
        <v>44</v>
      </c>
      <c r="C7" s="9" t="s">
        <v>40</v>
      </c>
      <c r="D7" s="33">
        <f>_xlfn.XLOOKUP(B7,'[1]Pengkinian Data'!$B:$B,'[1]Pengkinian Data'!$E:$E)</f>
        <v>0.996</v>
      </c>
      <c r="E7" s="53"/>
    </row>
    <row r="8" spans="1:5">
      <c r="A8" s="3">
        <v>6</v>
      </c>
      <c r="B8" s="27" t="s">
        <v>45</v>
      </c>
      <c r="C8" s="9" t="s">
        <v>40</v>
      </c>
      <c r="D8" s="33">
        <f>_xlfn.XLOOKUP(B8,'[1]Pengkinian Data'!$B:$B,'[1]Pengkinian Data'!$E:$E)</f>
        <v>0.96560000000000001</v>
      </c>
      <c r="E8" s="53"/>
    </row>
    <row r="9" spans="1:5">
      <c r="A9" s="3">
        <v>7</v>
      </c>
      <c r="B9" s="27" t="s">
        <v>46</v>
      </c>
      <c r="C9" s="9" t="s">
        <v>40</v>
      </c>
      <c r="D9" s="33">
        <f>_xlfn.XLOOKUP(B9,'[1]Pengkinian Data'!$B:$B,'[1]Pengkinian Data'!$E:$E)</f>
        <v>0.96550000000000002</v>
      </c>
      <c r="E9" s="53"/>
    </row>
    <row r="10" spans="1:5">
      <c r="A10" s="3">
        <v>8</v>
      </c>
      <c r="B10" s="27" t="s">
        <v>47</v>
      </c>
      <c r="C10" s="9" t="s">
        <v>40</v>
      </c>
      <c r="D10" s="33">
        <f>_xlfn.XLOOKUP(B10,'[1]Pengkinian Data'!$B:$B,'[1]Pengkinian Data'!$E:$E)</f>
        <v>0.93959999999999999</v>
      </c>
      <c r="E10" s="53"/>
    </row>
    <row r="11" spans="1:5">
      <c r="A11" s="3">
        <v>9</v>
      </c>
      <c r="B11" s="27" t="s">
        <v>48</v>
      </c>
      <c r="C11" s="9" t="s">
        <v>40</v>
      </c>
      <c r="D11" s="33">
        <f>_xlfn.XLOOKUP(B11,'[1]Pengkinian Data'!$B:$B,'[1]Pengkinian Data'!$E:$E)</f>
        <v>0.97540000000000004</v>
      </c>
      <c r="E11" s="53"/>
    </row>
    <row r="12" spans="1:5">
      <c r="A12" s="3">
        <v>10</v>
      </c>
      <c r="B12" s="15" t="s">
        <v>49</v>
      </c>
      <c r="C12" s="9" t="s">
        <v>40</v>
      </c>
      <c r="D12" s="33">
        <f>_xlfn.XLOOKUP(B12,'[1]Pengkinian Data'!$B:$B,'[1]Pengkinian Data'!$E:$E)</f>
        <v>0.9919</v>
      </c>
      <c r="E12" s="53"/>
    </row>
    <row r="13" spans="1:5">
      <c r="A13" s="3">
        <v>11</v>
      </c>
      <c r="B13" s="15" t="s">
        <v>50</v>
      </c>
      <c r="C13" s="9" t="s">
        <v>40</v>
      </c>
      <c r="D13" s="33">
        <f>_xlfn.XLOOKUP(B13,'[1]Pengkinian Data'!$B:$B,'[1]Pengkinian Data'!$E:$E)</f>
        <v>0.99839999999999995</v>
      </c>
      <c r="E13" s="53"/>
    </row>
    <row r="14" spans="1:5">
      <c r="A14" s="3">
        <v>12</v>
      </c>
      <c r="B14" s="27" t="s">
        <v>51</v>
      </c>
      <c r="C14" s="9" t="s">
        <v>52</v>
      </c>
      <c r="D14" s="33">
        <f>_xlfn.XLOOKUP(B14,'[1]Pengkinian Data'!$B:$B,'[1]Pengkinian Data'!$E:$E)</f>
        <v>1</v>
      </c>
      <c r="E14" s="53">
        <f>AVERAGE(D14:D24)</f>
        <v>0.98101818181818179</v>
      </c>
    </row>
    <row r="15" spans="1:5">
      <c r="A15" s="3">
        <v>13</v>
      </c>
      <c r="B15" s="27" t="s">
        <v>53</v>
      </c>
      <c r="C15" s="9" t="s">
        <v>52</v>
      </c>
      <c r="D15" s="33">
        <f>_xlfn.XLOOKUP(B15,'[1]Pengkinian Data'!$B:$B,'[1]Pengkinian Data'!$E:$E)</f>
        <v>0.98870000000000002</v>
      </c>
      <c r="E15" s="53"/>
    </row>
    <row r="16" spans="1:5">
      <c r="A16" s="3">
        <v>14</v>
      </c>
      <c r="B16" s="27" t="s">
        <v>54</v>
      </c>
      <c r="C16" s="9" t="s">
        <v>52</v>
      </c>
      <c r="D16" s="33">
        <f>_xlfn.XLOOKUP(B16,'[1]Pengkinian Data'!$B:$B,'[1]Pengkinian Data'!$E:$E)</f>
        <v>0.96889999999999998</v>
      </c>
      <c r="E16" s="53"/>
    </row>
    <row r="17" spans="1:5">
      <c r="A17" s="3">
        <v>15</v>
      </c>
      <c r="B17" s="27" t="s">
        <v>55</v>
      </c>
      <c r="C17" s="9" t="s">
        <v>52</v>
      </c>
      <c r="D17" s="33">
        <f>_xlfn.XLOOKUP(B17,'[1]Pengkinian Data'!$B:$B,'[1]Pengkinian Data'!$E:$E)</f>
        <v>0.98</v>
      </c>
      <c r="E17" s="53"/>
    </row>
    <row r="18" spans="1:5">
      <c r="A18" s="3">
        <v>16</v>
      </c>
      <c r="B18" s="27" t="s">
        <v>56</v>
      </c>
      <c r="C18" s="9" t="s">
        <v>52</v>
      </c>
      <c r="D18" s="33">
        <f>_xlfn.XLOOKUP(B18,'[1]Pengkinian Data'!$B:$B,'[1]Pengkinian Data'!$E:$E)</f>
        <v>0.99990000000000001</v>
      </c>
      <c r="E18" s="53"/>
    </row>
    <row r="19" spans="1:5">
      <c r="A19" s="3">
        <v>17</v>
      </c>
      <c r="B19" s="27" t="s">
        <v>57</v>
      </c>
      <c r="C19" s="9" t="s">
        <v>52</v>
      </c>
      <c r="D19" s="33">
        <f>_xlfn.XLOOKUP(B19,'[1]Pengkinian Data'!$B:$B,'[1]Pengkinian Data'!$E:$E)</f>
        <v>0.98829999999999996</v>
      </c>
      <c r="E19" s="53"/>
    </row>
    <row r="20" spans="1:5">
      <c r="A20" s="3">
        <v>18</v>
      </c>
      <c r="B20" s="15" t="s">
        <v>58</v>
      </c>
      <c r="C20" s="9" t="s">
        <v>52</v>
      </c>
      <c r="D20" s="33">
        <f>_xlfn.XLOOKUP(B20,'[1]Pengkinian Data'!$B:$B,'[1]Pengkinian Data'!$E:$E)</f>
        <v>0.97540000000000004</v>
      </c>
      <c r="E20" s="53"/>
    </row>
    <row r="21" spans="1:5">
      <c r="A21" s="3">
        <v>19</v>
      </c>
      <c r="B21" s="15" t="s">
        <v>59</v>
      </c>
      <c r="C21" s="9" t="s">
        <v>52</v>
      </c>
      <c r="D21" s="33">
        <f>_xlfn.XLOOKUP(B21,'[1]Pengkinian Data'!$B:$B,'[1]Pengkinian Data'!$E:$E)</f>
        <v>0.99590000000000001</v>
      </c>
      <c r="E21" s="53"/>
    </row>
    <row r="22" spans="1:5">
      <c r="A22" s="3">
        <v>20</v>
      </c>
      <c r="B22" s="15" t="s">
        <v>60</v>
      </c>
      <c r="C22" s="9" t="s">
        <v>52</v>
      </c>
      <c r="D22" s="33">
        <f>_xlfn.XLOOKUP(B22,'[1]Pengkinian Data'!$B:$B,'[1]Pengkinian Data'!$E:$E)</f>
        <v>0.95779999999999998</v>
      </c>
      <c r="E22" s="53"/>
    </row>
    <row r="23" spans="1:5">
      <c r="A23" s="3">
        <v>21</v>
      </c>
      <c r="B23" s="15" t="s">
        <v>61</v>
      </c>
      <c r="C23" s="9" t="s">
        <v>52</v>
      </c>
      <c r="D23" s="33">
        <f>_xlfn.XLOOKUP(B23,'[1]Pengkinian Data'!$B:$B,'[1]Pengkinian Data'!$E:$E)</f>
        <v>0.96789999999999998</v>
      </c>
      <c r="E23" s="53"/>
    </row>
    <row r="24" spans="1:5">
      <c r="A24" s="3">
        <v>22</v>
      </c>
      <c r="B24" s="15" t="s">
        <v>62</v>
      </c>
      <c r="C24" s="9" t="s">
        <v>52</v>
      </c>
      <c r="D24" s="33">
        <f>_xlfn.XLOOKUP(B24,'[1]Pengkinian Data'!$B:$B,'[1]Pengkinian Data'!$E:$E)</f>
        <v>0.96840000000000004</v>
      </c>
      <c r="E24" s="53"/>
    </row>
    <row r="25" spans="1:5">
      <c r="A25" s="3">
        <v>23</v>
      </c>
      <c r="B25" s="28" t="s">
        <v>63</v>
      </c>
      <c r="C25" s="9" t="s">
        <v>64</v>
      </c>
      <c r="D25" s="33">
        <f>_xlfn.XLOOKUP(B25,'[1]Pengkinian Data'!$B:$B,'[1]Pengkinian Data'!$E:$E)</f>
        <v>0.99399999999999999</v>
      </c>
      <c r="E25" s="53">
        <f>AVERAGE(D25:D35)</f>
        <v>0.97760000000000002</v>
      </c>
    </row>
    <row r="26" spans="1:5">
      <c r="A26" s="15">
        <v>24</v>
      </c>
      <c r="B26" s="29" t="s">
        <v>65</v>
      </c>
      <c r="C26" s="9" t="s">
        <v>64</v>
      </c>
      <c r="D26" s="33">
        <f>_xlfn.XLOOKUP(B26,'[1]Pengkinian Data'!$B:$B,'[1]Pengkinian Data'!$E:$E)</f>
        <v>0.99990000000000001</v>
      </c>
      <c r="E26" s="53"/>
    </row>
    <row r="27" spans="1:5">
      <c r="A27" s="15">
        <v>25</v>
      </c>
      <c r="B27" s="29" t="s">
        <v>66</v>
      </c>
      <c r="C27" s="9" t="s">
        <v>64</v>
      </c>
      <c r="D27" s="33">
        <f>_xlfn.XLOOKUP(B27,'[1]Pengkinian Data'!$B:$B,'[1]Pengkinian Data'!$E:$E)</f>
        <v>0.98360000000000003</v>
      </c>
      <c r="E27" s="53"/>
    </row>
    <row r="28" spans="1:5">
      <c r="A28" s="15">
        <v>26</v>
      </c>
      <c r="B28" s="29" t="s">
        <v>67</v>
      </c>
      <c r="C28" s="9" t="s">
        <v>64</v>
      </c>
      <c r="D28" s="33">
        <f>_xlfn.XLOOKUP(B28,'[1]Pengkinian Data'!$B:$B,'[1]Pengkinian Data'!$E:$E)</f>
        <v>1</v>
      </c>
      <c r="E28" s="53"/>
    </row>
    <row r="29" spans="1:5">
      <c r="A29" s="15">
        <v>27</v>
      </c>
      <c r="B29" s="29" t="s">
        <v>68</v>
      </c>
      <c r="C29" s="9" t="s">
        <v>64</v>
      </c>
      <c r="D29" s="33">
        <f>_xlfn.XLOOKUP(B29,'[1]Pengkinian Data'!$B:$B,'[1]Pengkinian Data'!$E:$E)</f>
        <v>0.90700000000000003</v>
      </c>
      <c r="E29" s="53"/>
    </row>
    <row r="30" spans="1:5">
      <c r="A30" s="15">
        <v>28</v>
      </c>
      <c r="B30" s="29" t="s">
        <v>69</v>
      </c>
      <c r="C30" s="9" t="s">
        <v>64</v>
      </c>
      <c r="D30" s="33">
        <f>_xlfn.XLOOKUP(B30,'[1]Pengkinian Data'!$B:$B,'[1]Pengkinian Data'!$E:$E)</f>
        <v>0.97360000000000002</v>
      </c>
      <c r="E30" s="53"/>
    </row>
    <row r="31" spans="1:5">
      <c r="A31" s="15">
        <v>29</v>
      </c>
      <c r="B31" s="29" t="s">
        <v>70</v>
      </c>
      <c r="C31" s="9" t="s">
        <v>64</v>
      </c>
      <c r="D31" s="33">
        <f>_xlfn.XLOOKUP(B31,'[1]Pengkinian Data'!$B:$B,'[1]Pengkinian Data'!$E:$E)</f>
        <v>0.95669999999999999</v>
      </c>
      <c r="E31" s="53"/>
    </row>
    <row r="32" spans="1:5">
      <c r="A32" s="15">
        <v>30</v>
      </c>
      <c r="B32" s="29" t="s">
        <v>71</v>
      </c>
      <c r="C32" s="9" t="s">
        <v>64</v>
      </c>
      <c r="D32" s="33">
        <f>_xlfn.XLOOKUP(B32,'[1]Pengkinian Data'!$B:$B,'[1]Pengkinian Data'!$E:$E)</f>
        <v>0.96489999999999998</v>
      </c>
      <c r="E32" s="53"/>
    </row>
    <row r="33" spans="1:5">
      <c r="A33" s="15">
        <v>31</v>
      </c>
      <c r="B33" s="32" t="s">
        <v>72</v>
      </c>
      <c r="C33" s="9" t="s">
        <v>64</v>
      </c>
      <c r="D33" s="33">
        <f>_xlfn.XLOOKUP(B33,'[1]Pengkinian Data'!$B:$B,'[1]Pengkinian Data'!$E:$E)</f>
        <v>0.98919999999999997</v>
      </c>
      <c r="E33" s="53"/>
    </row>
    <row r="34" spans="1:5">
      <c r="A34" s="15">
        <v>32</v>
      </c>
      <c r="B34" s="30" t="s">
        <v>73</v>
      </c>
      <c r="C34" s="9" t="s">
        <v>64</v>
      </c>
      <c r="D34" s="33">
        <f>_xlfn.XLOOKUP(B34,'[1]Pengkinian Data'!$B:$B,'[1]Pengkinian Data'!$E:$E)</f>
        <v>0.99890000000000001</v>
      </c>
      <c r="E34" s="53"/>
    </row>
    <row r="35" spans="1:5">
      <c r="A35" s="15">
        <v>33</v>
      </c>
      <c r="B35" s="30" t="s">
        <v>74</v>
      </c>
      <c r="C35" s="9" t="s">
        <v>64</v>
      </c>
      <c r="D35" s="33">
        <f>_xlfn.XLOOKUP(B35,'[1]Pengkinian Data'!$B:$B,'[1]Pengkinian Data'!$E:$E)</f>
        <v>0.98580000000000001</v>
      </c>
      <c r="E35" s="53"/>
    </row>
  </sheetData>
  <autoFilter ref="B2:D2" xr:uid="{32A0BF26-EDBE-451B-B986-372199A95981}">
    <sortState xmlns:xlrd2="http://schemas.microsoft.com/office/spreadsheetml/2017/richdata2" ref="B3:D35">
      <sortCondition ref="C2"/>
    </sortState>
  </autoFilter>
  <mergeCells count="4">
    <mergeCell ref="D1:E1"/>
    <mergeCell ref="E3:E13"/>
    <mergeCell ref="E14:E24"/>
    <mergeCell ref="E25:E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BD84-5D1A-4337-99EB-B0C267B6544E}">
  <sheetPr>
    <tabColor theme="6" tint="-0.249977111117893"/>
  </sheetPr>
  <dimension ref="A1:E35"/>
  <sheetViews>
    <sheetView workbookViewId="0">
      <selection activeCell="D3" sqref="D3"/>
    </sheetView>
  </sheetViews>
  <sheetFormatPr defaultRowHeight="14.45"/>
  <cols>
    <col min="1" max="1" width="5.5703125" customWidth="1"/>
    <col min="2" max="2" width="30.85546875" customWidth="1"/>
    <col min="3" max="3" width="22.7109375" customWidth="1"/>
    <col min="4" max="4" width="10" bestFit="1" customWidth="1"/>
  </cols>
  <sheetData>
    <row r="1" spans="1:5">
      <c r="D1" s="51">
        <v>46280</v>
      </c>
      <c r="E1" s="52"/>
    </row>
    <row r="2" spans="1:5">
      <c r="A2" s="4" t="s">
        <v>34</v>
      </c>
      <c r="B2" s="26" t="s">
        <v>35</v>
      </c>
      <c r="C2" s="23" t="s">
        <v>36</v>
      </c>
      <c r="D2" s="31" t="s">
        <v>76</v>
      </c>
      <c r="E2" s="31" t="s">
        <v>38</v>
      </c>
    </row>
    <row r="3" spans="1:5">
      <c r="A3" s="3">
        <v>1</v>
      </c>
      <c r="B3" s="27" t="s">
        <v>39</v>
      </c>
      <c r="C3" s="9" t="s">
        <v>40</v>
      </c>
      <c r="D3" s="9">
        <f>_xlfn.XLOOKUP(B3, '[1]Bad Data'!$B:$B, '[1]Bad Data'!$D:$D)</f>
        <v>4.81E-3</v>
      </c>
      <c r="E3" s="53">
        <f>AVERAGE(D3:D13)</f>
        <v>4.0018181818181819E-3</v>
      </c>
    </row>
    <row r="4" spans="1:5">
      <c r="A4" s="3">
        <v>2</v>
      </c>
      <c r="B4" s="27" t="s">
        <v>41</v>
      </c>
      <c r="C4" s="9" t="s">
        <v>40</v>
      </c>
      <c r="D4" s="9">
        <f>_xlfn.XLOOKUP(B4, '[1]Bad Data'!$B:$B, '[1]Bad Data'!$D:$D)</f>
        <v>5.2599999999999999E-3</v>
      </c>
      <c r="E4" s="53"/>
    </row>
    <row r="5" spans="1:5">
      <c r="A5" s="3">
        <v>3</v>
      </c>
      <c r="B5" s="27" t="s">
        <v>42</v>
      </c>
      <c r="C5" s="9" t="s">
        <v>40</v>
      </c>
      <c r="D5" s="9">
        <f>_xlfn.XLOOKUP(B5, '[1]Bad Data'!$B:$B, '[1]Bad Data'!$D:$D)</f>
        <v>4.0800000000000003E-3</v>
      </c>
      <c r="E5" s="53"/>
    </row>
    <row r="6" spans="1:5">
      <c r="A6" s="3">
        <v>4</v>
      </c>
      <c r="B6" s="27" t="s">
        <v>43</v>
      </c>
      <c r="C6" s="9" t="s">
        <v>40</v>
      </c>
      <c r="D6" s="9">
        <f>_xlfn.XLOOKUP(B6, '[1]Bad Data'!$B:$B, '[1]Bad Data'!$D:$D)</f>
        <v>5.0000000000000001E-3</v>
      </c>
      <c r="E6" s="53"/>
    </row>
    <row r="7" spans="1:5">
      <c r="A7" s="3">
        <v>5</v>
      </c>
      <c r="B7" s="27" t="s">
        <v>44</v>
      </c>
      <c r="C7" s="9" t="s">
        <v>40</v>
      </c>
      <c r="D7" s="9">
        <f>_xlfn.XLOOKUP(B7, '[1]Bad Data'!$B:$B, '[1]Bad Data'!$D:$D)</f>
        <v>1.49E-3</v>
      </c>
      <c r="E7" s="53"/>
    </row>
    <row r="8" spans="1:5">
      <c r="A8" s="3">
        <v>6</v>
      </c>
      <c r="B8" s="27" t="s">
        <v>45</v>
      </c>
      <c r="C8" s="9" t="s">
        <v>40</v>
      </c>
      <c r="D8" s="9">
        <f>_xlfn.XLOOKUP(B8, '[1]Bad Data'!$B:$B, '[1]Bad Data'!$D:$D)</f>
        <v>6.3499999999999997E-3</v>
      </c>
      <c r="E8" s="53"/>
    </row>
    <row r="9" spans="1:5">
      <c r="A9" s="3">
        <v>7</v>
      </c>
      <c r="B9" s="27" t="s">
        <v>46</v>
      </c>
      <c r="C9" s="9" t="s">
        <v>40</v>
      </c>
      <c r="D9" s="9">
        <f>_xlfn.XLOOKUP(B9, '[1]Bad Data'!$B:$B, '[1]Bad Data'!$D:$D)</f>
        <v>5.2599999999999999E-3</v>
      </c>
      <c r="E9" s="53"/>
    </row>
    <row r="10" spans="1:5">
      <c r="A10" s="3">
        <v>8</v>
      </c>
      <c r="B10" s="27" t="s">
        <v>47</v>
      </c>
      <c r="C10" s="9" t="s">
        <v>40</v>
      </c>
      <c r="D10" s="9">
        <f>_xlfn.XLOOKUP(B10, '[1]Bad Data'!$B:$B, '[1]Bad Data'!$D:$D)</f>
        <v>2.97E-3</v>
      </c>
      <c r="E10" s="53"/>
    </row>
    <row r="11" spans="1:5">
      <c r="A11" s="3">
        <v>9</v>
      </c>
      <c r="B11" s="27" t="s">
        <v>48</v>
      </c>
      <c r="C11" s="9" t="s">
        <v>40</v>
      </c>
      <c r="D11" s="9">
        <f>_xlfn.XLOOKUP(B11, '[1]Bad Data'!$B:$B, '[1]Bad Data'!$D:$D)</f>
        <v>1.32E-3</v>
      </c>
      <c r="E11" s="53"/>
    </row>
    <row r="12" spans="1:5">
      <c r="A12" s="3">
        <v>10</v>
      </c>
      <c r="B12" s="15" t="s">
        <v>49</v>
      </c>
      <c r="C12" s="9" t="s">
        <v>40</v>
      </c>
      <c r="D12" s="9">
        <f>_xlfn.XLOOKUP(B12, '[1]Bad Data'!$B:$B, '[1]Bad Data'!$D:$D)</f>
        <v>2.9499999999999999E-3</v>
      </c>
      <c r="E12" s="53"/>
    </row>
    <row r="13" spans="1:5">
      <c r="A13" s="3">
        <v>11</v>
      </c>
      <c r="B13" s="15" t="s">
        <v>50</v>
      </c>
      <c r="C13" s="9" t="s">
        <v>40</v>
      </c>
      <c r="D13" s="9">
        <f>_xlfn.XLOOKUP(B13, '[1]Bad Data'!$B:$B, '[1]Bad Data'!$D:$D)</f>
        <v>4.5300000000000002E-3</v>
      </c>
      <c r="E13" s="53"/>
    </row>
    <row r="14" spans="1:5">
      <c r="A14" s="3">
        <v>12</v>
      </c>
      <c r="B14" s="27" t="s">
        <v>51</v>
      </c>
      <c r="C14" s="9" t="s">
        <v>52</v>
      </c>
      <c r="D14" s="9">
        <f>_xlfn.XLOOKUP(B14, '[1]Bad Data'!$B:$B, '[1]Bad Data'!$D:$D)</f>
        <v>9.3999999999999997E-4</v>
      </c>
      <c r="E14" s="53">
        <f>AVERAGE(D14:D24)</f>
        <v>3.6309090909090905E-3</v>
      </c>
    </row>
    <row r="15" spans="1:5">
      <c r="A15" s="3">
        <v>13</v>
      </c>
      <c r="B15" s="27" t="s">
        <v>53</v>
      </c>
      <c r="C15" s="9" t="s">
        <v>52</v>
      </c>
      <c r="D15" s="9">
        <f>_xlfn.XLOOKUP(B15, '[1]Bad Data'!$B:$B, '[1]Bad Data'!$D:$D)</f>
        <v>4.8900000000000002E-3</v>
      </c>
      <c r="E15" s="53"/>
    </row>
    <row r="16" spans="1:5">
      <c r="A16" s="3">
        <v>14</v>
      </c>
      <c r="B16" s="27" t="s">
        <v>54</v>
      </c>
      <c r="C16" s="9" t="s">
        <v>52</v>
      </c>
      <c r="D16" s="9">
        <f>_xlfn.XLOOKUP(B16, '[1]Bad Data'!$B:$B, '[1]Bad Data'!$D:$D)</f>
        <v>3.7499999999999999E-3</v>
      </c>
      <c r="E16" s="53"/>
    </row>
    <row r="17" spans="1:5">
      <c r="A17" s="3">
        <v>15</v>
      </c>
      <c r="B17" s="27" t="s">
        <v>55</v>
      </c>
      <c r="C17" s="9" t="s">
        <v>52</v>
      </c>
      <c r="D17" s="9">
        <f>_xlfn.XLOOKUP(B17, '[1]Bad Data'!$B:$B, '[1]Bad Data'!$D:$D)</f>
        <v>3.2399999999999998E-3</v>
      </c>
      <c r="E17" s="53"/>
    </row>
    <row r="18" spans="1:5">
      <c r="A18" s="3">
        <v>16</v>
      </c>
      <c r="B18" s="27" t="s">
        <v>56</v>
      </c>
      <c r="C18" s="9" t="s">
        <v>52</v>
      </c>
      <c r="D18" s="9">
        <f>_xlfn.XLOOKUP(B18, '[1]Bad Data'!$B:$B, '[1]Bad Data'!$D:$D)</f>
        <v>3.5899999999999999E-3</v>
      </c>
      <c r="E18" s="53"/>
    </row>
    <row r="19" spans="1:5">
      <c r="A19" s="3">
        <v>17</v>
      </c>
      <c r="B19" s="27" t="s">
        <v>57</v>
      </c>
      <c r="C19" s="9" t="s">
        <v>52</v>
      </c>
      <c r="D19" s="9">
        <f>_xlfn.XLOOKUP(B19, '[1]Bad Data'!$B:$B, '[1]Bad Data'!$D:$D)</f>
        <v>3.2799999999999999E-3</v>
      </c>
      <c r="E19" s="53"/>
    </row>
    <row r="20" spans="1:5">
      <c r="A20" s="3">
        <v>18</v>
      </c>
      <c r="B20" s="15" t="s">
        <v>58</v>
      </c>
      <c r="C20" s="9" t="s">
        <v>52</v>
      </c>
      <c r="D20" s="9">
        <f>_xlfn.XLOOKUP(B20, '[1]Bad Data'!$B:$B, '[1]Bad Data'!$D:$D)</f>
        <v>4.28E-3</v>
      </c>
      <c r="E20" s="53"/>
    </row>
    <row r="21" spans="1:5">
      <c r="A21" s="3">
        <v>19</v>
      </c>
      <c r="B21" s="15" t="s">
        <v>59</v>
      </c>
      <c r="C21" s="9" t="s">
        <v>52</v>
      </c>
      <c r="D21" s="9">
        <f>_xlfn.XLOOKUP(B21, '[1]Bad Data'!$B:$B, '[1]Bad Data'!$D:$D)</f>
        <v>3.3E-3</v>
      </c>
      <c r="E21" s="53"/>
    </row>
    <row r="22" spans="1:5">
      <c r="A22" s="3">
        <v>20</v>
      </c>
      <c r="B22" s="15" t="s">
        <v>60</v>
      </c>
      <c r="C22" s="9" t="s">
        <v>52</v>
      </c>
      <c r="D22" s="9">
        <f>_xlfn.XLOOKUP(B22, '[1]Bad Data'!$B:$B, '[1]Bad Data'!$D:$D)</f>
        <v>6.3600000000000002E-3</v>
      </c>
      <c r="E22" s="53"/>
    </row>
    <row r="23" spans="1:5">
      <c r="A23" s="3">
        <v>21</v>
      </c>
      <c r="B23" s="15" t="s">
        <v>61</v>
      </c>
      <c r="C23" s="9" t="s">
        <v>52</v>
      </c>
      <c r="D23" s="9">
        <f>_xlfn.XLOOKUP(B23, '[1]Bad Data'!$B:$B, '[1]Bad Data'!$D:$D)</f>
        <v>4.5300000000000002E-3</v>
      </c>
      <c r="E23" s="53"/>
    </row>
    <row r="24" spans="1:5">
      <c r="A24" s="3">
        <v>22</v>
      </c>
      <c r="B24" s="15" t="s">
        <v>62</v>
      </c>
      <c r="C24" s="9" t="s">
        <v>52</v>
      </c>
      <c r="D24" s="9">
        <f>_xlfn.XLOOKUP(B24, '[1]Bad Data'!$B:$B, '[1]Bad Data'!$D:$D)</f>
        <v>1.7799999999999999E-3</v>
      </c>
      <c r="E24" s="53"/>
    </row>
    <row r="25" spans="1:5">
      <c r="A25" s="3">
        <v>23</v>
      </c>
      <c r="B25" s="28" t="s">
        <v>63</v>
      </c>
      <c r="C25" s="9" t="s">
        <v>64</v>
      </c>
      <c r="D25" s="9">
        <f>_xlfn.XLOOKUP(B25, '[1]Bad Data'!$B:$B, '[1]Bad Data'!$D:$D)</f>
        <v>5.7499999999999999E-3</v>
      </c>
      <c r="E25" s="53">
        <f>AVERAGE(D25:D35)</f>
        <v>4.8754545454545457E-3</v>
      </c>
    </row>
    <row r="26" spans="1:5">
      <c r="A26" s="15">
        <v>24</v>
      </c>
      <c r="B26" s="29" t="s">
        <v>65</v>
      </c>
      <c r="C26" s="9" t="s">
        <v>64</v>
      </c>
      <c r="D26" s="9">
        <f>_xlfn.XLOOKUP(B26, '[1]Bad Data'!$B:$B, '[1]Bad Data'!$D:$D)</f>
        <v>2.4099999999999998E-3</v>
      </c>
      <c r="E26" s="53"/>
    </row>
    <row r="27" spans="1:5">
      <c r="A27" s="15">
        <v>25</v>
      </c>
      <c r="B27" s="29" t="s">
        <v>66</v>
      </c>
      <c r="C27" s="9" t="s">
        <v>64</v>
      </c>
      <c r="D27" s="9">
        <f>_xlfn.XLOOKUP(B27, '[1]Bad Data'!$B:$B, '[1]Bad Data'!$D:$D)</f>
        <v>5.5599999999999998E-3</v>
      </c>
      <c r="E27" s="53"/>
    </row>
    <row r="28" spans="1:5">
      <c r="A28" s="15">
        <v>26</v>
      </c>
      <c r="B28" s="29" t="s">
        <v>67</v>
      </c>
      <c r="C28" s="9" t="s">
        <v>64</v>
      </c>
      <c r="D28" s="9">
        <f>_xlfn.XLOOKUP(B28, '[1]Bad Data'!$B:$B, '[1]Bad Data'!$D:$D)</f>
        <v>4.5300000000000002E-3</v>
      </c>
      <c r="E28" s="53"/>
    </row>
    <row r="29" spans="1:5">
      <c r="A29" s="15">
        <v>27</v>
      </c>
      <c r="B29" s="29" t="s">
        <v>68</v>
      </c>
      <c r="C29" s="9" t="s">
        <v>64</v>
      </c>
      <c r="D29" s="9">
        <f>_xlfn.XLOOKUP(B29, '[1]Bad Data'!$B:$B, '[1]Bad Data'!$D:$D)</f>
        <v>1.0529999999999999E-2</v>
      </c>
      <c r="E29" s="53"/>
    </row>
    <row r="30" spans="1:5">
      <c r="A30" s="15">
        <v>28</v>
      </c>
      <c r="B30" s="29" t="s">
        <v>69</v>
      </c>
      <c r="C30" s="9" t="s">
        <v>64</v>
      </c>
      <c r="D30" s="9">
        <f>_xlfn.XLOOKUP(B30, '[1]Bad Data'!$B:$B, '[1]Bad Data'!$D:$D)</f>
        <v>4.1000000000000003E-3</v>
      </c>
      <c r="E30" s="53"/>
    </row>
    <row r="31" spans="1:5">
      <c r="A31" s="15">
        <v>29</v>
      </c>
      <c r="B31" s="29" t="s">
        <v>70</v>
      </c>
      <c r="C31" s="9" t="s">
        <v>64</v>
      </c>
      <c r="D31" s="9">
        <f>_xlfn.XLOOKUP(B31, '[1]Bad Data'!$B:$B, '[1]Bad Data'!$D:$D)</f>
        <v>6.1900000000000002E-3</v>
      </c>
      <c r="E31" s="53"/>
    </row>
    <row r="32" spans="1:5">
      <c r="A32" s="15">
        <v>30</v>
      </c>
      <c r="B32" s="29" t="s">
        <v>71</v>
      </c>
      <c r="C32" s="9" t="s">
        <v>64</v>
      </c>
      <c r="D32" s="9">
        <f>_xlfn.XLOOKUP(B32, '[1]Bad Data'!$B:$B, '[1]Bad Data'!$D:$D)</f>
        <v>5.1000000000000004E-3</v>
      </c>
      <c r="E32" s="53"/>
    </row>
    <row r="33" spans="1:5">
      <c r="A33" s="15">
        <v>31</v>
      </c>
      <c r="B33" s="32" t="s">
        <v>72</v>
      </c>
      <c r="C33" s="9" t="s">
        <v>64</v>
      </c>
      <c r="D33" s="9">
        <f>_xlfn.XLOOKUP(B33, '[1]Bad Data'!$B:$B, '[1]Bad Data'!$D:$D)</f>
        <v>2.5899999999999999E-3</v>
      </c>
      <c r="E33" s="53"/>
    </row>
    <row r="34" spans="1:5">
      <c r="A34" s="15">
        <v>32</v>
      </c>
      <c r="B34" s="30" t="s">
        <v>73</v>
      </c>
      <c r="C34" s="9" t="s">
        <v>64</v>
      </c>
      <c r="D34" s="9">
        <f>_xlfn.XLOOKUP(B34, '[1]Bad Data'!$B:$B, '[1]Bad Data'!$D:$D)</f>
        <v>5.0099999999999997E-3</v>
      </c>
      <c r="E34" s="53"/>
    </row>
    <row r="35" spans="1:5">
      <c r="A35" s="15">
        <v>33</v>
      </c>
      <c r="B35" s="30" t="s">
        <v>74</v>
      </c>
      <c r="C35" s="9" t="s">
        <v>64</v>
      </c>
      <c r="D35" s="9">
        <f>_xlfn.XLOOKUP(B35, '[1]Bad Data'!$B:$B, '[1]Bad Data'!$D:$D)</f>
        <v>1.8600000000000001E-3</v>
      </c>
      <c r="E35" s="53"/>
    </row>
  </sheetData>
  <autoFilter ref="B2:D2" xr:uid="{A94FBD84-5D1A-4337-99EB-B0C267B6544E}">
    <sortState xmlns:xlrd2="http://schemas.microsoft.com/office/spreadsheetml/2017/richdata2" ref="B3:D35">
      <sortCondition ref="C2"/>
    </sortState>
  </autoFilter>
  <mergeCells count="4">
    <mergeCell ref="D1:E1"/>
    <mergeCell ref="E3:E13"/>
    <mergeCell ref="E14:E24"/>
    <mergeCell ref="E25:E3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A8AB7-E42C-4A16-9B8C-3C102575C179}">
  <dimension ref="A1:I36"/>
  <sheetViews>
    <sheetView workbookViewId="0">
      <selection activeCell="E2" sqref="E2"/>
    </sheetView>
  </sheetViews>
  <sheetFormatPr defaultRowHeight="14.45"/>
  <cols>
    <col min="1" max="1" width="5.5703125" customWidth="1"/>
    <col min="2" max="2" width="30.85546875" customWidth="1"/>
    <col min="3" max="3" width="22.7109375" customWidth="1"/>
    <col min="4" max="4" width="18.42578125" customWidth="1"/>
    <col min="5" max="5" width="26.42578125" bestFit="1" customWidth="1"/>
    <col min="6" max="6" width="21.7109375" customWidth="1"/>
    <col min="7" max="7" width="24.85546875" customWidth="1"/>
    <col min="8" max="8" width="15.85546875" customWidth="1"/>
    <col min="9" max="9" width="21.42578125" customWidth="1"/>
    <col min="10" max="10" width="19.42578125" customWidth="1"/>
  </cols>
  <sheetData>
    <row r="1" spans="1:9">
      <c r="A1" s="4" t="s">
        <v>34</v>
      </c>
      <c r="B1" s="4" t="s">
        <v>35</v>
      </c>
      <c r="C1" s="4" t="s">
        <v>36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81</v>
      </c>
      <c r="I1" s="4" t="s">
        <v>82</v>
      </c>
    </row>
    <row r="2" spans="1:9">
      <c r="A2" s="3">
        <v>1</v>
      </c>
      <c r="B2" s="1" t="s">
        <v>83</v>
      </c>
      <c r="C2" s="3"/>
      <c r="D2" s="3"/>
      <c r="E2" s="3"/>
      <c r="F2" s="3"/>
      <c r="G2" s="3"/>
      <c r="H2" s="3"/>
      <c r="I2" s="3"/>
    </row>
    <row r="3" spans="1:9">
      <c r="A3" s="3">
        <v>2</v>
      </c>
      <c r="B3" s="1" t="s">
        <v>84</v>
      </c>
      <c r="C3" s="3"/>
      <c r="D3" s="3"/>
      <c r="E3" s="3"/>
      <c r="F3" s="3"/>
      <c r="G3" s="3"/>
      <c r="H3" s="3"/>
      <c r="I3" s="3"/>
    </row>
    <row r="4" spans="1:9">
      <c r="A4" s="3">
        <v>3</v>
      </c>
      <c r="B4" s="1" t="s">
        <v>85</v>
      </c>
      <c r="C4" s="3"/>
      <c r="D4" s="3"/>
      <c r="E4" s="3"/>
      <c r="F4" s="3"/>
      <c r="G4" s="3"/>
      <c r="H4" s="3"/>
      <c r="I4" s="3"/>
    </row>
    <row r="5" spans="1:9">
      <c r="A5" s="3">
        <v>4</v>
      </c>
      <c r="B5" s="1" t="s">
        <v>86</v>
      </c>
      <c r="C5" s="3"/>
      <c r="D5" s="3"/>
      <c r="E5" s="3"/>
      <c r="F5" s="3"/>
      <c r="G5" s="3"/>
      <c r="H5" s="3"/>
      <c r="I5" s="3"/>
    </row>
    <row r="6" spans="1:9">
      <c r="A6" s="3">
        <v>5</v>
      </c>
      <c r="B6" s="1" t="s">
        <v>87</v>
      </c>
      <c r="C6" s="3"/>
      <c r="D6" s="3"/>
      <c r="E6" s="3"/>
      <c r="F6" s="3"/>
      <c r="G6" s="3"/>
      <c r="H6" s="3"/>
      <c r="I6" s="3"/>
    </row>
    <row r="7" spans="1:9">
      <c r="A7" s="3">
        <v>6</v>
      </c>
      <c r="B7" s="1" t="s">
        <v>88</v>
      </c>
      <c r="C7" s="3"/>
      <c r="D7" s="3"/>
      <c r="E7" s="3"/>
      <c r="F7" s="3"/>
      <c r="G7" s="3"/>
      <c r="H7" s="3"/>
      <c r="I7" s="3"/>
    </row>
    <row r="8" spans="1:9">
      <c r="A8" s="3">
        <v>7</v>
      </c>
      <c r="B8" s="1" t="s">
        <v>89</v>
      </c>
      <c r="C8" s="3"/>
      <c r="D8" s="3"/>
      <c r="E8" s="3"/>
      <c r="F8" s="3"/>
      <c r="G8" s="3"/>
      <c r="H8" s="3"/>
      <c r="I8" s="3"/>
    </row>
    <row r="9" spans="1:9">
      <c r="A9" s="3">
        <v>8</v>
      </c>
      <c r="B9" s="1" t="s">
        <v>90</v>
      </c>
      <c r="C9" s="3"/>
      <c r="D9" s="3"/>
      <c r="E9" s="3"/>
      <c r="F9" s="3"/>
      <c r="G9" s="3"/>
      <c r="H9" s="3"/>
      <c r="I9" s="3"/>
    </row>
    <row r="10" spans="1:9">
      <c r="A10" s="3">
        <v>9</v>
      </c>
      <c r="B10" s="1" t="s">
        <v>91</v>
      </c>
      <c r="C10" s="3"/>
      <c r="D10" s="3"/>
      <c r="E10" s="3"/>
      <c r="F10" s="3"/>
      <c r="G10" s="3"/>
      <c r="H10" s="3"/>
      <c r="I10" s="3"/>
    </row>
    <row r="11" spans="1:9">
      <c r="A11" s="3">
        <v>10</v>
      </c>
      <c r="B11" s="1" t="s">
        <v>92</v>
      </c>
      <c r="C11" s="3"/>
      <c r="D11" s="3"/>
      <c r="E11" s="3"/>
      <c r="F11" s="3"/>
      <c r="G11" s="3"/>
      <c r="H11" s="3"/>
      <c r="I11" s="3"/>
    </row>
    <row r="12" spans="1:9">
      <c r="A12" s="3">
        <v>11</v>
      </c>
      <c r="B12" s="1" t="s">
        <v>93</v>
      </c>
      <c r="C12" s="3"/>
      <c r="D12" s="3"/>
      <c r="E12" s="3"/>
      <c r="F12" s="3"/>
      <c r="G12" s="3"/>
      <c r="H12" s="3"/>
      <c r="I12" s="3"/>
    </row>
    <row r="13" spans="1:9">
      <c r="A13" s="3">
        <v>12</v>
      </c>
      <c r="B13" s="1" t="s">
        <v>94</v>
      </c>
      <c r="C13" s="3"/>
      <c r="D13" s="3"/>
      <c r="E13" s="3"/>
      <c r="F13" s="3"/>
      <c r="G13" s="3"/>
      <c r="H13" s="3"/>
      <c r="I13" s="3"/>
    </row>
    <row r="14" spans="1:9">
      <c r="A14" s="3">
        <v>13</v>
      </c>
      <c r="B14" s="1" t="s">
        <v>95</v>
      </c>
      <c r="C14" s="3"/>
      <c r="D14" s="3"/>
      <c r="E14" s="3"/>
      <c r="F14" s="3"/>
      <c r="G14" s="3"/>
      <c r="H14" s="3"/>
      <c r="I14" s="3"/>
    </row>
    <row r="15" spans="1:9">
      <c r="A15" s="3">
        <v>14</v>
      </c>
      <c r="B15" s="1" t="s">
        <v>96</v>
      </c>
      <c r="C15" s="3"/>
      <c r="D15" s="3"/>
      <c r="E15" s="3"/>
      <c r="F15" s="3"/>
      <c r="G15" s="3"/>
      <c r="H15" s="3"/>
      <c r="I15" s="3"/>
    </row>
    <row r="16" spans="1:9">
      <c r="A16" s="3">
        <v>15</v>
      </c>
      <c r="B16" s="2" t="s">
        <v>97</v>
      </c>
      <c r="C16" s="3"/>
      <c r="D16" s="3"/>
      <c r="E16" s="3"/>
      <c r="F16" s="3"/>
      <c r="G16" s="3"/>
      <c r="H16" s="3"/>
      <c r="I16" s="3"/>
    </row>
    <row r="17" spans="1:9">
      <c r="A17" s="3">
        <v>16</v>
      </c>
      <c r="B17" s="1" t="s">
        <v>98</v>
      </c>
      <c r="C17" s="3"/>
      <c r="D17" s="3"/>
      <c r="E17" s="3"/>
      <c r="F17" s="3"/>
      <c r="G17" s="3"/>
      <c r="H17" s="3"/>
      <c r="I17" s="3"/>
    </row>
    <row r="18" spans="1:9">
      <c r="A18" s="3">
        <v>17</v>
      </c>
      <c r="B18" s="1" t="s">
        <v>99</v>
      </c>
      <c r="C18" s="3"/>
      <c r="D18" s="3"/>
      <c r="E18" s="3"/>
      <c r="F18" s="3"/>
      <c r="G18" s="3"/>
      <c r="H18" s="3"/>
      <c r="I18" s="3"/>
    </row>
    <row r="19" spans="1:9">
      <c r="A19" s="3">
        <v>18</v>
      </c>
      <c r="B19" s="1" t="s">
        <v>100</v>
      </c>
      <c r="C19" s="3"/>
      <c r="D19" s="3"/>
      <c r="E19" s="3"/>
      <c r="F19" s="3"/>
      <c r="G19" s="3"/>
      <c r="H19" s="3"/>
      <c r="I19" s="3"/>
    </row>
    <row r="20" spans="1:9">
      <c r="A20" s="3">
        <v>19</v>
      </c>
      <c r="B20" s="1" t="s">
        <v>101</v>
      </c>
      <c r="C20" s="3"/>
      <c r="D20" s="3"/>
      <c r="E20" s="3"/>
      <c r="F20" s="3"/>
      <c r="G20" s="3"/>
      <c r="H20" s="3"/>
      <c r="I20" s="3"/>
    </row>
    <row r="21" spans="1:9">
      <c r="A21" s="3">
        <v>20</v>
      </c>
      <c r="B21" s="1" t="s">
        <v>102</v>
      </c>
      <c r="C21" s="3"/>
      <c r="D21" s="3"/>
      <c r="E21" s="3"/>
      <c r="F21" s="3"/>
      <c r="G21" s="3"/>
      <c r="H21" s="3"/>
      <c r="I21" s="3"/>
    </row>
    <row r="22" spans="1:9">
      <c r="A22" s="3">
        <v>21</v>
      </c>
      <c r="B22" s="1" t="s">
        <v>103</v>
      </c>
      <c r="C22" s="3"/>
      <c r="D22" s="3"/>
      <c r="E22" s="3"/>
      <c r="F22" s="3"/>
      <c r="G22" s="3"/>
      <c r="H22" s="3"/>
      <c r="I22" s="3"/>
    </row>
    <row r="23" spans="1:9">
      <c r="A23" s="3">
        <v>22</v>
      </c>
      <c r="B23" s="1" t="s">
        <v>104</v>
      </c>
      <c r="C23" s="3"/>
      <c r="D23" s="3"/>
      <c r="E23" s="3"/>
      <c r="F23" s="3"/>
      <c r="G23" s="3"/>
      <c r="H23" s="3"/>
      <c r="I23" s="3"/>
    </row>
    <row r="24" spans="1:9">
      <c r="A24" s="3">
        <v>23</v>
      </c>
      <c r="B24" s="1" t="s">
        <v>105</v>
      </c>
      <c r="C24" s="3"/>
      <c r="D24" s="3"/>
      <c r="E24" s="3"/>
      <c r="F24" s="3"/>
      <c r="G24" s="3"/>
      <c r="H24" s="3"/>
      <c r="I24" s="3"/>
    </row>
    <row r="25" spans="1:9">
      <c r="A25" s="3">
        <v>24</v>
      </c>
      <c r="B25" s="1" t="s">
        <v>106</v>
      </c>
      <c r="C25" s="3"/>
      <c r="D25" s="3"/>
      <c r="E25" s="3"/>
      <c r="F25" s="3"/>
      <c r="G25" s="3"/>
      <c r="H25" s="3"/>
      <c r="I25" s="3"/>
    </row>
    <row r="27" spans="1:9">
      <c r="B27" s="5" t="s">
        <v>107</v>
      </c>
    </row>
    <row r="28" spans="1:9">
      <c r="B28" s="5" t="s">
        <v>108</v>
      </c>
    </row>
    <row r="29" spans="1:9">
      <c r="B29" s="6" t="s">
        <v>109</v>
      </c>
    </row>
    <row r="31" spans="1:9">
      <c r="B31" t="s">
        <v>110</v>
      </c>
    </row>
    <row r="32" spans="1:9">
      <c r="B32" t="s">
        <v>111</v>
      </c>
    </row>
    <row r="33" spans="2:2">
      <c r="B33" t="s">
        <v>112</v>
      </c>
    </row>
    <row r="34" spans="2:2">
      <c r="B34" t="s">
        <v>113</v>
      </c>
    </row>
    <row r="35" spans="2:2">
      <c r="B35" t="s">
        <v>114</v>
      </c>
    </row>
    <row r="36" spans="2:2">
      <c r="B36" t="s">
        <v>115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80A79-0362-4E82-9560-CAFBA5104F76}">
  <sheetPr>
    <tabColor theme="8"/>
  </sheetPr>
  <dimension ref="A1:F39"/>
  <sheetViews>
    <sheetView topLeftCell="A10" workbookViewId="0">
      <selection activeCell="A4" sqref="A4"/>
    </sheetView>
  </sheetViews>
  <sheetFormatPr defaultRowHeight="14.45"/>
  <cols>
    <col min="1" max="1" width="3.5703125" bestFit="1" customWidth="1"/>
    <col min="2" max="2" width="24.140625" bestFit="1" customWidth="1"/>
    <col min="3" max="3" width="17" customWidth="1"/>
    <col min="4" max="4" width="19.42578125" bestFit="1" customWidth="1"/>
    <col min="5" max="5" width="19.42578125" customWidth="1"/>
    <col min="6" max="6" width="19.140625" bestFit="1" customWidth="1"/>
  </cols>
  <sheetData>
    <row r="1" spans="1:6" s="7" customFormat="1">
      <c r="A1" s="54" t="s">
        <v>34</v>
      </c>
      <c r="B1" s="54" t="s">
        <v>35</v>
      </c>
      <c r="C1" s="54" t="s">
        <v>36</v>
      </c>
      <c r="D1" s="54" t="s">
        <v>116</v>
      </c>
      <c r="E1" s="54" t="s">
        <v>79</v>
      </c>
      <c r="F1" s="54" t="s">
        <v>82</v>
      </c>
    </row>
    <row r="2" spans="1:6" s="7" customFormat="1">
      <c r="A2" s="55"/>
      <c r="B2" s="55"/>
      <c r="C2" s="55"/>
      <c r="D2" s="55"/>
      <c r="E2" s="55"/>
      <c r="F2" s="55"/>
    </row>
    <row r="3" spans="1:6">
      <c r="A3" s="3" t="s">
        <v>117</v>
      </c>
      <c r="B3" s="1" t="s">
        <v>117</v>
      </c>
      <c r="C3" s="3" t="s">
        <v>117</v>
      </c>
      <c r="D3" s="3" t="s">
        <v>117</v>
      </c>
      <c r="E3" s="3" t="s">
        <v>117</v>
      </c>
      <c r="F3" s="3" t="s">
        <v>117</v>
      </c>
    </row>
    <row r="4" spans="1:6">
      <c r="A4" s="3"/>
      <c r="B4" s="1"/>
      <c r="C4" s="3"/>
      <c r="D4" s="3"/>
      <c r="E4" s="3"/>
      <c r="F4" s="3"/>
    </row>
    <row r="5" spans="1:6">
      <c r="A5" s="3"/>
      <c r="B5" s="1"/>
      <c r="C5" s="3"/>
      <c r="D5" s="3"/>
      <c r="E5" s="3"/>
      <c r="F5" s="3"/>
    </row>
    <row r="6" spans="1:6">
      <c r="A6" s="3"/>
      <c r="B6" s="1"/>
      <c r="C6" s="3"/>
      <c r="D6" s="3"/>
      <c r="E6" s="3"/>
      <c r="F6" s="3"/>
    </row>
    <row r="7" spans="1:6">
      <c r="A7" s="3"/>
      <c r="B7" s="1"/>
      <c r="C7" s="3"/>
      <c r="D7" s="3"/>
      <c r="E7" s="3"/>
      <c r="F7" s="3"/>
    </row>
    <row r="8" spans="1:6">
      <c r="A8" s="3"/>
      <c r="B8" s="1"/>
      <c r="C8" s="3"/>
      <c r="D8" s="3"/>
      <c r="E8" s="3"/>
      <c r="F8" s="3"/>
    </row>
    <row r="9" spans="1:6">
      <c r="A9" s="3"/>
      <c r="B9" s="1"/>
      <c r="C9" s="3"/>
      <c r="D9" s="3"/>
      <c r="E9" s="3"/>
      <c r="F9" s="3"/>
    </row>
    <row r="10" spans="1:6">
      <c r="A10" s="3"/>
      <c r="B10" s="1"/>
      <c r="C10" s="3"/>
      <c r="D10" s="3"/>
      <c r="E10" s="3"/>
      <c r="F10" s="3"/>
    </row>
    <row r="11" spans="1:6">
      <c r="A11" s="3"/>
      <c r="B11" s="1"/>
      <c r="C11" s="3"/>
      <c r="D11" s="3"/>
      <c r="E11" s="3"/>
      <c r="F11" s="3"/>
    </row>
    <row r="12" spans="1:6">
      <c r="A12" s="3"/>
      <c r="B12" s="1"/>
      <c r="C12" s="3"/>
      <c r="D12" s="3"/>
      <c r="E12" s="3"/>
      <c r="F12" s="3"/>
    </row>
    <row r="13" spans="1:6">
      <c r="A13" s="3"/>
      <c r="B13" s="1"/>
      <c r="C13" s="3"/>
      <c r="D13" s="3"/>
      <c r="E13" s="3"/>
      <c r="F13" s="3"/>
    </row>
    <row r="14" spans="1:6">
      <c r="A14" s="3"/>
      <c r="B14" s="1"/>
      <c r="C14" s="3"/>
      <c r="D14" s="3"/>
      <c r="E14" s="3"/>
      <c r="F14" s="3"/>
    </row>
    <row r="15" spans="1:6">
      <c r="A15" s="3"/>
      <c r="B15" s="1"/>
      <c r="C15" s="3"/>
      <c r="D15" s="3"/>
      <c r="E15" s="3"/>
      <c r="F15" s="3"/>
    </row>
    <row r="16" spans="1:6">
      <c r="A16" s="3"/>
      <c r="B16" s="1"/>
      <c r="C16" s="3"/>
      <c r="D16" s="3"/>
      <c r="E16" s="3"/>
      <c r="F16" s="3"/>
    </row>
    <row r="17" spans="1:6">
      <c r="A17" s="3"/>
      <c r="B17" s="2"/>
      <c r="C17" s="3"/>
      <c r="D17" s="3"/>
      <c r="E17" s="3"/>
      <c r="F17" s="3"/>
    </row>
    <row r="18" spans="1:6">
      <c r="A18" s="3"/>
      <c r="B18" s="1"/>
      <c r="C18" s="3"/>
      <c r="D18" s="3"/>
      <c r="E18" s="3"/>
      <c r="F18" s="3"/>
    </row>
    <row r="19" spans="1:6">
      <c r="A19" s="3"/>
      <c r="B19" s="1"/>
      <c r="C19" s="3"/>
      <c r="D19" s="3"/>
      <c r="E19" s="3"/>
      <c r="F19" s="3"/>
    </row>
    <row r="20" spans="1:6">
      <c r="A20" s="3"/>
      <c r="B20" s="1"/>
      <c r="C20" s="3"/>
      <c r="D20" s="3"/>
      <c r="E20" s="3"/>
      <c r="F20" s="3"/>
    </row>
    <row r="21" spans="1:6">
      <c r="A21" s="3"/>
      <c r="B21" s="1"/>
      <c r="C21" s="3"/>
      <c r="D21" s="3"/>
      <c r="E21" s="3"/>
      <c r="F21" s="3"/>
    </row>
    <row r="22" spans="1:6">
      <c r="A22" s="3"/>
      <c r="B22" s="1"/>
      <c r="C22" s="3"/>
      <c r="D22" s="3"/>
      <c r="E22" s="3"/>
      <c r="F22" s="3"/>
    </row>
    <row r="23" spans="1:6">
      <c r="A23" s="3"/>
      <c r="B23" s="1"/>
      <c r="C23" s="3"/>
      <c r="D23" s="3"/>
      <c r="E23" s="3"/>
      <c r="F23" s="3"/>
    </row>
    <row r="24" spans="1:6">
      <c r="A24" s="3"/>
      <c r="B24" s="1"/>
      <c r="C24" s="3"/>
      <c r="D24" s="3"/>
      <c r="E24" s="3"/>
      <c r="F24" s="3"/>
    </row>
    <row r="25" spans="1:6">
      <c r="A25" s="3"/>
      <c r="B25" s="1"/>
      <c r="C25" s="3"/>
      <c r="D25" s="3"/>
      <c r="E25" s="3"/>
      <c r="F25" s="3"/>
    </row>
    <row r="26" spans="1:6">
      <c r="A26" s="3"/>
      <c r="B26" s="1"/>
      <c r="C26" s="3"/>
      <c r="D26" s="3"/>
      <c r="E26" s="3"/>
      <c r="F26" s="3"/>
    </row>
    <row r="29" spans="1:6">
      <c r="B29" s="5" t="s">
        <v>107</v>
      </c>
    </row>
    <row r="30" spans="1:6">
      <c r="B30" s="5" t="s">
        <v>108</v>
      </c>
    </row>
    <row r="31" spans="1:6">
      <c r="B31" s="6" t="s">
        <v>118</v>
      </c>
    </row>
    <row r="34" spans="2:2">
      <c r="B34" t="s">
        <v>110</v>
      </c>
    </row>
    <row r="35" spans="2:2">
      <c r="B35" t="s">
        <v>111</v>
      </c>
    </row>
    <row r="36" spans="2:2">
      <c r="B36" t="s">
        <v>112</v>
      </c>
    </row>
    <row r="37" spans="2:2">
      <c r="B37" t="s">
        <v>113</v>
      </c>
    </row>
    <row r="38" spans="2:2">
      <c r="B38" t="s">
        <v>119</v>
      </c>
    </row>
    <row r="39" spans="2:2">
      <c r="B39" t="s">
        <v>120</v>
      </c>
    </row>
  </sheetData>
  <mergeCells count="6"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D17BA-8C2B-4B83-87E0-42BDAE5BEA3F}">
  <dimension ref="A1:H34"/>
  <sheetViews>
    <sheetView workbookViewId="0">
      <selection activeCell="F35" sqref="F35"/>
    </sheetView>
  </sheetViews>
  <sheetFormatPr defaultRowHeight="14.45"/>
  <cols>
    <col min="1" max="1" width="4.140625" bestFit="1" customWidth="1"/>
    <col min="2" max="2" width="24.85546875" bestFit="1" customWidth="1"/>
    <col min="3" max="3" width="20.140625" bestFit="1" customWidth="1"/>
    <col min="4" max="5" width="14.42578125" bestFit="1" customWidth="1"/>
    <col min="6" max="6" width="15.85546875" bestFit="1" customWidth="1"/>
  </cols>
  <sheetData>
    <row r="1" spans="1:8">
      <c r="A1" s="23" t="s">
        <v>34</v>
      </c>
      <c r="B1" s="23" t="s">
        <v>35</v>
      </c>
      <c r="C1" s="23" t="s">
        <v>36</v>
      </c>
      <c r="D1" s="23" t="s">
        <v>121</v>
      </c>
      <c r="E1" s="23" t="s">
        <v>121</v>
      </c>
      <c r="F1" s="23" t="s">
        <v>122</v>
      </c>
    </row>
    <row r="2" spans="1:8">
      <c r="A2" s="9">
        <v>4</v>
      </c>
      <c r="B2" s="24" t="s">
        <v>123</v>
      </c>
      <c r="C2" s="9" t="s">
        <v>40</v>
      </c>
      <c r="D2" s="20">
        <v>8.2074161010558058</v>
      </c>
      <c r="E2" s="56">
        <f>AVERAGE(D2:D12)</f>
        <v>8.5939864977977738</v>
      </c>
      <c r="F2" s="56" t="s">
        <v>124</v>
      </c>
      <c r="G2" s="21"/>
      <c r="H2" s="21"/>
    </row>
    <row r="3" spans="1:8">
      <c r="A3" s="9">
        <v>7</v>
      </c>
      <c r="B3" s="24" t="s">
        <v>125</v>
      </c>
      <c r="C3" s="9" t="s">
        <v>40</v>
      </c>
      <c r="D3" s="20">
        <v>6.8053068264342773</v>
      </c>
      <c r="E3" s="56"/>
      <c r="F3" s="56"/>
      <c r="G3" s="21"/>
      <c r="H3" s="21"/>
    </row>
    <row r="4" spans="1:8">
      <c r="A4" s="9">
        <v>9</v>
      </c>
      <c r="B4" s="24" t="s">
        <v>126</v>
      </c>
      <c r="C4" s="9" t="s">
        <v>40</v>
      </c>
      <c r="D4" s="20">
        <v>9.3597229205072345</v>
      </c>
      <c r="E4" s="56"/>
      <c r="F4" s="56"/>
      <c r="G4" s="21"/>
      <c r="H4" s="21"/>
    </row>
    <row r="5" spans="1:8">
      <c r="A5" s="9">
        <v>19</v>
      </c>
      <c r="B5" s="9" t="s">
        <v>127</v>
      </c>
      <c r="C5" s="9" t="s">
        <v>40</v>
      </c>
      <c r="D5" s="20">
        <v>9.1367220506436198</v>
      </c>
      <c r="E5" s="56"/>
      <c r="F5" s="56"/>
      <c r="G5" s="21"/>
      <c r="H5" s="21"/>
    </row>
    <row r="6" spans="1:8">
      <c r="A6" s="9">
        <v>20</v>
      </c>
      <c r="B6" s="9" t="s">
        <v>128</v>
      </c>
      <c r="C6" s="9" t="s">
        <v>40</v>
      </c>
      <c r="D6" s="20">
        <v>7.9072692666810314</v>
      </c>
      <c r="E6" s="56"/>
      <c r="F6" s="56"/>
      <c r="G6" s="21"/>
      <c r="H6" s="21"/>
    </row>
    <row r="7" spans="1:8">
      <c r="A7" s="9">
        <v>21</v>
      </c>
      <c r="B7" s="9" t="s">
        <v>129</v>
      </c>
      <c r="C7" s="9" t="s">
        <v>40</v>
      </c>
      <c r="D7" s="20">
        <v>8.1344528238645886</v>
      </c>
      <c r="E7" s="56"/>
      <c r="F7" s="56"/>
      <c r="G7" s="21"/>
      <c r="H7" s="21"/>
    </row>
    <row r="8" spans="1:8">
      <c r="A8" s="9">
        <v>22</v>
      </c>
      <c r="B8" s="9" t="s">
        <v>130</v>
      </c>
      <c r="C8" s="9" t="s">
        <v>40</v>
      </c>
      <c r="D8" s="20">
        <v>9.8263169655326514</v>
      </c>
      <c r="E8" s="56"/>
      <c r="F8" s="56"/>
      <c r="G8" s="21"/>
      <c r="H8" s="21"/>
    </row>
    <row r="9" spans="1:8">
      <c r="A9" s="9">
        <v>23</v>
      </c>
      <c r="B9" s="9" t="s">
        <v>131</v>
      </c>
      <c r="C9" s="9" t="s">
        <v>40</v>
      </c>
      <c r="D9" s="20">
        <v>8.7344452823864582</v>
      </c>
      <c r="E9" s="56"/>
      <c r="F9" s="56"/>
      <c r="G9" s="21"/>
      <c r="H9" s="21"/>
    </row>
    <row r="10" spans="1:8">
      <c r="A10" s="9">
        <v>24</v>
      </c>
      <c r="B10" s="9" t="s">
        <v>132</v>
      </c>
      <c r="C10" s="9" t="s">
        <v>40</v>
      </c>
      <c r="D10" s="20">
        <v>7.8615166750460865</v>
      </c>
      <c r="E10" s="56"/>
      <c r="F10" s="56"/>
      <c r="G10" s="21"/>
      <c r="H10" s="21"/>
    </row>
    <row r="11" spans="1:8">
      <c r="A11" s="9">
        <v>27</v>
      </c>
      <c r="B11" s="9" t="s">
        <v>133</v>
      </c>
      <c r="C11" s="9" t="s">
        <v>40</v>
      </c>
      <c r="D11" s="20">
        <v>9.0587346277542355</v>
      </c>
      <c r="E11" s="56"/>
      <c r="F11" s="56"/>
      <c r="G11" s="21"/>
      <c r="H11" s="21"/>
    </row>
    <row r="12" spans="1:8">
      <c r="A12" s="9">
        <v>30</v>
      </c>
      <c r="B12" s="9" t="s">
        <v>134</v>
      </c>
      <c r="C12" s="9" t="s">
        <v>40</v>
      </c>
      <c r="D12" s="20">
        <v>9.501947935869504</v>
      </c>
      <c r="E12" s="56"/>
      <c r="F12" s="56"/>
      <c r="G12" s="21"/>
      <c r="H12" s="21"/>
    </row>
    <row r="13" spans="1:8">
      <c r="A13" s="9">
        <v>1</v>
      </c>
      <c r="B13" s="24" t="s">
        <v>135</v>
      </c>
      <c r="C13" s="9" t="s">
        <v>52</v>
      </c>
      <c r="D13" s="20">
        <v>7.4706608569353659</v>
      </c>
      <c r="E13" s="56">
        <f>AVERAGE(D13:D23)</f>
        <v>8.4248510992539529</v>
      </c>
      <c r="F13" s="56" t="s">
        <v>124</v>
      </c>
      <c r="G13" s="21"/>
      <c r="H13" s="21"/>
    </row>
    <row r="14" spans="1:8">
      <c r="A14" s="9">
        <v>3</v>
      </c>
      <c r="B14" s="24" t="s">
        <v>136</v>
      </c>
      <c r="C14" s="9" t="s">
        <v>52</v>
      </c>
      <c r="D14" s="20">
        <v>7.3826866706278462</v>
      </c>
      <c r="E14" s="56"/>
      <c r="F14" s="56"/>
      <c r="G14" s="21"/>
      <c r="H14" s="21"/>
    </row>
    <row r="15" spans="1:8">
      <c r="A15" s="9">
        <v>5</v>
      </c>
      <c r="B15" s="24" t="s">
        <v>137</v>
      </c>
      <c r="C15" s="9" t="s">
        <v>52</v>
      </c>
      <c r="D15" s="20">
        <v>7.8522940657744584</v>
      </c>
      <c r="E15" s="56"/>
      <c r="F15" s="56"/>
      <c r="G15" s="21"/>
      <c r="H15" s="21"/>
    </row>
    <row r="16" spans="1:8">
      <c r="A16" s="9">
        <v>16</v>
      </c>
      <c r="B16" s="9" t="s">
        <v>138</v>
      </c>
      <c r="C16" s="9" t="s">
        <v>52</v>
      </c>
      <c r="D16" s="20">
        <v>9.4189089994972353</v>
      </c>
      <c r="E16" s="56"/>
      <c r="F16" s="56"/>
    </row>
    <row r="17" spans="1:6">
      <c r="A17" s="9">
        <v>17</v>
      </c>
      <c r="B17" s="9" t="s">
        <v>139</v>
      </c>
      <c r="C17" s="9" t="s">
        <v>52</v>
      </c>
      <c r="D17" s="20">
        <v>8.2486029910539713</v>
      </c>
      <c r="E17" s="56"/>
      <c r="F17" s="56"/>
    </row>
    <row r="18" spans="1:6">
      <c r="A18" s="9">
        <v>18</v>
      </c>
      <c r="B18" s="9" t="s">
        <v>140</v>
      </c>
      <c r="C18" s="9" t="s">
        <v>52</v>
      </c>
      <c r="D18" s="20">
        <v>7.0634373378981223</v>
      </c>
      <c r="E18" s="56"/>
      <c r="F18" s="56"/>
    </row>
    <row r="19" spans="1:6">
      <c r="A19" s="9">
        <v>26</v>
      </c>
      <c r="B19" s="9" t="s">
        <v>141</v>
      </c>
      <c r="C19" s="9" t="s">
        <v>52</v>
      </c>
      <c r="D19" s="20">
        <v>8.6998636947656554</v>
      </c>
      <c r="E19" s="56"/>
      <c r="F19" s="56"/>
    </row>
    <row r="20" spans="1:6">
      <c r="A20" s="9">
        <v>28</v>
      </c>
      <c r="B20" s="9" t="s">
        <v>142</v>
      </c>
      <c r="C20" s="9" t="s">
        <v>52</v>
      </c>
      <c r="D20" s="20">
        <v>9.5091844031059711</v>
      </c>
      <c r="E20" s="56"/>
      <c r="F20" s="56"/>
    </row>
    <row r="21" spans="1:6">
      <c r="A21" s="9">
        <v>31</v>
      </c>
      <c r="B21" s="9" t="s">
        <v>143</v>
      </c>
      <c r="C21" s="9" t="s">
        <v>52</v>
      </c>
      <c r="D21" s="20">
        <v>8.2684281005849627</v>
      </c>
      <c r="E21" s="56"/>
      <c r="F21" s="56"/>
    </row>
    <row r="22" spans="1:6">
      <c r="A22" s="9">
        <v>32</v>
      </c>
      <c r="B22" s="9" t="s">
        <v>144</v>
      </c>
      <c r="C22" s="9" t="s">
        <v>52</v>
      </c>
      <c r="D22" s="20">
        <v>9.2848952572481984</v>
      </c>
      <c r="E22" s="56"/>
      <c r="F22" s="56"/>
    </row>
    <row r="23" spans="1:6">
      <c r="A23" s="9">
        <v>33</v>
      </c>
      <c r="B23" s="9" t="s">
        <v>145</v>
      </c>
      <c r="C23" s="9" t="s">
        <v>52</v>
      </c>
      <c r="D23" s="20">
        <v>9.4743997143016756</v>
      </c>
      <c r="E23" s="56"/>
      <c r="F23" s="56"/>
    </row>
    <row r="24" spans="1:6">
      <c r="A24" s="9">
        <v>2</v>
      </c>
      <c r="B24" s="24" t="s">
        <v>146</v>
      </c>
      <c r="C24" s="9" t="s">
        <v>64</v>
      </c>
      <c r="D24" s="20">
        <v>9.6070428627291378</v>
      </c>
      <c r="E24" s="56">
        <f>AVERAGE(D24:D34)</f>
        <v>9.195627290284154</v>
      </c>
      <c r="F24" s="56" t="s">
        <v>147</v>
      </c>
    </row>
    <row r="25" spans="1:6">
      <c r="A25" s="9">
        <v>6</v>
      </c>
      <c r="B25" s="24" t="s">
        <v>148</v>
      </c>
      <c r="C25" s="9" t="s">
        <v>64</v>
      </c>
      <c r="D25" s="20">
        <v>9.5565021507178383</v>
      </c>
      <c r="E25" s="56"/>
      <c r="F25" s="56"/>
    </row>
    <row r="26" spans="1:6">
      <c r="A26" s="9">
        <v>8</v>
      </c>
      <c r="B26" s="24" t="s">
        <v>149</v>
      </c>
      <c r="C26" s="9" t="s">
        <v>64</v>
      </c>
      <c r="D26" s="20">
        <v>8.4676355221575825</v>
      </c>
      <c r="E26" s="56"/>
      <c r="F26" s="56"/>
    </row>
    <row r="27" spans="1:6">
      <c r="A27" s="9">
        <v>10</v>
      </c>
      <c r="B27" s="24" t="s">
        <v>150</v>
      </c>
      <c r="C27" s="9" t="s">
        <v>64</v>
      </c>
      <c r="D27" s="20">
        <v>9.6320753429576964</v>
      </c>
      <c r="E27" s="56"/>
      <c r="F27" s="56"/>
    </row>
    <row r="28" spans="1:6">
      <c r="A28" s="9">
        <v>11</v>
      </c>
      <c r="B28" s="24" t="s">
        <v>151</v>
      </c>
      <c r="C28" s="9" t="s">
        <v>64</v>
      </c>
      <c r="D28" s="20">
        <v>9.2381781045751623</v>
      </c>
      <c r="E28" s="56"/>
      <c r="F28" s="56"/>
    </row>
    <row r="29" spans="1:6">
      <c r="A29" s="9">
        <v>12</v>
      </c>
      <c r="B29" s="24" t="s">
        <v>152</v>
      </c>
      <c r="C29" s="9" t="s">
        <v>64</v>
      </c>
      <c r="D29" s="20">
        <v>9.765429026311379</v>
      </c>
      <c r="E29" s="56"/>
      <c r="F29" s="56"/>
    </row>
    <row r="30" spans="1:6">
      <c r="A30" s="9">
        <v>13</v>
      </c>
      <c r="B30" s="24" t="s">
        <v>153</v>
      </c>
      <c r="C30" s="9" t="s">
        <v>64</v>
      </c>
      <c r="D30" s="20">
        <v>8.685765240569161</v>
      </c>
      <c r="E30" s="56"/>
      <c r="F30" s="56"/>
    </row>
    <row r="31" spans="1:6">
      <c r="A31" s="9">
        <v>14</v>
      </c>
      <c r="B31" s="25" t="s">
        <v>154</v>
      </c>
      <c r="C31" s="9" t="s">
        <v>64</v>
      </c>
      <c r="D31" s="20">
        <v>7.52966507756949</v>
      </c>
      <c r="E31" s="56"/>
      <c r="F31" s="56"/>
    </row>
    <row r="32" spans="1:6">
      <c r="A32" s="9">
        <v>15</v>
      </c>
      <c r="B32" s="9" t="s">
        <v>155</v>
      </c>
      <c r="C32" s="9" t="s">
        <v>64</v>
      </c>
      <c r="D32" s="20">
        <v>9.8081640690464216</v>
      </c>
      <c r="E32" s="56"/>
      <c r="F32" s="56"/>
    </row>
    <row r="33" spans="1:6">
      <c r="A33" s="9">
        <v>25</v>
      </c>
      <c r="B33" s="9" t="s">
        <v>156</v>
      </c>
      <c r="C33" s="9" t="s">
        <v>64</v>
      </c>
      <c r="D33" s="20">
        <v>9.100423579688286</v>
      </c>
      <c r="E33" s="56"/>
      <c r="F33" s="56"/>
    </row>
    <row r="34" spans="1:6">
      <c r="A34" s="9">
        <v>29</v>
      </c>
      <c r="B34" s="9" t="s">
        <v>157</v>
      </c>
      <c r="C34" s="9" t="s">
        <v>64</v>
      </c>
      <c r="D34" s="20">
        <v>9.761019216803529</v>
      </c>
      <c r="E34" s="56"/>
      <c r="F34" s="56"/>
    </row>
  </sheetData>
  <autoFilter ref="A1:D1" xr:uid="{FD9A7B95-F124-4CE6-993C-88740F8340E7}">
    <sortState xmlns:xlrd2="http://schemas.microsoft.com/office/spreadsheetml/2017/richdata2" ref="A2:D34">
      <sortCondition ref="C1"/>
    </sortState>
  </autoFilter>
  <mergeCells count="6">
    <mergeCell ref="E2:E12"/>
    <mergeCell ref="E13:E23"/>
    <mergeCell ref="E24:E34"/>
    <mergeCell ref="F2:F12"/>
    <mergeCell ref="F13:F23"/>
    <mergeCell ref="F24:F3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1057C-4521-4B0C-BC36-47B2E6F59363}">
  <dimension ref="A1:H34"/>
  <sheetViews>
    <sheetView workbookViewId="0">
      <selection activeCell="I8" sqref="I8"/>
    </sheetView>
  </sheetViews>
  <sheetFormatPr defaultRowHeight="14.45"/>
  <cols>
    <col min="1" max="1" width="4.140625" bestFit="1" customWidth="1"/>
    <col min="2" max="2" width="24.85546875" bestFit="1" customWidth="1"/>
    <col min="3" max="3" width="20.140625" bestFit="1" customWidth="1"/>
    <col min="4" max="4" width="12.5703125" bestFit="1" customWidth="1"/>
    <col min="5" max="5" width="14.7109375" bestFit="1" customWidth="1"/>
    <col min="6" max="6" width="16.28515625" bestFit="1" customWidth="1"/>
  </cols>
  <sheetData>
    <row r="1" spans="1:8">
      <c r="A1" s="23" t="s">
        <v>34</v>
      </c>
      <c r="B1" s="23" t="s">
        <v>35</v>
      </c>
      <c r="C1" s="23" t="s">
        <v>36</v>
      </c>
      <c r="D1" s="23" t="s">
        <v>158</v>
      </c>
      <c r="E1" s="23" t="s">
        <v>159</v>
      </c>
      <c r="F1" s="23" t="s">
        <v>160</v>
      </c>
    </row>
    <row r="2" spans="1:8">
      <c r="A2" s="9">
        <v>4</v>
      </c>
      <c r="B2" s="24" t="s">
        <v>123</v>
      </c>
      <c r="C2" s="9" t="s">
        <v>40</v>
      </c>
      <c r="D2" s="20">
        <v>5.5</v>
      </c>
      <c r="E2" s="56">
        <f>AVERAGE(D2:D12)</f>
        <v>5.1100875475632925</v>
      </c>
      <c r="F2" s="56" t="s">
        <v>161</v>
      </c>
      <c r="G2" s="21"/>
      <c r="H2" s="21"/>
    </row>
    <row r="3" spans="1:8">
      <c r="A3" s="9">
        <v>7</v>
      </c>
      <c r="B3" s="24" t="s">
        <v>125</v>
      </c>
      <c r="C3" s="9" t="s">
        <v>40</v>
      </c>
      <c r="D3" s="20">
        <v>5.6124860801609122</v>
      </c>
      <c r="E3" s="56"/>
      <c r="F3" s="56"/>
      <c r="G3" s="21"/>
      <c r="H3" s="21"/>
    </row>
    <row r="4" spans="1:8">
      <c r="A4" s="9">
        <v>9</v>
      </c>
      <c r="B4" s="24" t="s">
        <v>126</v>
      </c>
      <c r="C4" s="9" t="s">
        <v>40</v>
      </c>
      <c r="D4" s="20">
        <v>4.9749371855330997</v>
      </c>
      <c r="E4" s="56"/>
      <c r="F4" s="56"/>
      <c r="G4" s="21"/>
      <c r="H4" s="21"/>
    </row>
    <row r="5" spans="1:8">
      <c r="A5" s="9">
        <v>19</v>
      </c>
      <c r="B5" s="9" t="s">
        <v>127</v>
      </c>
      <c r="C5" s="9" t="s">
        <v>40</v>
      </c>
      <c r="D5" s="20">
        <v>5.196152422706632</v>
      </c>
      <c r="E5" s="56"/>
      <c r="F5" s="56"/>
      <c r="G5" s="21"/>
      <c r="H5" s="21"/>
    </row>
    <row r="6" spans="1:8">
      <c r="A6" s="9">
        <v>20</v>
      </c>
      <c r="B6" s="9" t="s">
        <v>128</v>
      </c>
      <c r="C6" s="9" t="s">
        <v>40</v>
      </c>
      <c r="D6" s="20">
        <v>4.5</v>
      </c>
      <c r="E6" s="56"/>
      <c r="F6" s="56"/>
      <c r="G6" s="21"/>
      <c r="H6" s="21"/>
    </row>
    <row r="7" spans="1:8">
      <c r="A7" s="9">
        <v>21</v>
      </c>
      <c r="B7" s="9" t="s">
        <v>129</v>
      </c>
      <c r="C7" s="9" t="s">
        <v>40</v>
      </c>
      <c r="D7" s="20">
        <v>4.9749371855330997</v>
      </c>
      <c r="E7" s="56"/>
      <c r="F7" s="56"/>
      <c r="G7" s="21"/>
      <c r="H7" s="21"/>
    </row>
    <row r="8" spans="1:8">
      <c r="A8" s="9">
        <v>22</v>
      </c>
      <c r="B8" s="9" t="s">
        <v>130</v>
      </c>
      <c r="C8" s="9" t="s">
        <v>40</v>
      </c>
      <c r="D8" s="20">
        <v>5.4772255750516612</v>
      </c>
      <c r="E8" s="56"/>
      <c r="F8" s="56"/>
      <c r="G8" s="21"/>
      <c r="H8" s="21"/>
    </row>
    <row r="9" spans="1:8">
      <c r="A9" s="9">
        <v>23</v>
      </c>
      <c r="B9" s="9" t="s">
        <v>131</v>
      </c>
      <c r="C9" s="9" t="s">
        <v>40</v>
      </c>
      <c r="D9" s="20">
        <v>5.0990195135927836</v>
      </c>
      <c r="E9" s="56"/>
      <c r="F9" s="56"/>
      <c r="G9" s="21"/>
      <c r="H9" s="21"/>
    </row>
    <row r="10" spans="1:8">
      <c r="A10" s="9">
        <v>24</v>
      </c>
      <c r="B10" s="9" t="s">
        <v>132</v>
      </c>
      <c r="C10" s="9" t="s">
        <v>40</v>
      </c>
      <c r="D10" s="20">
        <v>4.5</v>
      </c>
      <c r="E10" s="56"/>
      <c r="F10" s="56"/>
      <c r="G10" s="21"/>
      <c r="H10" s="21"/>
    </row>
    <row r="11" spans="1:8">
      <c r="A11" s="9">
        <v>27</v>
      </c>
      <c r="B11" s="9" t="s">
        <v>133</v>
      </c>
      <c r="C11" s="9" t="s">
        <v>40</v>
      </c>
      <c r="D11" s="20">
        <v>5.4772255750516612</v>
      </c>
      <c r="E11" s="56"/>
      <c r="F11" s="56"/>
      <c r="G11" s="21"/>
      <c r="H11" s="21"/>
    </row>
    <row r="12" spans="1:8">
      <c r="A12" s="9">
        <v>30</v>
      </c>
      <c r="B12" s="9" t="s">
        <v>134</v>
      </c>
      <c r="C12" s="9" t="s">
        <v>40</v>
      </c>
      <c r="D12" s="20">
        <v>4.8989794855663558</v>
      </c>
      <c r="E12" s="56"/>
      <c r="F12" s="56"/>
      <c r="G12" s="21"/>
      <c r="H12" s="21"/>
    </row>
    <row r="13" spans="1:8">
      <c r="A13" s="9">
        <v>1</v>
      </c>
      <c r="B13" s="24" t="s">
        <v>135</v>
      </c>
      <c r="C13" s="9" t="s">
        <v>52</v>
      </c>
      <c r="D13" s="20">
        <v>4.9497474683058327</v>
      </c>
      <c r="E13" s="56">
        <f>AVERAGE(D13:D23)</f>
        <v>4.7996007560777416</v>
      </c>
      <c r="F13" s="56" t="s">
        <v>161</v>
      </c>
      <c r="G13" s="21"/>
      <c r="H13" s="21"/>
    </row>
    <row r="14" spans="1:8">
      <c r="A14" s="9">
        <v>3</v>
      </c>
      <c r="B14" s="24" t="s">
        <v>136</v>
      </c>
      <c r="C14" s="9" t="s">
        <v>52</v>
      </c>
      <c r="D14" s="20">
        <v>4.6904157598234297</v>
      </c>
      <c r="E14" s="56"/>
      <c r="F14" s="56"/>
      <c r="G14" s="21"/>
      <c r="H14" s="21"/>
    </row>
    <row r="15" spans="1:8">
      <c r="A15" s="9">
        <v>5</v>
      </c>
      <c r="B15" s="24" t="s">
        <v>137</v>
      </c>
      <c r="C15" s="9" t="s">
        <v>52</v>
      </c>
      <c r="D15" s="20">
        <v>4.7434164902525691</v>
      </c>
      <c r="E15" s="56"/>
      <c r="F15" s="56"/>
      <c r="G15" s="21"/>
      <c r="H15" s="21"/>
    </row>
    <row r="16" spans="1:8">
      <c r="A16" s="9">
        <v>16</v>
      </c>
      <c r="B16" s="9" t="s">
        <v>138</v>
      </c>
      <c r="C16" s="9" t="s">
        <v>52</v>
      </c>
      <c r="D16" s="20">
        <v>4.2426406871192848</v>
      </c>
      <c r="E16" s="56"/>
      <c r="F16" s="56"/>
    </row>
    <row r="17" spans="1:6">
      <c r="A17" s="9">
        <v>17</v>
      </c>
      <c r="B17" s="9" t="s">
        <v>139</v>
      </c>
      <c r="C17" s="9" t="s">
        <v>52</v>
      </c>
      <c r="D17" s="20">
        <v>5.4772255750516612</v>
      </c>
      <c r="E17" s="56"/>
      <c r="F17" s="56"/>
    </row>
    <row r="18" spans="1:6">
      <c r="A18" s="9">
        <v>18</v>
      </c>
      <c r="B18" s="9" t="s">
        <v>140</v>
      </c>
      <c r="C18" s="9" t="s">
        <v>52</v>
      </c>
      <c r="D18" s="20">
        <v>4.9749371855330997</v>
      </c>
      <c r="E18" s="56"/>
      <c r="F18" s="56"/>
    </row>
    <row r="19" spans="1:6">
      <c r="A19" s="9">
        <v>26</v>
      </c>
      <c r="B19" s="9" t="s">
        <v>141</v>
      </c>
      <c r="C19" s="9" t="s">
        <v>52</v>
      </c>
      <c r="D19" s="20">
        <v>5.196152422706632</v>
      </c>
      <c r="E19" s="56"/>
      <c r="F19" s="56"/>
    </row>
    <row r="20" spans="1:6">
      <c r="A20" s="9">
        <v>28</v>
      </c>
      <c r="B20" s="9" t="s">
        <v>142</v>
      </c>
      <c r="C20" s="9" t="s">
        <v>52</v>
      </c>
      <c r="D20" s="20">
        <v>5.196152422706632</v>
      </c>
      <c r="E20" s="56"/>
      <c r="F20" s="56"/>
    </row>
    <row r="21" spans="1:6">
      <c r="A21" s="9">
        <v>31</v>
      </c>
      <c r="B21" s="9" t="s">
        <v>143</v>
      </c>
      <c r="C21" s="9" t="s">
        <v>52</v>
      </c>
      <c r="D21" s="20">
        <v>4.1833001326703778</v>
      </c>
      <c r="E21" s="56"/>
      <c r="F21" s="56"/>
    </row>
    <row r="22" spans="1:6">
      <c r="A22" s="9">
        <v>32</v>
      </c>
      <c r="B22" s="9" t="s">
        <v>144</v>
      </c>
      <c r="C22" s="9" t="s">
        <v>52</v>
      </c>
      <c r="D22" s="20">
        <v>4.8989794855663558</v>
      </c>
      <c r="E22" s="56"/>
      <c r="F22" s="56"/>
    </row>
    <row r="23" spans="1:6">
      <c r="A23" s="9">
        <v>33</v>
      </c>
      <c r="B23" s="9" t="s">
        <v>145</v>
      </c>
      <c r="C23" s="9" t="s">
        <v>52</v>
      </c>
      <c r="D23" s="20">
        <v>4.2426406871192848</v>
      </c>
      <c r="E23" s="56"/>
      <c r="F23" s="56"/>
    </row>
    <row r="24" spans="1:6">
      <c r="A24" s="9">
        <v>2</v>
      </c>
      <c r="B24" s="24" t="s">
        <v>146</v>
      </c>
      <c r="C24" s="9" t="s">
        <v>64</v>
      </c>
      <c r="D24" s="20">
        <v>4.9749371855330997</v>
      </c>
      <c r="E24" s="56">
        <f>AVERAGE(D24:D34)</f>
        <v>5.0789959704035539</v>
      </c>
      <c r="F24" s="56" t="s">
        <v>161</v>
      </c>
    </row>
    <row r="25" spans="1:6">
      <c r="A25" s="9">
        <v>6</v>
      </c>
      <c r="B25" s="24" t="s">
        <v>148</v>
      </c>
      <c r="C25" s="9" t="s">
        <v>64</v>
      </c>
      <c r="D25" s="20">
        <v>5.196152422706632</v>
      </c>
      <c r="E25" s="56"/>
      <c r="F25" s="56"/>
    </row>
    <row r="26" spans="1:6">
      <c r="A26" s="9">
        <v>8</v>
      </c>
      <c r="B26" s="24" t="s">
        <v>149</v>
      </c>
      <c r="C26" s="9" t="s">
        <v>64</v>
      </c>
      <c r="D26" s="20">
        <v>4.5</v>
      </c>
      <c r="E26" s="56"/>
      <c r="F26" s="56"/>
    </row>
    <row r="27" spans="1:6">
      <c r="A27" s="9">
        <v>10</v>
      </c>
      <c r="B27" s="24" t="s">
        <v>150</v>
      </c>
      <c r="C27" s="9" t="s">
        <v>64</v>
      </c>
      <c r="D27" s="20">
        <v>5.9160797830996161</v>
      </c>
      <c r="E27" s="56"/>
      <c r="F27" s="56"/>
    </row>
    <row r="28" spans="1:6">
      <c r="A28" s="9">
        <v>11</v>
      </c>
      <c r="B28" s="24" t="s">
        <v>151</v>
      </c>
      <c r="C28" s="9" t="s">
        <v>64</v>
      </c>
      <c r="D28" s="20">
        <v>4.6904157598234297</v>
      </c>
      <c r="E28" s="56"/>
      <c r="F28" s="56"/>
    </row>
    <row r="29" spans="1:6">
      <c r="A29" s="9">
        <v>12</v>
      </c>
      <c r="B29" s="24" t="s">
        <v>152</v>
      </c>
      <c r="C29" s="9" t="s">
        <v>64</v>
      </c>
      <c r="D29" s="20">
        <v>5.4083269131959844</v>
      </c>
      <c r="E29" s="56"/>
      <c r="F29" s="56"/>
    </row>
    <row r="30" spans="1:6">
      <c r="A30" s="9">
        <v>13</v>
      </c>
      <c r="B30" s="24" t="s">
        <v>153</v>
      </c>
      <c r="C30" s="9" t="s">
        <v>64</v>
      </c>
      <c r="D30" s="20">
        <v>4.8989794855663558</v>
      </c>
      <c r="E30" s="56"/>
      <c r="F30" s="56"/>
    </row>
    <row r="31" spans="1:6">
      <c r="A31" s="9">
        <v>14</v>
      </c>
      <c r="B31" s="25" t="s">
        <v>154</v>
      </c>
      <c r="C31" s="9" t="s">
        <v>64</v>
      </c>
      <c r="D31" s="20">
        <v>5.4772255750516612</v>
      </c>
      <c r="E31" s="56"/>
      <c r="F31" s="56"/>
    </row>
    <row r="32" spans="1:6">
      <c r="A32" s="9">
        <v>15</v>
      </c>
      <c r="B32" s="9" t="s">
        <v>155</v>
      </c>
      <c r="C32" s="9" t="s">
        <v>64</v>
      </c>
      <c r="D32" s="20">
        <v>5.6568542494923806</v>
      </c>
      <c r="E32" s="56"/>
      <c r="F32" s="56"/>
    </row>
    <row r="33" spans="1:6">
      <c r="A33" s="9">
        <v>25</v>
      </c>
      <c r="B33" s="9" t="s">
        <v>156</v>
      </c>
      <c r="C33" s="9" t="s">
        <v>64</v>
      </c>
      <c r="D33" s="20">
        <v>5.4083269131959844</v>
      </c>
      <c r="E33" s="56"/>
      <c r="F33" s="56"/>
    </row>
    <row r="34" spans="1:6">
      <c r="A34" s="9">
        <v>29</v>
      </c>
      <c r="B34" s="9" t="s">
        <v>157</v>
      </c>
      <c r="C34" s="9" t="s">
        <v>64</v>
      </c>
      <c r="D34" s="20">
        <v>3.7416573867739409</v>
      </c>
      <c r="E34" s="56"/>
      <c r="F34" s="56"/>
    </row>
  </sheetData>
  <autoFilter ref="A1:D1" xr:uid="{F294EAD7-2207-4EA2-A633-F6E085B1F34F}">
    <sortState xmlns:xlrd2="http://schemas.microsoft.com/office/spreadsheetml/2017/richdata2" ref="A2:D34">
      <sortCondition ref="C1"/>
    </sortState>
  </autoFilter>
  <mergeCells count="6">
    <mergeCell ref="E2:E12"/>
    <mergeCell ref="E13:E23"/>
    <mergeCell ref="E24:E34"/>
    <mergeCell ref="F2:F12"/>
    <mergeCell ref="F13:F23"/>
    <mergeCell ref="F24:F3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9A618-5A40-4C59-8365-C48BD50032EC}">
  <dimension ref="A1:H34"/>
  <sheetViews>
    <sheetView topLeftCell="A22" workbookViewId="0">
      <selection activeCell="C26" sqref="C26"/>
    </sheetView>
  </sheetViews>
  <sheetFormatPr defaultRowHeight="14.45"/>
  <cols>
    <col min="1" max="1" width="4.140625" bestFit="1" customWidth="1"/>
    <col min="2" max="2" width="24.85546875" bestFit="1" customWidth="1"/>
    <col min="3" max="3" width="20.140625" bestFit="1" customWidth="1"/>
    <col min="4" max="4" width="14.28515625" bestFit="1" customWidth="1"/>
    <col min="5" max="5" width="17.85546875" bestFit="1" customWidth="1"/>
    <col min="6" max="6" width="19.42578125" bestFit="1" customWidth="1"/>
  </cols>
  <sheetData>
    <row r="1" spans="1:8">
      <c r="A1" s="23" t="s">
        <v>34</v>
      </c>
      <c r="B1" s="23" t="s">
        <v>35</v>
      </c>
      <c r="C1" s="23" t="s">
        <v>36</v>
      </c>
      <c r="D1" s="23" t="s">
        <v>162</v>
      </c>
      <c r="E1" s="23" t="s">
        <v>163</v>
      </c>
      <c r="F1" s="23" t="s">
        <v>164</v>
      </c>
    </row>
    <row r="2" spans="1:8">
      <c r="A2" s="9">
        <v>4</v>
      </c>
      <c r="B2" s="24" t="s">
        <v>123</v>
      </c>
      <c r="C2" s="9" t="s">
        <v>40</v>
      </c>
      <c r="D2" s="22">
        <v>8.875</v>
      </c>
      <c r="E2" s="56">
        <f>AVERAGE(D2:D12)</f>
        <v>8.875</v>
      </c>
      <c r="F2" s="56" t="s">
        <v>165</v>
      </c>
      <c r="G2" s="21"/>
      <c r="H2" s="21"/>
    </row>
    <row r="3" spans="1:8">
      <c r="A3" s="9">
        <v>7</v>
      </c>
      <c r="B3" s="24" t="s">
        <v>125</v>
      </c>
      <c r="C3" s="9" t="s">
        <v>40</v>
      </c>
      <c r="D3" s="22">
        <v>8.875</v>
      </c>
      <c r="E3" s="56"/>
      <c r="F3" s="56"/>
      <c r="G3" s="21"/>
      <c r="H3" s="21"/>
    </row>
    <row r="4" spans="1:8">
      <c r="A4" s="9">
        <v>9</v>
      </c>
      <c r="B4" s="24" t="s">
        <v>126</v>
      </c>
      <c r="C4" s="9" t="s">
        <v>40</v>
      </c>
      <c r="D4" s="22">
        <v>8.875</v>
      </c>
      <c r="E4" s="56"/>
      <c r="F4" s="56"/>
      <c r="G4" s="21"/>
      <c r="H4" s="21"/>
    </row>
    <row r="5" spans="1:8">
      <c r="A5" s="9">
        <v>19</v>
      </c>
      <c r="B5" s="9" t="s">
        <v>127</v>
      </c>
      <c r="C5" s="9" t="s">
        <v>40</v>
      </c>
      <c r="D5" s="9">
        <v>8.875</v>
      </c>
      <c r="E5" s="56"/>
      <c r="F5" s="56"/>
      <c r="G5" s="21"/>
      <c r="H5" s="21"/>
    </row>
    <row r="6" spans="1:8">
      <c r="A6" s="9">
        <v>20</v>
      </c>
      <c r="B6" s="9" t="s">
        <v>128</v>
      </c>
      <c r="C6" s="9" t="s">
        <v>40</v>
      </c>
      <c r="D6" s="9">
        <v>8.875</v>
      </c>
      <c r="E6" s="56"/>
      <c r="F6" s="56"/>
      <c r="G6" s="21"/>
      <c r="H6" s="21"/>
    </row>
    <row r="7" spans="1:8">
      <c r="A7" s="9">
        <v>21</v>
      </c>
      <c r="B7" s="9" t="s">
        <v>129</v>
      </c>
      <c r="C7" s="9" t="s">
        <v>40</v>
      </c>
      <c r="D7" s="9">
        <v>8.875</v>
      </c>
      <c r="E7" s="56"/>
      <c r="F7" s="56"/>
      <c r="G7" s="21"/>
      <c r="H7" s="21"/>
    </row>
    <row r="8" spans="1:8">
      <c r="A8" s="9">
        <v>22</v>
      </c>
      <c r="B8" s="9" t="s">
        <v>130</v>
      </c>
      <c r="C8" s="9" t="s">
        <v>40</v>
      </c>
      <c r="D8" s="9">
        <v>8.875</v>
      </c>
      <c r="E8" s="56"/>
      <c r="F8" s="56"/>
      <c r="G8" s="21"/>
      <c r="H8" s="21"/>
    </row>
    <row r="9" spans="1:8">
      <c r="A9" s="9">
        <v>23</v>
      </c>
      <c r="B9" s="9" t="s">
        <v>131</v>
      </c>
      <c r="C9" s="9" t="s">
        <v>40</v>
      </c>
      <c r="D9" s="9">
        <v>8.875</v>
      </c>
      <c r="E9" s="56"/>
      <c r="F9" s="56"/>
      <c r="G9" s="21"/>
      <c r="H9" s="21"/>
    </row>
    <row r="10" spans="1:8">
      <c r="A10" s="9">
        <v>24</v>
      </c>
      <c r="B10" s="9" t="s">
        <v>132</v>
      </c>
      <c r="C10" s="9" t="s">
        <v>40</v>
      </c>
      <c r="D10" s="9">
        <v>8.875</v>
      </c>
      <c r="E10" s="56"/>
      <c r="F10" s="56"/>
      <c r="G10" s="21"/>
      <c r="H10" s="21"/>
    </row>
    <row r="11" spans="1:8">
      <c r="A11" s="9">
        <v>27</v>
      </c>
      <c r="B11" s="9" t="s">
        <v>133</v>
      </c>
      <c r="C11" s="9" t="s">
        <v>40</v>
      </c>
      <c r="D11" s="9">
        <v>8.875</v>
      </c>
      <c r="E11" s="56"/>
      <c r="F11" s="56"/>
      <c r="G11" s="21"/>
      <c r="H11" s="21"/>
    </row>
    <row r="12" spans="1:8">
      <c r="A12" s="9">
        <v>30</v>
      </c>
      <c r="B12" s="9" t="s">
        <v>134</v>
      </c>
      <c r="C12" s="9" t="s">
        <v>40</v>
      </c>
      <c r="D12" s="9">
        <v>8.875</v>
      </c>
      <c r="E12" s="56"/>
      <c r="F12" s="56"/>
      <c r="G12" s="21"/>
      <c r="H12" s="21"/>
    </row>
    <row r="13" spans="1:8">
      <c r="A13" s="9">
        <v>1</v>
      </c>
      <c r="B13" s="24" t="s">
        <v>135</v>
      </c>
      <c r="C13" s="9" t="s">
        <v>52</v>
      </c>
      <c r="D13" s="22">
        <v>8.875</v>
      </c>
      <c r="E13" s="56">
        <f>AVERAGE(D13:D23)</f>
        <v>8.875</v>
      </c>
      <c r="F13" s="56" t="s">
        <v>165</v>
      </c>
      <c r="G13" s="21"/>
      <c r="H13" s="21"/>
    </row>
    <row r="14" spans="1:8">
      <c r="A14" s="9">
        <v>3</v>
      </c>
      <c r="B14" s="24" t="s">
        <v>136</v>
      </c>
      <c r="C14" s="9" t="s">
        <v>52</v>
      </c>
      <c r="D14" s="22">
        <v>8.875</v>
      </c>
      <c r="E14" s="56"/>
      <c r="F14" s="56"/>
      <c r="G14" s="21"/>
      <c r="H14" s="21"/>
    </row>
    <row r="15" spans="1:8">
      <c r="A15" s="9">
        <v>5</v>
      </c>
      <c r="B15" s="24" t="s">
        <v>137</v>
      </c>
      <c r="C15" s="9" t="s">
        <v>52</v>
      </c>
      <c r="D15" s="22">
        <v>8.875</v>
      </c>
      <c r="E15" s="56"/>
      <c r="F15" s="56"/>
      <c r="G15" s="21"/>
      <c r="H15" s="21"/>
    </row>
    <row r="16" spans="1:8">
      <c r="A16" s="9">
        <v>16</v>
      </c>
      <c r="B16" s="9" t="s">
        <v>138</v>
      </c>
      <c r="C16" s="9" t="s">
        <v>52</v>
      </c>
      <c r="D16" s="9">
        <v>8.875</v>
      </c>
      <c r="E16" s="56"/>
      <c r="F16" s="56"/>
    </row>
    <row r="17" spans="1:6">
      <c r="A17" s="9">
        <v>17</v>
      </c>
      <c r="B17" s="9" t="s">
        <v>139</v>
      </c>
      <c r="C17" s="9" t="s">
        <v>52</v>
      </c>
      <c r="D17" s="9">
        <v>8.875</v>
      </c>
      <c r="E17" s="56"/>
      <c r="F17" s="56"/>
    </row>
    <row r="18" spans="1:6">
      <c r="A18" s="9">
        <v>18</v>
      </c>
      <c r="B18" s="9" t="s">
        <v>140</v>
      </c>
      <c r="C18" s="9" t="s">
        <v>52</v>
      </c>
      <c r="D18" s="9">
        <v>8.875</v>
      </c>
      <c r="E18" s="56"/>
      <c r="F18" s="56"/>
    </row>
    <row r="19" spans="1:6">
      <c r="A19" s="9">
        <v>26</v>
      </c>
      <c r="B19" s="9" t="s">
        <v>141</v>
      </c>
      <c r="C19" s="9" t="s">
        <v>52</v>
      </c>
      <c r="D19" s="9">
        <v>8.875</v>
      </c>
      <c r="E19" s="56"/>
      <c r="F19" s="56"/>
    </row>
    <row r="20" spans="1:6">
      <c r="A20" s="9">
        <v>28</v>
      </c>
      <c r="B20" s="9" t="s">
        <v>142</v>
      </c>
      <c r="C20" s="9" t="s">
        <v>52</v>
      </c>
      <c r="D20" s="9">
        <v>8.875</v>
      </c>
      <c r="E20" s="56"/>
      <c r="F20" s="56"/>
    </row>
    <row r="21" spans="1:6">
      <c r="A21" s="9">
        <v>31</v>
      </c>
      <c r="B21" s="9" t="s">
        <v>143</v>
      </c>
      <c r="C21" s="9" t="s">
        <v>52</v>
      </c>
      <c r="D21" s="9">
        <v>8.875</v>
      </c>
      <c r="E21" s="56"/>
      <c r="F21" s="56"/>
    </row>
    <row r="22" spans="1:6">
      <c r="A22" s="9">
        <v>32</v>
      </c>
      <c r="B22" s="9" t="s">
        <v>144</v>
      </c>
      <c r="C22" s="9" t="s">
        <v>52</v>
      </c>
      <c r="D22" s="9">
        <v>8.875</v>
      </c>
      <c r="E22" s="56"/>
      <c r="F22" s="56"/>
    </row>
    <row r="23" spans="1:6">
      <c r="A23" s="9">
        <v>33</v>
      </c>
      <c r="B23" s="9" t="s">
        <v>145</v>
      </c>
      <c r="C23" s="9" t="s">
        <v>52</v>
      </c>
      <c r="D23" s="9">
        <v>8.875</v>
      </c>
      <c r="E23" s="56"/>
      <c r="F23" s="56"/>
    </row>
    <row r="24" spans="1:6">
      <c r="A24" s="9">
        <v>2</v>
      </c>
      <c r="B24" s="24" t="s">
        <v>146</v>
      </c>
      <c r="C24" s="9" t="s">
        <v>64</v>
      </c>
      <c r="D24" s="22">
        <v>8.375</v>
      </c>
      <c r="E24" s="56">
        <f>AVERAGE(D24:D34)</f>
        <v>8.75</v>
      </c>
      <c r="F24" s="56" t="s">
        <v>165</v>
      </c>
    </row>
    <row r="25" spans="1:6">
      <c r="A25" s="9">
        <v>6</v>
      </c>
      <c r="B25" s="24" t="s">
        <v>148</v>
      </c>
      <c r="C25" s="9" t="s">
        <v>64</v>
      </c>
      <c r="D25" s="22">
        <v>8.875</v>
      </c>
      <c r="E25" s="56"/>
      <c r="F25" s="56"/>
    </row>
    <row r="26" spans="1:6">
      <c r="A26" s="9">
        <v>8</v>
      </c>
      <c r="B26" s="24" t="s">
        <v>149</v>
      </c>
      <c r="C26" s="9" t="s">
        <v>64</v>
      </c>
      <c r="D26" s="22">
        <v>8.875</v>
      </c>
      <c r="E26" s="56"/>
      <c r="F26" s="56"/>
    </row>
    <row r="27" spans="1:6">
      <c r="A27" s="9">
        <v>10</v>
      </c>
      <c r="B27" s="24" t="s">
        <v>150</v>
      </c>
      <c r="C27" s="9" t="s">
        <v>64</v>
      </c>
      <c r="D27" s="22">
        <v>8.875</v>
      </c>
      <c r="E27" s="56"/>
      <c r="F27" s="56"/>
    </row>
    <row r="28" spans="1:6">
      <c r="A28" s="9">
        <v>11</v>
      </c>
      <c r="B28" s="24" t="s">
        <v>151</v>
      </c>
      <c r="C28" s="9" t="s">
        <v>64</v>
      </c>
      <c r="D28" s="22">
        <v>8</v>
      </c>
      <c r="E28" s="56"/>
      <c r="F28" s="56"/>
    </row>
    <row r="29" spans="1:6">
      <c r="A29" s="9">
        <v>12</v>
      </c>
      <c r="B29" s="24" t="s">
        <v>152</v>
      </c>
      <c r="C29" s="9" t="s">
        <v>64</v>
      </c>
      <c r="D29" s="22">
        <v>8.875</v>
      </c>
      <c r="E29" s="56"/>
      <c r="F29" s="56"/>
    </row>
    <row r="30" spans="1:6">
      <c r="A30" s="9">
        <v>13</v>
      </c>
      <c r="B30" s="24" t="s">
        <v>153</v>
      </c>
      <c r="C30" s="9" t="s">
        <v>64</v>
      </c>
      <c r="D30" s="22">
        <v>8.875</v>
      </c>
      <c r="E30" s="56"/>
      <c r="F30" s="56"/>
    </row>
    <row r="31" spans="1:6">
      <c r="A31" s="9">
        <v>14</v>
      </c>
      <c r="B31" s="25" t="s">
        <v>154</v>
      </c>
      <c r="C31" s="9" t="s">
        <v>64</v>
      </c>
      <c r="D31" s="22">
        <v>8.875</v>
      </c>
      <c r="E31" s="56"/>
      <c r="F31" s="56"/>
    </row>
    <row r="32" spans="1:6">
      <c r="A32" s="9">
        <v>15</v>
      </c>
      <c r="B32" s="9" t="s">
        <v>155</v>
      </c>
      <c r="C32" s="9" t="s">
        <v>64</v>
      </c>
      <c r="D32" s="9">
        <v>8.875</v>
      </c>
      <c r="E32" s="56"/>
      <c r="F32" s="56"/>
    </row>
    <row r="33" spans="1:6">
      <c r="A33" s="9">
        <v>25</v>
      </c>
      <c r="B33" s="9" t="s">
        <v>156</v>
      </c>
      <c r="C33" s="9" t="s">
        <v>64</v>
      </c>
      <c r="D33" s="9">
        <v>8.875</v>
      </c>
      <c r="E33" s="56"/>
      <c r="F33" s="56"/>
    </row>
    <row r="34" spans="1:6">
      <c r="A34" s="9">
        <v>29</v>
      </c>
      <c r="B34" s="9" t="s">
        <v>157</v>
      </c>
      <c r="C34" s="9" t="s">
        <v>64</v>
      </c>
      <c r="D34" s="9">
        <v>8.875</v>
      </c>
      <c r="E34" s="56"/>
      <c r="F34" s="56"/>
    </row>
  </sheetData>
  <autoFilter ref="A1:D1" xr:uid="{6981F627-9C8A-440F-9117-C65AEBF04DD7}">
    <sortState xmlns:xlrd2="http://schemas.microsoft.com/office/spreadsheetml/2017/richdata2" ref="A2:D34">
      <sortCondition ref="C1"/>
    </sortState>
  </autoFilter>
  <mergeCells count="6">
    <mergeCell ref="E2:E12"/>
    <mergeCell ref="E13:E23"/>
    <mergeCell ref="E24:E34"/>
    <mergeCell ref="F2:F12"/>
    <mergeCell ref="F13:F23"/>
    <mergeCell ref="F24:F3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9139F-3AD2-423A-9BEA-F3BD0E19118C}">
  <dimension ref="A2:R15"/>
  <sheetViews>
    <sheetView workbookViewId="0">
      <selection activeCell="I7" sqref="I7"/>
    </sheetView>
  </sheetViews>
  <sheetFormatPr defaultRowHeight="15"/>
  <cols>
    <col min="1" max="1" width="4" bestFit="1" customWidth="1"/>
    <col min="2" max="2" width="27.140625" bestFit="1" customWidth="1"/>
    <col min="3" max="11" width="12" customWidth="1"/>
  </cols>
  <sheetData>
    <row r="2" spans="1:18">
      <c r="A2" s="59" t="s">
        <v>166</v>
      </c>
      <c r="B2" s="59" t="s">
        <v>167</v>
      </c>
      <c r="C2" s="60" t="s">
        <v>40</v>
      </c>
      <c r="D2" s="60"/>
      <c r="E2" s="60"/>
      <c r="F2" s="60" t="s">
        <v>52</v>
      </c>
      <c r="G2" s="60"/>
      <c r="H2" s="60"/>
      <c r="I2" s="60" t="s">
        <v>64</v>
      </c>
      <c r="J2" s="60"/>
      <c r="K2" s="60"/>
    </row>
    <row r="3" spans="1:18">
      <c r="A3" s="59"/>
      <c r="B3" s="59"/>
      <c r="C3" s="34" t="s">
        <v>168</v>
      </c>
      <c r="D3" s="34" t="s">
        <v>169</v>
      </c>
      <c r="E3" s="34" t="s">
        <v>170</v>
      </c>
      <c r="F3" s="34" t="s">
        <v>168</v>
      </c>
      <c r="G3" s="34" t="s">
        <v>169</v>
      </c>
      <c r="H3" s="34" t="s">
        <v>170</v>
      </c>
      <c r="I3" s="34" t="s">
        <v>168</v>
      </c>
      <c r="J3" s="34" t="s">
        <v>169</v>
      </c>
      <c r="K3" s="34" t="s">
        <v>170</v>
      </c>
    </row>
    <row r="4" spans="1:18">
      <c r="A4" s="35">
        <v>1</v>
      </c>
      <c r="B4" s="36" t="s">
        <v>171</v>
      </c>
      <c r="C4" s="37">
        <f>IFERROR(COUNTIFS(STR!$V:$V, Overview!C$2, STR!$X:$X, "TRUE")/COUNTIFS(STR!$V:$V, Overview!C2), 0)</f>
        <v>1</v>
      </c>
      <c r="D4" s="38">
        <v>0.15</v>
      </c>
      <c r="E4" s="37">
        <f>D4*C4</f>
        <v>0.15</v>
      </c>
      <c r="F4" s="37">
        <f>IFERROR(COUNTIFS(STR!$V:$V, Overview!F$2, STR!$X:$X, "TRUE")/COUNTIFS(STR!$V:$V, Overview!F2), 0)</f>
        <v>1</v>
      </c>
      <c r="G4" s="38">
        <v>0.15</v>
      </c>
      <c r="H4" s="39">
        <f>G4*F4</f>
        <v>0.15</v>
      </c>
      <c r="I4" s="37">
        <f>IFERROR(COUNTIFS(STR!$V:$V, Overview!I$2, STR!$X:$X, "TRUE")/COUNTIFS(STR!$V:$V, Overview!I2), 0)</f>
        <v>0.6</v>
      </c>
      <c r="J4" s="38">
        <v>0.15</v>
      </c>
      <c r="K4" s="39">
        <f>J4*I4</f>
        <v>0.09</v>
      </c>
    </row>
    <row r="5" spans="1:18">
      <c r="A5" s="35">
        <v>2</v>
      </c>
      <c r="B5" s="36" t="s">
        <v>172</v>
      </c>
      <c r="C5" s="37">
        <f>1-AVERAGEIF('Bad Data'!$C:$C, Overview!C$2, 'Bad Data'!$D:$D)</f>
        <v>0.99599818181818178</v>
      </c>
      <c r="D5" s="38">
        <v>0.1</v>
      </c>
      <c r="E5" s="37">
        <f t="shared" ref="E5:E14" si="0">D5*C5</f>
        <v>9.9599818181818178E-2</v>
      </c>
      <c r="F5" s="37">
        <f>1-AVERAGEIF('Bad Data'!$C:$C, Overview!F$2, 'Bad Data'!$D:$D)</f>
        <v>0.99636909090909087</v>
      </c>
      <c r="G5" s="38">
        <v>0.1</v>
      </c>
      <c r="H5" s="39">
        <f t="shared" ref="H5:H14" si="1">G5*F5</f>
        <v>9.9636909090909095E-2</v>
      </c>
      <c r="I5" s="37">
        <f>1-AVERAGEIF('Bad Data'!$C:$C, Overview!I$2, 'Bad Data'!$D:$D)</f>
        <v>0.99512454545454543</v>
      </c>
      <c r="J5" s="38">
        <v>0.1</v>
      </c>
      <c r="K5" s="39">
        <f t="shared" ref="K5:K14" si="2">J5*I5</f>
        <v>9.9512454545454543E-2</v>
      </c>
    </row>
    <row r="6" spans="1:18">
      <c r="A6" s="35">
        <v>3</v>
      </c>
      <c r="B6" s="36" t="s">
        <v>173</v>
      </c>
      <c r="C6" s="37">
        <f>AVERAGEIF('Pengkinian Data'!$C:$C, Overview!C$2, 'Pengkinian Data'!$D:$D)</f>
        <v>0.97166363636363651</v>
      </c>
      <c r="D6" s="38">
        <v>0.1</v>
      </c>
      <c r="E6" s="37">
        <f t="shared" si="0"/>
        <v>9.7166363636363662E-2</v>
      </c>
      <c r="F6" s="37">
        <f>AVERAGEIF('Pengkinian Data'!$C:$C, Overview!F$2, 'Pengkinian Data'!$D:$D)</f>
        <v>0.98101818181818179</v>
      </c>
      <c r="G6" s="38">
        <v>0.1</v>
      </c>
      <c r="H6" s="39">
        <f t="shared" si="1"/>
        <v>9.8101818181818179E-2</v>
      </c>
      <c r="I6" s="37">
        <f>AVERAGEIF('Pengkinian Data'!$C:$C, Overview!I$2, 'Pengkinian Data'!$D:$D)</f>
        <v>0.97760000000000002</v>
      </c>
      <c r="J6" s="38">
        <v>0.1</v>
      </c>
      <c r="K6" s="39">
        <f t="shared" si="2"/>
        <v>9.7760000000000014E-2</v>
      </c>
      <c r="R6" t="s">
        <v>174</v>
      </c>
    </row>
    <row r="7" spans="1:18">
      <c r="A7" s="35">
        <v>4</v>
      </c>
      <c r="B7" s="36" t="s">
        <v>175</v>
      </c>
      <c r="C7" s="37" cm="1">
        <f t="array" ref="C7">IFERROR(SUMPRODUCT(--('[3]Uji Petik'!$E$3:$E$73&lt;&gt;""), --('[3]Uji Petik'!$C$3:$C$73=C2)) / SUMPRODUCT(--('[3]Uji Petik'!$C$3:$C$73=C2)), 0)</f>
        <v>1</v>
      </c>
      <c r="D7" s="38">
        <v>0</v>
      </c>
      <c r="E7" s="37">
        <f t="shared" si="0"/>
        <v>0</v>
      </c>
      <c r="F7" s="37" cm="1">
        <f t="array" ref="F7">IFERROR(SUMPRODUCT(--('[3]Uji Petik'!$E$3:$E$73&lt;&gt;""), --('[3]Uji Petik'!$C$3:$C$73=F2)) / SUMPRODUCT(--('[3]Uji Petik'!$C$3:$C$73=F2)), 0)</f>
        <v>0</v>
      </c>
      <c r="G7" s="38">
        <v>0</v>
      </c>
      <c r="H7" s="39">
        <f t="shared" si="1"/>
        <v>0</v>
      </c>
      <c r="I7" s="37" cm="1">
        <f t="array" ref="I7">IFERROR(SUMPRODUCT(--('[3]Uji Petik'!$E$3:$E$73&lt;&gt;""), --('[3]Uji Petik'!$C$3:$C$73=I2)) / SUMPRODUCT(--('[3]Uji Petik'!$C$3:$C$73=I2)), 0)</f>
        <v>0</v>
      </c>
      <c r="J7" s="38">
        <v>0</v>
      </c>
      <c r="K7" s="39">
        <f t="shared" si="2"/>
        <v>0</v>
      </c>
    </row>
    <row r="8" spans="1:18">
      <c r="A8" s="35">
        <v>5</v>
      </c>
      <c r="B8" s="36" t="s">
        <v>176</v>
      </c>
      <c r="C8" s="40" cm="1">
        <f t="array" ref="C8">IFERROR(AVERAGE(IF([1]Sosialisasi!$C$1:$C$10000=C2, [1]Sosialisasi!$D$1:$D$10000)), 0)</f>
        <v>0.27272727272727271</v>
      </c>
      <c r="D8" s="38">
        <v>0.15</v>
      </c>
      <c r="E8" s="37">
        <f t="shared" si="0"/>
        <v>4.0909090909090902E-2</v>
      </c>
      <c r="F8" s="40" cm="1">
        <f t="array" ref="F8">IFERROR(AVERAGE(IF([1]Sosialisasi!$C$1:$C$10000=F2, [1]Sosialisasi!$D$1:$D$10000)), 0)</f>
        <v>0.45454545454545453</v>
      </c>
      <c r="G8" s="38">
        <v>0.15</v>
      </c>
      <c r="H8" s="39">
        <f t="shared" si="1"/>
        <v>6.8181818181818177E-2</v>
      </c>
      <c r="I8" s="40" cm="1">
        <f t="array" ref="I8">IFERROR(AVERAGE(IF([1]Sosialisasi!$C$1:$C$10000=I2, [1]Sosialisasi!$D$1:$D$10000)), 0)</f>
        <v>0.36363636363636365</v>
      </c>
      <c r="J8" s="38">
        <v>0.15</v>
      </c>
      <c r="K8" s="39">
        <f t="shared" si="2"/>
        <v>5.4545454545454543E-2</v>
      </c>
    </row>
    <row r="9" spans="1:18">
      <c r="A9" s="35">
        <v>6</v>
      </c>
      <c r="B9" s="36" t="s">
        <v>177</v>
      </c>
      <c r="C9" s="37">
        <f>AVERAGEIF('EDD PEP PPATK'!$C:$C, Overview!C$2, 'EDD PEP PPATK'!$D:$D)</f>
        <v>0.9956233568562336</v>
      </c>
      <c r="D9" s="38">
        <v>0.1</v>
      </c>
      <c r="E9" s="37">
        <f t="shared" si="0"/>
        <v>9.9562335685623365E-2</v>
      </c>
      <c r="F9" s="37">
        <f>AVERAGEIF('EDD PEP PPATK'!$C:$C, Overview!F$2, 'EDD PEP PPATK'!$D:$D)</f>
        <v>0.99300605644355666</v>
      </c>
      <c r="G9" s="38">
        <v>0.1</v>
      </c>
      <c r="H9" s="39">
        <f t="shared" si="1"/>
        <v>9.9300605644355666E-2</v>
      </c>
      <c r="I9" s="37">
        <f>AVERAGEIF('EDD PEP PPATK'!$C:$C, Overview!I$2, 'EDD PEP PPATK'!$D:$D)</f>
        <v>0.99378025820333515</v>
      </c>
      <c r="J9" s="38">
        <v>0.1</v>
      </c>
      <c r="K9" s="39">
        <f t="shared" si="2"/>
        <v>9.9378025820333518E-2</v>
      </c>
    </row>
    <row r="10" spans="1:18">
      <c r="A10" s="35">
        <v>7</v>
      </c>
      <c r="B10" s="36" t="s">
        <v>178</v>
      </c>
      <c r="C10" s="37" cm="1">
        <f t="array" ref="C10">IF(IFERROR(AVERAGE(IF('[1]Sheet2 (2)'!$C$1:$C$10000=C$2, '[1]Sheet2 (2)'!$D$1:$D$10000)), 0)&gt;0.9, 1, IFERROR(AVERAGE(IF('[1]Sheet2 (2)'!$C$1:$C$10000=C$2, '[1]Sheet2 (2)'!$D$1:$D$10000)), 0))</f>
        <v>1</v>
      </c>
      <c r="D10" s="38">
        <v>0.05</v>
      </c>
      <c r="E10" s="37">
        <f t="shared" si="0"/>
        <v>0.05</v>
      </c>
      <c r="F10" s="37" cm="1">
        <f t="array" ref="F10">IF(IFERROR(AVERAGE(IF('[1]Sheet2 (2)'!$C$1:$C$10000=F$2, '[1]Sheet2 (2)'!$D$1:$D$10000)), 0)&gt;0.9, 1, IFERROR(AVERAGE(IF('[1]Sheet2 (2)'!$C$1:$C$10000=F$2, '[1]Sheet2 (2)'!$D$1:$D$10000)), 0))</f>
        <v>1</v>
      </c>
      <c r="G10" s="38">
        <v>0.05</v>
      </c>
      <c r="H10" s="39">
        <f t="shared" si="1"/>
        <v>0.05</v>
      </c>
      <c r="I10" s="37" cm="1">
        <f t="array" ref="I10">IF(IFERROR(AVERAGE(IF('[1]Sheet2 (2)'!$C$1:$C$10000=I$2, '[1]Sheet2 (2)'!$D$1:$D$10000)), 0)&gt;0.9, 1, IFERROR(AVERAGE(IF('[1]Sheet2 (2)'!$C$1:$C$10000=I$2, '[1]Sheet2 (2)'!$D$1:$D$10000)), 0))</f>
        <v>1</v>
      </c>
      <c r="J10" s="38">
        <v>0.05</v>
      </c>
      <c r="K10" s="39">
        <f t="shared" si="2"/>
        <v>0.05</v>
      </c>
    </row>
    <row r="11" spans="1:18">
      <c r="A11" s="35">
        <v>8</v>
      </c>
      <c r="B11" s="36" t="s">
        <v>179</v>
      </c>
      <c r="C11" s="37" cm="1">
        <f t="array" ref="C11">IF(IFERROR(AVERAGE(IF('[1]Sheet2 (3)'!$C$1:$C$10000=C2, '[1]Sheet2 (3)'!$D$1:$D$10000)), 0)&gt;90, 1, IFERROR(AVERAGE(IF('[1]Sheet2 (3)'!$C$1:$C$10000=C2, '[1]Sheet2 (3)'!$D$1:$D$10000)), 0)/90)</f>
        <v>1</v>
      </c>
      <c r="D11" s="38">
        <v>0.05</v>
      </c>
      <c r="E11" s="37">
        <f t="shared" si="0"/>
        <v>0.05</v>
      </c>
      <c r="F11" s="37" cm="1">
        <f t="array" ref="F11">IF(IFERROR(AVERAGE(IF('[1]Sheet2 (3)'!$C$1:$C$10000=F2, '[1]Sheet2 (3)'!$D$1:$D$10000)), 0)&gt;90, 1, IFERROR(AVERAGE(IF('[1]Sheet2 (3)'!$C$1:$C$10000=F2, '[1]Sheet2 (3)'!$D$1:$D$10000)), 0)/90)</f>
        <v>1</v>
      </c>
      <c r="G11" s="38">
        <v>0.05</v>
      </c>
      <c r="H11" s="39">
        <f t="shared" si="1"/>
        <v>0.05</v>
      </c>
      <c r="I11" s="37" cm="1">
        <f t="array" ref="I11">IF(IFERROR(AVERAGE(IF('[1]Sheet2 (3)'!$C$1:$C$10000=I2, '[1]Sheet2 (3)'!$D$1:$D$10000)), 0)&gt;90, 1, IFERROR(AVERAGE(IF('[1]Sheet2 (3)'!$C$1:$C$10000=I2, '[1]Sheet2 (3)'!$D$1:$D$10000)), 0)/90)</f>
        <v>1</v>
      </c>
      <c r="J11" s="38">
        <v>0.05</v>
      </c>
      <c r="K11" s="39">
        <f t="shared" si="2"/>
        <v>0.05</v>
      </c>
    </row>
    <row r="12" spans="1:18">
      <c r="A12" s="35">
        <v>9</v>
      </c>
      <c r="B12" s="36" t="s">
        <v>180</v>
      </c>
      <c r="C12" s="37">
        <f>IF(AVERAGEIF('Nilai Maturitas'!$C:$C, Overview!C2, 'Nilai Maturitas'!$D:$D) &gt; 8, 110%, AVERAGEIF('Nilai Maturitas'!$C:$C, Overview!C2, 'Nilai Maturitas'!$D:$D)/8*100%)</f>
        <v>1.1000000000000001</v>
      </c>
      <c r="D12" s="38">
        <v>0.1</v>
      </c>
      <c r="E12" s="37">
        <f t="shared" si="0"/>
        <v>0.11000000000000001</v>
      </c>
      <c r="F12" s="37">
        <f>IF(AVERAGEIF('Nilai Maturitas'!$C:$C, Overview!F2, 'Nilai Maturitas'!$D:$D) &gt; 8, 110%, AVERAGEIF('Nilai Maturitas'!$C:$C, Overview!F2, 'Nilai Maturitas'!$D:$D)/8*100%)</f>
        <v>1.1000000000000001</v>
      </c>
      <c r="G12" s="38">
        <v>0.1</v>
      </c>
      <c r="H12" s="39">
        <f t="shared" si="1"/>
        <v>0.11000000000000001</v>
      </c>
      <c r="I12" s="37">
        <f>IF(AVERAGEIF('Nilai Maturitas'!$C:$C, Overview!I2, 'Nilai Maturitas'!$D:$D) &gt; 8, 110%, AVERAGEIF('Nilai Maturitas'!$C:$C, Overview!I2, 'Nilai Maturitas'!$D:$D)/8*100%)</f>
        <v>1.1000000000000001</v>
      </c>
      <c r="J12" s="38">
        <v>0.1</v>
      </c>
      <c r="K12" s="39">
        <f t="shared" si="2"/>
        <v>0.11000000000000001</v>
      </c>
    </row>
    <row r="13" spans="1:18">
      <c r="A13" s="35">
        <v>10</v>
      </c>
      <c r="B13" s="36" t="s">
        <v>181</v>
      </c>
      <c r="C13" s="37">
        <f>IF(AVERAGEIF('Maturitas Dashboard'!$C:$C, Overview!C$2, 'Maturitas Dashboard'!$D:$D) &gt; 8, 110%, AVERAGEIF('Maturitas Dashboard'!$C:$C, Overview!C$2, 'Maturitas Dashboard'!$D:$D)/8*100%)</f>
        <v>1.1000000000000001</v>
      </c>
      <c r="D13" s="38">
        <v>0.1</v>
      </c>
      <c r="E13" s="37">
        <f t="shared" si="0"/>
        <v>0.11000000000000001</v>
      </c>
      <c r="F13" s="37">
        <f>IF(AVERAGEIF('Maturitas Dashboard'!$C:$C, Overview!F$2, 'Maturitas Dashboard'!$D:$D) &gt; 8, 110%, AVERAGEIF('Maturitas Dashboard'!$C:$C, Overview!F$2, 'Maturitas Dashboard'!$D:$D)/8*100%)</f>
        <v>1.1000000000000001</v>
      </c>
      <c r="G13" s="38">
        <v>0.1</v>
      </c>
      <c r="H13" s="39">
        <f t="shared" si="1"/>
        <v>0.11000000000000001</v>
      </c>
      <c r="I13" s="37">
        <f>IF(AVERAGEIF('Maturitas Dashboard'!$C:$C, Overview!I$2, 'Maturitas Dashboard'!$D:$D) &gt; 8, 110%, AVERAGEIF('Maturitas Dashboard'!$C:$C, Overview!I$2, 'Maturitas Dashboard'!$D:$D)/8*100%)</f>
        <v>1.1000000000000001</v>
      </c>
      <c r="J13" s="38">
        <v>0.1</v>
      </c>
      <c r="K13" s="39">
        <f t="shared" si="2"/>
        <v>0.11000000000000001</v>
      </c>
    </row>
    <row r="14" spans="1:18">
      <c r="A14" s="41">
        <v>11</v>
      </c>
      <c r="B14" s="42" t="s">
        <v>182</v>
      </c>
      <c r="C14" s="43">
        <f>IF(AVERAGEIF('Penilaian Resiko'!$C:$C, Overview!C$2, 'Penilaian Resiko'!$D:$D) &lt; 5.8, 110%, IF(AVERAGEIF('Penilaian Resiko'!$C:$C, Overview!C$2, 'Penilaian Resiko'!$D:$D) &lt;7.4, 3/4*100%, 3/5*100%))</f>
        <v>1.1000000000000001</v>
      </c>
      <c r="D14" s="44">
        <v>0.1</v>
      </c>
      <c r="E14" s="43">
        <f t="shared" si="0"/>
        <v>0.11000000000000001</v>
      </c>
      <c r="F14" s="43">
        <f>IF(AVERAGEIF('Penilaian Resiko'!$C:$C, Overview!F$2, 'Penilaian Resiko'!$D:$D) &lt; 5.8, 110%, IF(AVERAGEIF('Penilaian Resiko'!$C:$C, Overview!F$2, 'Penilaian Resiko'!$D:$D) &lt;7.4, 3/4*100%, 3/5*100%))</f>
        <v>1.1000000000000001</v>
      </c>
      <c r="G14" s="44">
        <v>0.1</v>
      </c>
      <c r="H14" s="45">
        <f t="shared" si="1"/>
        <v>0.11000000000000001</v>
      </c>
      <c r="I14" s="43">
        <f>IF(AVERAGEIF('Penilaian Resiko'!$C:$C, Overview!I$2, 'Penilaian Resiko'!$D:$D) &lt; 5.8, 110%, IF(AVERAGEIF('Penilaian Resiko'!$C:$C, Overview!I$2, 'Penilaian Resiko'!$D:$D) &lt;7.4, 3/4*100%, 3/5*100%))</f>
        <v>1.1000000000000001</v>
      </c>
      <c r="J14" s="44">
        <v>0.1</v>
      </c>
      <c r="K14" s="45">
        <f t="shared" si="2"/>
        <v>0.11000000000000001</v>
      </c>
    </row>
    <row r="15" spans="1:18">
      <c r="A15" s="46"/>
      <c r="B15" s="46"/>
      <c r="C15" s="57" t="s">
        <v>183</v>
      </c>
      <c r="D15" s="58"/>
      <c r="E15" s="47">
        <f>SUM(E4:E14)</f>
        <v>0.91723760841289614</v>
      </c>
      <c r="F15" s="57" t="s">
        <v>183</v>
      </c>
      <c r="G15" s="58"/>
      <c r="H15" s="47">
        <f>SUM(H4:H14)</f>
        <v>0.94522115109890115</v>
      </c>
      <c r="I15" s="57" t="s">
        <v>183</v>
      </c>
      <c r="J15" s="58"/>
      <c r="K15" s="47">
        <f>SUM(K4:K14)</f>
        <v>0.87119593491124259</v>
      </c>
    </row>
  </sheetData>
  <mergeCells count="8">
    <mergeCell ref="C15:D15"/>
    <mergeCell ref="F15:G15"/>
    <mergeCell ref="I15:J15"/>
    <mergeCell ref="A2:A3"/>
    <mergeCell ref="B2:B3"/>
    <mergeCell ref="C2:E2"/>
    <mergeCell ref="F2:H2"/>
    <mergeCell ref="I2:K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C71DF-8B03-4AAF-9581-6F1BEC5DA12E}">
  <dimension ref="A2:R15"/>
  <sheetViews>
    <sheetView tabSelected="1" workbookViewId="0">
      <selection activeCell="C7" sqref="C7"/>
    </sheetView>
  </sheetViews>
  <sheetFormatPr defaultRowHeight="15"/>
  <cols>
    <col min="1" max="1" width="4" bestFit="1" customWidth="1"/>
    <col min="2" max="2" width="27.140625" bestFit="1" customWidth="1"/>
    <col min="3" max="11" width="12" customWidth="1"/>
  </cols>
  <sheetData>
    <row r="2" spans="1:18">
      <c r="A2" s="59" t="s">
        <v>166</v>
      </c>
      <c r="B2" s="59" t="s">
        <v>167</v>
      </c>
      <c r="C2" s="60" t="s">
        <v>40</v>
      </c>
      <c r="D2" s="60"/>
      <c r="E2" s="60"/>
      <c r="F2" s="60" t="s">
        <v>52</v>
      </c>
      <c r="G2" s="60"/>
      <c r="H2" s="60"/>
      <c r="I2" s="60" t="s">
        <v>64</v>
      </c>
      <c r="J2" s="60"/>
      <c r="K2" s="60"/>
    </row>
    <row r="3" spans="1:18">
      <c r="A3" s="59"/>
      <c r="B3" s="59"/>
      <c r="C3" s="34" t="s">
        <v>168</v>
      </c>
      <c r="D3" s="34" t="s">
        <v>169</v>
      </c>
      <c r="E3" s="34" t="s">
        <v>170</v>
      </c>
      <c r="F3" s="34" t="s">
        <v>168</v>
      </c>
      <c r="G3" s="34" t="s">
        <v>169</v>
      </c>
      <c r="H3" s="34" t="s">
        <v>170</v>
      </c>
      <c r="I3" s="34" t="s">
        <v>168</v>
      </c>
      <c r="J3" s="34" t="s">
        <v>169</v>
      </c>
      <c r="K3" s="34" t="s">
        <v>170</v>
      </c>
    </row>
    <row r="4" spans="1:18">
      <c r="A4" s="35">
        <v>1</v>
      </c>
      <c r="B4" s="36" t="s">
        <v>171</v>
      </c>
      <c r="C4" s="37">
        <f>IFERROR(COUNTIFS(STR!$V:$V, 'Overview tanpa KPI'!C$2, STR!$X:$X, "TRUE")/COUNTIFS(STR!$V:$V, 'Overview tanpa KPI'!C2), 0)</f>
        <v>1</v>
      </c>
      <c r="D4" s="38">
        <v>0.15</v>
      </c>
      <c r="E4" s="37">
        <f>D4*C4</f>
        <v>0.15</v>
      </c>
      <c r="F4" s="37">
        <f>IFERROR(COUNTIFS(STR!$V:$V, 'Overview tanpa KPI'!F$2, STR!$X:$X, "TRUE")/COUNTIFS(STR!$V:$V, 'Overview tanpa KPI'!F2), 0)</f>
        <v>1</v>
      </c>
      <c r="G4" s="38">
        <v>0.15</v>
      </c>
      <c r="H4" s="39">
        <f>G4*F4</f>
        <v>0.15</v>
      </c>
      <c r="I4" s="37">
        <f>IFERROR(COUNTIFS(STR!$V:$V, 'Overview tanpa KPI'!I$2, STR!$X:$X, "TRUE")/COUNTIFS(STR!$V:$V, 'Overview tanpa KPI'!I2), 0)</f>
        <v>0.6</v>
      </c>
      <c r="J4" s="38">
        <v>0.15</v>
      </c>
      <c r="K4" s="39">
        <f>J4*I4</f>
        <v>0.09</v>
      </c>
    </row>
    <row r="5" spans="1:18">
      <c r="A5" s="35">
        <v>2</v>
      </c>
      <c r="B5" s="36" t="s">
        <v>172</v>
      </c>
      <c r="C5" s="37">
        <f>1-AVERAGEIF('Bad Data'!$C:$C, 'Overview tanpa KPI'!C$2, 'Bad Data'!$D:$D)</f>
        <v>0.99599818181818178</v>
      </c>
      <c r="D5" s="38">
        <v>0.1</v>
      </c>
      <c r="E5" s="37">
        <f t="shared" ref="E5:E14" si="0">D5*C5</f>
        <v>9.9599818181818178E-2</v>
      </c>
      <c r="F5" s="37">
        <f>1-AVERAGEIF('Bad Data'!$C:$C, 'Overview tanpa KPI'!F$2, 'Bad Data'!$D:$D)</f>
        <v>0.99636909090909087</v>
      </c>
      <c r="G5" s="38">
        <v>0.1</v>
      </c>
      <c r="H5" s="39">
        <f t="shared" ref="H5:H14" si="1">G5*F5</f>
        <v>9.9636909090909095E-2</v>
      </c>
      <c r="I5" s="37">
        <f>1-AVERAGEIF('Bad Data'!$C:$C, 'Overview tanpa KPI'!I$2, 'Bad Data'!$D:$D)</f>
        <v>0.99512454545454543</v>
      </c>
      <c r="J5" s="38">
        <v>0.1</v>
      </c>
      <c r="K5" s="39">
        <f t="shared" ref="K5:K14" si="2">J5*I5</f>
        <v>9.9512454545454543E-2</v>
      </c>
    </row>
    <row r="6" spans="1:18">
      <c r="A6" s="35">
        <v>3</v>
      </c>
      <c r="B6" s="36" t="s">
        <v>173</v>
      </c>
      <c r="C6" s="37">
        <f>AVERAGEIF('Pengkinian Data'!$C:$C, 'Overview tanpa KPI'!C$2, 'Pengkinian Data'!$D:$D)</f>
        <v>0.97166363636363651</v>
      </c>
      <c r="D6" s="38">
        <v>0.1</v>
      </c>
      <c r="E6" s="37">
        <f t="shared" si="0"/>
        <v>9.7166363636363662E-2</v>
      </c>
      <c r="F6" s="37">
        <f>AVERAGEIF('Pengkinian Data'!$C:$C, 'Overview tanpa KPI'!F$2, 'Pengkinian Data'!$D:$D)</f>
        <v>0.98101818181818179</v>
      </c>
      <c r="G6" s="38">
        <v>0.1</v>
      </c>
      <c r="H6" s="39">
        <f t="shared" si="1"/>
        <v>9.8101818181818179E-2</v>
      </c>
      <c r="I6" s="37">
        <f>AVERAGEIF('Pengkinian Data'!$C:$C, 'Overview tanpa KPI'!I$2, 'Pengkinian Data'!$D:$D)</f>
        <v>0.97760000000000002</v>
      </c>
      <c r="J6" s="38">
        <v>0.1</v>
      </c>
      <c r="K6" s="39">
        <f t="shared" si="2"/>
        <v>9.7760000000000014E-2</v>
      </c>
      <c r="R6" t="s">
        <v>174</v>
      </c>
    </row>
    <row r="7" spans="1:18">
      <c r="A7" s="35">
        <v>4</v>
      </c>
      <c r="B7" s="36" t="s">
        <v>175</v>
      </c>
      <c r="C7" s="37" cm="1">
        <f t="array" ref="C7">IFERROR(SUMPRODUCT(--('[3]Uji Petik'!$E$3:$E$73&lt;&gt;""), --('[3]Uji Petik'!$C$3:$C$73=C2)) / SUMPRODUCT(--('[3]Uji Petik'!$C$3:$C$73=C2)), 0)</f>
        <v>1</v>
      </c>
      <c r="D7" s="38">
        <v>0</v>
      </c>
      <c r="E7" s="37">
        <f t="shared" si="0"/>
        <v>0</v>
      </c>
      <c r="F7" s="37" cm="1">
        <f t="array" ref="F7">IFERROR(SUMPRODUCT(--('[3]Uji Petik'!$E$3:$E$73&lt;&gt;""), --('[3]Uji Petik'!$C$3:$C$73=F2)) / SUMPRODUCT(--('[3]Uji Petik'!$C$3:$C$73=F2)), 0)</f>
        <v>0</v>
      </c>
      <c r="G7" s="38">
        <v>0</v>
      </c>
      <c r="H7" s="39">
        <f t="shared" si="1"/>
        <v>0</v>
      </c>
      <c r="I7" s="37" cm="1">
        <f t="array" ref="I7">IFERROR(SUMPRODUCT(--('[3]Uji Petik'!$E$3:$E$73&lt;&gt;""), --('[3]Uji Petik'!$C$3:$C$73=I2)) / SUMPRODUCT(--('[3]Uji Petik'!$C$3:$C$73=I2)), 0)</f>
        <v>0</v>
      </c>
      <c r="J7" s="38">
        <v>0</v>
      </c>
      <c r="K7" s="39">
        <f t="shared" si="2"/>
        <v>0</v>
      </c>
    </row>
    <row r="8" spans="1:18">
      <c r="A8" s="35">
        <v>5</v>
      </c>
      <c r="B8" s="36" t="s">
        <v>176</v>
      </c>
      <c r="C8" s="40" cm="1">
        <f t="array" ref="C8">IFERROR(AVERAGE(IF([1]Sosialisasi!$C$1:$C$10000=C2, [1]Sosialisasi!$D$1:$D$10000)), 0)</f>
        <v>0.27272727272727271</v>
      </c>
      <c r="D8" s="38">
        <v>0.15</v>
      </c>
      <c r="E8" s="37">
        <f t="shared" si="0"/>
        <v>4.0909090909090902E-2</v>
      </c>
      <c r="F8" s="40" cm="1">
        <f t="array" ref="F8">IFERROR(AVERAGE(IF([1]Sosialisasi!$C$1:$C$10000=F2, [1]Sosialisasi!$D$1:$D$10000)), 0)</f>
        <v>0.45454545454545453</v>
      </c>
      <c r="G8" s="38">
        <v>0.15</v>
      </c>
      <c r="H8" s="39">
        <f t="shared" si="1"/>
        <v>6.8181818181818177E-2</v>
      </c>
      <c r="I8" s="40" cm="1">
        <f t="array" ref="I8">IFERROR(AVERAGE(IF([1]Sosialisasi!$C$1:$C$10000=I2, [1]Sosialisasi!$D$1:$D$10000)), 0)</f>
        <v>0.36363636363636365</v>
      </c>
      <c r="J8" s="38">
        <v>0.15</v>
      </c>
      <c r="K8" s="39">
        <f t="shared" si="2"/>
        <v>5.4545454545454543E-2</v>
      </c>
    </row>
    <row r="9" spans="1:18">
      <c r="A9" s="35">
        <v>6</v>
      </c>
      <c r="B9" s="36" t="s">
        <v>177</v>
      </c>
      <c r="C9" s="37">
        <f>AVERAGEIF('EDD PEP PPATK'!$C:$C, 'Overview tanpa KPI'!C$2, 'EDD PEP PPATK'!$D:$D)</f>
        <v>0.9956233568562336</v>
      </c>
      <c r="D9" s="38">
        <v>0.1</v>
      </c>
      <c r="E9" s="37">
        <f t="shared" si="0"/>
        <v>9.9562335685623365E-2</v>
      </c>
      <c r="F9" s="37">
        <f>AVERAGEIF('EDD PEP PPATK'!$C:$C, 'Overview tanpa KPI'!F$2, 'EDD PEP PPATK'!$D:$D)</f>
        <v>0.99300605644355666</v>
      </c>
      <c r="G9" s="38">
        <v>0.1</v>
      </c>
      <c r="H9" s="39">
        <f t="shared" si="1"/>
        <v>9.9300605644355666E-2</v>
      </c>
      <c r="I9" s="37">
        <f>AVERAGEIF('EDD PEP PPATK'!$C:$C, 'Overview tanpa KPI'!I$2, 'EDD PEP PPATK'!$D:$D)</f>
        <v>0.99378025820333515</v>
      </c>
      <c r="J9" s="38">
        <v>0.1</v>
      </c>
      <c r="K9" s="39">
        <f t="shared" si="2"/>
        <v>9.9378025820333518E-2</v>
      </c>
    </row>
    <row r="10" spans="1:18">
      <c r="A10" s="35">
        <v>7</v>
      </c>
      <c r="B10" s="36" t="s">
        <v>178</v>
      </c>
      <c r="C10" s="37" cm="1">
        <f t="array" ref="C10">IFERROR(AVERAGE(IF('[1]Sheet2 (2)'!$C$1:$C$10000=C$2, '[1]Sheet2 (2)'!$D$1:$D$10000)), 0)</f>
        <v>0.99765263548971717</v>
      </c>
      <c r="D10" s="38">
        <v>0.05</v>
      </c>
      <c r="E10" s="37">
        <f t="shared" si="0"/>
        <v>4.9882631774485861E-2</v>
      </c>
      <c r="F10" s="37" cm="1">
        <f t="array" ref="F10">IFERROR(AVERAGE(IF('[1]Sheet2 (2)'!$C$1:$C$10000=F$2, '[1]Sheet2 (2)'!$D$1:$D$10000)), 0)</f>
        <v>0.99800519034120716</v>
      </c>
      <c r="G10" s="38">
        <v>0.05</v>
      </c>
      <c r="H10" s="39">
        <f t="shared" si="1"/>
        <v>4.9900259517060362E-2</v>
      </c>
      <c r="I10" s="37" cm="1">
        <f t="array" ref="I10">IFERROR(AVERAGE(IF('[1]Sheet2 (2)'!$C$1:$C$10000=I$2, '[1]Sheet2 (2)'!$D$1:$D$10000)), 0)</f>
        <v>0.99616446088048927</v>
      </c>
      <c r="J10" s="38">
        <v>0.05</v>
      </c>
      <c r="K10" s="39">
        <f t="shared" si="2"/>
        <v>4.9808223044024463E-2</v>
      </c>
    </row>
    <row r="11" spans="1:18">
      <c r="A11" s="35">
        <v>8</v>
      </c>
      <c r="B11" s="36" t="s">
        <v>179</v>
      </c>
      <c r="C11" s="37" cm="1">
        <f t="array" ref="C11">IFERROR(AVERAGE(IF('[1]Sheet2 (3)'!$C$1:$C$10000=C2, '[1]Sheet2 (3)'!$D$1:$D$10000)), 0)</f>
        <v>98.378630740909102</v>
      </c>
      <c r="D11" s="38">
        <v>0.05</v>
      </c>
      <c r="E11" s="37">
        <f t="shared" si="0"/>
        <v>4.9189315370454558</v>
      </c>
      <c r="F11" s="37" cm="1">
        <f t="array" ref="F11">IFERROR(AVERAGE(IF('[1]Sheet2 (3)'!$C$1:$C$10000=F2, '[1]Sheet2 (3)'!$D$1:$D$10000)), 0)</f>
        <v>98.49433533909091</v>
      </c>
      <c r="G11" s="38">
        <v>0.05</v>
      </c>
      <c r="H11" s="39">
        <f t="shared" si="1"/>
        <v>4.9247167669545462</v>
      </c>
      <c r="I11" s="37" cm="1">
        <f t="array" ref="I11">IFERROR(AVERAGE(IF('[1]Sheet2 (3)'!$C$1:$C$10000=I2, '[1]Sheet2 (3)'!$D$1:$D$10000)), 0)</f>
        <v>98.438019820909091</v>
      </c>
      <c r="J11" s="38">
        <v>0.05</v>
      </c>
      <c r="K11" s="39">
        <f t="shared" si="2"/>
        <v>4.9219009910454545</v>
      </c>
    </row>
    <row r="12" spans="1:18">
      <c r="A12" s="35">
        <v>9</v>
      </c>
      <c r="B12" s="36" t="s">
        <v>180</v>
      </c>
      <c r="C12" s="37">
        <f>AVERAGEIF('Nilai Maturitas'!$C:$C, 'Overview tanpa KPI'!C2, 'Nilai Maturitas'!$D:$D)</f>
        <v>8.5939864977977738</v>
      </c>
      <c r="D12" s="38">
        <v>0.1</v>
      </c>
      <c r="E12" s="37">
        <f t="shared" si="0"/>
        <v>0.85939864977977742</v>
      </c>
      <c r="F12" s="37">
        <f>AVERAGEIF('Nilai Maturitas'!$C:$C, 'Overview tanpa KPI'!F2, 'Nilai Maturitas'!$D:$D)</f>
        <v>8.4248510992539529</v>
      </c>
      <c r="G12" s="38">
        <v>0.1</v>
      </c>
      <c r="H12" s="39">
        <f t="shared" si="1"/>
        <v>0.84248510992539538</v>
      </c>
      <c r="I12" s="37">
        <f>AVERAGEIF('Nilai Maturitas'!$C:$C, 'Overview tanpa KPI'!I2, 'Nilai Maturitas'!$D:$D)</f>
        <v>9.195627290284154</v>
      </c>
      <c r="J12" s="38">
        <v>0.1</v>
      </c>
      <c r="K12" s="39">
        <f t="shared" si="2"/>
        <v>0.9195627290284154</v>
      </c>
    </row>
    <row r="13" spans="1:18">
      <c r="A13" s="35">
        <v>10</v>
      </c>
      <c r="B13" s="36" t="s">
        <v>181</v>
      </c>
      <c r="C13" s="37">
        <f>AVERAGEIF('Maturitas Dashboard'!$C:$C, 'Overview tanpa KPI'!C$2, 'Maturitas Dashboard'!$D:$D)</f>
        <v>8.875</v>
      </c>
      <c r="D13" s="38">
        <v>0.1</v>
      </c>
      <c r="E13" s="37">
        <f t="shared" si="0"/>
        <v>0.88750000000000007</v>
      </c>
      <c r="F13" s="37">
        <f>AVERAGEIF('Maturitas Dashboard'!$C:$C, 'Overview tanpa KPI'!F$2, 'Maturitas Dashboard'!$D:$D)</f>
        <v>8.875</v>
      </c>
      <c r="G13" s="38">
        <v>0.1</v>
      </c>
      <c r="H13" s="39">
        <f t="shared" si="1"/>
        <v>0.88750000000000007</v>
      </c>
      <c r="I13" s="37">
        <f>AVERAGEIF('Maturitas Dashboard'!$C:$C, 'Overview tanpa KPI'!I$2, 'Maturitas Dashboard'!$D:$D)</f>
        <v>8.75</v>
      </c>
      <c r="J13" s="38">
        <v>0.1</v>
      </c>
      <c r="K13" s="39">
        <f t="shared" si="2"/>
        <v>0.875</v>
      </c>
    </row>
    <row r="14" spans="1:18">
      <c r="A14" s="41">
        <v>11</v>
      </c>
      <c r="B14" s="42" t="s">
        <v>182</v>
      </c>
      <c r="C14" s="43">
        <f>AVERAGEIF('Penilaian Resiko'!$C:$C, 'Overview tanpa KPI'!C$2, 'Penilaian Resiko'!$D:$D)</f>
        <v>5.1100875475632925</v>
      </c>
      <c r="D14" s="44">
        <v>0.1</v>
      </c>
      <c r="E14" s="43">
        <f t="shared" si="0"/>
        <v>0.51100875475632923</v>
      </c>
      <c r="F14" s="43">
        <f>AVERAGEIF('Penilaian Resiko'!$C:$C, 'Overview tanpa KPI'!F$2, 'Penilaian Resiko'!$D:$D)</f>
        <v>4.7996007560777416</v>
      </c>
      <c r="G14" s="44">
        <v>0.1</v>
      </c>
      <c r="H14" s="45">
        <f t="shared" si="1"/>
        <v>0.47996007560777421</v>
      </c>
      <c r="I14" s="43">
        <f>AVERAGEIF('Penilaian Resiko'!$C:$C, 'Overview tanpa KPI'!I$2, 'Penilaian Resiko'!$D:$D)</f>
        <v>5.0789959704035539</v>
      </c>
      <c r="J14" s="44">
        <v>0.1</v>
      </c>
      <c r="K14" s="45">
        <f t="shared" si="2"/>
        <v>0.50789959704035537</v>
      </c>
    </row>
    <row r="15" spans="1:18">
      <c r="A15" s="46"/>
      <c r="B15" s="46"/>
      <c r="C15" s="57" t="s">
        <v>183</v>
      </c>
      <c r="D15" s="58"/>
      <c r="E15" s="47">
        <f>SUM(E4:E14)</f>
        <v>7.7139591817689439</v>
      </c>
      <c r="F15" s="57" t="s">
        <v>183</v>
      </c>
      <c r="G15" s="58"/>
      <c r="H15" s="47">
        <f>SUM(H4:H14)</f>
        <v>7.6997833631036778</v>
      </c>
      <c r="I15" s="57" t="s">
        <v>183</v>
      </c>
      <c r="J15" s="58"/>
      <c r="K15" s="47">
        <f>SUM(K4:K14)</f>
        <v>7.7153674750694918</v>
      </c>
    </row>
  </sheetData>
  <mergeCells count="8">
    <mergeCell ref="C15:D15"/>
    <mergeCell ref="F15:G15"/>
    <mergeCell ref="I15:J15"/>
    <mergeCell ref="A2:A3"/>
    <mergeCell ref="B2:B3"/>
    <mergeCell ref="C2:E2"/>
    <mergeCell ref="F2:H2"/>
    <mergeCell ref="I2:K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1796D-6919-4B00-9FBA-5715EB57520A}">
  <dimension ref="A2:R16"/>
  <sheetViews>
    <sheetView workbookViewId="0">
      <selection activeCell="G23" sqref="G23"/>
    </sheetView>
  </sheetViews>
  <sheetFormatPr defaultRowHeight="15"/>
  <cols>
    <col min="1" max="1" width="4" bestFit="1" customWidth="1"/>
    <col min="2" max="2" width="27.140625" bestFit="1" customWidth="1"/>
    <col min="3" max="11" width="12" customWidth="1"/>
  </cols>
  <sheetData>
    <row r="2" spans="1:18">
      <c r="A2" s="59" t="s">
        <v>166</v>
      </c>
      <c r="B2" s="59" t="s">
        <v>167</v>
      </c>
      <c r="C2" s="60" t="s">
        <v>40</v>
      </c>
      <c r="D2" s="60"/>
      <c r="E2" s="60"/>
      <c r="F2" s="60" t="s">
        <v>52</v>
      </c>
      <c r="G2" s="60"/>
      <c r="H2" s="60"/>
      <c r="I2" s="60" t="s">
        <v>64</v>
      </c>
      <c r="J2" s="60"/>
      <c r="K2" s="60"/>
    </row>
    <row r="3" spans="1:18">
      <c r="A3" s="59"/>
      <c r="B3" s="59"/>
      <c r="C3" s="34" t="s">
        <v>168</v>
      </c>
      <c r="D3" s="34" t="s">
        <v>169</v>
      </c>
      <c r="E3" s="34" t="s">
        <v>170</v>
      </c>
      <c r="F3" s="34" t="s">
        <v>168</v>
      </c>
      <c r="G3" s="34" t="s">
        <v>169</v>
      </c>
      <c r="H3" s="34" t="s">
        <v>170</v>
      </c>
      <c r="I3" s="34" t="s">
        <v>168</v>
      </c>
      <c r="J3" s="34" t="s">
        <v>169</v>
      </c>
      <c r="K3" s="34" t="s">
        <v>170</v>
      </c>
    </row>
    <row r="4" spans="1:18">
      <c r="A4" s="35">
        <v>1</v>
      </c>
      <c r="B4" s="36" t="s">
        <v>171</v>
      </c>
      <c r="C4" s="37">
        <f>IFERROR(COUNTIFS(STR!$V:$V, 'Overview KPI'!C$2, STR!$X:$X, "TRUE")/COUNTIFS(STR!$V:$V, 'Overview KPI'!C2), 0)</f>
        <v>1</v>
      </c>
      <c r="D4" s="48">
        <v>0.05</v>
      </c>
      <c r="E4" s="37">
        <f>D4*C4</f>
        <v>0.05</v>
      </c>
      <c r="F4" s="37">
        <f>IFERROR(COUNTIFS(STR!$V:$V, 'Overview KPI'!F$2, STR!$X:$X, "TRUE")/COUNTIFS(STR!$V:$V, 'Overview KPI'!F2), 0)</f>
        <v>1</v>
      </c>
      <c r="G4" s="48">
        <v>0.05</v>
      </c>
      <c r="H4" s="39">
        <f>G4*F4</f>
        <v>0.05</v>
      </c>
      <c r="I4" s="37">
        <f>IFERROR(COUNTIFS(STR!$V:$V, 'Overview KPI'!I$2, STR!$X:$X, "TRUE")/COUNTIFS(STR!$V:$V, 'Overview KPI'!I2), 0)</f>
        <v>0.6</v>
      </c>
      <c r="J4" s="48">
        <v>0.05</v>
      </c>
      <c r="K4" s="39">
        <f>J4*I4</f>
        <v>0.03</v>
      </c>
    </row>
    <row r="5" spans="1:18">
      <c r="A5" s="35">
        <v>2</v>
      </c>
      <c r="B5" s="36" t="s">
        <v>184</v>
      </c>
      <c r="C5" s="37">
        <f>IFERROR(AVERAGEIF(STR!$V:$V, 'Overview KPI'!C2, STR!$Z:$Z), 0)/4</f>
        <v>0.82879464285714277</v>
      </c>
      <c r="D5" s="48">
        <v>0.15</v>
      </c>
      <c r="E5" s="37">
        <f>D5*C5</f>
        <v>0.12431919642857141</v>
      </c>
      <c r="F5" s="37">
        <f>IFERROR(AVERAGEIF(STR!$V:$V, 'Overview KPI'!F2, STR!$Z:$Z), 0)/4</f>
        <v>0</v>
      </c>
      <c r="G5" s="48">
        <v>0.15</v>
      </c>
      <c r="H5" s="39">
        <f>G5*F5</f>
        <v>0</v>
      </c>
      <c r="I5" s="37">
        <f>IFERROR(AVERAGEIF(STR!$V:$V, 'Overview KPI'!I2, STR!$Z:$Z), 0)/4</f>
        <v>0</v>
      </c>
      <c r="J5" s="48">
        <v>0.15</v>
      </c>
      <c r="K5" s="39">
        <f>J5*I5</f>
        <v>0</v>
      </c>
    </row>
    <row r="6" spans="1:18">
      <c r="A6" s="35">
        <v>3</v>
      </c>
      <c r="B6" s="36" t="s">
        <v>172</v>
      </c>
      <c r="C6" s="37">
        <f>1-AVERAGEIF('Bad Data'!$C:$C, 'Overview KPI'!C$2, 'Bad Data'!$D:$D)</f>
        <v>0.99599818181818178</v>
      </c>
      <c r="D6" s="48">
        <v>0.1</v>
      </c>
      <c r="E6" s="37">
        <f t="shared" ref="E6:E15" si="0">D6*C6</f>
        <v>9.9599818181818178E-2</v>
      </c>
      <c r="F6" s="37">
        <f>1-AVERAGEIF('Bad Data'!$C:$C, 'Overview KPI'!F$2, 'Bad Data'!$D:$D)</f>
        <v>0.99636909090909087</v>
      </c>
      <c r="G6" s="48">
        <v>0.1</v>
      </c>
      <c r="H6" s="39">
        <f t="shared" ref="H6:H15" si="1">G6*F6</f>
        <v>9.9636909090909095E-2</v>
      </c>
      <c r="I6" s="37">
        <f>1-AVERAGEIF('Bad Data'!$C:$C, 'Overview KPI'!I$2, 'Bad Data'!$D:$D)</f>
        <v>0.99512454545454543</v>
      </c>
      <c r="J6" s="48">
        <v>0.1</v>
      </c>
      <c r="K6" s="39">
        <f t="shared" ref="K6:K15" si="2">J6*I6</f>
        <v>9.9512454545454543E-2</v>
      </c>
    </row>
    <row r="7" spans="1:18">
      <c r="A7" s="35">
        <v>4</v>
      </c>
      <c r="B7" s="36" t="s">
        <v>173</v>
      </c>
      <c r="C7" s="37">
        <f>AVERAGEIF('Pengkinian Data'!$C:$C, 'Overview KPI'!C$2, 'Pengkinian Data'!$D:$D)</f>
        <v>0.97166363636363651</v>
      </c>
      <c r="D7" s="48">
        <v>0.1</v>
      </c>
      <c r="E7" s="37">
        <f t="shared" si="0"/>
        <v>9.7166363636363662E-2</v>
      </c>
      <c r="F7" s="37">
        <f>AVERAGEIF('Pengkinian Data'!$C:$C, 'Overview KPI'!F$2, 'Pengkinian Data'!$D:$D)</f>
        <v>0.98101818181818179</v>
      </c>
      <c r="G7" s="48">
        <v>0.1</v>
      </c>
      <c r="H7" s="39">
        <f t="shared" si="1"/>
        <v>9.8101818181818179E-2</v>
      </c>
      <c r="I7" s="37">
        <f>AVERAGEIF('Pengkinian Data'!$C:$C, 'Overview KPI'!I$2, 'Pengkinian Data'!$D:$D)</f>
        <v>0.97760000000000002</v>
      </c>
      <c r="J7" s="48">
        <v>0.1</v>
      </c>
      <c r="K7" s="39">
        <f t="shared" si="2"/>
        <v>9.7760000000000014E-2</v>
      </c>
      <c r="R7" t="s">
        <v>174</v>
      </c>
    </row>
    <row r="8" spans="1:18">
      <c r="A8" s="35">
        <v>5</v>
      </c>
      <c r="B8" s="36" t="s">
        <v>175</v>
      </c>
      <c r="C8" s="37" cm="1">
        <f t="array" ref="C8">IFERROR(SUMPRODUCT(--('[3]Uji Petik'!$E$3:$E$73&lt;&gt;""), --('[3]Uji Petik'!$C$3:$C$73=C2)) / SUMPRODUCT(--('[3]Uji Petik'!$C$3:$C$73=C2)), 0)</f>
        <v>1</v>
      </c>
      <c r="D8" s="48">
        <v>7.4999999999999997E-2</v>
      </c>
      <c r="E8" s="37">
        <f t="shared" si="0"/>
        <v>7.4999999999999997E-2</v>
      </c>
      <c r="F8" s="37" cm="1">
        <f t="array" ref="F8">IFERROR(SUMPRODUCT(--('[3]Uji Petik'!$E$3:$E$73&lt;&gt;""), --('[3]Uji Petik'!$C$3:$C$73=F2)) / SUMPRODUCT(--('[3]Uji Petik'!$C$3:$C$73=F2)), 0)</f>
        <v>0</v>
      </c>
      <c r="G8" s="48">
        <v>7.4999999999999997E-2</v>
      </c>
      <c r="H8" s="39">
        <f t="shared" si="1"/>
        <v>0</v>
      </c>
      <c r="I8" s="37" cm="1">
        <f t="array" ref="I8">IFERROR(SUMPRODUCT(--('[3]Uji Petik'!$E$3:$E$73&lt;&gt;""), --('[3]Uji Petik'!$C$3:$C$73=I2)) / SUMPRODUCT(--('[3]Uji Petik'!$C$3:$C$73=I2)), 0)</f>
        <v>0</v>
      </c>
      <c r="J8" s="48">
        <v>7.4999999999999997E-2</v>
      </c>
      <c r="K8" s="39">
        <f t="shared" si="2"/>
        <v>0</v>
      </c>
    </row>
    <row r="9" spans="1:18">
      <c r="A9" s="35">
        <v>6</v>
      </c>
      <c r="B9" s="36" t="s">
        <v>176</v>
      </c>
      <c r="C9" s="40" cm="1">
        <f t="array" ref="C9">IFERROR(AVERAGE(IF([1]Sosialisasi!$C$1:$C$10000=C2, [1]Sosialisasi!$D$1:$D$10000)), 0)</f>
        <v>0.27272727272727271</v>
      </c>
      <c r="D9" s="48">
        <v>7.4999999999999997E-2</v>
      </c>
      <c r="E9" s="37">
        <f t="shared" si="0"/>
        <v>2.0454545454545451E-2</v>
      </c>
      <c r="F9" s="40" cm="1">
        <f t="array" ref="F9">IFERROR(AVERAGE(IF([1]Sosialisasi!$C$1:$C$10000=F2, [1]Sosialisasi!$D$1:$D$10000)), 0)</f>
        <v>0.45454545454545453</v>
      </c>
      <c r="G9" s="48">
        <v>7.4999999999999997E-2</v>
      </c>
      <c r="H9" s="39">
        <f t="shared" si="1"/>
        <v>3.4090909090909088E-2</v>
      </c>
      <c r="I9" s="40" cm="1">
        <f t="array" ref="I9">IFERROR(AVERAGE(IF([1]Sosialisasi!$C$1:$C$10000=I2, [1]Sosialisasi!$D$1:$D$10000)), 0)</f>
        <v>0.36363636363636365</v>
      </c>
      <c r="J9" s="48">
        <v>7.4999999999999997E-2</v>
      </c>
      <c r="K9" s="39">
        <f t="shared" si="2"/>
        <v>2.7272727272727271E-2</v>
      </c>
    </row>
    <row r="10" spans="1:18">
      <c r="A10" s="35">
        <v>7</v>
      </c>
      <c r="B10" s="36" t="s">
        <v>177</v>
      </c>
      <c r="C10" s="37">
        <f>AVERAGEIF('EDD PEP PPATK'!$C:$C, 'Overview KPI'!C$2, 'EDD PEP PPATK'!$D:$D)</f>
        <v>0.9956233568562336</v>
      </c>
      <c r="D10" s="48">
        <v>0.1</v>
      </c>
      <c r="E10" s="37">
        <f t="shared" si="0"/>
        <v>9.9562335685623365E-2</v>
      </c>
      <c r="F10" s="37">
        <f>AVERAGEIF('EDD PEP PPATK'!$C:$C, 'Overview KPI'!F$2, 'EDD PEP PPATK'!$D:$D)</f>
        <v>0.99300605644355666</v>
      </c>
      <c r="G10" s="48">
        <v>0.1</v>
      </c>
      <c r="H10" s="39">
        <f t="shared" si="1"/>
        <v>9.9300605644355666E-2</v>
      </c>
      <c r="I10" s="37">
        <f>AVERAGEIF('EDD PEP PPATK'!$C:$C, 'Overview KPI'!I$2, 'EDD PEP PPATK'!$D:$D)</f>
        <v>0.99378025820333515</v>
      </c>
      <c r="J10" s="48">
        <v>0.1</v>
      </c>
      <c r="K10" s="39">
        <f t="shared" si="2"/>
        <v>9.9378025820333518E-2</v>
      </c>
    </row>
    <row r="11" spans="1:18">
      <c r="A11" s="35">
        <v>8</v>
      </c>
      <c r="B11" s="36" t="s">
        <v>178</v>
      </c>
      <c r="C11" s="37" cm="1">
        <f t="array" ref="C11">IF(IFERROR(AVERAGE(IF('[1]Sheet2 (2)'!$C$1:$C$10000=C$2, '[1]Sheet2 (2)'!$D$1:$D$10000)), 0)&gt;0.9, 1, IFERROR(AVERAGE(IF('[1]Sheet2 (2)'!$C$1:$C$10000=C$2, '[1]Sheet2 (2)'!$D$1:$D$10000)), 0))</f>
        <v>1</v>
      </c>
      <c r="D11" s="48">
        <v>2.5000000000000001E-2</v>
      </c>
      <c r="E11" s="37">
        <f t="shared" si="0"/>
        <v>2.5000000000000001E-2</v>
      </c>
      <c r="F11" s="37" cm="1">
        <f t="array" ref="F11">IF(IFERROR(AVERAGE(IF('[1]Sheet2 (2)'!$C$1:$C$10000=F$2, '[1]Sheet2 (2)'!$D$1:$D$10000)), 0)&gt;0.9, 1, IFERROR(AVERAGE(IF('[1]Sheet2 (2)'!$C$1:$C$10000=F$2, '[1]Sheet2 (2)'!$D$1:$D$10000)), 0))</f>
        <v>1</v>
      </c>
      <c r="G11" s="48">
        <v>2.5000000000000001E-2</v>
      </c>
      <c r="H11" s="39">
        <f t="shared" si="1"/>
        <v>2.5000000000000001E-2</v>
      </c>
      <c r="I11" s="37" cm="1">
        <f t="array" ref="I11">IF(IFERROR(AVERAGE(IF('[1]Sheet2 (2)'!$C$1:$C$10000=I$2, '[1]Sheet2 (2)'!$D$1:$D$10000)), 0)&gt;0.9, 1, IFERROR(AVERAGE(IF('[1]Sheet2 (2)'!$C$1:$C$10000=I$2, '[1]Sheet2 (2)'!$D$1:$D$10000)), 0))</f>
        <v>1</v>
      </c>
      <c r="J11" s="48">
        <v>2.5000000000000001E-2</v>
      </c>
      <c r="K11" s="39">
        <f t="shared" si="2"/>
        <v>2.5000000000000001E-2</v>
      </c>
    </row>
    <row r="12" spans="1:18">
      <c r="A12" s="35">
        <v>9</v>
      </c>
      <c r="B12" s="36" t="s">
        <v>179</v>
      </c>
      <c r="C12" s="37" cm="1">
        <f t="array" ref="C12">IF(IFERROR(AVERAGE(IF('[1]Sheet2 (3)'!$C$1:$C$10000=C2, '[1]Sheet2 (3)'!$D$1:$D$10000)), 0)&gt;90, 1, IFERROR(AVERAGE(IF('[1]Sheet2 (3)'!$C$1:$C$10000=C2, '[1]Sheet2 (3)'!$D$1:$D$10000)), 0)/90)</f>
        <v>1</v>
      </c>
      <c r="D12" s="48">
        <v>2.5000000000000001E-2</v>
      </c>
      <c r="E12" s="37">
        <f t="shared" si="0"/>
        <v>2.5000000000000001E-2</v>
      </c>
      <c r="F12" s="37" cm="1">
        <f t="array" ref="F12">IF(IFERROR(AVERAGE(IF('[1]Sheet2 (3)'!$C$1:$C$10000=F2, '[1]Sheet2 (3)'!$D$1:$D$10000)), 0)&gt;90, 1, IFERROR(AVERAGE(IF('[1]Sheet2 (3)'!$C$1:$C$10000=F2, '[1]Sheet2 (3)'!$D$1:$D$10000)), 0)/90)</f>
        <v>1</v>
      </c>
      <c r="G12" s="48">
        <v>2.5000000000000001E-2</v>
      </c>
      <c r="H12" s="39">
        <f t="shared" si="1"/>
        <v>2.5000000000000001E-2</v>
      </c>
      <c r="I12" s="37" cm="1">
        <f t="array" ref="I12">IF(IFERROR(AVERAGE(IF('[1]Sheet2 (3)'!$C$1:$C$10000=I2, '[1]Sheet2 (3)'!$D$1:$D$10000)), 0)&gt;90, 1, IFERROR(AVERAGE(IF('[1]Sheet2 (3)'!$C$1:$C$10000=I2, '[1]Sheet2 (3)'!$D$1:$D$10000)), 0)/90)</f>
        <v>1</v>
      </c>
      <c r="J12" s="48">
        <v>2.5000000000000001E-2</v>
      </c>
      <c r="K12" s="39">
        <f t="shared" si="2"/>
        <v>2.5000000000000001E-2</v>
      </c>
    </row>
    <row r="13" spans="1:18">
      <c r="A13" s="35">
        <v>10</v>
      </c>
      <c r="B13" s="36" t="s">
        <v>180</v>
      </c>
      <c r="C13" s="37">
        <f>IF(AVERAGEIF('Nilai Maturitas'!$C:$C, 'Overview KPI'!C2, 'Nilai Maturitas'!$D:$D) &gt; 8, 110%, AVERAGEIF('Nilai Maturitas'!$C:$C, 'Overview KPI'!C2, 'Nilai Maturitas'!$D:$D)/8*100%)</f>
        <v>1.1000000000000001</v>
      </c>
      <c r="D13" s="48">
        <v>0.1</v>
      </c>
      <c r="E13" s="37">
        <f t="shared" si="0"/>
        <v>0.11000000000000001</v>
      </c>
      <c r="F13" s="37">
        <f>IF(AVERAGEIF('Nilai Maturitas'!$C:$C, 'Overview KPI'!F2, 'Nilai Maturitas'!$D:$D) &gt; 8, 110%, AVERAGEIF('Nilai Maturitas'!$C:$C, 'Overview KPI'!F2, 'Nilai Maturitas'!$D:$D)/8*100%)</f>
        <v>1.1000000000000001</v>
      </c>
      <c r="G13" s="48">
        <v>0.1</v>
      </c>
      <c r="H13" s="39">
        <f t="shared" si="1"/>
        <v>0.11000000000000001</v>
      </c>
      <c r="I13" s="37">
        <f>IF(AVERAGEIF('Nilai Maturitas'!$C:$C, 'Overview KPI'!I2, 'Nilai Maturitas'!$D:$D) &gt; 8, 110%, AVERAGEIF('Nilai Maturitas'!$C:$C, 'Overview KPI'!I2, 'Nilai Maturitas'!$D:$D)/8*100%)</f>
        <v>1.1000000000000001</v>
      </c>
      <c r="J13" s="48">
        <v>0.1</v>
      </c>
      <c r="K13" s="39">
        <f t="shared" si="2"/>
        <v>0.11000000000000001</v>
      </c>
    </row>
    <row r="14" spans="1:18">
      <c r="A14" s="35">
        <v>11</v>
      </c>
      <c r="B14" s="36" t="s">
        <v>181</v>
      </c>
      <c r="C14" s="37">
        <f>IF(AVERAGEIF('Maturitas Dashboard'!$C:$C, 'Overview KPI'!C$2, 'Maturitas Dashboard'!$D:$D) &gt; 8, 110%, AVERAGEIF('Maturitas Dashboard'!$C:$C, 'Overview KPI'!C$2, 'Maturitas Dashboard'!$D:$D)/8*100%)</f>
        <v>1.1000000000000001</v>
      </c>
      <c r="D14" s="48">
        <v>0.1</v>
      </c>
      <c r="E14" s="37">
        <f t="shared" si="0"/>
        <v>0.11000000000000001</v>
      </c>
      <c r="F14" s="37">
        <f>IF(AVERAGEIF('Maturitas Dashboard'!$C:$C, 'Overview KPI'!F$2, 'Maturitas Dashboard'!$D:$D) &gt; 8, 110%, AVERAGEIF('Maturitas Dashboard'!$C:$C, 'Overview KPI'!F$2, 'Maturitas Dashboard'!$D:$D)/8*100%)</f>
        <v>1.1000000000000001</v>
      </c>
      <c r="G14" s="48">
        <v>0.1</v>
      </c>
      <c r="H14" s="39">
        <f t="shared" si="1"/>
        <v>0.11000000000000001</v>
      </c>
      <c r="I14" s="37">
        <f>IF(AVERAGEIF('Maturitas Dashboard'!$C:$C, 'Overview KPI'!I$2, 'Maturitas Dashboard'!$D:$D) &gt; 8, 110%, AVERAGEIF('Maturitas Dashboard'!$C:$C, 'Overview KPI'!I$2, 'Maturitas Dashboard'!$D:$D)/8*100%)</f>
        <v>1.1000000000000001</v>
      </c>
      <c r="J14" s="48">
        <v>0.1</v>
      </c>
      <c r="K14" s="39">
        <f t="shared" si="2"/>
        <v>0.11000000000000001</v>
      </c>
    </row>
    <row r="15" spans="1:18">
      <c r="A15" s="35">
        <v>12</v>
      </c>
      <c r="B15" s="42" t="s">
        <v>182</v>
      </c>
      <c r="C15" s="43">
        <f>IF(AVERAGEIF('Penilaian Resiko'!$C:$C, 'Overview KPI'!C$2, 'Penilaian Resiko'!$D:$D) &lt; 5.8, 110%, IF(AVERAGEIF('Penilaian Resiko'!$C:$C, 'Overview KPI'!C$2, 'Penilaian Resiko'!$D:$D) &lt;7.4, 3/4*100%, 3/5*100%))</f>
        <v>1.1000000000000001</v>
      </c>
      <c r="D15" s="49">
        <v>0.1</v>
      </c>
      <c r="E15" s="43">
        <f t="shared" si="0"/>
        <v>0.11000000000000001</v>
      </c>
      <c r="F15" s="43">
        <f>IF(AVERAGEIF('Penilaian Resiko'!$C:$C, 'Overview KPI'!F$2, 'Penilaian Resiko'!$D:$D) &lt; 5.8, 110%, IF(AVERAGEIF('Penilaian Resiko'!$C:$C, 'Overview KPI'!F$2, 'Penilaian Resiko'!$D:$D) &lt;7.4, 3/4*100%, 3/5*100%))</f>
        <v>1.1000000000000001</v>
      </c>
      <c r="G15" s="49">
        <v>0.1</v>
      </c>
      <c r="H15" s="45">
        <f t="shared" si="1"/>
        <v>0.11000000000000001</v>
      </c>
      <c r="I15" s="43">
        <f>IF(AVERAGEIF('Penilaian Resiko'!$C:$C, 'Overview KPI'!I$2, 'Penilaian Resiko'!$D:$D) &lt; 5.8, 110%, IF(AVERAGEIF('Penilaian Resiko'!$C:$C, 'Overview KPI'!I$2, 'Penilaian Resiko'!$D:$D) &lt;7.4, 3/4*100%, 3/5*100%))</f>
        <v>1.1000000000000001</v>
      </c>
      <c r="J15" s="49">
        <v>0.1</v>
      </c>
      <c r="K15" s="45">
        <f t="shared" si="2"/>
        <v>0.11000000000000001</v>
      </c>
    </row>
    <row r="16" spans="1:18">
      <c r="A16" s="46"/>
      <c r="B16" s="46"/>
      <c r="C16" s="57" t="s">
        <v>183</v>
      </c>
      <c r="D16" s="58"/>
      <c r="E16" s="47">
        <f>SUM(E4:E15)</f>
        <v>0.94610225938692205</v>
      </c>
      <c r="F16" s="57" t="s">
        <v>183</v>
      </c>
      <c r="G16" s="58"/>
      <c r="H16" s="47">
        <f>SUM(H4:H15)</f>
        <v>0.76113024200799206</v>
      </c>
      <c r="I16" s="57" t="s">
        <v>183</v>
      </c>
      <c r="J16" s="58"/>
      <c r="K16" s="47">
        <f>SUM(K4:K15)</f>
        <v>0.73392320763851537</v>
      </c>
    </row>
  </sheetData>
  <mergeCells count="8">
    <mergeCell ref="C16:D16"/>
    <mergeCell ref="F16:G16"/>
    <mergeCell ref="I16:J16"/>
    <mergeCell ref="A2:A3"/>
    <mergeCell ref="B2:B3"/>
    <mergeCell ref="C2:E2"/>
    <mergeCell ref="F2:H2"/>
    <mergeCell ref="I2:K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795979-244b-45d7-b043-ae27e60f46ee}" enabled="0" method="" siteId="{76795979-244b-45d7-b043-ae27e60f46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Meisyara Tilova</dc:creator>
  <cp:keywords/>
  <dc:description/>
  <cp:lastModifiedBy>Arjun Michael Rogan</cp:lastModifiedBy>
  <cp:revision/>
  <dcterms:created xsi:type="dcterms:W3CDTF">2026-09-14T02:42:21Z</dcterms:created>
  <dcterms:modified xsi:type="dcterms:W3CDTF">2026-09-29T03:19:30Z</dcterms:modified>
  <cp:category/>
  <cp:contentStatus/>
</cp:coreProperties>
</file>